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4931f1938fa4e990/Documentos/ORGANOGRAMA/"/>
    </mc:Choice>
  </mc:AlternateContent>
  <xr:revisionPtr revIDLastSave="0" documentId="8_{F0256E4B-E905-41C5-9BA3-E6CC6E31B9BC}" xr6:coauthVersionLast="47" xr6:coauthVersionMax="47" xr10:uidLastSave="{00000000-0000-0000-0000-000000000000}"/>
  <bookViews>
    <workbookView xWindow="-110" yWindow="-110" windowWidth="25820" windowHeight="15500" xr2:uid="{E5020668-E82A-43C1-BF0B-4D6EEABBBD61}"/>
  </bookViews>
  <sheets>
    <sheet name="Sumário" sheetId="22" r:id="rId1"/>
    <sheet name="FG-ORGANOGRAMA-741" sheetId="5" state="veryHidden" r:id="rId2"/>
    <sheet name="ORG. RESUMIDO-741" sheetId="4" state="hidden" r:id="rId3"/>
    <sheet name="Análises 741" sheetId="23" state="veryHidden" r:id="rId4"/>
    <sheet name="EFETIVO 11.05.2026" sheetId="9" state="veryHidden" r:id="rId5"/>
    <sheet name="FG-ORGANOGRAMA-743" sheetId="7" state="veryHidden" r:id="rId6"/>
    <sheet name="ORG-RESUMIDO-743" sheetId="8" state="hidden" r:id="rId7"/>
    <sheet name="Análises 743 1" sheetId="24" state="hidden" r:id="rId8"/>
    <sheet name="Análises 743" sheetId="35" state="veryHidden" r:id="rId9"/>
    <sheet name="Análises 736" sheetId="32" state="veryHidden" r:id="rId10"/>
    <sheet name="Análises 737" sheetId="33" state="veryHidden" r:id="rId11"/>
    <sheet name="FG-ORGANOGRAMA-APOIO MACAÉ" sheetId="25" state="veryHidden" r:id="rId12"/>
    <sheet name="02 - ORGANOGRAMA RESUMIDO -737 " sheetId="26" state="hidden" r:id="rId13"/>
    <sheet name="FG-INTEG-001-737" sheetId="28" state="veryHidden" r:id="rId14"/>
    <sheet name="05 - ORGANOGRAMA RESUMIDO -736" sheetId="29" state="hidden" r:id="rId15"/>
    <sheet name="FG-INTEG-001-736" sheetId="30" state="veryHidden" r:id="rId16"/>
  </sheets>
  <externalReferences>
    <externalReference r:id="rId17"/>
  </externalReferences>
  <definedNames>
    <definedName name="_xlnm._FilterDatabase" localSheetId="4" hidden="1">'EFETIVO 11.05.2026'!$A$1:$I$712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" hidden="1">{#N/A,#N/A,FALSE,"ET-CAPA";#N/A,#N/A,FALSE,"ET-PAG1";#N/A,#N/A,FALSE,"ET-PAG2";#N/A,#N/A,FALSE,"ET-PAG3";#N/A,#N/A,FALSE,"ET-PAG4";#N/A,#N/A,FALSE,"ET-PAG5"}</definedName>
    <definedName name="ab" hidden="1">{#N/A,#N/A,FALSE,"ET-CAPA";#N/A,#N/A,FALSE,"ET-PAG1";#N/A,#N/A,FALSE,"ET-PAG2";#N/A,#N/A,FALSE,"ET-PAG3";#N/A,#N/A,FALSE,"ET-PAG4";#N/A,#N/A,FALSE,"ET-PAG5"}</definedName>
    <definedName name="abc" hidden="1">{#N/A,#N/A,FALSE,"ET-CAPA";#N/A,#N/A,FALSE,"ET-PAG1";#N/A,#N/A,FALSE,"ET-PAG2";#N/A,#N/A,FALSE,"ET-PAG3";#N/A,#N/A,FALSE,"ET-PAG4";#N/A,#N/A,FALSE,"ET-PAG5"}</definedName>
    <definedName name="abcc" hidden="1">{#N/A,#N/A,FALSE,"ET-CAPA";#N/A,#N/A,FALSE,"ET-PAG1";#N/A,#N/A,FALSE,"ET-PAG2";#N/A,#N/A,FALSE,"ET-PAG3";#N/A,#N/A,FALSE,"ET-PAG4";#N/A,#N/A,FALSE,"ET-PAG5"}</definedName>
    <definedName name="aggo" hidden="1">{#N/A,#N/A,FALSE,"ET-CAPA";#N/A,#N/A,FALSE,"ET-PAG1";#N/A,#N/A,FALSE,"ET-PAG2";#N/A,#N/A,FALSE,"ET-PAG3";#N/A,#N/A,FALSE,"ET-PAG4";#N/A,#N/A,FALSE,"ET-PAG5"}</definedName>
    <definedName name="Ago" hidden="1">{#N/A,#N/A,FALSE,"ET-CAPA";#N/A,#N/A,FALSE,"ET-PAG1";#N/A,#N/A,FALSE,"ET-PAG2";#N/A,#N/A,FALSE,"ET-PAG3";#N/A,#N/A,FALSE,"ET-PAG4";#N/A,#N/A,FALSE,"ET-PAG5"}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Print_Area" localSheetId="14">'05 - ORGANOGRAMA RESUMIDO -736'!$A$1:$ED$94</definedName>
    <definedName name="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ip" hidden="1">{#N/A,#N/A,FALSE,"ET-CAPA";#N/A,#N/A,FALSE,"ET-PAG1";#N/A,#N/A,FALSE,"ET-PAG2";#N/A,#N/A,FALSE,"ET-PAG3";#N/A,#N/A,FALSE,"ET-PAG4";#N/A,#N/A,FALSE,"ET-PAG5"}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O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UT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Q" hidden="1">{#N/A,#N/A,FALSE,"ET-CAPA";#N/A,#N/A,FALSE,"ET-PAG1";#N/A,#N/A,FALSE,"ET-PAG2";#N/A,#N/A,FALSE,"ET-PAG3";#N/A,#N/A,FALSE,"ET-PAG4";#N/A,#N/A,FALSE,"ET-PAG5"}</definedName>
    <definedName name="wr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GERAL." hidden="1">{#N/A,#N/A,FALSE,"ET-CAPA";#N/A,#N/A,FALSE,"ET-PAG1";#N/A,#N/A,FALSE,"ET-PAG2";#N/A,#N/A,FALSE,"ET-PAG3";#N/A,#N/A,FALSE,"ET-PAG4";#N/A,#N/A,FALSE,"ET-PAG5"}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35" l="1" a="1"/>
  <c r="C115" i="35" s="1"/>
  <c r="D115" i="35" a="1"/>
  <c r="D115" i="35" s="1"/>
  <c r="E115" i="35" a="1"/>
  <c r="E115" i="35" s="1"/>
  <c r="C116" i="35" a="1"/>
  <c r="C116" i="35" s="1"/>
  <c r="D116" i="35" a="1"/>
  <c r="D116" i="35" s="1"/>
  <c r="E116" i="35" a="1"/>
  <c r="E116" i="35" s="1"/>
  <c r="C117" i="35" a="1"/>
  <c r="C117" i="35" s="1"/>
  <c r="D117" i="35" a="1"/>
  <c r="D117" i="35" s="1"/>
  <c r="E117" i="35" a="1"/>
  <c r="E117" i="35" s="1"/>
  <c r="C118" i="35" a="1"/>
  <c r="C118" i="35" s="1"/>
  <c r="D118" i="35" a="1"/>
  <c r="D118" i="35" s="1"/>
  <c r="E118" i="35" a="1"/>
  <c r="E118" i="35" s="1"/>
  <c r="C119" i="35" a="1"/>
  <c r="C119" i="35" s="1"/>
  <c r="D119" i="35" a="1"/>
  <c r="D119" i="35" s="1"/>
  <c r="E119" i="35" a="1"/>
  <c r="E119" i="35" s="1"/>
  <c r="C120" i="35" a="1"/>
  <c r="C120" i="35" s="1"/>
  <c r="D120" i="35" a="1"/>
  <c r="D120" i="35" s="1"/>
  <c r="E120" i="35" a="1"/>
  <c r="E120" i="35" s="1"/>
  <c r="C121" i="35" a="1"/>
  <c r="C121" i="35" s="1"/>
  <c r="D121" i="35" a="1"/>
  <c r="D121" i="35" s="1"/>
  <c r="E121" i="35" a="1"/>
  <c r="E121" i="35" s="1"/>
  <c r="C122" i="35" a="1"/>
  <c r="C122" i="35" s="1"/>
  <c r="D122" i="35" a="1"/>
  <c r="D122" i="35" s="1"/>
  <c r="E122" i="35" a="1"/>
  <c r="E122" i="35" s="1"/>
  <c r="C123" i="35" a="1"/>
  <c r="C123" i="35" s="1"/>
  <c r="D123" i="35" a="1"/>
  <c r="D123" i="35" s="1"/>
  <c r="E123" i="35" a="1"/>
  <c r="E123" i="35" s="1"/>
  <c r="C124" i="35" a="1"/>
  <c r="C124" i="35" s="1"/>
  <c r="D124" i="35" a="1"/>
  <c r="D124" i="35" s="1"/>
  <c r="E124" i="35" a="1"/>
  <c r="E124" i="35" s="1"/>
  <c r="C125" i="35" a="1"/>
  <c r="C125" i="35" s="1"/>
  <c r="D125" i="35" a="1"/>
  <c r="D125" i="35" s="1"/>
  <c r="E125" i="35" a="1"/>
  <c r="E125" i="35" s="1"/>
  <c r="C126" i="35" a="1"/>
  <c r="C126" i="35" s="1"/>
  <c r="D126" i="35" a="1"/>
  <c r="D126" i="35" s="1"/>
  <c r="E126" i="35" a="1"/>
  <c r="E126" i="35" s="1"/>
  <c r="C127" i="35" a="1"/>
  <c r="C127" i="35" s="1"/>
  <c r="D127" i="35" a="1"/>
  <c r="D127" i="35" s="1"/>
  <c r="E127" i="35" a="1"/>
  <c r="E127" i="35" s="1"/>
  <c r="C128" i="35" a="1"/>
  <c r="C128" i="35" s="1"/>
  <c r="D128" i="35" a="1"/>
  <c r="D128" i="35" s="1"/>
  <c r="E128" i="35" a="1"/>
  <c r="E128" i="35" s="1"/>
  <c r="C129" i="35" a="1"/>
  <c r="C129" i="35" s="1"/>
  <c r="D129" i="35" a="1"/>
  <c r="D129" i="35" s="1"/>
  <c r="E129" i="35" a="1"/>
  <c r="E129" i="35" s="1"/>
  <c r="C130" i="35" a="1"/>
  <c r="C130" i="35" s="1"/>
  <c r="D130" i="35" a="1"/>
  <c r="D130" i="35" s="1"/>
  <c r="E130" i="35" a="1"/>
  <c r="E130" i="35" s="1"/>
  <c r="C131" i="35" a="1"/>
  <c r="C131" i="35" s="1"/>
  <c r="D131" i="35" a="1"/>
  <c r="D131" i="35" s="1"/>
  <c r="E131" i="35" a="1"/>
  <c r="E131" i="35" s="1"/>
  <c r="C132" i="35" a="1"/>
  <c r="C132" i="35" s="1"/>
  <c r="D132" i="35" a="1"/>
  <c r="D132" i="35" s="1"/>
  <c r="E132" i="35" a="1"/>
  <c r="E132" i="35" s="1"/>
  <c r="C179" i="23" a="1"/>
  <c r="C179" i="23" s="1"/>
  <c r="D179" i="23" a="1"/>
  <c r="D179" i="23" s="1"/>
  <c r="E179" i="23" a="1"/>
  <c r="E179" i="23" s="1"/>
  <c r="F179" i="23" a="1"/>
  <c r="F179" i="23" s="1"/>
  <c r="C178" i="23" a="1"/>
  <c r="C178" i="23" s="1"/>
  <c r="D178" i="23" a="1"/>
  <c r="D178" i="23" s="1"/>
  <c r="E178" i="23" a="1"/>
  <c r="E178" i="23" s="1"/>
  <c r="F178" i="23" a="1"/>
  <c r="F178" i="23" s="1"/>
  <c r="C171" i="23" a="1"/>
  <c r="C171" i="23" s="1"/>
  <c r="D171" i="23" a="1"/>
  <c r="D171" i="23" s="1"/>
  <c r="E171" i="23" a="1"/>
  <c r="E171" i="23" s="1"/>
  <c r="F171" i="23" a="1"/>
  <c r="F171" i="23" s="1"/>
  <c r="C172" i="23" a="1"/>
  <c r="C172" i="23" s="1"/>
  <c r="D172" i="23" a="1"/>
  <c r="D172" i="23" s="1"/>
  <c r="E172" i="23" a="1"/>
  <c r="E172" i="23" s="1"/>
  <c r="F172" i="23" a="1"/>
  <c r="F172" i="23" s="1"/>
  <c r="C173" i="23" a="1"/>
  <c r="C173" i="23" s="1"/>
  <c r="D173" i="23" a="1"/>
  <c r="D173" i="23" s="1"/>
  <c r="E173" i="23" a="1"/>
  <c r="E173" i="23" s="1"/>
  <c r="F173" i="23" a="1"/>
  <c r="F173" i="23" s="1"/>
  <c r="C174" i="23" a="1"/>
  <c r="C174" i="23" s="1"/>
  <c r="D174" i="23" a="1"/>
  <c r="D174" i="23" s="1"/>
  <c r="E174" i="23" a="1"/>
  <c r="E174" i="23" s="1"/>
  <c r="F174" i="23" a="1"/>
  <c r="F174" i="23" s="1"/>
  <c r="C175" i="23" a="1"/>
  <c r="C175" i="23" s="1"/>
  <c r="D175" i="23" a="1"/>
  <c r="D175" i="23" s="1"/>
  <c r="E175" i="23" a="1"/>
  <c r="E175" i="23" s="1"/>
  <c r="F175" i="23" a="1"/>
  <c r="F175" i="23" s="1"/>
  <c r="C176" i="23" a="1"/>
  <c r="C176" i="23" s="1"/>
  <c r="D176" i="23" a="1"/>
  <c r="D176" i="23" s="1"/>
  <c r="E176" i="23" a="1"/>
  <c r="E176" i="23" s="1"/>
  <c r="F176" i="23" a="1"/>
  <c r="F176" i="23" s="1"/>
  <c r="C177" i="23" a="1"/>
  <c r="C177" i="23" s="1"/>
  <c r="D177" i="23" a="1"/>
  <c r="D177" i="23" s="1"/>
  <c r="E177" i="23" a="1"/>
  <c r="E177" i="23" s="1"/>
  <c r="F177" i="23" a="1"/>
  <c r="F177" i="23" s="1"/>
  <c r="C180" i="23" a="1"/>
  <c r="C180" i="23" s="1"/>
  <c r="D180" i="23" a="1"/>
  <c r="D180" i="23" s="1"/>
  <c r="E180" i="23" a="1"/>
  <c r="E180" i="23" s="1"/>
  <c r="F180" i="23" a="1"/>
  <c r="F180" i="23" s="1"/>
  <c r="C181" i="23" a="1"/>
  <c r="C181" i="23" s="1"/>
  <c r="D181" i="23" a="1"/>
  <c r="D181" i="23" s="1"/>
  <c r="E181" i="23" a="1"/>
  <c r="E181" i="23" s="1"/>
  <c r="F181" i="23" a="1"/>
  <c r="F181" i="23" s="1"/>
  <c r="C182" i="23" a="1"/>
  <c r="C182" i="23" s="1"/>
  <c r="D182" i="23" a="1"/>
  <c r="D182" i="23" s="1"/>
  <c r="E182" i="23" a="1"/>
  <c r="E182" i="23" s="1"/>
  <c r="F182" i="23" a="1"/>
  <c r="F182" i="23" s="1"/>
  <c r="C183" i="23" a="1"/>
  <c r="C183" i="23" s="1"/>
  <c r="D183" i="23" a="1"/>
  <c r="D183" i="23" s="1"/>
  <c r="E183" i="23" a="1"/>
  <c r="E183" i="23" s="1"/>
  <c r="F183" i="23" a="1"/>
  <c r="F183" i="23" s="1"/>
  <c r="C154" i="23" a="1"/>
  <c r="C154" i="23" s="1"/>
  <c r="D154" i="23" a="1"/>
  <c r="D154" i="23" s="1"/>
  <c r="E154" i="23" a="1"/>
  <c r="E154" i="23" s="1"/>
  <c r="C155" i="23" a="1"/>
  <c r="C155" i="23" s="1"/>
  <c r="D155" i="23" a="1"/>
  <c r="D155" i="23" s="1"/>
  <c r="E155" i="23" a="1"/>
  <c r="E155" i="23" s="1"/>
  <c r="C156" i="23" a="1"/>
  <c r="C156" i="23" s="1"/>
  <c r="D156" i="23" a="1"/>
  <c r="D156" i="23" s="1"/>
  <c r="E156" i="23" a="1"/>
  <c r="E156" i="23" s="1"/>
  <c r="C157" i="23" a="1"/>
  <c r="C157" i="23" s="1"/>
  <c r="D157" i="23" a="1"/>
  <c r="D157" i="23" s="1"/>
  <c r="E157" i="23" a="1"/>
  <c r="E157" i="23" s="1"/>
  <c r="C158" i="23" a="1"/>
  <c r="C158" i="23" s="1"/>
  <c r="D158" i="23" a="1"/>
  <c r="D158" i="23" s="1"/>
  <c r="E158" i="23" a="1"/>
  <c r="E158" i="23" s="1"/>
  <c r="C159" i="23" a="1"/>
  <c r="C159" i="23" s="1"/>
  <c r="D159" i="23" a="1"/>
  <c r="D159" i="23" s="1"/>
  <c r="E159" i="23" a="1"/>
  <c r="E159" i="23" s="1"/>
  <c r="C160" i="23" a="1"/>
  <c r="C160" i="23" s="1"/>
  <c r="D160" i="23" a="1"/>
  <c r="D160" i="23" s="1"/>
  <c r="E160" i="23" a="1"/>
  <c r="E160" i="23" s="1"/>
  <c r="C161" i="23" a="1"/>
  <c r="C161" i="23"/>
  <c r="D161" i="23" a="1"/>
  <c r="D161" i="23" s="1"/>
  <c r="E161" i="23" a="1"/>
  <c r="E161" i="23" s="1"/>
  <c r="C162" i="23" a="1"/>
  <c r="C162" i="23" s="1"/>
  <c r="D162" i="23" a="1"/>
  <c r="D162" i="23" s="1"/>
  <c r="E162" i="23" a="1"/>
  <c r="E162" i="23" s="1"/>
  <c r="C163" i="23" a="1"/>
  <c r="C163" i="23" s="1"/>
  <c r="D163" i="23" a="1"/>
  <c r="D163" i="23" s="1"/>
  <c r="E163" i="23" a="1"/>
  <c r="E163" i="23" s="1"/>
  <c r="C164" i="23" a="1"/>
  <c r="C164" i="23" s="1"/>
  <c r="D164" i="23" a="1"/>
  <c r="D164" i="23" s="1"/>
  <c r="E164" i="23" a="1"/>
  <c r="E164" i="23" s="1"/>
  <c r="C165" i="23" a="1"/>
  <c r="C165" i="23" s="1"/>
  <c r="D165" i="23" a="1"/>
  <c r="D165" i="23" s="1"/>
  <c r="E165" i="23" a="1"/>
  <c r="E165" i="23" s="1"/>
  <c r="C166" i="23" a="1"/>
  <c r="C166" i="23" s="1"/>
  <c r="D166" i="23" a="1"/>
  <c r="D166" i="23" s="1"/>
  <c r="E166" i="23" a="1"/>
  <c r="E166" i="23" s="1"/>
  <c r="C75" i="35" a="1"/>
  <c r="C75" i="35" s="1"/>
  <c r="C76" i="35" a="1"/>
  <c r="C76" i="35" s="1"/>
  <c r="C77" i="35" a="1"/>
  <c r="C77" i="35" s="1"/>
  <c r="C78" i="35" a="1"/>
  <c r="C78" i="35" s="1"/>
  <c r="C79" i="35" a="1"/>
  <c r="C79" i="35" s="1"/>
  <c r="C80" i="35" a="1"/>
  <c r="C80" i="35" s="1"/>
  <c r="C81" i="35" a="1"/>
  <c r="C81" i="35" s="1"/>
  <c r="C82" i="35" a="1"/>
  <c r="C82" i="35" s="1"/>
  <c r="C83" i="35" a="1"/>
  <c r="C83" i="35" s="1"/>
  <c r="C84" i="35" a="1"/>
  <c r="C84" i="35" s="1"/>
  <c r="C85" i="35" a="1"/>
  <c r="C85" i="35" s="1"/>
  <c r="C86" i="35" a="1"/>
  <c r="C86" i="35" s="1"/>
  <c r="C87" i="35" a="1"/>
  <c r="C87" i="35" s="1"/>
  <c r="C88" i="35" a="1"/>
  <c r="C88" i="35" s="1"/>
  <c r="D75" i="35" a="1"/>
  <c r="D75" i="35" s="1"/>
  <c r="D76" i="35" a="1"/>
  <c r="D76" i="35" s="1"/>
  <c r="D77" i="35" a="1"/>
  <c r="D77" i="35" s="1"/>
  <c r="D78" i="35" a="1"/>
  <c r="D78" i="35" s="1"/>
  <c r="D79" i="35" a="1"/>
  <c r="D79" i="35" s="1"/>
  <c r="D80" i="35" a="1"/>
  <c r="D80" i="35" s="1"/>
  <c r="D81" i="35" a="1"/>
  <c r="D81" i="35" s="1"/>
  <c r="D82" i="35" a="1"/>
  <c r="D82" i="35" s="1"/>
  <c r="D83" i="35" a="1"/>
  <c r="D83" i="35" s="1"/>
  <c r="D84" i="35" a="1"/>
  <c r="D84" i="35" s="1"/>
  <c r="D85" i="35" a="1"/>
  <c r="D85" i="35" s="1"/>
  <c r="D86" i="35" a="1"/>
  <c r="D86" i="35" s="1"/>
  <c r="D87" i="35" a="1"/>
  <c r="D87" i="35" s="1"/>
  <c r="D88" i="35" a="1"/>
  <c r="D88" i="35" s="1"/>
  <c r="F75" i="35" a="1"/>
  <c r="F75" i="35" s="1"/>
  <c r="F76" i="35" a="1"/>
  <c r="F76" i="35" s="1"/>
  <c r="F77" i="35" a="1"/>
  <c r="F77" i="35" s="1"/>
  <c r="F78" i="35" a="1"/>
  <c r="F78" i="35" s="1"/>
  <c r="F79" i="35" a="1"/>
  <c r="F79" i="35" s="1"/>
  <c r="F80" i="35" a="1"/>
  <c r="F80" i="35" s="1"/>
  <c r="F81" i="35" a="1"/>
  <c r="F81" i="35" s="1"/>
  <c r="F82" i="35" a="1"/>
  <c r="F82" i="35" s="1"/>
  <c r="F83" i="35" a="1"/>
  <c r="F83" i="35" s="1"/>
  <c r="F84" i="35" a="1"/>
  <c r="F84" i="35" s="1"/>
  <c r="F85" i="35" a="1"/>
  <c r="F85" i="35" s="1"/>
  <c r="F86" i="35" a="1"/>
  <c r="F86" i="35" s="1"/>
  <c r="F87" i="35" a="1"/>
  <c r="F87" i="35" s="1"/>
  <c r="F88" i="35" a="1"/>
  <c r="F88" i="35" s="1"/>
  <c r="F73" i="35" a="1"/>
  <c r="F73" i="35" s="1"/>
  <c r="F74" i="35" a="1"/>
  <c r="F74" i="35" s="1"/>
  <c r="C93" i="35" a="1"/>
  <c r="C93" i="35" s="1"/>
  <c r="D93" i="35" a="1"/>
  <c r="D93" i="35" s="1"/>
  <c r="E93" i="35" a="1"/>
  <c r="E93" i="35" s="1"/>
  <c r="C94" i="35" a="1"/>
  <c r="C94" i="35" s="1"/>
  <c r="D94" i="35" a="1"/>
  <c r="D94" i="35" s="1"/>
  <c r="E94" i="35" a="1"/>
  <c r="E94" i="35" s="1"/>
  <c r="C95" i="35" a="1"/>
  <c r="C95" i="35" s="1"/>
  <c r="D95" i="35" a="1"/>
  <c r="D95" i="35" s="1"/>
  <c r="E95" i="35" a="1"/>
  <c r="E95" i="35" s="1"/>
  <c r="C96" i="35" a="1"/>
  <c r="C96" i="35" s="1"/>
  <c r="D96" i="35" a="1"/>
  <c r="D96" i="35" s="1"/>
  <c r="E96" i="35" a="1"/>
  <c r="E96" i="35" s="1"/>
  <c r="C97" i="35" a="1"/>
  <c r="C97" i="35" s="1"/>
  <c r="D97" i="35" a="1"/>
  <c r="D97" i="35" s="1"/>
  <c r="E97" i="35" a="1"/>
  <c r="E97" i="35" s="1"/>
  <c r="C98" i="35" a="1"/>
  <c r="C98" i="35" s="1"/>
  <c r="D98" i="35" a="1"/>
  <c r="D98" i="35" s="1"/>
  <c r="E98" i="35" a="1"/>
  <c r="E98" i="35" s="1"/>
  <c r="C99" i="35" a="1"/>
  <c r="C99" i="35" s="1"/>
  <c r="D99" i="35" a="1"/>
  <c r="D99" i="35" s="1"/>
  <c r="E99" i="35" a="1"/>
  <c r="E99" i="35" s="1"/>
  <c r="C100" i="35" a="1"/>
  <c r="C100" i="35" s="1"/>
  <c r="D100" i="35" a="1"/>
  <c r="D100" i="35" s="1"/>
  <c r="E100" i="35" a="1"/>
  <c r="E100" i="35" s="1"/>
  <c r="C101" i="35" a="1"/>
  <c r="C101" i="35" s="1"/>
  <c r="D101" i="35" a="1"/>
  <c r="D101" i="35" s="1"/>
  <c r="E101" i="35" a="1"/>
  <c r="E101" i="35" s="1"/>
  <c r="C102" i="35" a="1"/>
  <c r="C102" i="35" s="1"/>
  <c r="D102" i="35" a="1"/>
  <c r="D102" i="35" s="1"/>
  <c r="E102" i="35" a="1"/>
  <c r="E102" i="35" s="1"/>
  <c r="C103" i="35" a="1"/>
  <c r="C103" i="35" s="1"/>
  <c r="D103" i="35" a="1"/>
  <c r="D103" i="35" s="1"/>
  <c r="E103" i="35" a="1"/>
  <c r="E103" i="35" s="1"/>
  <c r="C104" i="35" a="1"/>
  <c r="C104" i="35" s="1"/>
  <c r="D104" i="35" a="1"/>
  <c r="D104" i="35" s="1"/>
  <c r="E104" i="35" a="1"/>
  <c r="E104" i="35" s="1"/>
  <c r="C105" i="35" a="1"/>
  <c r="C105" i="35" s="1"/>
  <c r="D105" i="35" a="1"/>
  <c r="D105" i="35" s="1"/>
  <c r="E105" i="35" a="1"/>
  <c r="E105" i="35" s="1"/>
  <c r="C106" i="35" a="1"/>
  <c r="C106" i="35" s="1"/>
  <c r="D106" i="35" a="1"/>
  <c r="D106" i="35" s="1"/>
  <c r="E106" i="35" a="1"/>
  <c r="E106" i="35" s="1"/>
  <c r="C107" i="35" a="1"/>
  <c r="C107" i="35" s="1"/>
  <c r="D107" i="35" a="1"/>
  <c r="D107" i="35" s="1"/>
  <c r="E107" i="35" a="1"/>
  <c r="E107" i="35" s="1"/>
  <c r="C108" i="35" a="1"/>
  <c r="C108" i="35" s="1"/>
  <c r="D108" i="35" a="1"/>
  <c r="D108" i="35" s="1"/>
  <c r="E108" i="35" a="1"/>
  <c r="E108" i="35" s="1"/>
  <c r="C109" i="35" a="1"/>
  <c r="C109" i="35" s="1"/>
  <c r="D109" i="35" a="1"/>
  <c r="D109" i="35" s="1"/>
  <c r="E109" i="35" a="1"/>
  <c r="E109" i="35" s="1"/>
  <c r="E92" i="35" a="1"/>
  <c r="E92" i="35" s="1"/>
  <c r="D92" i="35" a="1"/>
  <c r="D92" i="35" s="1"/>
  <c r="C92" i="35" a="1"/>
  <c r="C92" i="35" s="1"/>
  <c r="C59" i="35" a="1"/>
  <c r="C59" i="35" s="1"/>
  <c r="D59" i="35" a="1"/>
  <c r="D59" i="35" s="1"/>
  <c r="F59" i="35" a="1"/>
  <c r="F59" i="35" s="1"/>
  <c r="C60" i="35" a="1"/>
  <c r="C60" i="35" s="1"/>
  <c r="D60" i="35" a="1"/>
  <c r="D60" i="35" s="1"/>
  <c r="F60" i="35" a="1"/>
  <c r="F60" i="35" s="1"/>
  <c r="C61" i="35" a="1"/>
  <c r="C61" i="35" s="1"/>
  <c r="D61" i="35" a="1"/>
  <c r="D61" i="35" s="1"/>
  <c r="F61" i="35" a="1"/>
  <c r="F61" i="35" s="1"/>
  <c r="C62" i="35" a="1"/>
  <c r="C62" i="35" s="1"/>
  <c r="D62" i="35" a="1"/>
  <c r="D62" i="35" s="1"/>
  <c r="F62" i="35" a="1"/>
  <c r="F62" i="35" s="1"/>
  <c r="C63" i="35" a="1"/>
  <c r="C63" i="35" s="1"/>
  <c r="D63" i="35" a="1"/>
  <c r="D63" i="35" s="1"/>
  <c r="F63" i="35" a="1"/>
  <c r="F63" i="35" s="1"/>
  <c r="C64" i="35" a="1"/>
  <c r="C64" i="35" s="1"/>
  <c r="D64" i="35" a="1"/>
  <c r="D64" i="35" s="1"/>
  <c r="F64" i="35" a="1"/>
  <c r="F64" i="35" s="1"/>
  <c r="C65" i="35" a="1"/>
  <c r="C65" i="35" s="1"/>
  <c r="D65" i="35" a="1"/>
  <c r="D65" i="35" s="1"/>
  <c r="F65" i="35" a="1"/>
  <c r="F65" i="35" s="1"/>
  <c r="C66" i="35" a="1"/>
  <c r="C66" i="35" s="1"/>
  <c r="D66" i="35" a="1"/>
  <c r="D66" i="35" s="1"/>
  <c r="F66" i="35" a="1"/>
  <c r="F66" i="35" s="1"/>
  <c r="C67" i="35" a="1"/>
  <c r="C67" i="35" s="1"/>
  <c r="D67" i="35" a="1"/>
  <c r="D67" i="35" s="1"/>
  <c r="F67" i="35" a="1"/>
  <c r="F67" i="35" s="1"/>
  <c r="C68" i="35" a="1"/>
  <c r="C68" i="35" s="1"/>
  <c r="D68" i="35" a="1"/>
  <c r="D68" i="35" s="1"/>
  <c r="F68" i="35" a="1"/>
  <c r="F68" i="35" s="1"/>
  <c r="C69" i="35" a="1"/>
  <c r="C69" i="35" s="1"/>
  <c r="D69" i="35" a="1"/>
  <c r="D69" i="35" s="1"/>
  <c r="F69" i="35" a="1"/>
  <c r="F69" i="35" s="1"/>
  <c r="C70" i="35" a="1"/>
  <c r="C70" i="35" s="1"/>
  <c r="D70" i="35" a="1"/>
  <c r="D70" i="35" s="1"/>
  <c r="F70" i="35" a="1"/>
  <c r="F70" i="35" s="1"/>
  <c r="C71" i="35" a="1"/>
  <c r="C71" i="35" s="1"/>
  <c r="D71" i="35" a="1"/>
  <c r="D71" i="35" s="1"/>
  <c r="F71" i="35" a="1"/>
  <c r="F71" i="35" s="1"/>
  <c r="C72" i="35" a="1"/>
  <c r="C72" i="35" s="1"/>
  <c r="D72" i="35" a="1"/>
  <c r="D72" i="35" s="1"/>
  <c r="F72" i="35" a="1"/>
  <c r="F72" i="35" s="1"/>
  <c r="C73" i="35" a="1"/>
  <c r="C73" i="35" s="1"/>
  <c r="D73" i="35" a="1"/>
  <c r="D73" i="35" s="1"/>
  <c r="C74" i="35" a="1"/>
  <c r="C74" i="35" s="1"/>
  <c r="D74" i="35" a="1"/>
  <c r="D74" i="35" s="1"/>
  <c r="C5" i="35" a="1"/>
  <c r="C5" i="35" s="1"/>
  <c r="C6" i="35" a="1"/>
  <c r="C6" i="35" s="1"/>
  <c r="C89" i="35" s="1"/>
  <c r="E89" i="35" s="1"/>
  <c r="C7" i="35" a="1"/>
  <c r="C7" i="35" s="1"/>
  <c r="D89" i="35" s="1"/>
  <c r="C9" i="35" a="1"/>
  <c r="C9" i="35" s="1"/>
  <c r="C15" i="35" a="1"/>
  <c r="C15" i="35" s="1"/>
  <c r="D15" i="35" a="1"/>
  <c r="D15" i="35" s="1"/>
  <c r="F15" i="35" a="1"/>
  <c r="F15" i="35" s="1"/>
  <c r="C16" i="35" a="1"/>
  <c r="C16" i="35" s="1"/>
  <c r="D16" i="35" a="1"/>
  <c r="D16" i="35" s="1"/>
  <c r="F16" i="35" a="1"/>
  <c r="F16" i="35" s="1"/>
  <c r="C17" i="35" a="1"/>
  <c r="C17" i="35" s="1"/>
  <c r="D17" i="35" a="1"/>
  <c r="D17" i="35" s="1"/>
  <c r="F17" i="35" a="1"/>
  <c r="F17" i="35" s="1"/>
  <c r="C18" i="35" a="1"/>
  <c r="C18" i="35" s="1"/>
  <c r="D18" i="35" a="1"/>
  <c r="D18" i="35" s="1"/>
  <c r="F18" i="35" a="1"/>
  <c r="F18" i="35" s="1"/>
  <c r="C19" i="35" a="1"/>
  <c r="C19" i="35" s="1"/>
  <c r="D19" i="35" a="1"/>
  <c r="D19" i="35" s="1"/>
  <c r="F19" i="35" a="1"/>
  <c r="F19" i="35" s="1"/>
  <c r="C20" i="35" a="1"/>
  <c r="C20" i="35" s="1"/>
  <c r="D20" i="35" a="1"/>
  <c r="D20" i="35" s="1"/>
  <c r="F20" i="35" a="1"/>
  <c r="F20" i="35" s="1"/>
  <c r="C21" i="35" a="1"/>
  <c r="C21" i="35" s="1"/>
  <c r="D21" i="35" a="1"/>
  <c r="D21" i="35" s="1"/>
  <c r="F21" i="35" a="1"/>
  <c r="F21" i="35" s="1"/>
  <c r="C22" i="35" a="1"/>
  <c r="C22" i="35" s="1"/>
  <c r="D22" i="35" a="1"/>
  <c r="D22" i="35" s="1"/>
  <c r="F22" i="35" a="1"/>
  <c r="F22" i="35" s="1"/>
  <c r="C23" i="35" a="1"/>
  <c r="C23" i="35" s="1"/>
  <c r="D23" i="35" a="1"/>
  <c r="D23" i="35" s="1"/>
  <c r="F23" i="35" a="1"/>
  <c r="F23" i="35" s="1"/>
  <c r="C24" i="35" a="1"/>
  <c r="C24" i="35" s="1"/>
  <c r="D24" i="35" a="1"/>
  <c r="D24" i="35" s="1"/>
  <c r="F24" i="35" a="1"/>
  <c r="F24" i="35" s="1"/>
  <c r="C25" i="35" a="1"/>
  <c r="C25" i="35" s="1"/>
  <c r="D25" i="35" a="1"/>
  <c r="D25" i="35" s="1"/>
  <c r="F25" i="35" a="1"/>
  <c r="F25" i="35" s="1"/>
  <c r="C26" i="35" a="1"/>
  <c r="C26" i="35" s="1"/>
  <c r="D26" i="35" a="1"/>
  <c r="D26" i="35" s="1"/>
  <c r="F26" i="35" a="1"/>
  <c r="F26" i="35" s="1"/>
  <c r="C27" i="35" a="1"/>
  <c r="C27" i="35" s="1"/>
  <c r="D27" i="35" a="1"/>
  <c r="D27" i="35" s="1"/>
  <c r="F27" i="35" a="1"/>
  <c r="F27" i="35" s="1"/>
  <c r="C28" i="35" a="1"/>
  <c r="C28" i="35" s="1"/>
  <c r="D28" i="35" a="1"/>
  <c r="D28" i="35" s="1"/>
  <c r="F28" i="35" a="1"/>
  <c r="F28" i="35" s="1"/>
  <c r="C29" i="35" a="1"/>
  <c r="C29" i="35" s="1"/>
  <c r="D29" i="35" a="1"/>
  <c r="D29" i="35" s="1"/>
  <c r="F29" i="35" a="1"/>
  <c r="F29" i="35" s="1"/>
  <c r="C30" i="35" a="1"/>
  <c r="C30" i="35" s="1"/>
  <c r="E30" i="35" s="1"/>
  <c r="D30" i="35" a="1"/>
  <c r="D30" i="35" s="1"/>
  <c r="F30" i="35" a="1"/>
  <c r="F30" i="35" s="1"/>
  <c r="C31" i="35" a="1"/>
  <c r="C31" i="35" s="1"/>
  <c r="D31" i="35" a="1"/>
  <c r="D31" i="35" s="1"/>
  <c r="F31" i="35" a="1"/>
  <c r="F31" i="35" s="1"/>
  <c r="C32" i="35" a="1"/>
  <c r="C32" i="35" s="1"/>
  <c r="D32" i="35" a="1"/>
  <c r="D32" i="35" s="1"/>
  <c r="F32" i="35" a="1"/>
  <c r="F32" i="35" s="1"/>
  <c r="C33" i="35" a="1"/>
  <c r="C33" i="35" s="1"/>
  <c r="D33" i="35" a="1"/>
  <c r="D33" i="35" s="1"/>
  <c r="F33" i="35" a="1"/>
  <c r="F33" i="35" s="1"/>
  <c r="C34" i="35" a="1"/>
  <c r="C34" i="35" s="1"/>
  <c r="D34" i="35" a="1"/>
  <c r="D34" i="35" s="1"/>
  <c r="F34" i="35" a="1"/>
  <c r="F34" i="35" s="1"/>
  <c r="C35" i="35" a="1"/>
  <c r="C35" i="35" s="1"/>
  <c r="D35" i="35" a="1"/>
  <c r="D35" i="35" s="1"/>
  <c r="F35" i="35" a="1"/>
  <c r="F35" i="35" s="1"/>
  <c r="C36" i="35" a="1"/>
  <c r="C36" i="35" s="1"/>
  <c r="D36" i="35" a="1"/>
  <c r="D36" i="35" s="1"/>
  <c r="F36" i="35" a="1"/>
  <c r="F36" i="35" s="1"/>
  <c r="C37" i="35" a="1"/>
  <c r="C37" i="35" s="1"/>
  <c r="E37" i="35" s="1"/>
  <c r="D37" i="35" a="1"/>
  <c r="D37" i="35" s="1"/>
  <c r="F37" i="35" a="1"/>
  <c r="F37" i="35" s="1"/>
  <c r="C38" i="35" a="1"/>
  <c r="C38" i="35" s="1"/>
  <c r="D38" i="35" a="1"/>
  <c r="D38" i="35" s="1"/>
  <c r="F38" i="35" a="1"/>
  <c r="F38" i="35" s="1"/>
  <c r="C39" i="35" a="1"/>
  <c r="C39" i="35" s="1"/>
  <c r="D39" i="35" a="1"/>
  <c r="D39" i="35" s="1"/>
  <c r="F39" i="35" a="1"/>
  <c r="F39" i="35" s="1"/>
  <c r="C40" i="35" a="1"/>
  <c r="C40" i="35" s="1"/>
  <c r="D40" i="35" a="1"/>
  <c r="D40" i="35" s="1"/>
  <c r="F40" i="35" a="1"/>
  <c r="F40" i="35" s="1"/>
  <c r="C41" i="35" a="1"/>
  <c r="C41" i="35" s="1"/>
  <c r="D41" i="35" a="1"/>
  <c r="D41" i="35" s="1"/>
  <c r="F41" i="35" a="1"/>
  <c r="F41" i="35" s="1"/>
  <c r="C42" i="35" a="1"/>
  <c r="C42" i="35" s="1"/>
  <c r="D42" i="35" a="1"/>
  <c r="D42" i="35" s="1"/>
  <c r="F42" i="35" a="1"/>
  <c r="F42" i="35" s="1"/>
  <c r="C43" i="35" a="1"/>
  <c r="C43" i="35" s="1"/>
  <c r="D43" i="35" a="1"/>
  <c r="D43" i="35" s="1"/>
  <c r="F43" i="35" a="1"/>
  <c r="F43" i="35" s="1"/>
  <c r="C44" i="35" a="1"/>
  <c r="C44" i="35" s="1"/>
  <c r="D44" i="35" a="1"/>
  <c r="D44" i="35" s="1"/>
  <c r="F44" i="35" a="1"/>
  <c r="F44" i="35" s="1"/>
  <c r="C45" i="35" a="1"/>
  <c r="C45" i="35" s="1"/>
  <c r="D45" i="35" a="1"/>
  <c r="D45" i="35" s="1"/>
  <c r="F45" i="35" a="1"/>
  <c r="F45" i="35" s="1"/>
  <c r="C46" i="35" a="1"/>
  <c r="C46" i="35" s="1"/>
  <c r="E46" i="35" s="1"/>
  <c r="D46" i="35" a="1"/>
  <c r="D46" i="35" s="1"/>
  <c r="F46" i="35" a="1"/>
  <c r="F46" i="35" s="1"/>
  <c r="C47" i="35" a="1"/>
  <c r="C47" i="35" s="1"/>
  <c r="E47" i="35" s="1"/>
  <c r="D47" i="35" a="1"/>
  <c r="D47" i="35" s="1"/>
  <c r="F47" i="35" a="1"/>
  <c r="F47" i="35" s="1"/>
  <c r="C48" i="35" a="1"/>
  <c r="C48" i="35" s="1"/>
  <c r="D48" i="35" a="1"/>
  <c r="D48" i="35" s="1"/>
  <c r="F48" i="35" a="1"/>
  <c r="F48" i="35" s="1"/>
  <c r="C49" i="35" a="1"/>
  <c r="C49" i="35" s="1"/>
  <c r="D49" i="35" a="1"/>
  <c r="D49" i="35" s="1"/>
  <c r="F49" i="35" a="1"/>
  <c r="F49" i="35" s="1"/>
  <c r="C50" i="35" a="1"/>
  <c r="C50" i="35" s="1"/>
  <c r="D50" i="35" a="1"/>
  <c r="D50" i="35" s="1"/>
  <c r="F50" i="35" a="1"/>
  <c r="F50" i="35" s="1"/>
  <c r="C51" i="35" a="1"/>
  <c r="C51" i="35" s="1"/>
  <c r="E51" i="35" s="1"/>
  <c r="D51" i="35" a="1"/>
  <c r="D51" i="35" s="1"/>
  <c r="F51" i="35" a="1"/>
  <c r="F51" i="35" s="1"/>
  <c r="C52" i="35" a="1"/>
  <c r="C52" i="35" s="1"/>
  <c r="D52" i="35" a="1"/>
  <c r="D52" i="35" s="1"/>
  <c r="F52" i="35" a="1"/>
  <c r="F52" i="35" s="1"/>
  <c r="C53" i="35" a="1"/>
  <c r="C53" i="35" s="1"/>
  <c r="D53" i="35" a="1"/>
  <c r="D53" i="35" s="1"/>
  <c r="F53" i="35" a="1"/>
  <c r="F53" i="35" s="1"/>
  <c r="C54" i="35" a="1"/>
  <c r="C54" i="35" s="1"/>
  <c r="D54" i="35" a="1"/>
  <c r="D54" i="35" s="1"/>
  <c r="F54" i="35" a="1"/>
  <c r="F54" i="35" s="1"/>
  <c r="C55" i="35" a="1"/>
  <c r="C55" i="35" s="1"/>
  <c r="D55" i="35" a="1"/>
  <c r="D55" i="35" s="1"/>
  <c r="F55" i="35" a="1"/>
  <c r="F55" i="35" s="1"/>
  <c r="C56" i="35" a="1"/>
  <c r="C56" i="35" s="1"/>
  <c r="E56" i="35" s="1"/>
  <c r="D56" i="35" a="1"/>
  <c r="D56" i="35" s="1"/>
  <c r="F56" i="35" a="1"/>
  <c r="F56" i="35" s="1"/>
  <c r="C57" i="35" a="1"/>
  <c r="C57" i="35" s="1"/>
  <c r="D57" i="35" a="1"/>
  <c r="D57" i="35" s="1"/>
  <c r="F57" i="35" a="1"/>
  <c r="F57" i="35" s="1"/>
  <c r="C58" i="35" a="1"/>
  <c r="C58" i="35" s="1"/>
  <c r="D58" i="35" a="1"/>
  <c r="D58" i="35" s="1"/>
  <c r="F58" i="35" a="1"/>
  <c r="F58" i="35" s="1"/>
  <c r="G17" i="22" a="1"/>
  <c r="G17" i="22" s="1"/>
  <c r="B17" i="22" a="1"/>
  <c r="B17" i="22" s="1"/>
  <c r="G14" i="22" a="1"/>
  <c r="G14" i="22" s="1"/>
  <c r="B14" i="22" a="1"/>
  <c r="B14" i="22" s="1"/>
  <c r="B23" i="22" a="1"/>
  <c r="B23" i="22" s="1"/>
  <c r="B20" i="22" a="1"/>
  <c r="B20" i="22" s="1"/>
  <c r="G20" i="22" a="1"/>
  <c r="G20" i="22" s="1"/>
  <c r="G11" i="22" a="1"/>
  <c r="G11" i="22" s="1"/>
  <c r="B11" i="22" a="1"/>
  <c r="B11" i="22" s="1"/>
  <c r="G8" i="22" a="1"/>
  <c r="G8" i="22" s="1"/>
  <c r="B8" i="22" a="1"/>
  <c r="B8" i="22" s="1"/>
  <c r="D129" i="33" a="1"/>
  <c r="D129" i="33" s="1"/>
  <c r="C129" i="33" a="1"/>
  <c r="C129" i="33" s="1"/>
  <c r="D128" i="33" a="1"/>
  <c r="D128" i="33" s="1"/>
  <c r="C128" i="33" a="1"/>
  <c r="C128" i="33" s="1"/>
  <c r="D127" i="33" a="1"/>
  <c r="D127" i="33" s="1"/>
  <c r="C127" i="33" a="1"/>
  <c r="C127" i="33" s="1"/>
  <c r="F15" i="33" a="1"/>
  <c r="F15" i="33" s="1"/>
  <c r="F16" i="33" a="1"/>
  <c r="F16" i="33" s="1"/>
  <c r="F17" i="33" a="1"/>
  <c r="F17" i="33" s="1"/>
  <c r="F18" i="33" a="1"/>
  <c r="F18" i="33" s="1"/>
  <c r="F19" i="33" a="1"/>
  <c r="F19" i="33" s="1"/>
  <c r="F20" i="33" a="1"/>
  <c r="F20" i="33" s="1"/>
  <c r="F21" i="33" a="1"/>
  <c r="F21" i="33" s="1"/>
  <c r="F22" i="33" a="1"/>
  <c r="F22" i="33" s="1"/>
  <c r="F23" i="33" a="1"/>
  <c r="F23" i="33" s="1"/>
  <c r="F24" i="33" a="1"/>
  <c r="F24" i="33" s="1"/>
  <c r="F25" i="33" a="1"/>
  <c r="F25" i="33" s="1"/>
  <c r="F26" i="33" a="1"/>
  <c r="F26" i="33" s="1"/>
  <c r="F27" i="33" a="1"/>
  <c r="F27" i="33" s="1"/>
  <c r="F28" i="33" a="1"/>
  <c r="F28" i="33" s="1"/>
  <c r="F29" i="33" a="1"/>
  <c r="F29" i="33" s="1"/>
  <c r="F30" i="33" a="1"/>
  <c r="F30" i="33" s="1"/>
  <c r="F31" i="33" a="1"/>
  <c r="F31" i="33" s="1"/>
  <c r="F32" i="33" a="1"/>
  <c r="F32" i="33" s="1"/>
  <c r="F33" i="33" a="1"/>
  <c r="F33" i="33" s="1"/>
  <c r="F34" i="33" a="1"/>
  <c r="F34" i="33" s="1"/>
  <c r="F35" i="33" a="1"/>
  <c r="F35" i="33" s="1"/>
  <c r="F36" i="33" a="1"/>
  <c r="F36" i="33" s="1"/>
  <c r="F37" i="33" a="1"/>
  <c r="F37" i="33" s="1"/>
  <c r="F38" i="33" a="1"/>
  <c r="F38" i="33" s="1"/>
  <c r="F39" i="33" a="1"/>
  <c r="F39" i="33" s="1"/>
  <c r="F40" i="33" a="1"/>
  <c r="F40" i="33" s="1"/>
  <c r="F41" i="33" a="1"/>
  <c r="F41" i="33" s="1"/>
  <c r="F42" i="33" a="1"/>
  <c r="F42" i="33" s="1"/>
  <c r="F43" i="33" a="1"/>
  <c r="F43" i="33" s="1"/>
  <c r="F44" i="33" a="1"/>
  <c r="F44" i="33" s="1"/>
  <c r="F45" i="33" a="1"/>
  <c r="F45" i="33" s="1"/>
  <c r="F46" i="33" a="1"/>
  <c r="F46" i="33" s="1"/>
  <c r="F47" i="33" a="1"/>
  <c r="F47" i="33" s="1"/>
  <c r="F48" i="33" a="1"/>
  <c r="F48" i="33" s="1"/>
  <c r="F49" i="33" a="1"/>
  <c r="F49" i="33" s="1"/>
  <c r="F50" i="33" a="1"/>
  <c r="F50" i="33" s="1"/>
  <c r="F51" i="33" a="1"/>
  <c r="F51" i="33" s="1"/>
  <c r="F52" i="33" a="1"/>
  <c r="F52" i="33" s="1"/>
  <c r="F53" i="33" a="1"/>
  <c r="F53" i="33" s="1"/>
  <c r="F54" i="33" a="1"/>
  <c r="F54" i="33" s="1"/>
  <c r="F55" i="33" a="1"/>
  <c r="F55" i="33" s="1"/>
  <c r="F56" i="33" a="1"/>
  <c r="F56" i="33" s="1"/>
  <c r="F57" i="33" a="1"/>
  <c r="F57" i="33" s="1"/>
  <c r="F58" i="33" a="1"/>
  <c r="F58" i="33" s="1"/>
  <c r="F59" i="33" a="1"/>
  <c r="F59" i="33" s="1"/>
  <c r="F60" i="33" a="1"/>
  <c r="F60" i="33" s="1"/>
  <c r="F61" i="33" a="1"/>
  <c r="F61" i="33" s="1"/>
  <c r="F62" i="33" a="1"/>
  <c r="F62" i="33" s="1"/>
  <c r="F63" i="33" a="1"/>
  <c r="F63" i="33" s="1"/>
  <c r="F64" i="33" a="1"/>
  <c r="F64" i="33" s="1"/>
  <c r="F65" i="33" a="1"/>
  <c r="F65" i="33" s="1"/>
  <c r="F66" i="33" a="1"/>
  <c r="F66" i="33" s="1"/>
  <c r="F67" i="33" a="1"/>
  <c r="F67" i="33" s="1"/>
  <c r="F68" i="33" a="1"/>
  <c r="F68" i="33" s="1"/>
  <c r="F69" i="33" a="1"/>
  <c r="F69" i="33" s="1"/>
  <c r="F70" i="33" a="1"/>
  <c r="F70" i="33" s="1"/>
  <c r="F71" i="33" a="1"/>
  <c r="F71" i="33" s="1"/>
  <c r="F72" i="33" a="1"/>
  <c r="F72" i="33" s="1"/>
  <c r="F73" i="33" a="1"/>
  <c r="F73" i="33" s="1"/>
  <c r="F74" i="33" a="1"/>
  <c r="F74" i="33" s="1"/>
  <c r="F75" i="33" a="1"/>
  <c r="F75" i="33" s="1"/>
  <c r="F76" i="33" a="1"/>
  <c r="F76" i="33" s="1"/>
  <c r="F77" i="33" a="1"/>
  <c r="F77" i="33" s="1"/>
  <c r="F78" i="33" a="1"/>
  <c r="F78" i="33" s="1"/>
  <c r="F79" i="33" a="1"/>
  <c r="F79" i="33" s="1"/>
  <c r="F80" i="33" a="1"/>
  <c r="F80" i="33" s="1"/>
  <c r="F81" i="33" a="1"/>
  <c r="F81" i="33" s="1"/>
  <c r="F82" i="33" a="1"/>
  <c r="F82" i="33" s="1"/>
  <c r="F83" i="33" a="1"/>
  <c r="F83" i="33" s="1"/>
  <c r="F84" i="33" a="1"/>
  <c r="F84" i="33" s="1"/>
  <c r="F85" i="33" a="1"/>
  <c r="F85" i="33" s="1"/>
  <c r="F86" i="33" a="1"/>
  <c r="F86" i="33" s="1"/>
  <c r="F87" i="33" a="1"/>
  <c r="F87" i="33" s="1"/>
  <c r="F88" i="33" a="1"/>
  <c r="F88" i="33" s="1"/>
  <c r="F89" i="33" a="1"/>
  <c r="F89" i="33" s="1"/>
  <c r="F90" i="33" a="1"/>
  <c r="F90" i="33" s="1"/>
  <c r="F91" i="33" a="1"/>
  <c r="F91" i="33" s="1"/>
  <c r="F92" i="33" a="1"/>
  <c r="F92" i="33" s="1"/>
  <c r="F93" i="33" a="1"/>
  <c r="F93" i="33" s="1"/>
  <c r="F94" i="33" a="1"/>
  <c r="F94" i="33" s="1"/>
  <c r="F95" i="33" a="1"/>
  <c r="F95" i="33" s="1"/>
  <c r="D15" i="33" a="1"/>
  <c r="D15" i="33" s="1"/>
  <c r="D16" i="33" a="1"/>
  <c r="D16" i="33" s="1"/>
  <c r="D17" i="33" a="1"/>
  <c r="D17" i="33" s="1"/>
  <c r="D18" i="33" a="1"/>
  <c r="D18" i="33" s="1"/>
  <c r="D19" i="33" a="1"/>
  <c r="D19" i="33" s="1"/>
  <c r="D20" i="33" a="1"/>
  <c r="D20" i="33" s="1"/>
  <c r="D21" i="33" a="1"/>
  <c r="D21" i="33" s="1"/>
  <c r="D22" i="33" a="1"/>
  <c r="D22" i="33" s="1"/>
  <c r="D23" i="33" a="1"/>
  <c r="D23" i="33" s="1"/>
  <c r="D24" i="33" a="1"/>
  <c r="D24" i="33" s="1"/>
  <c r="D25" i="33" a="1"/>
  <c r="D25" i="33" s="1"/>
  <c r="D26" i="33" a="1"/>
  <c r="D26" i="33" s="1"/>
  <c r="D27" i="33" a="1"/>
  <c r="D27" i="33" s="1"/>
  <c r="D28" i="33" a="1"/>
  <c r="D28" i="33" s="1"/>
  <c r="D29" i="33" a="1"/>
  <c r="D29" i="33" s="1"/>
  <c r="D30" i="33" a="1"/>
  <c r="D30" i="33" s="1"/>
  <c r="D31" i="33" a="1"/>
  <c r="D31" i="33" s="1"/>
  <c r="D32" i="33" a="1"/>
  <c r="D32" i="33" s="1"/>
  <c r="D33" i="33" a="1"/>
  <c r="D33" i="33" s="1"/>
  <c r="D34" i="33" a="1"/>
  <c r="D34" i="33" s="1"/>
  <c r="D35" i="33" a="1"/>
  <c r="D35" i="33" s="1"/>
  <c r="D36" i="33" a="1"/>
  <c r="D36" i="33" s="1"/>
  <c r="D37" i="33" a="1"/>
  <c r="D37" i="33" s="1"/>
  <c r="D38" i="33" a="1"/>
  <c r="D38" i="33" s="1"/>
  <c r="D39" i="33" a="1"/>
  <c r="D39" i="33" s="1"/>
  <c r="D40" i="33" a="1"/>
  <c r="D40" i="33" s="1"/>
  <c r="D41" i="33" a="1"/>
  <c r="D41" i="33" s="1"/>
  <c r="D42" i="33" a="1"/>
  <c r="D42" i="33" s="1"/>
  <c r="D43" i="33" a="1"/>
  <c r="D43" i="33" s="1"/>
  <c r="D44" i="33" a="1"/>
  <c r="D44" i="33" s="1"/>
  <c r="D45" i="33" a="1"/>
  <c r="D45" i="33" s="1"/>
  <c r="D46" i="33" a="1"/>
  <c r="D46" i="33" s="1"/>
  <c r="D47" i="33" a="1"/>
  <c r="D47" i="33" s="1"/>
  <c r="D48" i="33" a="1"/>
  <c r="D48" i="33" s="1"/>
  <c r="D49" i="33" a="1"/>
  <c r="D49" i="33" s="1"/>
  <c r="D50" i="33" a="1"/>
  <c r="D50" i="33" s="1"/>
  <c r="D51" i="33" a="1"/>
  <c r="D51" i="33" s="1"/>
  <c r="D52" i="33" a="1"/>
  <c r="D52" i="33" s="1"/>
  <c r="D53" i="33" a="1"/>
  <c r="D53" i="33" s="1"/>
  <c r="D54" i="33" a="1"/>
  <c r="D54" i="33" s="1"/>
  <c r="D55" i="33" a="1"/>
  <c r="D55" i="33" s="1"/>
  <c r="D56" i="33" a="1"/>
  <c r="D56" i="33" s="1"/>
  <c r="D57" i="33" a="1"/>
  <c r="D57" i="33" s="1"/>
  <c r="D58" i="33" a="1"/>
  <c r="D58" i="33" s="1"/>
  <c r="D59" i="33" a="1"/>
  <c r="D59" i="33" s="1"/>
  <c r="D60" i="33" a="1"/>
  <c r="D60" i="33" s="1"/>
  <c r="D61" i="33" a="1"/>
  <c r="D61" i="33" s="1"/>
  <c r="D62" i="33" a="1"/>
  <c r="D62" i="33" s="1"/>
  <c r="D63" i="33" a="1"/>
  <c r="D63" i="33" s="1"/>
  <c r="D64" i="33" a="1"/>
  <c r="D64" i="33" s="1"/>
  <c r="D65" i="33" a="1"/>
  <c r="D65" i="33" s="1"/>
  <c r="D66" i="33" a="1"/>
  <c r="D66" i="33" s="1"/>
  <c r="D67" i="33" a="1"/>
  <c r="D67" i="33" s="1"/>
  <c r="D68" i="33" a="1"/>
  <c r="D68" i="33" s="1"/>
  <c r="D69" i="33" a="1"/>
  <c r="D69" i="33" s="1"/>
  <c r="D70" i="33" a="1"/>
  <c r="D70" i="33" s="1"/>
  <c r="D71" i="33" a="1"/>
  <c r="D71" i="33" s="1"/>
  <c r="D72" i="33" a="1"/>
  <c r="D72" i="33" s="1"/>
  <c r="D73" i="33" a="1"/>
  <c r="D73" i="33" s="1"/>
  <c r="D74" i="33" a="1"/>
  <c r="D74" i="33" s="1"/>
  <c r="D75" i="33" a="1"/>
  <c r="D75" i="33" s="1"/>
  <c r="D76" i="33" a="1"/>
  <c r="D76" i="33" s="1"/>
  <c r="D77" i="33" a="1"/>
  <c r="D77" i="33" s="1"/>
  <c r="D78" i="33" a="1"/>
  <c r="D78" i="33" s="1"/>
  <c r="D79" i="33" a="1"/>
  <c r="D79" i="33" s="1"/>
  <c r="D80" i="33" a="1"/>
  <c r="D80" i="33" s="1"/>
  <c r="D81" i="33" a="1"/>
  <c r="D81" i="33" s="1"/>
  <c r="D82" i="33" a="1"/>
  <c r="D82" i="33" s="1"/>
  <c r="D83" i="33" a="1"/>
  <c r="D83" i="33" s="1"/>
  <c r="D84" i="33" a="1"/>
  <c r="D84" i="33" s="1"/>
  <c r="D85" i="33" a="1"/>
  <c r="D85" i="33" s="1"/>
  <c r="D86" i="33" a="1"/>
  <c r="D86" i="33" s="1"/>
  <c r="D87" i="33" a="1"/>
  <c r="D87" i="33" s="1"/>
  <c r="D88" i="33" a="1"/>
  <c r="D88" i="33" s="1"/>
  <c r="D89" i="33" a="1"/>
  <c r="D89" i="33" s="1"/>
  <c r="D90" i="33" a="1"/>
  <c r="D90" i="33" s="1"/>
  <c r="D91" i="33" a="1"/>
  <c r="D91" i="33" s="1"/>
  <c r="D92" i="33" a="1"/>
  <c r="D92" i="33" s="1"/>
  <c r="D93" i="33" a="1"/>
  <c r="D93" i="33" s="1"/>
  <c r="D94" i="33" a="1"/>
  <c r="D94" i="33" s="1"/>
  <c r="D95" i="33" a="1"/>
  <c r="D95" i="33" s="1"/>
  <c r="C15" i="33" a="1"/>
  <c r="C15" i="33" s="1"/>
  <c r="C16" i="33" a="1"/>
  <c r="C16" i="33" s="1"/>
  <c r="C17" i="33" a="1"/>
  <c r="C17" i="33" s="1"/>
  <c r="C18" i="33" a="1"/>
  <c r="C18" i="33" s="1"/>
  <c r="C19" i="33" a="1"/>
  <c r="C19" i="33" s="1"/>
  <c r="C20" i="33" a="1"/>
  <c r="C20" i="33" s="1"/>
  <c r="C21" i="33" a="1"/>
  <c r="C21" i="33" s="1"/>
  <c r="C22" i="33" a="1"/>
  <c r="C22" i="33" s="1"/>
  <c r="C23" i="33" a="1"/>
  <c r="C23" i="33" s="1"/>
  <c r="C24" i="33" a="1"/>
  <c r="C24" i="33" s="1"/>
  <c r="C25" i="33" a="1"/>
  <c r="C25" i="33" s="1"/>
  <c r="C26" i="33" a="1"/>
  <c r="C26" i="33" s="1"/>
  <c r="C27" i="33" a="1"/>
  <c r="C27" i="33" s="1"/>
  <c r="C28" i="33" a="1"/>
  <c r="C28" i="33" s="1"/>
  <c r="C29" i="33" a="1"/>
  <c r="C29" i="33" s="1"/>
  <c r="C30" i="33" a="1"/>
  <c r="C30" i="33" s="1"/>
  <c r="C31" i="33" a="1"/>
  <c r="C31" i="33" s="1"/>
  <c r="C32" i="33" a="1"/>
  <c r="C32" i="33" s="1"/>
  <c r="C33" i="33" a="1"/>
  <c r="C33" i="33" s="1"/>
  <c r="C34" i="33" a="1"/>
  <c r="C34" i="33" s="1"/>
  <c r="C35" i="33" a="1"/>
  <c r="C35" i="33" s="1"/>
  <c r="C36" i="33" a="1"/>
  <c r="C36" i="33" s="1"/>
  <c r="C37" i="33" a="1"/>
  <c r="C37" i="33" s="1"/>
  <c r="C38" i="33" a="1"/>
  <c r="C38" i="33" s="1"/>
  <c r="C39" i="33" a="1"/>
  <c r="C39" i="33" s="1"/>
  <c r="C40" i="33" a="1"/>
  <c r="C40" i="33" s="1"/>
  <c r="C41" i="33" a="1"/>
  <c r="C41" i="33" s="1"/>
  <c r="C42" i="33" a="1"/>
  <c r="C42" i="33" s="1"/>
  <c r="C43" i="33" a="1"/>
  <c r="C43" i="33" s="1"/>
  <c r="C44" i="33" a="1"/>
  <c r="C44" i="33" s="1"/>
  <c r="C45" i="33" a="1"/>
  <c r="C45" i="33" s="1"/>
  <c r="C46" i="33" a="1"/>
  <c r="C46" i="33" s="1"/>
  <c r="C47" i="33" a="1"/>
  <c r="C47" i="33" s="1"/>
  <c r="C48" i="33" a="1"/>
  <c r="C48" i="33" s="1"/>
  <c r="C49" i="33" a="1"/>
  <c r="C49" i="33" s="1"/>
  <c r="C50" i="33" a="1"/>
  <c r="C50" i="33" s="1"/>
  <c r="C51" i="33" a="1"/>
  <c r="C51" i="33" s="1"/>
  <c r="C52" i="33" a="1"/>
  <c r="C52" i="33" s="1"/>
  <c r="C53" i="33" a="1"/>
  <c r="C53" i="33" s="1"/>
  <c r="C54" i="33" a="1"/>
  <c r="C54" i="33" s="1"/>
  <c r="C55" i="33" a="1"/>
  <c r="C55" i="33" s="1"/>
  <c r="C56" i="33" a="1"/>
  <c r="C56" i="33" s="1"/>
  <c r="C57" i="33" a="1"/>
  <c r="C57" i="33" s="1"/>
  <c r="C58" i="33" a="1"/>
  <c r="C58" i="33" s="1"/>
  <c r="C59" i="33" a="1"/>
  <c r="C59" i="33" s="1"/>
  <c r="C60" i="33" a="1"/>
  <c r="C60" i="33" s="1"/>
  <c r="C61" i="33" a="1"/>
  <c r="C61" i="33" s="1"/>
  <c r="C62" i="33" a="1"/>
  <c r="C62" i="33" s="1"/>
  <c r="C63" i="33" a="1"/>
  <c r="C63" i="33" s="1"/>
  <c r="C64" i="33" a="1"/>
  <c r="C64" i="33" s="1"/>
  <c r="C65" i="33" a="1"/>
  <c r="C65" i="33" s="1"/>
  <c r="C66" i="33" a="1"/>
  <c r="C66" i="33" s="1"/>
  <c r="C67" i="33" a="1"/>
  <c r="C67" i="33" s="1"/>
  <c r="C68" i="33" a="1"/>
  <c r="C68" i="33" s="1"/>
  <c r="C69" i="33" a="1"/>
  <c r="C69" i="33" s="1"/>
  <c r="C70" i="33" a="1"/>
  <c r="C70" i="33" s="1"/>
  <c r="C71" i="33" a="1"/>
  <c r="C71" i="33" s="1"/>
  <c r="C72" i="33" a="1"/>
  <c r="C72" i="33" s="1"/>
  <c r="C73" i="33" a="1"/>
  <c r="C73" i="33" s="1"/>
  <c r="C74" i="33" a="1"/>
  <c r="C74" i="33" s="1"/>
  <c r="C75" i="33" a="1"/>
  <c r="C75" i="33" s="1"/>
  <c r="C76" i="33" a="1"/>
  <c r="C76" i="33" s="1"/>
  <c r="C77" i="33" a="1"/>
  <c r="C77" i="33" s="1"/>
  <c r="C78" i="33" a="1"/>
  <c r="C78" i="33" s="1"/>
  <c r="C79" i="33" a="1"/>
  <c r="C79" i="33" s="1"/>
  <c r="C80" i="33" a="1"/>
  <c r="C80" i="33" s="1"/>
  <c r="C81" i="33" a="1"/>
  <c r="C81" i="33" s="1"/>
  <c r="C82" i="33" a="1"/>
  <c r="C82" i="33" s="1"/>
  <c r="C83" i="33" a="1"/>
  <c r="C83" i="33" s="1"/>
  <c r="C84" i="33" a="1"/>
  <c r="C84" i="33" s="1"/>
  <c r="C85" i="33" a="1"/>
  <c r="C85" i="33" s="1"/>
  <c r="C86" i="33" a="1"/>
  <c r="C86" i="33" s="1"/>
  <c r="C87" i="33" a="1"/>
  <c r="C87" i="33" s="1"/>
  <c r="C88" i="33" a="1"/>
  <c r="C88" i="33" s="1"/>
  <c r="C89" i="33" a="1"/>
  <c r="C89" i="33" s="1"/>
  <c r="C90" i="33" a="1"/>
  <c r="C90" i="33" s="1"/>
  <c r="C91" i="33" a="1"/>
  <c r="C91" i="33" s="1"/>
  <c r="C92" i="33" a="1"/>
  <c r="C92" i="33" s="1"/>
  <c r="C93" i="33" a="1"/>
  <c r="C93" i="33" s="1"/>
  <c r="C94" i="33" a="1"/>
  <c r="C94" i="33" s="1"/>
  <c r="C95" i="33" a="1"/>
  <c r="C95" i="33" s="1"/>
  <c r="C9" i="33" a="1"/>
  <c r="C9" i="33" s="1"/>
  <c r="F96" i="33" s="1"/>
  <c r="C7" i="33" a="1"/>
  <c r="C7" i="33" s="1"/>
  <c r="D96" i="33" s="1"/>
  <c r="C6" i="33" a="1"/>
  <c r="C6" i="33" s="1"/>
  <c r="C96" i="33" s="1"/>
  <c r="E96" i="33" s="1"/>
  <c r="C5" i="33" a="1"/>
  <c r="C5" i="33" s="1"/>
  <c r="D141" i="32" a="1"/>
  <c r="D141" i="32" s="1"/>
  <c r="C141" i="32" a="1"/>
  <c r="C141" i="32" s="1"/>
  <c r="D140" i="32" a="1"/>
  <c r="D140" i="32" s="1"/>
  <c r="C140" i="32" a="1"/>
  <c r="C140" i="32" s="1"/>
  <c r="D139" i="32" a="1"/>
  <c r="D139" i="32" s="1"/>
  <c r="C139" i="32" a="1"/>
  <c r="C139" i="32" s="1"/>
  <c r="F15" i="32" a="1"/>
  <c r="F15" i="32" s="1"/>
  <c r="F16" i="32" a="1"/>
  <c r="F16" i="32" s="1"/>
  <c r="F17" i="32" a="1"/>
  <c r="F17" i="32" s="1"/>
  <c r="F18" i="32" a="1"/>
  <c r="F18" i="32" s="1"/>
  <c r="F19" i="32" a="1"/>
  <c r="F19" i="32" s="1"/>
  <c r="F20" i="32" a="1"/>
  <c r="F20" i="32" s="1"/>
  <c r="F21" i="32" a="1"/>
  <c r="F21" i="32" s="1"/>
  <c r="F22" i="32" a="1"/>
  <c r="F22" i="32" s="1"/>
  <c r="F23" i="32" a="1"/>
  <c r="F23" i="32" s="1"/>
  <c r="F24" i="32" a="1"/>
  <c r="F24" i="32" s="1"/>
  <c r="F25" i="32" a="1"/>
  <c r="F25" i="32" s="1"/>
  <c r="F26" i="32" a="1"/>
  <c r="F26" i="32" s="1"/>
  <c r="F27" i="32" a="1"/>
  <c r="F27" i="32" s="1"/>
  <c r="F28" i="32" a="1"/>
  <c r="F28" i="32" s="1"/>
  <c r="F29" i="32" a="1"/>
  <c r="F29" i="32" s="1"/>
  <c r="F30" i="32" a="1"/>
  <c r="F30" i="32" s="1"/>
  <c r="F31" i="32" a="1"/>
  <c r="F31" i="32" s="1"/>
  <c r="F32" i="32" a="1"/>
  <c r="F32" i="32" s="1"/>
  <c r="F33" i="32" a="1"/>
  <c r="F33" i="32" s="1"/>
  <c r="F34" i="32" a="1"/>
  <c r="F34" i="32" s="1"/>
  <c r="F35" i="32" a="1"/>
  <c r="F35" i="32" s="1"/>
  <c r="F36" i="32" a="1"/>
  <c r="F36" i="32" s="1"/>
  <c r="F37" i="32" a="1"/>
  <c r="F37" i="32" s="1"/>
  <c r="F38" i="32" a="1"/>
  <c r="F38" i="32" s="1"/>
  <c r="F39" i="32" a="1"/>
  <c r="F39" i="32" s="1"/>
  <c r="F40" i="32" a="1"/>
  <c r="F40" i="32" s="1"/>
  <c r="F41" i="32" a="1"/>
  <c r="F41" i="32" s="1"/>
  <c r="F42" i="32" a="1"/>
  <c r="F42" i="32" s="1"/>
  <c r="F43" i="32" a="1"/>
  <c r="F43" i="32" s="1"/>
  <c r="F44" i="32" a="1"/>
  <c r="F44" i="32" s="1"/>
  <c r="F45" i="32" a="1"/>
  <c r="F45" i="32" s="1"/>
  <c r="F46" i="32" a="1"/>
  <c r="F46" i="32" s="1"/>
  <c r="F47" i="32" a="1"/>
  <c r="F47" i="32" s="1"/>
  <c r="F48" i="32" a="1"/>
  <c r="F48" i="32" s="1"/>
  <c r="F49" i="32" a="1"/>
  <c r="F49" i="32" s="1"/>
  <c r="F50" i="32" a="1"/>
  <c r="F50" i="32" s="1"/>
  <c r="F51" i="32" a="1"/>
  <c r="F51" i="32" s="1"/>
  <c r="F52" i="32" a="1"/>
  <c r="F52" i="32" s="1"/>
  <c r="F53" i="32" a="1"/>
  <c r="F53" i="32" s="1"/>
  <c r="F54" i="32" a="1"/>
  <c r="F54" i="32" s="1"/>
  <c r="F55" i="32" a="1"/>
  <c r="F55" i="32" s="1"/>
  <c r="F56" i="32" a="1"/>
  <c r="F56" i="32" s="1"/>
  <c r="F57" i="32" a="1"/>
  <c r="F57" i="32" s="1"/>
  <c r="F58" i="32" a="1"/>
  <c r="F58" i="32" s="1"/>
  <c r="F59" i="32" a="1"/>
  <c r="F59" i="32" s="1"/>
  <c r="F60" i="32" a="1"/>
  <c r="F60" i="32" s="1"/>
  <c r="F61" i="32" a="1"/>
  <c r="F61" i="32" s="1"/>
  <c r="F62" i="32" a="1"/>
  <c r="F62" i="32" s="1"/>
  <c r="F63" i="32" a="1"/>
  <c r="F63" i="32" s="1"/>
  <c r="F64" i="32" a="1"/>
  <c r="F64" i="32" s="1"/>
  <c r="F65" i="32" a="1"/>
  <c r="F65" i="32" s="1"/>
  <c r="F66" i="32" a="1"/>
  <c r="F66" i="32" s="1"/>
  <c r="F67" i="32" a="1"/>
  <c r="F67" i="32" s="1"/>
  <c r="F68" i="32" a="1"/>
  <c r="F68" i="32" s="1"/>
  <c r="F69" i="32" a="1"/>
  <c r="F69" i="32" s="1"/>
  <c r="F70" i="32" a="1"/>
  <c r="F70" i="32" s="1"/>
  <c r="F71" i="32" a="1"/>
  <c r="F71" i="32" s="1"/>
  <c r="F72" i="32" a="1"/>
  <c r="F72" i="32" s="1"/>
  <c r="F73" i="32" a="1"/>
  <c r="F73" i="32" s="1"/>
  <c r="F74" i="32" a="1"/>
  <c r="F74" i="32" s="1"/>
  <c r="F75" i="32" a="1"/>
  <c r="F75" i="32" s="1"/>
  <c r="F76" i="32" a="1"/>
  <c r="F76" i="32" s="1"/>
  <c r="F77" i="32" a="1"/>
  <c r="F77" i="32" s="1"/>
  <c r="F78" i="32" a="1"/>
  <c r="F78" i="32" s="1"/>
  <c r="F79" i="32" a="1"/>
  <c r="F79" i="32" s="1"/>
  <c r="F80" i="32" a="1"/>
  <c r="F80" i="32" s="1"/>
  <c r="F81" i="32" a="1"/>
  <c r="F81" i="32" s="1"/>
  <c r="F82" i="32" a="1"/>
  <c r="F82" i="32" s="1"/>
  <c r="F83" i="32" a="1"/>
  <c r="F83" i="32" s="1"/>
  <c r="F84" i="32" a="1"/>
  <c r="F84" i="32" s="1"/>
  <c r="F85" i="32" a="1"/>
  <c r="F85" i="32" s="1"/>
  <c r="F86" i="32" a="1"/>
  <c r="F86" i="32" s="1"/>
  <c r="F87" i="32" a="1"/>
  <c r="F87" i="32" s="1"/>
  <c r="F88" i="32" a="1"/>
  <c r="F88" i="32" s="1"/>
  <c r="F89" i="32" a="1"/>
  <c r="F89" i="32" s="1"/>
  <c r="F90" i="32" a="1"/>
  <c r="F90" i="32" s="1"/>
  <c r="F91" i="32" a="1"/>
  <c r="F91" i="32" s="1"/>
  <c r="F92" i="32" a="1"/>
  <c r="F92" i="32" s="1"/>
  <c r="F93" i="32" a="1"/>
  <c r="F93" i="32" s="1"/>
  <c r="F94" i="32" a="1"/>
  <c r="F94" i="32" s="1"/>
  <c r="F95" i="32" a="1"/>
  <c r="F95" i="32" s="1"/>
  <c r="F96" i="32" a="1"/>
  <c r="F96" i="32" s="1"/>
  <c r="F97" i="32" a="1"/>
  <c r="F97" i="32" s="1"/>
  <c r="F98" i="32" a="1"/>
  <c r="F98" i="32" s="1"/>
  <c r="F99" i="32" a="1"/>
  <c r="F99" i="32" s="1"/>
  <c r="F100" i="32" a="1"/>
  <c r="F100" i="32" s="1"/>
  <c r="F101" i="32" a="1"/>
  <c r="F101" i="32" s="1"/>
  <c r="F102" i="32" a="1"/>
  <c r="F102" i="32" s="1"/>
  <c r="F103" i="32" a="1"/>
  <c r="F103" i="32" s="1"/>
  <c r="F104" i="32" a="1"/>
  <c r="F104" i="32" s="1"/>
  <c r="F105" i="32" a="1"/>
  <c r="F105" i="32" s="1"/>
  <c r="F106" i="32" a="1"/>
  <c r="F106" i="32" s="1"/>
  <c r="F107" i="32" a="1"/>
  <c r="F107" i="32" s="1"/>
  <c r="D15" i="32" a="1"/>
  <c r="D15" i="32" s="1"/>
  <c r="D16" i="32" a="1"/>
  <c r="D16" i="32" s="1"/>
  <c r="D17" i="32" a="1"/>
  <c r="D17" i="32" s="1"/>
  <c r="D18" i="32" a="1"/>
  <c r="D18" i="32" s="1"/>
  <c r="D19" i="32" a="1"/>
  <c r="D19" i="32" s="1"/>
  <c r="D20" i="32" a="1"/>
  <c r="D20" i="32" s="1"/>
  <c r="D21" i="32" a="1"/>
  <c r="D21" i="32" s="1"/>
  <c r="D22" i="32" a="1"/>
  <c r="D22" i="32" s="1"/>
  <c r="D23" i="32" a="1"/>
  <c r="D23" i="32" s="1"/>
  <c r="D24" i="32" a="1"/>
  <c r="D24" i="32" s="1"/>
  <c r="D25" i="32" a="1"/>
  <c r="D25" i="32" s="1"/>
  <c r="D26" i="32" a="1"/>
  <c r="D26" i="32" s="1"/>
  <c r="D27" i="32" a="1"/>
  <c r="D27" i="32" s="1"/>
  <c r="D28" i="32" a="1"/>
  <c r="D28" i="32" s="1"/>
  <c r="D29" i="32" a="1"/>
  <c r="D29" i="32" s="1"/>
  <c r="D30" i="32" a="1"/>
  <c r="D30" i="32" s="1"/>
  <c r="D31" i="32" a="1"/>
  <c r="D31" i="32" s="1"/>
  <c r="D32" i="32" a="1"/>
  <c r="D32" i="32" s="1"/>
  <c r="D33" i="32" a="1"/>
  <c r="D33" i="32" s="1"/>
  <c r="D34" i="32" a="1"/>
  <c r="D34" i="32" s="1"/>
  <c r="D35" i="32" a="1"/>
  <c r="D35" i="32" s="1"/>
  <c r="D36" i="32" a="1"/>
  <c r="D36" i="32" s="1"/>
  <c r="D37" i="32" a="1"/>
  <c r="D37" i="32" s="1"/>
  <c r="D38" i="32" a="1"/>
  <c r="D38" i="32" s="1"/>
  <c r="D39" i="32" a="1"/>
  <c r="D39" i="32" s="1"/>
  <c r="D40" i="32" a="1"/>
  <c r="D40" i="32" s="1"/>
  <c r="D41" i="32" a="1"/>
  <c r="D41" i="32" s="1"/>
  <c r="D42" i="32" a="1"/>
  <c r="D42" i="32" s="1"/>
  <c r="D43" i="32" a="1"/>
  <c r="D43" i="32" s="1"/>
  <c r="D44" i="32" a="1"/>
  <c r="D44" i="32" s="1"/>
  <c r="D45" i="32" a="1"/>
  <c r="D45" i="32" s="1"/>
  <c r="D46" i="32" a="1"/>
  <c r="D46" i="32" s="1"/>
  <c r="D47" i="32" a="1"/>
  <c r="D47" i="32" s="1"/>
  <c r="D48" i="32" a="1"/>
  <c r="D48" i="32" s="1"/>
  <c r="D49" i="32" a="1"/>
  <c r="D49" i="32" s="1"/>
  <c r="D50" i="32" a="1"/>
  <c r="D50" i="32" s="1"/>
  <c r="D51" i="32" a="1"/>
  <c r="D51" i="32" s="1"/>
  <c r="D52" i="32" a="1"/>
  <c r="D52" i="32" s="1"/>
  <c r="D53" i="32" a="1"/>
  <c r="D53" i="32" s="1"/>
  <c r="D54" i="32" a="1"/>
  <c r="D54" i="32" s="1"/>
  <c r="D55" i="32" a="1"/>
  <c r="D55" i="32" s="1"/>
  <c r="D56" i="32" a="1"/>
  <c r="D56" i="32" s="1"/>
  <c r="D57" i="32" a="1"/>
  <c r="D57" i="32" s="1"/>
  <c r="D58" i="32" a="1"/>
  <c r="D58" i="32" s="1"/>
  <c r="D59" i="32" a="1"/>
  <c r="D59" i="32" s="1"/>
  <c r="D60" i="32" a="1"/>
  <c r="D60" i="32" s="1"/>
  <c r="D61" i="32" a="1"/>
  <c r="D61" i="32" s="1"/>
  <c r="D62" i="32" a="1"/>
  <c r="D62" i="32" s="1"/>
  <c r="D63" i="32" a="1"/>
  <c r="D63" i="32" s="1"/>
  <c r="D64" i="32" a="1"/>
  <c r="D64" i="32" s="1"/>
  <c r="D65" i="32" a="1"/>
  <c r="D65" i="32" s="1"/>
  <c r="D66" i="32" a="1"/>
  <c r="D66" i="32" s="1"/>
  <c r="D67" i="32" a="1"/>
  <c r="D67" i="32" s="1"/>
  <c r="D68" i="32" a="1"/>
  <c r="D68" i="32" s="1"/>
  <c r="D69" i="32" a="1"/>
  <c r="D69" i="32" s="1"/>
  <c r="D70" i="32" a="1"/>
  <c r="D70" i="32" s="1"/>
  <c r="D71" i="32" a="1"/>
  <c r="D71" i="32" s="1"/>
  <c r="D72" i="32" a="1"/>
  <c r="D72" i="32" s="1"/>
  <c r="D73" i="32" a="1"/>
  <c r="D73" i="32" s="1"/>
  <c r="D74" i="32" a="1"/>
  <c r="D74" i="32" s="1"/>
  <c r="D75" i="32" a="1"/>
  <c r="D75" i="32" s="1"/>
  <c r="D76" i="32" a="1"/>
  <c r="D76" i="32" s="1"/>
  <c r="D77" i="32" a="1"/>
  <c r="D77" i="32" s="1"/>
  <c r="D78" i="32" a="1"/>
  <c r="D78" i="32" s="1"/>
  <c r="D79" i="32" a="1"/>
  <c r="D79" i="32" s="1"/>
  <c r="D80" i="32" a="1"/>
  <c r="D80" i="32" s="1"/>
  <c r="D81" i="32" a="1"/>
  <c r="D81" i="32" s="1"/>
  <c r="D82" i="32" a="1"/>
  <c r="D82" i="32" s="1"/>
  <c r="D83" i="32" a="1"/>
  <c r="D83" i="32" s="1"/>
  <c r="D84" i="32" a="1"/>
  <c r="D84" i="32" s="1"/>
  <c r="D85" i="32" a="1"/>
  <c r="D85" i="32" s="1"/>
  <c r="D86" i="32" a="1"/>
  <c r="D86" i="32" s="1"/>
  <c r="D87" i="32" a="1"/>
  <c r="D87" i="32" s="1"/>
  <c r="D88" i="32" a="1"/>
  <c r="D88" i="32" s="1"/>
  <c r="D89" i="32" a="1"/>
  <c r="D89" i="32" s="1"/>
  <c r="D90" i="32" a="1"/>
  <c r="D90" i="32" s="1"/>
  <c r="D91" i="32" a="1"/>
  <c r="D91" i="32" s="1"/>
  <c r="D92" i="32" a="1"/>
  <c r="D92" i="32" s="1"/>
  <c r="D93" i="32" a="1"/>
  <c r="D93" i="32" s="1"/>
  <c r="D94" i="32" a="1"/>
  <c r="D94" i="32" s="1"/>
  <c r="D95" i="32" a="1"/>
  <c r="D95" i="32" s="1"/>
  <c r="D96" i="32" a="1"/>
  <c r="D96" i="32" s="1"/>
  <c r="D97" i="32" a="1"/>
  <c r="D97" i="32" s="1"/>
  <c r="D98" i="32" a="1"/>
  <c r="D98" i="32" s="1"/>
  <c r="D99" i="32" a="1"/>
  <c r="D99" i="32" s="1"/>
  <c r="D100" i="32" a="1"/>
  <c r="D100" i="32" s="1"/>
  <c r="D101" i="32" a="1"/>
  <c r="D101" i="32" s="1"/>
  <c r="D102" i="32" a="1"/>
  <c r="D102" i="32" s="1"/>
  <c r="D103" i="32" a="1"/>
  <c r="D103" i="32" s="1"/>
  <c r="D104" i="32" a="1"/>
  <c r="D104" i="32" s="1"/>
  <c r="D105" i="32" a="1"/>
  <c r="D105" i="32" s="1"/>
  <c r="D106" i="32" a="1"/>
  <c r="D106" i="32" s="1"/>
  <c r="D107" i="32" a="1"/>
  <c r="D107" i="32" s="1"/>
  <c r="C15" i="32" a="1"/>
  <c r="C15" i="32" s="1"/>
  <c r="C16" i="32" a="1"/>
  <c r="C16" i="32" s="1"/>
  <c r="C17" i="32" a="1"/>
  <c r="C17" i="32" s="1"/>
  <c r="C18" i="32" a="1"/>
  <c r="C18" i="32" s="1"/>
  <c r="C19" i="32" a="1"/>
  <c r="C19" i="32" s="1"/>
  <c r="C20" i="32" a="1"/>
  <c r="C20" i="32" s="1"/>
  <c r="C21" i="32" a="1"/>
  <c r="C21" i="32" s="1"/>
  <c r="C22" i="32" a="1"/>
  <c r="C22" i="32" s="1"/>
  <c r="C23" i="32" a="1"/>
  <c r="C23" i="32" s="1"/>
  <c r="C24" i="32" a="1"/>
  <c r="C24" i="32" s="1"/>
  <c r="C25" i="32" a="1"/>
  <c r="C25" i="32" s="1"/>
  <c r="C26" i="32" a="1"/>
  <c r="C26" i="32" s="1"/>
  <c r="C27" i="32" a="1"/>
  <c r="C27" i="32" s="1"/>
  <c r="C28" i="32" a="1"/>
  <c r="C28" i="32" s="1"/>
  <c r="C29" i="32" a="1"/>
  <c r="C29" i="32" s="1"/>
  <c r="C30" i="32" a="1"/>
  <c r="C30" i="32" s="1"/>
  <c r="C31" i="32" a="1"/>
  <c r="C31" i="32" s="1"/>
  <c r="C32" i="32" a="1"/>
  <c r="C32" i="32" s="1"/>
  <c r="C33" i="32" a="1"/>
  <c r="C33" i="32" s="1"/>
  <c r="C34" i="32" a="1"/>
  <c r="C34" i="32" s="1"/>
  <c r="C35" i="32" a="1"/>
  <c r="C35" i="32" s="1"/>
  <c r="C36" i="32" a="1"/>
  <c r="C36" i="32" s="1"/>
  <c r="C37" i="32" a="1"/>
  <c r="C37" i="32" s="1"/>
  <c r="C38" i="32" a="1"/>
  <c r="C38" i="32" s="1"/>
  <c r="C39" i="32" a="1"/>
  <c r="C39" i="32" s="1"/>
  <c r="C40" i="32" a="1"/>
  <c r="C40" i="32" s="1"/>
  <c r="C41" i="32" a="1"/>
  <c r="C41" i="32" s="1"/>
  <c r="C42" i="32" a="1"/>
  <c r="C42" i="32" s="1"/>
  <c r="C43" i="32" a="1"/>
  <c r="C43" i="32" s="1"/>
  <c r="C44" i="32" a="1"/>
  <c r="C44" i="32" s="1"/>
  <c r="C45" i="32" a="1"/>
  <c r="C45" i="32" s="1"/>
  <c r="C46" i="32" a="1"/>
  <c r="C46" i="32" s="1"/>
  <c r="C47" i="32" a="1"/>
  <c r="C47" i="32" s="1"/>
  <c r="C48" i="32" a="1"/>
  <c r="C48" i="32" s="1"/>
  <c r="C49" i="32" a="1"/>
  <c r="C49" i="32" s="1"/>
  <c r="C50" i="32" a="1"/>
  <c r="C50" i="32" s="1"/>
  <c r="C51" i="32" a="1"/>
  <c r="C51" i="32" s="1"/>
  <c r="C52" i="32" a="1"/>
  <c r="C52" i="32" s="1"/>
  <c r="C53" i="32" a="1"/>
  <c r="C53" i="32" s="1"/>
  <c r="C54" i="32" a="1"/>
  <c r="C54" i="32" s="1"/>
  <c r="C55" i="32" a="1"/>
  <c r="C55" i="32" s="1"/>
  <c r="C56" i="32" a="1"/>
  <c r="C56" i="32" s="1"/>
  <c r="C57" i="32" a="1"/>
  <c r="C57" i="32" s="1"/>
  <c r="C58" i="32" a="1"/>
  <c r="C58" i="32" s="1"/>
  <c r="C59" i="32" a="1"/>
  <c r="C59" i="32" s="1"/>
  <c r="C60" i="32" a="1"/>
  <c r="C60" i="32" s="1"/>
  <c r="C61" i="32" a="1"/>
  <c r="C61" i="32" s="1"/>
  <c r="C62" i="32" a="1"/>
  <c r="C62" i="32" s="1"/>
  <c r="C63" i="32" a="1"/>
  <c r="C63" i="32" s="1"/>
  <c r="C64" i="32" a="1"/>
  <c r="C64" i="32" s="1"/>
  <c r="C65" i="32" a="1"/>
  <c r="C65" i="32" s="1"/>
  <c r="C66" i="32" a="1"/>
  <c r="C66" i="32" s="1"/>
  <c r="C67" i="32" a="1"/>
  <c r="C67" i="32" s="1"/>
  <c r="C68" i="32" a="1"/>
  <c r="C68" i="32" s="1"/>
  <c r="C69" i="32" a="1"/>
  <c r="C69" i="32" s="1"/>
  <c r="C70" i="32" a="1"/>
  <c r="C70" i="32" s="1"/>
  <c r="C71" i="32" a="1"/>
  <c r="C71" i="32" s="1"/>
  <c r="C72" i="32" a="1"/>
  <c r="C72" i="32" s="1"/>
  <c r="C73" i="32" a="1"/>
  <c r="C73" i="32" s="1"/>
  <c r="C74" i="32" a="1"/>
  <c r="C74" i="32" s="1"/>
  <c r="C75" i="32" a="1"/>
  <c r="C75" i="32" s="1"/>
  <c r="C76" i="32" a="1"/>
  <c r="C76" i="32" s="1"/>
  <c r="C77" i="32" a="1"/>
  <c r="C77" i="32" s="1"/>
  <c r="C78" i="32" a="1"/>
  <c r="C78" i="32" s="1"/>
  <c r="C79" i="32" a="1"/>
  <c r="C79" i="32" s="1"/>
  <c r="C80" i="32" a="1"/>
  <c r="C80" i="32" s="1"/>
  <c r="C81" i="32" a="1"/>
  <c r="C81" i="32" s="1"/>
  <c r="C82" i="32" a="1"/>
  <c r="C82" i="32" s="1"/>
  <c r="C83" i="32" a="1"/>
  <c r="C83" i="32" s="1"/>
  <c r="C84" i="32" a="1"/>
  <c r="C84" i="32" s="1"/>
  <c r="C85" i="32" a="1"/>
  <c r="C85" i="32" s="1"/>
  <c r="C86" i="32" a="1"/>
  <c r="C86" i="32" s="1"/>
  <c r="C87" i="32" a="1"/>
  <c r="C87" i="32" s="1"/>
  <c r="C88" i="32" a="1"/>
  <c r="C88" i="32" s="1"/>
  <c r="C89" i="32" a="1"/>
  <c r="C89" i="32" s="1"/>
  <c r="C90" i="32" a="1"/>
  <c r="C90" i="32" s="1"/>
  <c r="C91" i="32" a="1"/>
  <c r="C91" i="32" s="1"/>
  <c r="C92" i="32" a="1"/>
  <c r="C92" i="32" s="1"/>
  <c r="C93" i="32" a="1"/>
  <c r="C93" i="32" s="1"/>
  <c r="C94" i="32" a="1"/>
  <c r="C94" i="32" s="1"/>
  <c r="C95" i="32" a="1"/>
  <c r="C95" i="32" s="1"/>
  <c r="C96" i="32" a="1"/>
  <c r="C96" i="32" s="1"/>
  <c r="C97" i="32" a="1"/>
  <c r="C97" i="32" s="1"/>
  <c r="C98" i="32" a="1"/>
  <c r="C98" i="32" s="1"/>
  <c r="C99" i="32" a="1"/>
  <c r="C99" i="32" s="1"/>
  <c r="C100" i="32" a="1"/>
  <c r="C100" i="32" s="1"/>
  <c r="C101" i="32" a="1"/>
  <c r="C101" i="32" s="1"/>
  <c r="C102" i="32" a="1"/>
  <c r="C102" i="32" s="1"/>
  <c r="C103" i="32" a="1"/>
  <c r="C103" i="32" s="1"/>
  <c r="C104" i="32" a="1"/>
  <c r="C104" i="32" s="1"/>
  <c r="C105" i="32" a="1"/>
  <c r="C105" i="32" s="1"/>
  <c r="C106" i="32" a="1"/>
  <c r="C106" i="32" s="1"/>
  <c r="C107" i="32" a="1"/>
  <c r="C107" i="32" s="1"/>
  <c r="C9" i="32" a="1"/>
  <c r="C9" i="32" s="1"/>
  <c r="F108" i="32" s="1"/>
  <c r="C7" i="32" a="1"/>
  <c r="C7" i="32" s="1"/>
  <c r="C6" i="32" a="1"/>
  <c r="C6" i="32" s="1"/>
  <c r="C108" i="32" s="1"/>
  <c r="E108" i="32" s="1"/>
  <c r="C5" i="32" a="1"/>
  <c r="C5" i="32" s="1"/>
  <c r="QZ137" i="30"/>
  <c r="QO135" i="30"/>
  <c r="QD134" i="30"/>
  <c r="PG134" i="30"/>
  <c r="OU134" i="30"/>
  <c r="NX134" i="30"/>
  <c r="OJ123" i="30" s="1"/>
  <c r="RX133" i="30"/>
  <c r="RL133" i="30"/>
  <c r="RR123" i="30" s="1"/>
  <c r="PS133" i="30"/>
  <c r="OJ133" i="30"/>
  <c r="NL133" i="30"/>
  <c r="MZ133" i="30"/>
  <c r="NF123" i="30" s="1"/>
  <c r="MG126" i="30"/>
  <c r="LV126" i="30"/>
  <c r="LK126" i="30"/>
  <c r="KZ126" i="30"/>
  <c r="KO126" i="30"/>
  <c r="KD126" i="30"/>
  <c r="JS126" i="30"/>
  <c r="JB117" i="30"/>
  <c r="IP117" i="30"/>
  <c r="IC117" i="30"/>
  <c r="HP117" i="30"/>
  <c r="HC117" i="30"/>
  <c r="GQ117" i="30"/>
  <c r="GC114" i="30"/>
  <c r="BG69" i="29" s="1"/>
  <c r="EV114" i="30"/>
  <c r="AW69" i="29" s="1"/>
  <c r="DU114" i="30"/>
  <c r="AL69" i="29" s="1"/>
  <c r="CH114" i="30"/>
  <c r="AA69" i="29" s="1"/>
  <c r="BG114" i="30"/>
  <c r="P69" i="29" s="1"/>
  <c r="JH61" i="30"/>
  <c r="AZ40" i="29" s="1"/>
  <c r="LA53" i="30"/>
  <c r="KS42" i="30" s="1"/>
  <c r="JH50" i="30"/>
  <c r="AV40" i="29" s="1"/>
  <c r="IS50" i="30"/>
  <c r="AR40" i="29" s="1"/>
  <c r="GR50" i="30"/>
  <c r="AB36" i="29" s="1"/>
  <c r="EF50" i="30"/>
  <c r="P36" i="29" s="1"/>
  <c r="DM50" i="30"/>
  <c r="M36" i="29" s="1"/>
  <c r="CI50" i="30"/>
  <c r="J36" i="29" s="1"/>
  <c r="OQ41" i="30"/>
  <c r="CZ32" i="29" s="1"/>
  <c r="NE41" i="30"/>
  <c r="CG32" i="29" s="1"/>
  <c r="CB53" i="29"/>
  <c r="BP53" i="29"/>
  <c r="AT53" i="29"/>
  <c r="AI53" i="29"/>
  <c r="X53" i="29"/>
  <c r="L53" i="29"/>
  <c r="BF45" i="29"/>
  <c r="AL45" i="29"/>
  <c r="BO39" i="29"/>
  <c r="CV32" i="29"/>
  <c r="CK32" i="29"/>
  <c r="BD27" i="29"/>
  <c r="AR27" i="29"/>
  <c r="BN23" i="29"/>
  <c r="J23" i="29"/>
  <c r="CE15" i="29"/>
  <c r="PL126" i="28"/>
  <c r="OY126" i="28"/>
  <c r="OL126" i="28"/>
  <c r="NY126" i="28"/>
  <c r="NL126" i="28"/>
  <c r="MY126" i="28"/>
  <c r="MI125" i="28"/>
  <c r="LX125" i="28"/>
  <c r="LM125" i="28"/>
  <c r="LB125" i="28"/>
  <c r="KQ125" i="28"/>
  <c r="KF125" i="28"/>
  <c r="JU125" i="28"/>
  <c r="JJ125" i="28"/>
  <c r="IU118" i="28"/>
  <c r="II118" i="28"/>
  <c r="HV118" i="28"/>
  <c r="HI118" i="28"/>
  <c r="GV118" i="28"/>
  <c r="GJ118" i="28"/>
  <c r="FW115" i="28"/>
  <c r="EO115" i="28"/>
  <c r="DN115" i="28"/>
  <c r="CA115" i="28"/>
  <c r="AZ115" i="28"/>
  <c r="GJ64" i="28"/>
  <c r="FY64" i="28"/>
  <c r="FN64" i="28"/>
  <c r="FC64" i="28"/>
  <c r="ER64" i="28"/>
  <c r="JA60" i="28"/>
  <c r="NS56" i="28"/>
  <c r="KO53" i="28"/>
  <c r="KA53" i="28"/>
  <c r="JA50" i="28"/>
  <c r="IL50" i="28"/>
  <c r="EC50" i="28"/>
  <c r="DN50" i="28"/>
  <c r="CM50" i="28"/>
  <c r="BL50" i="28"/>
  <c r="MG46" i="28"/>
  <c r="JQ46" i="28"/>
  <c r="CC69" i="26"/>
  <c r="BR69" i="26"/>
  <c r="BH69" i="26"/>
  <c r="BE69" i="26"/>
  <c r="AU69" i="26"/>
  <c r="AI69" i="26"/>
  <c r="X69" i="26"/>
  <c r="M69" i="26"/>
  <c r="AW40" i="26"/>
  <c r="AS40" i="26"/>
  <c r="AO40" i="26"/>
  <c r="BR38" i="26"/>
  <c r="BL38" i="26"/>
  <c r="Y36" i="26"/>
  <c r="O36" i="26"/>
  <c r="L36" i="26"/>
  <c r="I36" i="26"/>
  <c r="F36" i="26"/>
  <c r="CW33" i="26"/>
  <c r="CS33" i="26"/>
  <c r="CH32" i="26"/>
  <c r="CD32" i="26"/>
  <c r="BA27" i="26"/>
  <c r="BK23" i="26"/>
  <c r="E21" i="35" l="1"/>
  <c r="E167" i="23"/>
  <c r="E35" i="35"/>
  <c r="D167" i="23"/>
  <c r="C167" i="23"/>
  <c r="F120" i="35"/>
  <c r="G177" i="23"/>
  <c r="E58" i="35"/>
  <c r="G182" i="23"/>
  <c r="F126" i="35"/>
  <c r="E61" i="35"/>
  <c r="F122" i="35"/>
  <c r="E66" i="35"/>
  <c r="E42" i="35"/>
  <c r="E26" i="35"/>
  <c r="E71" i="35"/>
  <c r="E31" i="35"/>
  <c r="E52" i="35"/>
  <c r="F121" i="35"/>
  <c r="F124" i="35"/>
  <c r="F123" i="35"/>
  <c r="F130" i="35"/>
  <c r="F118" i="35"/>
  <c r="F127" i="35"/>
  <c r="F129" i="35"/>
  <c r="F117" i="35"/>
  <c r="F119" i="35"/>
  <c r="F125" i="35"/>
  <c r="F116" i="35"/>
  <c r="F128" i="35"/>
  <c r="E133" i="35"/>
  <c r="F131" i="35"/>
  <c r="F132" i="35"/>
  <c r="D133" i="35"/>
  <c r="F115" i="35"/>
  <c r="C133" i="35"/>
  <c r="E57" i="35"/>
  <c r="E36" i="35"/>
  <c r="E20" i="35"/>
  <c r="E60" i="35"/>
  <c r="E41" i="35"/>
  <c r="E25" i="35"/>
  <c r="E65" i="35"/>
  <c r="E70" i="35"/>
  <c r="E40" i="35"/>
  <c r="E45" i="35"/>
  <c r="E29" i="35"/>
  <c r="E69" i="35"/>
  <c r="E24" i="35"/>
  <c r="E55" i="35"/>
  <c r="E50" i="35"/>
  <c r="E34" i="35"/>
  <c r="E74" i="35"/>
  <c r="E64" i="35"/>
  <c r="G179" i="23"/>
  <c r="G178" i="23"/>
  <c r="F184" i="23"/>
  <c r="E184" i="23"/>
  <c r="D184" i="23"/>
  <c r="C184" i="23"/>
  <c r="G174" i="23"/>
  <c r="G181" i="23"/>
  <c r="G183" i="23"/>
  <c r="G176" i="23"/>
  <c r="G172" i="23"/>
  <c r="G180" i="23"/>
  <c r="G173" i="23"/>
  <c r="G175" i="23"/>
  <c r="G171" i="23"/>
  <c r="E59" i="35"/>
  <c r="E39" i="35"/>
  <c r="E23" i="35"/>
  <c r="E63" i="35"/>
  <c r="E44" i="35"/>
  <c r="E28" i="35"/>
  <c r="E73" i="35"/>
  <c r="E68" i="35"/>
  <c r="E54" i="35"/>
  <c r="E49" i="35"/>
  <c r="E33" i="35"/>
  <c r="E38" i="35"/>
  <c r="E22" i="35"/>
  <c r="E62" i="35"/>
  <c r="E43" i="35"/>
  <c r="E27" i="35"/>
  <c r="E67" i="35"/>
  <c r="E53" i="35"/>
  <c r="E48" i="35"/>
  <c r="E32" i="35"/>
  <c r="E72" i="35"/>
  <c r="E18" i="35"/>
  <c r="F101" i="35"/>
  <c r="E88" i="35"/>
  <c r="E17" i="35"/>
  <c r="E87" i="35"/>
  <c r="E86" i="35"/>
  <c r="F92" i="35"/>
  <c r="E85" i="35"/>
  <c r="E84" i="35"/>
  <c r="F94" i="35"/>
  <c r="E83" i="35"/>
  <c r="E82" i="35"/>
  <c r="E81" i="35"/>
  <c r="E80" i="35"/>
  <c r="F98" i="35"/>
  <c r="E79" i="35"/>
  <c r="F103" i="35"/>
  <c r="E78" i="35"/>
  <c r="E77" i="35"/>
  <c r="E76" i="35"/>
  <c r="E75" i="35"/>
  <c r="F106" i="35"/>
  <c r="E110" i="35"/>
  <c r="F105" i="35"/>
  <c r="F100" i="35"/>
  <c r="F96" i="35"/>
  <c r="F109" i="35"/>
  <c r="F104" i="35"/>
  <c r="F95" i="35"/>
  <c r="F99" i="35"/>
  <c r="E16" i="35"/>
  <c r="F107" i="35"/>
  <c r="F102" i="35"/>
  <c r="F93" i="35"/>
  <c r="C110" i="35"/>
  <c r="D110" i="35"/>
  <c r="F108" i="35"/>
  <c r="F97" i="35"/>
  <c r="C8" i="35"/>
  <c r="F89" i="35"/>
  <c r="C10" i="35" a="1"/>
  <c r="C10" i="35" s="1"/>
  <c r="E15" i="35"/>
  <c r="E19" i="35"/>
  <c r="E95" i="32"/>
  <c r="E79" i="32"/>
  <c r="E87" i="33"/>
  <c r="E71" i="33"/>
  <c r="E55" i="33"/>
  <c r="E39" i="33"/>
  <c r="E63" i="32"/>
  <c r="E47" i="32"/>
  <c r="E95" i="33"/>
  <c r="E103" i="32"/>
  <c r="E87" i="32"/>
  <c r="E23" i="32"/>
  <c r="E54" i="32"/>
  <c r="E70" i="32"/>
  <c r="E36" i="32"/>
  <c r="E20" i="32"/>
  <c r="E38" i="32"/>
  <c r="E84" i="32"/>
  <c r="E92" i="33"/>
  <c r="E76" i="33"/>
  <c r="E60" i="33"/>
  <c r="E86" i="32"/>
  <c r="E69" i="32"/>
  <c r="E100" i="32"/>
  <c r="E91" i="33"/>
  <c r="E75" i="33"/>
  <c r="E59" i="33"/>
  <c r="E101" i="32"/>
  <c r="E68" i="32"/>
  <c r="E18" i="32"/>
  <c r="E102" i="32"/>
  <c r="E85" i="32"/>
  <c r="E52" i="32"/>
  <c r="E96" i="32"/>
  <c r="E80" i="32"/>
  <c r="E31" i="32"/>
  <c r="E16" i="32"/>
  <c r="E40" i="33"/>
  <c r="E24" i="33"/>
  <c r="E28" i="32"/>
  <c r="E85" i="33"/>
  <c r="E69" i="33"/>
  <c r="E26" i="32"/>
  <c r="E20" i="33"/>
  <c r="E105" i="32"/>
  <c r="E104" i="32"/>
  <c r="E81" i="33"/>
  <c r="E65" i="33"/>
  <c r="E53" i="33"/>
  <c r="E22" i="33"/>
  <c r="E37" i="33"/>
  <c r="E83" i="33"/>
  <c r="E67" i="33"/>
  <c r="E51" i="33"/>
  <c r="E36" i="33"/>
  <c r="E21" i="33"/>
  <c r="E35" i="33"/>
  <c r="E49" i="33"/>
  <c r="E34" i="33"/>
  <c r="GK50" i="28"/>
  <c r="E33" i="33"/>
  <c r="E19" i="33"/>
  <c r="E79" i="33"/>
  <c r="E63" i="33"/>
  <c r="E47" i="33"/>
  <c r="E32" i="33"/>
  <c r="IV115" i="28"/>
  <c r="E94" i="33"/>
  <c r="E78" i="33"/>
  <c r="E62" i="33"/>
  <c r="E46" i="33"/>
  <c r="E31" i="33"/>
  <c r="E17" i="33"/>
  <c r="E93" i="33"/>
  <c r="E77" i="33"/>
  <c r="E61" i="33"/>
  <c r="E45" i="33"/>
  <c r="E16" i="33"/>
  <c r="E44" i="33"/>
  <c r="E29" i="33"/>
  <c r="E28" i="33"/>
  <c r="E42" i="33"/>
  <c r="E27" i="33"/>
  <c r="E89" i="33"/>
  <c r="E73" i="33"/>
  <c r="E57" i="33"/>
  <c r="PS123" i="30"/>
  <c r="E24" i="32"/>
  <c r="D142" i="32"/>
  <c r="E88" i="33"/>
  <c r="E72" i="33"/>
  <c r="E56" i="33"/>
  <c r="E25" i="33"/>
  <c r="C130" i="33"/>
  <c r="C118" i="32" a="1"/>
  <c r="C118" i="32" s="1"/>
  <c r="D118" i="32" s="1" a="1"/>
  <c r="D118" i="32" s="1"/>
  <c r="C127" i="32" a="1"/>
  <c r="C127" i="32" s="1"/>
  <c r="D127" i="32" s="1" a="1"/>
  <c r="D127" i="32" s="1"/>
  <c r="C119" i="32" a="1"/>
  <c r="C119" i="32" s="1"/>
  <c r="D119" i="32" s="1" a="1"/>
  <c r="D119" i="32" s="1"/>
  <c r="C128" i="32" a="1"/>
  <c r="C128" i="32" s="1"/>
  <c r="D128" i="32" s="1" a="1"/>
  <c r="D128" i="32" s="1"/>
  <c r="C120" i="32" a="1"/>
  <c r="C120" i="32" s="1"/>
  <c r="D120" i="32" s="1" a="1"/>
  <c r="D120" i="32" s="1"/>
  <c r="C129" i="32" a="1"/>
  <c r="C129" i="32" s="1"/>
  <c r="D129" i="32" s="1" a="1"/>
  <c r="D129" i="32" s="1"/>
  <c r="C130" i="32" a="1"/>
  <c r="C130" i="32" s="1"/>
  <c r="D130" i="32" s="1" a="1"/>
  <c r="D130" i="32" s="1"/>
  <c r="C121" i="32" a="1"/>
  <c r="C121" i="32" s="1"/>
  <c r="D121" i="32" s="1" a="1"/>
  <c r="D121" i="32" s="1"/>
  <c r="C131" i="32" a="1"/>
  <c r="C131" i="32" s="1"/>
  <c r="C122" i="32" a="1"/>
  <c r="C122" i="32" s="1"/>
  <c r="C113" i="32" a="1"/>
  <c r="C113" i="32" s="1"/>
  <c r="C123" i="32" a="1"/>
  <c r="C123" i="32" s="1"/>
  <c r="C132" i="32" a="1"/>
  <c r="C132" i="32" s="1"/>
  <c r="C114" i="32" a="1"/>
  <c r="C114" i="32" s="1"/>
  <c r="D114" i="32" s="1" a="1"/>
  <c r="D114" i="32" s="1"/>
  <c r="C115" i="32" a="1"/>
  <c r="C115" i="32" s="1"/>
  <c r="C124" i="32" a="1"/>
  <c r="C124" i="32" s="1"/>
  <c r="E15" i="32"/>
  <c r="C116" i="32" a="1"/>
  <c r="C116" i="32" s="1"/>
  <c r="C125" i="32" a="1"/>
  <c r="C125" i="32" s="1"/>
  <c r="C117" i="32" a="1"/>
  <c r="C117" i="32" s="1"/>
  <c r="C126" i="32" a="1"/>
  <c r="C126" i="32" s="1"/>
  <c r="D126" i="32" s="1" a="1"/>
  <c r="D126" i="32" s="1"/>
  <c r="C106" i="33" a="1"/>
  <c r="C106" i="33" s="1"/>
  <c r="D106" i="33" s="1" a="1"/>
  <c r="D106" i="33" s="1"/>
  <c r="E41" i="33"/>
  <c r="E18" i="33"/>
  <c r="C116" i="33" a="1"/>
  <c r="C116" i="33" s="1"/>
  <c r="D116" i="33" s="1" a="1"/>
  <c r="D116" i="33" s="1"/>
  <c r="C105" i="33" a="1"/>
  <c r="C105" i="33" s="1"/>
  <c r="D105" i="33" s="1" a="1"/>
  <c r="D105" i="33" s="1"/>
  <c r="E62" i="32"/>
  <c r="E30" i="32"/>
  <c r="C115" i="33" a="1"/>
  <c r="C115" i="33" s="1"/>
  <c r="D115" i="33" s="1" a="1"/>
  <c r="D115" i="33" s="1"/>
  <c r="C104" i="33" a="1"/>
  <c r="C104" i="33" s="1"/>
  <c r="D104" i="33" s="1" a="1"/>
  <c r="D104" i="33" s="1"/>
  <c r="E78" i="32"/>
  <c r="E46" i="32"/>
  <c r="C8" i="32"/>
  <c r="E93" i="32"/>
  <c r="E77" i="32"/>
  <c r="E61" i="32"/>
  <c r="E45" i="32"/>
  <c r="E29" i="32"/>
  <c r="E86" i="33"/>
  <c r="E70" i="33"/>
  <c r="E54" i="33"/>
  <c r="E92" i="32"/>
  <c r="E76" i="32"/>
  <c r="E60" i="32"/>
  <c r="E44" i="32"/>
  <c r="D108" i="32"/>
  <c r="C114" i="33" a="1"/>
  <c r="C114" i="33" s="1"/>
  <c r="D114" i="33" s="1" a="1"/>
  <c r="D114" i="33" s="1"/>
  <c r="C103" i="33" a="1"/>
  <c r="C103" i="33" s="1"/>
  <c r="E107" i="32"/>
  <c r="E75" i="32"/>
  <c r="E43" i="32"/>
  <c r="E84" i="33"/>
  <c r="E68" i="33"/>
  <c r="E52" i="33"/>
  <c r="E38" i="33"/>
  <c r="E26" i="33"/>
  <c r="C113" i="33" a="1"/>
  <c r="C113" i="33" s="1"/>
  <c r="E113" i="33" s="1" a="1"/>
  <c r="E113" i="33" s="1"/>
  <c r="C102" i="33" a="1"/>
  <c r="C102" i="33" s="1"/>
  <c r="E102" i="33" s="1" a="1"/>
  <c r="E102" i="33" s="1"/>
  <c r="E19" i="32"/>
  <c r="E94" i="32"/>
  <c r="NU118" i="30"/>
  <c r="E91" i="32"/>
  <c r="E59" i="32"/>
  <c r="CQ69" i="26"/>
  <c r="E106" i="32"/>
  <c r="E90" i="32"/>
  <c r="E74" i="32"/>
  <c r="E58" i="32"/>
  <c r="E42" i="32"/>
  <c r="E27" i="32"/>
  <c r="C112" i="33" a="1"/>
  <c r="C112" i="33" s="1"/>
  <c r="E112" i="33" s="1" a="1"/>
  <c r="E112" i="33" s="1"/>
  <c r="E89" i="32"/>
  <c r="E73" i="32"/>
  <c r="E57" i="32"/>
  <c r="E41" i="32"/>
  <c r="E82" i="33"/>
  <c r="E66" i="33"/>
  <c r="E50" i="33"/>
  <c r="C101" i="33" a="1"/>
  <c r="C101" i="33" s="1"/>
  <c r="D101" i="33" s="1" a="1"/>
  <c r="D101" i="33" s="1"/>
  <c r="QU118" i="30"/>
  <c r="E88" i="32"/>
  <c r="E72" i="32"/>
  <c r="E56" i="32"/>
  <c r="E40" i="32"/>
  <c r="C111" i="33" a="1"/>
  <c r="C111" i="33" s="1"/>
  <c r="E71" i="32"/>
  <c r="E55" i="32"/>
  <c r="E39" i="32"/>
  <c r="E25" i="32"/>
  <c r="E80" i="33"/>
  <c r="E64" i="33"/>
  <c r="E48" i="33"/>
  <c r="E23" i="33"/>
  <c r="C110" i="33" a="1"/>
  <c r="C110" i="33" s="1"/>
  <c r="E110" i="33" s="1" a="1"/>
  <c r="E110" i="33" s="1"/>
  <c r="C120" i="33" a="1"/>
  <c r="C120" i="33" s="1"/>
  <c r="E120" i="33" s="1" a="1"/>
  <c r="E120" i="33" s="1"/>
  <c r="E53" i="32"/>
  <c r="E37" i="32"/>
  <c r="C109" i="33" a="1"/>
  <c r="C109" i="33" s="1"/>
  <c r="D109" i="33" s="1" a="1"/>
  <c r="D109" i="33" s="1"/>
  <c r="MJ115" i="28"/>
  <c r="C119" i="33" a="1"/>
  <c r="C119" i="33" s="1"/>
  <c r="E83" i="32"/>
  <c r="E51" i="32"/>
  <c r="C118" i="33" a="1"/>
  <c r="C118" i="33" s="1"/>
  <c r="D118" i="33" s="1" a="1"/>
  <c r="D118" i="33" s="1"/>
  <c r="C108" i="33" a="1"/>
  <c r="C108" i="33" s="1"/>
  <c r="D108" i="33" s="1" a="1"/>
  <c r="D108" i="33" s="1"/>
  <c r="PN115" i="28"/>
  <c r="JC114" i="30"/>
  <c r="BJ69" i="29" s="1"/>
  <c r="E35" i="32"/>
  <c r="MH114" i="30"/>
  <c r="BT69" i="29" s="1"/>
  <c r="E98" i="32"/>
  <c r="E82" i="32"/>
  <c r="E66" i="32"/>
  <c r="E50" i="32"/>
  <c r="E34" i="32"/>
  <c r="E21" i="32"/>
  <c r="C107" i="33" a="1"/>
  <c r="C107" i="33" s="1"/>
  <c r="E107" i="33" s="1" a="1"/>
  <c r="E107" i="33" s="1"/>
  <c r="E99" i="32"/>
  <c r="E67" i="32"/>
  <c r="E22" i="32"/>
  <c r="E97" i="32"/>
  <c r="E81" i="32"/>
  <c r="E65" i="32"/>
  <c r="E49" i="32"/>
  <c r="E33" i="32"/>
  <c r="E90" i="33"/>
  <c r="E74" i="33"/>
  <c r="E58" i="33"/>
  <c r="E43" i="33"/>
  <c r="E30" i="33"/>
  <c r="C117" i="33" a="1"/>
  <c r="C117" i="33" s="1"/>
  <c r="D117" i="33" s="1" a="1"/>
  <c r="D117" i="33" s="1"/>
  <c r="E64" i="32"/>
  <c r="E48" i="32"/>
  <c r="E32" i="32"/>
  <c r="C142" i="32"/>
  <c r="E105" i="33" a="1"/>
  <c r="E105" i="33" s="1"/>
  <c r="D130" i="33"/>
  <c r="E15" i="33"/>
  <c r="C10" i="33" a="1"/>
  <c r="C10" i="33" s="1"/>
  <c r="C8" i="33"/>
  <c r="D113" i="32" a="1"/>
  <c r="D113" i="32" s="1"/>
  <c r="E113" i="32" a="1"/>
  <c r="E113" i="32" s="1"/>
  <c r="E122" i="32" a="1"/>
  <c r="E122" i="32" s="1"/>
  <c r="D122" i="32" a="1"/>
  <c r="D122" i="32" s="1"/>
  <c r="E130" i="32" a="1"/>
  <c r="E130" i="32" s="1"/>
  <c r="E17" i="32"/>
  <c r="C10" i="32" a="1"/>
  <c r="C10" i="32" s="1"/>
  <c r="RZ114" i="30"/>
  <c r="CF69" i="29" s="1"/>
  <c r="FO42" i="30"/>
  <c r="BU39" i="29"/>
  <c r="G184" i="23" l="1"/>
  <c r="F133" i="35"/>
  <c r="E118" i="32" a="1"/>
  <c r="E118" i="32" s="1"/>
  <c r="F110" i="35"/>
  <c r="E120" i="32" a="1"/>
  <c r="E120" i="32" s="1"/>
  <c r="E114" i="32" a="1"/>
  <c r="E114" i="32" s="1"/>
  <c r="E115" i="33" a="1"/>
  <c r="E115" i="33" s="1"/>
  <c r="E104" i="33" a="1"/>
  <c r="E104" i="33" s="1"/>
  <c r="E106" i="33" a="1"/>
  <c r="E106" i="33" s="1"/>
  <c r="E114" i="33" a="1"/>
  <c r="E114" i="33" s="1"/>
  <c r="E126" i="32" a="1"/>
  <c r="E126" i="32" s="1"/>
  <c r="E116" i="33" a="1"/>
  <c r="E116" i="33" s="1"/>
  <c r="E119" i="32" a="1"/>
  <c r="E119" i="32" s="1"/>
  <c r="E118" i="33" a="1"/>
  <c r="E118" i="33" s="1"/>
  <c r="E127" i="32" a="1"/>
  <c r="E127" i="32" s="1"/>
  <c r="E128" i="32" a="1"/>
  <c r="E128" i="32" s="1"/>
  <c r="E129" i="32" a="1"/>
  <c r="E129" i="32" s="1"/>
  <c r="D110" i="33" a="1"/>
  <c r="D110" i="33" s="1"/>
  <c r="D112" i="33" a="1"/>
  <c r="D112" i="33" s="1"/>
  <c r="D102" i="33" a="1"/>
  <c r="D102" i="33" s="1"/>
  <c r="E108" i="33" a="1"/>
  <c r="E108" i="33" s="1"/>
  <c r="D120" i="33" a="1"/>
  <c r="D120" i="33" s="1"/>
  <c r="D107" i="33" a="1"/>
  <c r="D107" i="33" s="1"/>
  <c r="E103" i="33" a="1"/>
  <c r="E103" i="33" s="1"/>
  <c r="D103" i="33" a="1"/>
  <c r="D103" i="33" s="1"/>
  <c r="E124" i="32" a="1"/>
  <c r="E124" i="32" s="1"/>
  <c r="D124" i="32" a="1"/>
  <c r="D124" i="32" s="1"/>
  <c r="E115" i="32" a="1"/>
  <c r="E115" i="32" s="1"/>
  <c r="D115" i="32" a="1"/>
  <c r="D115" i="32" s="1"/>
  <c r="E132" i="32" a="1"/>
  <c r="E132" i="32" s="1"/>
  <c r="D132" i="32" a="1"/>
  <c r="D132" i="32" s="1"/>
  <c r="E101" i="33" a="1"/>
  <c r="E101" i="33" s="1"/>
  <c r="D113" i="33" a="1"/>
  <c r="D113" i="33" s="1"/>
  <c r="E121" i="32" a="1"/>
  <c r="E121" i="32" s="1"/>
  <c r="E109" i="33" a="1"/>
  <c r="E109" i="33" s="1"/>
  <c r="E123" i="32" a="1"/>
  <c r="E123" i="32" s="1"/>
  <c r="D123" i="32" a="1"/>
  <c r="D123" i="32" s="1"/>
  <c r="CT69" i="29"/>
  <c r="E117" i="33" a="1"/>
  <c r="E117" i="33" s="1"/>
  <c r="E131" i="32" a="1"/>
  <c r="E131" i="32" s="1"/>
  <c r="D131" i="32" a="1"/>
  <c r="D131" i="32" s="1"/>
  <c r="E111" i="33" a="1"/>
  <c r="E111" i="33" s="1"/>
  <c r="D111" i="33" a="1"/>
  <c r="D111" i="33" s="1"/>
  <c r="E119" i="33" a="1"/>
  <c r="E119" i="33" s="1"/>
  <c r="D119" i="33" a="1"/>
  <c r="D119" i="33" s="1"/>
  <c r="E117" i="32" a="1"/>
  <c r="E117" i="32" s="1"/>
  <c r="D117" i="32" a="1"/>
  <c r="D117" i="32" s="1"/>
  <c r="E125" i="32" a="1"/>
  <c r="E125" i="32" s="1"/>
  <c r="D125" i="32" a="1"/>
  <c r="D125" i="32" s="1"/>
  <c r="E116" i="32" a="1"/>
  <c r="E116" i="32" s="1"/>
  <c r="D116" i="32" a="1"/>
  <c r="D116" i="32" s="1"/>
  <c r="HJ181" i="7"/>
  <c r="AR57" i="8" s="1"/>
  <c r="HS158" i="7" l="1"/>
  <c r="BO57" i="8" s="1"/>
  <c r="IF158" i="7"/>
  <c r="BE57" i="8" s="1"/>
  <c r="GN158" i="7"/>
  <c r="CA57" i="8" s="1"/>
  <c r="GA158" i="7"/>
  <c r="BX57" i="8" s="1"/>
  <c r="AD57" i="8"/>
  <c r="EC70" i="7"/>
  <c r="K57" i="8" s="1"/>
  <c r="IW31" i="7"/>
  <c r="AX21" i="8" s="1"/>
  <c r="FP34" i="7"/>
  <c r="X28" i="8" s="1"/>
  <c r="GT29" i="7"/>
  <c r="AJ28" i="8" s="1"/>
  <c r="JF70" i="7"/>
  <c r="HB70" i="7"/>
  <c r="U57" i="8" s="1"/>
  <c r="KW70" i="7"/>
  <c r="AG57" i="8" s="1"/>
  <c r="W15" i="8"/>
  <c r="AG15" i="8"/>
  <c r="BD25" i="25"/>
  <c r="BW11" i="25"/>
  <c r="AP25" i="25"/>
  <c r="AP11" i="25"/>
  <c r="CO55" i="5"/>
  <c r="U57" i="4" s="1"/>
  <c r="FE14" i="5"/>
  <c r="B92" i="23"/>
  <c r="B91" i="23"/>
  <c r="E91" i="23" a="1"/>
  <c r="E91" i="23" s="1"/>
  <c r="D91" i="23" a="1"/>
  <c r="D91" i="23" s="1"/>
  <c r="C91" i="23" a="1"/>
  <c r="C91" i="23" s="1"/>
  <c r="B148" i="23"/>
  <c r="E148" i="23" s="1" a="1"/>
  <c r="E148" i="23" s="1"/>
  <c r="B147" i="23"/>
  <c r="E147" i="23" s="1" a="1"/>
  <c r="E147" i="23" s="1"/>
  <c r="B146" i="23"/>
  <c r="E146" i="23" s="1" a="1"/>
  <c r="E146" i="23" s="1"/>
  <c r="B145" i="23"/>
  <c r="E145" i="23" s="1" a="1"/>
  <c r="E145" i="23" s="1"/>
  <c r="B144" i="23"/>
  <c r="E144" i="23" s="1" a="1"/>
  <c r="E144" i="23" s="1"/>
  <c r="B143" i="23"/>
  <c r="D143" i="23" s="1" a="1"/>
  <c r="D143" i="23" s="1"/>
  <c r="B142" i="23"/>
  <c r="E142" i="23" s="1" a="1"/>
  <c r="E142" i="23" s="1"/>
  <c r="B141" i="23"/>
  <c r="E141" i="23" s="1" a="1"/>
  <c r="E141" i="23" s="1"/>
  <c r="B140" i="23"/>
  <c r="E140" i="23" s="1" a="1"/>
  <c r="E140" i="23" s="1"/>
  <c r="B139" i="23"/>
  <c r="E139" i="23" s="1" a="1"/>
  <c r="E139" i="23" s="1"/>
  <c r="B138" i="23"/>
  <c r="C138" i="23" s="1" a="1"/>
  <c r="C138" i="23" s="1"/>
  <c r="B137" i="23"/>
  <c r="E137" i="23" s="1" a="1"/>
  <c r="E137" i="23" s="1"/>
  <c r="B136" i="23"/>
  <c r="E136" i="23" s="1" a="1"/>
  <c r="E136" i="23" s="1"/>
  <c r="B135" i="23"/>
  <c r="E135" i="23" s="1" a="1"/>
  <c r="E135" i="23" s="1"/>
  <c r="B134" i="23"/>
  <c r="E134" i="23" s="1" a="1"/>
  <c r="E134" i="23" s="1"/>
  <c r="B133" i="23"/>
  <c r="E133" i="23" s="1" a="1"/>
  <c r="E133" i="23" s="1"/>
  <c r="B132" i="23"/>
  <c r="E132" i="23" s="1" a="1"/>
  <c r="E132" i="23" s="1"/>
  <c r="B131" i="23"/>
  <c r="E131" i="23" s="1" a="1"/>
  <c r="E131" i="23" s="1"/>
  <c r="B130" i="23"/>
  <c r="E130" i="23" s="1" a="1"/>
  <c r="E130" i="23" s="1"/>
  <c r="B129" i="23"/>
  <c r="E129" i="23" s="1" a="1"/>
  <c r="E129" i="23" s="1"/>
  <c r="B128" i="23"/>
  <c r="E128" i="23" s="1" a="1"/>
  <c r="E128" i="23" s="1"/>
  <c r="B127" i="23"/>
  <c r="D127" i="23" s="1" a="1"/>
  <c r="D127" i="23" s="1"/>
  <c r="B126" i="23"/>
  <c r="E126" i="23" s="1" a="1"/>
  <c r="E126" i="23" s="1"/>
  <c r="B125" i="23"/>
  <c r="E125" i="23" s="1" a="1"/>
  <c r="E125" i="23" s="1"/>
  <c r="B124" i="23"/>
  <c r="E124" i="23" s="1" a="1"/>
  <c r="E124" i="23" s="1"/>
  <c r="B123" i="23"/>
  <c r="E123" i="23" s="1" a="1"/>
  <c r="E123" i="23" s="1"/>
  <c r="B122" i="23"/>
  <c r="C122" i="23" s="1" a="1"/>
  <c r="C122" i="23" s="1"/>
  <c r="B121" i="23"/>
  <c r="E121" i="23" s="1" a="1"/>
  <c r="E121" i="23" s="1"/>
  <c r="B120" i="23"/>
  <c r="E120" i="23" s="1" a="1"/>
  <c r="E120" i="23" s="1"/>
  <c r="B119" i="23"/>
  <c r="E119" i="23" s="1" a="1"/>
  <c r="E119" i="23" s="1"/>
  <c r="B118" i="23"/>
  <c r="E118" i="23" s="1" a="1"/>
  <c r="E118" i="23" s="1"/>
  <c r="B117" i="23"/>
  <c r="E117" i="23" s="1" a="1"/>
  <c r="E117" i="23" s="1"/>
  <c r="B116" i="23"/>
  <c r="E116" i="23" s="1" a="1"/>
  <c r="E116" i="23" s="1"/>
  <c r="B115" i="23"/>
  <c r="E115" i="23" s="1" a="1"/>
  <c r="E115" i="23" s="1"/>
  <c r="B114" i="23"/>
  <c r="E114" i="23" s="1" a="1"/>
  <c r="E114" i="23" s="1"/>
  <c r="B113" i="23"/>
  <c r="C113" i="23" s="1" a="1"/>
  <c r="C113" i="23" s="1"/>
  <c r="B112" i="23"/>
  <c r="E112" i="23" s="1" a="1"/>
  <c r="E112" i="23" s="1"/>
  <c r="B111" i="23"/>
  <c r="C111" i="23" s="1" a="1"/>
  <c r="C111" i="23" s="1"/>
  <c r="B110" i="23"/>
  <c r="E110" i="23" s="1" a="1"/>
  <c r="E110" i="23" s="1"/>
  <c r="B109" i="23"/>
  <c r="E109" i="23" s="1" a="1"/>
  <c r="E109" i="23" s="1"/>
  <c r="B108" i="23"/>
  <c r="E108" i="23" s="1" a="1"/>
  <c r="E108" i="23" s="1"/>
  <c r="B107" i="23"/>
  <c r="E107" i="23" s="1" a="1"/>
  <c r="E107" i="23" s="1"/>
  <c r="B106" i="23"/>
  <c r="E106" i="23" s="1" a="1"/>
  <c r="E106" i="23" s="1"/>
  <c r="B105" i="23"/>
  <c r="E105" i="23" s="1" a="1"/>
  <c r="E105" i="23" s="1"/>
  <c r="B104" i="23"/>
  <c r="D104" i="23" s="1" a="1"/>
  <c r="D104" i="23" s="1"/>
  <c r="B103" i="23"/>
  <c r="E103" i="23" s="1" a="1"/>
  <c r="E103" i="23" s="1"/>
  <c r="B102" i="23"/>
  <c r="E102" i="23" s="1" a="1"/>
  <c r="E102" i="23" s="1"/>
  <c r="B101" i="23"/>
  <c r="E101" i="23" s="1" a="1"/>
  <c r="E101" i="23" s="1"/>
  <c r="B100" i="23"/>
  <c r="E100" i="23" s="1" a="1"/>
  <c r="E100" i="23" s="1"/>
  <c r="B99" i="23"/>
  <c r="E99" i="23" s="1" a="1"/>
  <c r="E99" i="23" s="1"/>
  <c r="B98" i="23"/>
  <c r="E98" i="23" s="1" a="1"/>
  <c r="E98" i="23" s="1"/>
  <c r="B97" i="23"/>
  <c r="C97" i="23" s="1" a="1"/>
  <c r="C97" i="23" s="1"/>
  <c r="B96" i="23"/>
  <c r="D96" i="23" s="1" a="1"/>
  <c r="D96" i="23" s="1"/>
  <c r="B95" i="23"/>
  <c r="D95" i="23" s="1" a="1"/>
  <c r="D95" i="23" s="1"/>
  <c r="B94" i="23"/>
  <c r="D94" i="23" s="1" a="1"/>
  <c r="D94" i="23" s="1"/>
  <c r="B93" i="23"/>
  <c r="D93" i="23" s="1" a="1"/>
  <c r="D93" i="23" s="1"/>
  <c r="AG15" i="4"/>
  <c r="W15" i="4"/>
  <c r="GD34" i="7"/>
  <c r="AA28" i="8" s="1"/>
  <c r="CP105" i="5"/>
  <c r="BO57" i="4" s="1"/>
  <c r="DX109" i="5"/>
  <c r="EK59" i="5"/>
  <c r="KD31" i="7"/>
  <c r="BO21" i="8" s="1"/>
  <c r="EP14" i="5"/>
  <c r="BI17" i="5"/>
  <c r="AA28" i="4" s="1"/>
  <c r="BW17" i="5"/>
  <c r="EZ29" i="7"/>
  <c r="P28" i="8" s="1"/>
  <c r="JL31" i="7"/>
  <c r="BK21" i="8" s="1"/>
  <c r="F16" i="24" a="1"/>
  <c r="F16" i="24" s="1"/>
  <c r="F17" i="24" a="1"/>
  <c r="F17" i="24" s="1"/>
  <c r="F18" i="24" a="1"/>
  <c r="F18" i="24" s="1"/>
  <c r="F19" i="24" a="1"/>
  <c r="F19" i="24" s="1"/>
  <c r="F20" i="24" a="1"/>
  <c r="F20" i="24" s="1"/>
  <c r="F21" i="24" a="1"/>
  <c r="F21" i="24" s="1"/>
  <c r="F22" i="24" a="1"/>
  <c r="F22" i="24" s="1"/>
  <c r="F23" i="24" a="1"/>
  <c r="F23" i="24" s="1"/>
  <c r="F24" i="24" a="1"/>
  <c r="F24" i="24" s="1"/>
  <c r="F25" i="24" a="1"/>
  <c r="F25" i="24" s="1"/>
  <c r="F26" i="24" a="1"/>
  <c r="F26" i="24" s="1"/>
  <c r="F27" i="24" a="1"/>
  <c r="F27" i="24" s="1"/>
  <c r="F28" i="24" a="1"/>
  <c r="F28" i="24" s="1"/>
  <c r="F29" i="24" a="1"/>
  <c r="F29" i="24" s="1"/>
  <c r="F30" i="24" a="1"/>
  <c r="F30" i="24" s="1"/>
  <c r="F31" i="24" a="1"/>
  <c r="F31" i="24" s="1"/>
  <c r="F32" i="24" a="1"/>
  <c r="F32" i="24" s="1"/>
  <c r="F33" i="24" a="1"/>
  <c r="F33" i="24" s="1"/>
  <c r="F34" i="24" a="1"/>
  <c r="F34" i="24" s="1"/>
  <c r="F35" i="24" a="1"/>
  <c r="F35" i="24" s="1"/>
  <c r="F36" i="24" a="1"/>
  <c r="F36" i="24" s="1"/>
  <c r="F37" i="24" a="1"/>
  <c r="F37" i="24" s="1"/>
  <c r="F38" i="24" a="1"/>
  <c r="F38" i="24" s="1"/>
  <c r="F39" i="24" a="1"/>
  <c r="F39" i="24" s="1"/>
  <c r="F40" i="24" a="1"/>
  <c r="F40" i="24" s="1"/>
  <c r="F41" i="24" a="1"/>
  <c r="F41" i="24" s="1"/>
  <c r="F42" i="24" a="1"/>
  <c r="F42" i="24" s="1"/>
  <c r="F43" i="24" a="1"/>
  <c r="F43" i="24" s="1"/>
  <c r="F44" i="24" a="1"/>
  <c r="F44" i="24" s="1"/>
  <c r="F45" i="24" a="1"/>
  <c r="F45" i="24" s="1"/>
  <c r="F46" i="24" a="1"/>
  <c r="F46" i="24" s="1"/>
  <c r="F47" i="24" a="1"/>
  <c r="F47" i="24" s="1"/>
  <c r="F48" i="24" a="1"/>
  <c r="F48" i="24" s="1"/>
  <c r="F49" i="24" a="1"/>
  <c r="F49" i="24" s="1"/>
  <c r="F50" i="24" a="1"/>
  <c r="F50" i="24" s="1"/>
  <c r="F51" i="24" a="1"/>
  <c r="F51" i="24" s="1"/>
  <c r="F52" i="24" a="1"/>
  <c r="F52" i="24" s="1"/>
  <c r="F53" i="24" a="1"/>
  <c r="F53" i="24" s="1"/>
  <c r="F54" i="24" a="1"/>
  <c r="F54" i="24" s="1"/>
  <c r="F55" i="24" a="1"/>
  <c r="F55" i="24" s="1"/>
  <c r="F56" i="24" a="1"/>
  <c r="F56" i="24" s="1"/>
  <c r="F57" i="24" a="1"/>
  <c r="F57" i="24" s="1"/>
  <c r="F58" i="24" a="1"/>
  <c r="F58" i="24" s="1"/>
  <c r="F59" i="24" a="1"/>
  <c r="F59" i="24" s="1"/>
  <c r="F60" i="24" a="1"/>
  <c r="F60" i="24" s="1"/>
  <c r="F61" i="24" a="1"/>
  <c r="F61" i="24" s="1"/>
  <c r="F62" i="24" a="1"/>
  <c r="F62" i="24" s="1"/>
  <c r="F63" i="24" a="1"/>
  <c r="F63" i="24" s="1"/>
  <c r="F64" i="24" a="1"/>
  <c r="F64" i="24" s="1"/>
  <c r="F65" i="24" a="1"/>
  <c r="F65" i="24" s="1"/>
  <c r="F66" i="24" a="1"/>
  <c r="F66" i="24" s="1"/>
  <c r="F67" i="24" a="1"/>
  <c r="F67" i="24" s="1"/>
  <c r="F68" i="24" a="1"/>
  <c r="F68" i="24" s="1"/>
  <c r="F69" i="24" a="1"/>
  <c r="F69" i="24" s="1"/>
  <c r="F70" i="24" a="1"/>
  <c r="F70" i="24" s="1"/>
  <c r="F71" i="24" a="1"/>
  <c r="F71" i="24" s="1"/>
  <c r="F72" i="24" a="1"/>
  <c r="F72" i="24" s="1"/>
  <c r="F73" i="24" a="1"/>
  <c r="F73" i="24" s="1"/>
  <c r="F74" i="24" a="1"/>
  <c r="F74" i="24" s="1"/>
  <c r="F75" i="24" a="1"/>
  <c r="F75" i="24" s="1"/>
  <c r="F78" i="24" a="1"/>
  <c r="F78" i="24" s="1"/>
  <c r="F79" i="24" a="1"/>
  <c r="F79" i="24" s="1"/>
  <c r="F80" i="24" a="1"/>
  <c r="F80" i="24" s="1"/>
  <c r="F81" i="24" a="1"/>
  <c r="F81" i="24" s="1"/>
  <c r="F82" i="24" a="1"/>
  <c r="F82" i="24" s="1"/>
  <c r="F83" i="24" a="1"/>
  <c r="F83" i="24" s="1"/>
  <c r="F84" i="24" a="1"/>
  <c r="F84" i="24" s="1"/>
  <c r="F85" i="24" a="1"/>
  <c r="F85" i="24" s="1"/>
  <c r="F86" i="24" a="1"/>
  <c r="F86" i="24" s="1"/>
  <c r="F87" i="24" a="1"/>
  <c r="F87" i="24" s="1"/>
  <c r="F15" i="24" a="1"/>
  <c r="F15" i="24" s="1"/>
  <c r="C5" i="24" a="1"/>
  <c r="C5" i="24" s="1"/>
  <c r="C9" i="24" a="1"/>
  <c r="C9" i="24" s="1"/>
  <c r="E83" i="23" a="1"/>
  <c r="E83" i="23" s="1"/>
  <c r="E82" i="23" a="1"/>
  <c r="E82" i="23" s="1"/>
  <c r="E81" i="23" a="1"/>
  <c r="E81" i="23" s="1"/>
  <c r="E80" i="23" a="1"/>
  <c r="E80" i="23" s="1"/>
  <c r="E79" i="23" a="1"/>
  <c r="E79" i="23" s="1"/>
  <c r="F71" i="23" a="1"/>
  <c r="F71" i="23" s="1"/>
  <c r="F70" i="23" a="1"/>
  <c r="F70" i="23" s="1"/>
  <c r="F69" i="23" a="1"/>
  <c r="F69" i="23" s="1"/>
  <c r="F68" i="23" a="1"/>
  <c r="F68" i="23" s="1"/>
  <c r="F67" i="23" a="1"/>
  <c r="F67" i="23" s="1"/>
  <c r="F66" i="23" a="1"/>
  <c r="F66" i="23" s="1"/>
  <c r="F65" i="23" a="1"/>
  <c r="F65" i="23" s="1"/>
  <c r="F64" i="23" a="1"/>
  <c r="F64" i="23" s="1"/>
  <c r="F63" i="23" a="1"/>
  <c r="F63" i="23" s="1"/>
  <c r="F62" i="23" a="1"/>
  <c r="F62" i="23" s="1"/>
  <c r="F61" i="23" a="1"/>
  <c r="F61" i="23" s="1"/>
  <c r="F60" i="23" a="1"/>
  <c r="F60" i="23" s="1"/>
  <c r="F59" i="23" a="1"/>
  <c r="F59" i="23" s="1"/>
  <c r="F58" i="23" a="1"/>
  <c r="F58" i="23" s="1"/>
  <c r="F57" i="23" a="1"/>
  <c r="F57" i="23" s="1"/>
  <c r="F56" i="23" a="1"/>
  <c r="F56" i="23" s="1"/>
  <c r="F55" i="23" a="1"/>
  <c r="F55" i="23" s="1"/>
  <c r="F54" i="23" a="1"/>
  <c r="F54" i="23" s="1"/>
  <c r="F53" i="23" a="1"/>
  <c r="F53" i="23" s="1"/>
  <c r="F52" i="23" a="1"/>
  <c r="F52" i="23" s="1"/>
  <c r="F51" i="23" a="1"/>
  <c r="F51" i="23" s="1"/>
  <c r="F50" i="23" a="1"/>
  <c r="F50" i="23" s="1"/>
  <c r="F49" i="23" a="1"/>
  <c r="F49" i="23" s="1"/>
  <c r="F48" i="23" a="1"/>
  <c r="F48" i="23" s="1"/>
  <c r="F47" i="23" a="1"/>
  <c r="F47" i="23" s="1"/>
  <c r="F46" i="23" a="1"/>
  <c r="F46" i="23" s="1"/>
  <c r="F45" i="23" a="1"/>
  <c r="F45" i="23" s="1"/>
  <c r="F44" i="23" a="1"/>
  <c r="F44" i="23" s="1"/>
  <c r="F43" i="23" a="1"/>
  <c r="F43" i="23" s="1"/>
  <c r="F42" i="23" a="1"/>
  <c r="F42" i="23" s="1"/>
  <c r="F41" i="23" a="1"/>
  <c r="F41" i="23" s="1"/>
  <c r="F40" i="23" a="1"/>
  <c r="F40" i="23" s="1"/>
  <c r="F39" i="23" a="1"/>
  <c r="F39" i="23" s="1"/>
  <c r="F38" i="23" a="1"/>
  <c r="F38" i="23" s="1"/>
  <c r="F37" i="23" a="1"/>
  <c r="F37" i="23" s="1"/>
  <c r="F36" i="23" a="1"/>
  <c r="F36" i="23" s="1"/>
  <c r="F35" i="23" a="1"/>
  <c r="F35" i="23" s="1"/>
  <c r="F34" i="23" a="1"/>
  <c r="F34" i="23" s="1"/>
  <c r="F33" i="23" a="1"/>
  <c r="F33" i="23" s="1"/>
  <c r="F32" i="23" a="1"/>
  <c r="F32" i="23" s="1"/>
  <c r="F31" i="23" a="1"/>
  <c r="F31" i="23" s="1"/>
  <c r="F30" i="23" a="1"/>
  <c r="F30" i="23" s="1"/>
  <c r="F29" i="23" a="1"/>
  <c r="F29" i="23" s="1"/>
  <c r="F28" i="23" a="1"/>
  <c r="F28" i="23" s="1"/>
  <c r="F27" i="23" a="1"/>
  <c r="F27" i="23" s="1"/>
  <c r="F26" i="23" a="1"/>
  <c r="F26" i="23" s="1"/>
  <c r="F25" i="23" a="1"/>
  <c r="F25" i="23" s="1"/>
  <c r="F24" i="23" a="1"/>
  <c r="F24" i="23" s="1"/>
  <c r="F23" i="23" a="1"/>
  <c r="F23" i="23" s="1"/>
  <c r="F22" i="23" a="1"/>
  <c r="F22" i="23" s="1"/>
  <c r="F21" i="23" a="1"/>
  <c r="F21" i="23" s="1"/>
  <c r="F20" i="23" a="1"/>
  <c r="F20" i="23" s="1"/>
  <c r="F19" i="23" a="1"/>
  <c r="F19" i="23" s="1"/>
  <c r="F18" i="23" a="1"/>
  <c r="F18" i="23" s="1"/>
  <c r="F17" i="23" a="1"/>
  <c r="F17" i="23" s="1"/>
  <c r="F16" i="23" a="1"/>
  <c r="F16" i="23" s="1"/>
  <c r="F15" i="23" a="1"/>
  <c r="F15" i="23" s="1"/>
  <c r="F14" i="23" a="1"/>
  <c r="F14" i="23" s="1"/>
  <c r="C9" i="23" a="1"/>
  <c r="C9" i="23" s="1"/>
  <c r="C5" i="23" a="1"/>
  <c r="C5" i="23" s="1"/>
  <c r="AJ105" i="5"/>
  <c r="BE57" i="4" s="1"/>
  <c r="AG57" i="4"/>
  <c r="EK109" i="5"/>
  <c r="CA57" i="4" s="1"/>
  <c r="BX57" i="4"/>
  <c r="D15" i="24" a="1"/>
  <c r="D15" i="24" s="1"/>
  <c r="D16" i="24" a="1"/>
  <c r="D16" i="24" s="1"/>
  <c r="D17" i="24" a="1"/>
  <c r="D17" i="24" s="1"/>
  <c r="D18" i="24" a="1"/>
  <c r="D18" i="24" s="1"/>
  <c r="D19" i="24" a="1"/>
  <c r="D19" i="24" s="1"/>
  <c r="D20" i="24" a="1"/>
  <c r="D20" i="24" s="1"/>
  <c r="D21" i="24" a="1"/>
  <c r="D21" i="24" s="1"/>
  <c r="D22" i="24" a="1"/>
  <c r="D22" i="24" s="1"/>
  <c r="D23" i="24" a="1"/>
  <c r="D23" i="24" s="1"/>
  <c r="D24" i="24" a="1"/>
  <c r="D24" i="24" s="1"/>
  <c r="D25" i="24" a="1"/>
  <c r="D25" i="24" s="1"/>
  <c r="D26" i="24" a="1"/>
  <c r="D26" i="24" s="1"/>
  <c r="D27" i="24" a="1"/>
  <c r="D27" i="24" s="1"/>
  <c r="D28" i="24" a="1"/>
  <c r="D28" i="24" s="1"/>
  <c r="D29" i="24" a="1"/>
  <c r="D29" i="24" s="1"/>
  <c r="D30" i="24" a="1"/>
  <c r="D30" i="24" s="1"/>
  <c r="D31" i="24" a="1"/>
  <c r="D31" i="24" s="1"/>
  <c r="D32" i="24" a="1"/>
  <c r="D32" i="24" s="1"/>
  <c r="D33" i="24" a="1"/>
  <c r="D33" i="24" s="1"/>
  <c r="D34" i="24" a="1"/>
  <c r="D34" i="24" s="1"/>
  <c r="D35" i="24" a="1"/>
  <c r="D35" i="24" s="1"/>
  <c r="D36" i="24" a="1"/>
  <c r="D36" i="24" s="1"/>
  <c r="D37" i="24" a="1"/>
  <c r="D37" i="24" s="1"/>
  <c r="D38" i="24" a="1"/>
  <c r="D38" i="24" s="1"/>
  <c r="D39" i="24" a="1"/>
  <c r="D39" i="24" s="1"/>
  <c r="D40" i="24" a="1"/>
  <c r="D40" i="24" s="1"/>
  <c r="D41" i="24" a="1"/>
  <c r="D41" i="24" s="1"/>
  <c r="D42" i="24" a="1"/>
  <c r="D42" i="24" s="1"/>
  <c r="D43" i="24" a="1"/>
  <c r="D43" i="24" s="1"/>
  <c r="D44" i="24" a="1"/>
  <c r="D44" i="24" s="1"/>
  <c r="D45" i="24" a="1"/>
  <c r="D45" i="24" s="1"/>
  <c r="D46" i="24" a="1"/>
  <c r="D46" i="24" s="1"/>
  <c r="D47" i="24" a="1"/>
  <c r="D47" i="24" s="1"/>
  <c r="D48" i="24" a="1"/>
  <c r="D48" i="24" s="1"/>
  <c r="D49" i="24" a="1"/>
  <c r="D49" i="24" s="1"/>
  <c r="D50" i="24" a="1"/>
  <c r="D50" i="24" s="1"/>
  <c r="D51" i="24" a="1"/>
  <c r="D51" i="24" s="1"/>
  <c r="D52" i="24" a="1"/>
  <c r="D52" i="24" s="1"/>
  <c r="D53" i="24" a="1"/>
  <c r="D53" i="24" s="1"/>
  <c r="D54" i="24" a="1"/>
  <c r="D54" i="24" s="1"/>
  <c r="D55" i="24" a="1"/>
  <c r="D55" i="24" s="1"/>
  <c r="D56" i="24" a="1"/>
  <c r="D56" i="24" s="1"/>
  <c r="D57" i="24" a="1"/>
  <c r="D57" i="24" s="1"/>
  <c r="D58" i="24" a="1"/>
  <c r="D58" i="24" s="1"/>
  <c r="D59" i="24" a="1"/>
  <c r="D59" i="24" s="1"/>
  <c r="D60" i="24" a="1"/>
  <c r="D60" i="24" s="1"/>
  <c r="D61" i="24" a="1"/>
  <c r="D61" i="24" s="1"/>
  <c r="D62" i="24" a="1"/>
  <c r="D62" i="24" s="1"/>
  <c r="D63" i="24" a="1"/>
  <c r="D63" i="24" s="1"/>
  <c r="D64" i="24" a="1"/>
  <c r="D64" i="24" s="1"/>
  <c r="D65" i="24" a="1"/>
  <c r="D65" i="24" s="1"/>
  <c r="D66" i="24" a="1"/>
  <c r="D66" i="24" s="1"/>
  <c r="D67" i="24" a="1"/>
  <c r="D67" i="24" s="1"/>
  <c r="D68" i="24" a="1"/>
  <c r="D68" i="24" s="1"/>
  <c r="D69" i="24" a="1"/>
  <c r="D69" i="24" s="1"/>
  <c r="D70" i="24" a="1"/>
  <c r="D70" i="24" s="1"/>
  <c r="D71" i="24" a="1"/>
  <c r="D71" i="24" s="1"/>
  <c r="D72" i="24" a="1"/>
  <c r="D72" i="24" s="1"/>
  <c r="D74" i="24" a="1"/>
  <c r="D74" i="24" s="1"/>
  <c r="D75" i="24" a="1"/>
  <c r="D75" i="24" s="1"/>
  <c r="D78" i="24" a="1"/>
  <c r="D78" i="24" s="1"/>
  <c r="D79" i="24" a="1"/>
  <c r="D79" i="24" s="1"/>
  <c r="D80" i="24" a="1"/>
  <c r="D80" i="24" s="1"/>
  <c r="D81" i="24" a="1"/>
  <c r="D81" i="24" s="1"/>
  <c r="D82" i="24" a="1"/>
  <c r="D82" i="24" s="1"/>
  <c r="D83" i="24" a="1"/>
  <c r="D83" i="24" s="1"/>
  <c r="D84" i="24" a="1"/>
  <c r="D84" i="24" s="1"/>
  <c r="D85" i="24" a="1"/>
  <c r="D85" i="24" s="1"/>
  <c r="D86" i="24" a="1"/>
  <c r="D86" i="24" s="1"/>
  <c r="D87" i="24" a="1"/>
  <c r="D87" i="24" s="1"/>
  <c r="C15" i="24" a="1"/>
  <c r="C15" i="24" s="1"/>
  <c r="C16" i="24" a="1"/>
  <c r="C16" i="24" s="1"/>
  <c r="C17" i="24" a="1"/>
  <c r="C17" i="24" s="1"/>
  <c r="C18" i="24" a="1"/>
  <c r="C18" i="24" s="1"/>
  <c r="C19" i="24" a="1"/>
  <c r="C19" i="24" s="1"/>
  <c r="C20" i="24" a="1"/>
  <c r="C20" i="24" s="1"/>
  <c r="C21" i="24" a="1"/>
  <c r="C21" i="24" s="1"/>
  <c r="C22" i="24" a="1"/>
  <c r="C22" i="24" s="1"/>
  <c r="C23" i="24" a="1"/>
  <c r="C23" i="24" s="1"/>
  <c r="C24" i="24" a="1"/>
  <c r="C24" i="24" s="1"/>
  <c r="C25" i="24" a="1"/>
  <c r="C25" i="24" s="1"/>
  <c r="C26" i="24" a="1"/>
  <c r="C26" i="24" s="1"/>
  <c r="C27" i="24" a="1"/>
  <c r="C27" i="24" s="1"/>
  <c r="C28" i="24" a="1"/>
  <c r="C28" i="24" s="1"/>
  <c r="C29" i="24" a="1"/>
  <c r="C29" i="24" s="1"/>
  <c r="C30" i="24" a="1"/>
  <c r="C30" i="24" s="1"/>
  <c r="C31" i="24" a="1"/>
  <c r="C31" i="24" s="1"/>
  <c r="C32" i="24" a="1"/>
  <c r="C32" i="24" s="1"/>
  <c r="C33" i="24" a="1"/>
  <c r="C33" i="24" s="1"/>
  <c r="C34" i="24" a="1"/>
  <c r="C34" i="24" s="1"/>
  <c r="C35" i="24" a="1"/>
  <c r="C35" i="24" s="1"/>
  <c r="C36" i="24" a="1"/>
  <c r="C36" i="24" s="1"/>
  <c r="C37" i="24" a="1"/>
  <c r="C37" i="24" s="1"/>
  <c r="C38" i="24" a="1"/>
  <c r="C38" i="24" s="1"/>
  <c r="C39" i="24" a="1"/>
  <c r="C39" i="24" s="1"/>
  <c r="C40" i="24" a="1"/>
  <c r="C40" i="24" s="1"/>
  <c r="C41" i="24" a="1"/>
  <c r="C41" i="24" s="1"/>
  <c r="C42" i="24" a="1"/>
  <c r="C42" i="24" s="1"/>
  <c r="C43" i="24" a="1"/>
  <c r="C43" i="24" s="1"/>
  <c r="C44" i="24" a="1"/>
  <c r="C44" i="24" s="1"/>
  <c r="C45" i="24" a="1"/>
  <c r="C45" i="24" s="1"/>
  <c r="C46" i="24" a="1"/>
  <c r="C46" i="24" s="1"/>
  <c r="C47" i="24" a="1"/>
  <c r="C47" i="24" s="1"/>
  <c r="C48" i="24" a="1"/>
  <c r="C48" i="24" s="1"/>
  <c r="C49" i="24" a="1"/>
  <c r="C49" i="24" s="1"/>
  <c r="C50" i="24" a="1"/>
  <c r="C50" i="24" s="1"/>
  <c r="C51" i="24" a="1"/>
  <c r="C51" i="24" s="1"/>
  <c r="C52" i="24" a="1"/>
  <c r="C52" i="24" s="1"/>
  <c r="C53" i="24" a="1"/>
  <c r="C53" i="24" s="1"/>
  <c r="C54" i="24" a="1"/>
  <c r="C54" i="24" s="1"/>
  <c r="C55" i="24" a="1"/>
  <c r="C55" i="24" s="1"/>
  <c r="C56" i="24" a="1"/>
  <c r="C56" i="24" s="1"/>
  <c r="C57" i="24" a="1"/>
  <c r="C57" i="24" s="1"/>
  <c r="C58" i="24" a="1"/>
  <c r="C58" i="24" s="1"/>
  <c r="C59" i="24" a="1"/>
  <c r="C59" i="24" s="1"/>
  <c r="C60" i="24" a="1"/>
  <c r="C60" i="24" s="1"/>
  <c r="C61" i="24" a="1"/>
  <c r="C61" i="24" s="1"/>
  <c r="C62" i="24" a="1"/>
  <c r="C62" i="24" s="1"/>
  <c r="C63" i="24" a="1"/>
  <c r="C63" i="24" s="1"/>
  <c r="C64" i="24" a="1"/>
  <c r="C64" i="24" s="1"/>
  <c r="C65" i="24" a="1"/>
  <c r="C65" i="24" s="1"/>
  <c r="C66" i="24" a="1"/>
  <c r="C66" i="24" s="1"/>
  <c r="C67" i="24" a="1"/>
  <c r="C67" i="24" s="1"/>
  <c r="C68" i="24" a="1"/>
  <c r="C68" i="24" s="1"/>
  <c r="C69" i="24" a="1"/>
  <c r="C69" i="24" s="1"/>
  <c r="C70" i="24" a="1"/>
  <c r="C70" i="24" s="1"/>
  <c r="C71" i="24" a="1"/>
  <c r="C71" i="24" s="1"/>
  <c r="C72" i="24" a="1"/>
  <c r="C72" i="24" s="1"/>
  <c r="C74" i="24" a="1"/>
  <c r="C74" i="24" s="1"/>
  <c r="C75" i="24" a="1"/>
  <c r="C75" i="24" s="1"/>
  <c r="C78" i="24" a="1"/>
  <c r="C78" i="24" s="1"/>
  <c r="C79" i="24" a="1"/>
  <c r="C79" i="24" s="1"/>
  <c r="C80" i="24" a="1"/>
  <c r="C80" i="24" s="1"/>
  <c r="C81" i="24" a="1"/>
  <c r="C81" i="24" s="1"/>
  <c r="C82" i="24" a="1"/>
  <c r="C82" i="24" s="1"/>
  <c r="C83" i="24" a="1"/>
  <c r="C83" i="24" s="1"/>
  <c r="C84" i="24" a="1"/>
  <c r="C84" i="24" s="1"/>
  <c r="C85" i="24" a="1"/>
  <c r="C85" i="24" s="1"/>
  <c r="C86" i="24" a="1"/>
  <c r="C86" i="24" s="1"/>
  <c r="C87" i="24" a="1"/>
  <c r="C87" i="24" s="1"/>
  <c r="C118" i="24" a="1"/>
  <c r="C118" i="24" s="1"/>
  <c r="D118" i="24" a="1"/>
  <c r="D118" i="24" s="1"/>
  <c r="C119" i="24" a="1"/>
  <c r="C119" i="24" s="1"/>
  <c r="D119" i="24" a="1"/>
  <c r="D119" i="24" s="1"/>
  <c r="C120" i="24" a="1"/>
  <c r="C120" i="24" s="1"/>
  <c r="D120" i="24" a="1"/>
  <c r="D120" i="24" s="1"/>
  <c r="C6" i="24" a="1"/>
  <c r="C6" i="24" s="1"/>
  <c r="C90" i="24" s="1"/>
  <c r="C7" i="24" a="1"/>
  <c r="C7" i="24" s="1"/>
  <c r="D83" i="23" a="1"/>
  <c r="D83" i="23" s="1"/>
  <c r="C83" i="23" a="1"/>
  <c r="C83" i="23" s="1"/>
  <c r="D82" i="23" a="1"/>
  <c r="D82" i="23" s="1"/>
  <c r="C82" i="23" a="1"/>
  <c r="C82" i="23" s="1"/>
  <c r="D81" i="23" a="1"/>
  <c r="D81" i="23" s="1"/>
  <c r="C81" i="23" a="1"/>
  <c r="C81" i="23" s="1"/>
  <c r="D80" i="23" a="1"/>
  <c r="D80" i="23" s="1"/>
  <c r="C80" i="23" a="1"/>
  <c r="C80" i="23" s="1"/>
  <c r="D79" i="23" a="1"/>
  <c r="D79" i="23" s="1"/>
  <c r="C79" i="23" a="1"/>
  <c r="C79" i="23" s="1"/>
  <c r="D71" i="23" a="1"/>
  <c r="D71" i="23" s="1"/>
  <c r="C71" i="23" a="1"/>
  <c r="C71" i="23" s="1"/>
  <c r="D70" i="23" a="1"/>
  <c r="D70" i="23" s="1"/>
  <c r="C70" i="23" a="1"/>
  <c r="C70" i="23" s="1"/>
  <c r="D69" i="23" a="1"/>
  <c r="D69" i="23" s="1"/>
  <c r="C69" i="23" a="1"/>
  <c r="C69" i="23" s="1"/>
  <c r="D68" i="23" a="1"/>
  <c r="D68" i="23" s="1"/>
  <c r="C68" i="23" a="1"/>
  <c r="C68" i="23" s="1"/>
  <c r="D67" i="23" a="1"/>
  <c r="D67" i="23" s="1"/>
  <c r="C67" i="23" a="1"/>
  <c r="C67" i="23" s="1"/>
  <c r="D66" i="23" a="1"/>
  <c r="D66" i="23" s="1"/>
  <c r="C66" i="23" a="1"/>
  <c r="C66" i="23" s="1"/>
  <c r="D65" i="23" a="1"/>
  <c r="D65" i="23" s="1"/>
  <c r="C65" i="23" a="1"/>
  <c r="C65" i="23" s="1"/>
  <c r="D64" i="23" a="1"/>
  <c r="D64" i="23" s="1"/>
  <c r="C64" i="23" a="1"/>
  <c r="C64" i="23" s="1"/>
  <c r="D63" i="23" a="1"/>
  <c r="D63" i="23" s="1"/>
  <c r="C63" i="23" a="1"/>
  <c r="C63" i="23" s="1"/>
  <c r="D62" i="23" a="1"/>
  <c r="D62" i="23" s="1"/>
  <c r="C62" i="23" a="1"/>
  <c r="C62" i="23" s="1"/>
  <c r="D61" i="23" a="1"/>
  <c r="D61" i="23" s="1"/>
  <c r="C61" i="23" a="1"/>
  <c r="C61" i="23" s="1"/>
  <c r="D60" i="23" a="1"/>
  <c r="D60" i="23" s="1"/>
  <c r="C60" i="23" a="1"/>
  <c r="C60" i="23" s="1"/>
  <c r="D59" i="23" a="1"/>
  <c r="D59" i="23" s="1"/>
  <c r="C59" i="23" a="1"/>
  <c r="C59" i="23" s="1"/>
  <c r="D58" i="23" a="1"/>
  <c r="D58" i="23" s="1"/>
  <c r="C58" i="23" a="1"/>
  <c r="C58" i="23" s="1"/>
  <c r="D57" i="23" a="1"/>
  <c r="D57" i="23" s="1"/>
  <c r="C57" i="23" a="1"/>
  <c r="C57" i="23" s="1"/>
  <c r="D56" i="23" a="1"/>
  <c r="D56" i="23" s="1"/>
  <c r="C56" i="23" a="1"/>
  <c r="C56" i="23" s="1"/>
  <c r="D55" i="23" a="1"/>
  <c r="D55" i="23" s="1"/>
  <c r="C55" i="23" a="1"/>
  <c r="C55" i="23" s="1"/>
  <c r="D54" i="23" a="1"/>
  <c r="D54" i="23" s="1"/>
  <c r="C54" i="23" a="1"/>
  <c r="C54" i="23" s="1"/>
  <c r="D53" i="23" a="1"/>
  <c r="D53" i="23" s="1"/>
  <c r="C53" i="23" a="1"/>
  <c r="C53" i="23" s="1"/>
  <c r="D52" i="23" a="1"/>
  <c r="D52" i="23" s="1"/>
  <c r="C52" i="23" a="1"/>
  <c r="C52" i="23" s="1"/>
  <c r="D51" i="23" a="1"/>
  <c r="D51" i="23" s="1"/>
  <c r="C51" i="23" a="1"/>
  <c r="C51" i="23" s="1"/>
  <c r="D50" i="23" a="1"/>
  <c r="D50" i="23" s="1"/>
  <c r="C50" i="23" a="1"/>
  <c r="C50" i="23" s="1"/>
  <c r="D49" i="23" a="1"/>
  <c r="D49" i="23" s="1"/>
  <c r="C49" i="23" a="1"/>
  <c r="C49" i="23" s="1"/>
  <c r="D48" i="23" a="1"/>
  <c r="D48" i="23" s="1"/>
  <c r="C48" i="23" a="1"/>
  <c r="C48" i="23" s="1"/>
  <c r="D47" i="23" a="1"/>
  <c r="D47" i="23" s="1"/>
  <c r="C47" i="23" a="1"/>
  <c r="C47" i="23" s="1"/>
  <c r="D46" i="23" a="1"/>
  <c r="D46" i="23" s="1"/>
  <c r="C46" i="23" a="1"/>
  <c r="C46" i="23" s="1"/>
  <c r="D45" i="23" a="1"/>
  <c r="D45" i="23" s="1"/>
  <c r="C45" i="23" a="1"/>
  <c r="C45" i="23" s="1"/>
  <c r="D44" i="23" a="1"/>
  <c r="D44" i="23" s="1"/>
  <c r="C44" i="23" a="1"/>
  <c r="C44" i="23" s="1"/>
  <c r="D43" i="23" a="1"/>
  <c r="D43" i="23" s="1"/>
  <c r="C43" i="23" a="1"/>
  <c r="C43" i="23" s="1"/>
  <c r="D42" i="23" a="1"/>
  <c r="D42" i="23" s="1"/>
  <c r="C42" i="23" a="1"/>
  <c r="C42" i="23" s="1"/>
  <c r="D41" i="23" a="1"/>
  <c r="D41" i="23" s="1"/>
  <c r="C41" i="23" a="1"/>
  <c r="C41" i="23" s="1"/>
  <c r="D40" i="23" a="1"/>
  <c r="D40" i="23" s="1"/>
  <c r="C40" i="23" a="1"/>
  <c r="C40" i="23" s="1"/>
  <c r="D39" i="23" a="1"/>
  <c r="D39" i="23" s="1"/>
  <c r="C39" i="23" a="1"/>
  <c r="C39" i="23" s="1"/>
  <c r="D38" i="23" a="1"/>
  <c r="D38" i="23" s="1"/>
  <c r="C38" i="23" a="1"/>
  <c r="C38" i="23" s="1"/>
  <c r="D37" i="23" a="1"/>
  <c r="D37" i="23" s="1"/>
  <c r="C37" i="23" a="1"/>
  <c r="C37" i="23" s="1"/>
  <c r="D36" i="23" a="1"/>
  <c r="D36" i="23" s="1"/>
  <c r="C36" i="23" a="1"/>
  <c r="C36" i="23" s="1"/>
  <c r="D35" i="23" a="1"/>
  <c r="D35" i="23" s="1"/>
  <c r="C35" i="23" a="1"/>
  <c r="C35" i="23" s="1"/>
  <c r="D34" i="23" a="1"/>
  <c r="D34" i="23" s="1"/>
  <c r="C34" i="23" a="1"/>
  <c r="C34" i="23" s="1"/>
  <c r="D33" i="23" a="1"/>
  <c r="D33" i="23" s="1"/>
  <c r="C33" i="23" a="1"/>
  <c r="C33" i="23" s="1"/>
  <c r="D32" i="23" a="1"/>
  <c r="D32" i="23" s="1"/>
  <c r="C32" i="23" a="1"/>
  <c r="C32" i="23" s="1"/>
  <c r="D31" i="23" a="1"/>
  <c r="D31" i="23" s="1"/>
  <c r="C31" i="23" a="1"/>
  <c r="C31" i="23" s="1"/>
  <c r="D30" i="23" a="1"/>
  <c r="D30" i="23" s="1"/>
  <c r="C30" i="23" a="1"/>
  <c r="C30" i="23" s="1"/>
  <c r="D29" i="23" a="1"/>
  <c r="D29" i="23" s="1"/>
  <c r="C29" i="23" a="1"/>
  <c r="C29" i="23" s="1"/>
  <c r="D28" i="23" a="1"/>
  <c r="D28" i="23" s="1"/>
  <c r="C28" i="23" a="1"/>
  <c r="C28" i="23" s="1"/>
  <c r="D27" i="23" a="1"/>
  <c r="D27" i="23" s="1"/>
  <c r="C27" i="23" a="1"/>
  <c r="C27" i="23" s="1"/>
  <c r="D26" i="23" a="1"/>
  <c r="D26" i="23" s="1"/>
  <c r="C26" i="23" a="1"/>
  <c r="C26" i="23" s="1"/>
  <c r="D25" i="23" a="1"/>
  <c r="D25" i="23" s="1"/>
  <c r="C25" i="23" a="1"/>
  <c r="C25" i="23" s="1"/>
  <c r="D24" i="23" a="1"/>
  <c r="D24" i="23" s="1"/>
  <c r="C24" i="23" a="1"/>
  <c r="C24" i="23" s="1"/>
  <c r="D23" i="23" a="1"/>
  <c r="D23" i="23" s="1"/>
  <c r="C23" i="23" a="1"/>
  <c r="C23" i="23" s="1"/>
  <c r="D22" i="23" a="1"/>
  <c r="D22" i="23" s="1"/>
  <c r="C22" i="23" a="1"/>
  <c r="C22" i="23" s="1"/>
  <c r="D21" i="23" a="1"/>
  <c r="D21" i="23" s="1"/>
  <c r="C21" i="23" a="1"/>
  <c r="C21" i="23" s="1"/>
  <c r="D20" i="23" a="1"/>
  <c r="D20" i="23" s="1"/>
  <c r="C20" i="23" a="1"/>
  <c r="C20" i="23" s="1"/>
  <c r="D19" i="23" a="1"/>
  <c r="D19" i="23" s="1"/>
  <c r="C19" i="23" a="1"/>
  <c r="C19" i="23" s="1"/>
  <c r="D18" i="23" a="1"/>
  <c r="D18" i="23" s="1"/>
  <c r="C18" i="23" a="1"/>
  <c r="C18" i="23" s="1"/>
  <c r="D17" i="23" a="1"/>
  <c r="D17" i="23" s="1"/>
  <c r="C17" i="23" a="1"/>
  <c r="C17" i="23" s="1"/>
  <c r="D16" i="23" a="1"/>
  <c r="D16" i="23" s="1"/>
  <c r="C16" i="23" a="1"/>
  <c r="C16" i="23" s="1"/>
  <c r="D15" i="23" a="1"/>
  <c r="D15" i="23" s="1"/>
  <c r="C15" i="23" a="1"/>
  <c r="C15" i="23" s="1"/>
  <c r="D14" i="23" a="1"/>
  <c r="D14" i="23" s="1"/>
  <c r="C14" i="23" a="1"/>
  <c r="C14" i="23" s="1"/>
  <c r="C7" i="23" a="1"/>
  <c r="C7" i="23" s="1"/>
  <c r="D72" i="23" s="1"/>
  <c r="C6" i="23" a="1"/>
  <c r="C6" i="23" s="1"/>
  <c r="AJ55" i="5"/>
  <c r="K57" i="4" s="1"/>
  <c r="FW14" i="5"/>
  <c r="BO21" i="4" s="1"/>
  <c r="BK21" i="4"/>
  <c r="X28" i="4"/>
  <c r="DH184" i="5"/>
  <c r="AS57" i="4" s="1"/>
  <c r="CV184" i="5"/>
  <c r="AP57" i="4" s="1"/>
  <c r="DX59" i="5"/>
  <c r="AD57" i="4" s="1"/>
  <c r="AX21" i="4"/>
  <c r="CM12" i="5"/>
  <c r="AJ28" i="4" s="1"/>
  <c r="AS12" i="5"/>
  <c r="P28" i="4" s="1"/>
  <c r="C72" i="23" l="1"/>
  <c r="F164" i="23"/>
  <c r="F159" i="23"/>
  <c r="F166" i="23"/>
  <c r="F162" i="23"/>
  <c r="F154" i="23"/>
  <c r="F156" i="23"/>
  <c r="F165" i="23"/>
  <c r="F160" i="23"/>
  <c r="F158" i="23"/>
  <c r="F161" i="23"/>
  <c r="F157" i="23"/>
  <c r="F163" i="23"/>
  <c r="F155" i="23"/>
  <c r="D100" i="23" a="1"/>
  <c r="D100" i="23" s="1"/>
  <c r="C103" i="23" a="1"/>
  <c r="C103" i="23" s="1"/>
  <c r="E104" i="23" a="1"/>
  <c r="E104" i="23" s="1"/>
  <c r="C108" i="23" a="1"/>
  <c r="C108" i="23" s="1"/>
  <c r="D108" i="23" a="1"/>
  <c r="D108" i="23" s="1"/>
  <c r="D113" i="23" a="1"/>
  <c r="D113" i="23" s="1"/>
  <c r="E93" i="23" a="1"/>
  <c r="E93" i="23" s="1"/>
  <c r="E113" i="23" a="1"/>
  <c r="E113" i="23" s="1"/>
  <c r="C94" i="23" a="1"/>
  <c r="C94" i="23" s="1"/>
  <c r="D124" i="23" a="1"/>
  <c r="D124" i="23" s="1"/>
  <c r="E94" i="23" a="1"/>
  <c r="E94" i="23" s="1"/>
  <c r="C95" i="23" a="1"/>
  <c r="C95" i="23" s="1"/>
  <c r="E95" i="23" a="1"/>
  <c r="E95" i="23" s="1"/>
  <c r="E96" i="23" a="1"/>
  <c r="E96" i="23" s="1"/>
  <c r="D97" i="23" a="1"/>
  <c r="D97" i="23" s="1"/>
  <c r="E97" i="23" a="1"/>
  <c r="E97" i="23" s="1"/>
  <c r="C98" i="23" a="1"/>
  <c r="C98" i="23" s="1"/>
  <c r="C100" i="23" a="1"/>
  <c r="C100" i="23" s="1"/>
  <c r="C106" i="23" a="1"/>
  <c r="C106" i="23" s="1"/>
  <c r="D111" i="23" a="1"/>
  <c r="D111" i="23" s="1"/>
  <c r="C117" i="23" a="1"/>
  <c r="C117" i="23" s="1"/>
  <c r="D122" i="23" a="1"/>
  <c r="D122" i="23" s="1"/>
  <c r="E127" i="23" a="1"/>
  <c r="E127" i="23" s="1"/>
  <c r="C133" i="23" a="1"/>
  <c r="C133" i="23" s="1"/>
  <c r="D138" i="23" a="1"/>
  <c r="D138" i="23" s="1"/>
  <c r="E143" i="23" a="1"/>
  <c r="E143" i="23" s="1"/>
  <c r="C101" i="23" a="1"/>
  <c r="C101" i="23" s="1"/>
  <c r="D106" i="23" a="1"/>
  <c r="D106" i="23" s="1"/>
  <c r="E111" i="23" a="1"/>
  <c r="E111" i="23" s="1"/>
  <c r="D117" i="23" a="1"/>
  <c r="D117" i="23" s="1"/>
  <c r="E122" i="23" a="1"/>
  <c r="E122" i="23" s="1"/>
  <c r="F122" i="23" s="1"/>
  <c r="C128" i="23" a="1"/>
  <c r="C128" i="23" s="1"/>
  <c r="D133" i="23" a="1"/>
  <c r="D133" i="23" s="1"/>
  <c r="E138" i="23" a="1"/>
  <c r="E138" i="23" s="1"/>
  <c r="C144" i="23" a="1"/>
  <c r="C144" i="23" s="1"/>
  <c r="C96" i="23" a="1"/>
  <c r="C96" i="23" s="1"/>
  <c r="D101" i="23" a="1"/>
  <c r="D101" i="23" s="1"/>
  <c r="C112" i="23" a="1"/>
  <c r="C112" i="23" s="1"/>
  <c r="C123" i="23" a="1"/>
  <c r="C123" i="23" s="1"/>
  <c r="D128" i="23" a="1"/>
  <c r="D128" i="23" s="1"/>
  <c r="C139" i="23" a="1"/>
  <c r="C139" i="23" s="1"/>
  <c r="D144" i="23" a="1"/>
  <c r="D144" i="23" s="1"/>
  <c r="GF29" i="7"/>
  <c r="C107" i="23" a="1"/>
  <c r="C107" i="23" s="1"/>
  <c r="D112" i="23" a="1"/>
  <c r="D112" i="23" s="1"/>
  <c r="C118" i="23" a="1"/>
  <c r="C118" i="23" s="1"/>
  <c r="D123" i="23" a="1"/>
  <c r="D123" i="23" s="1"/>
  <c r="C134" i="23" a="1"/>
  <c r="C134" i="23" s="1"/>
  <c r="D139" i="23" a="1"/>
  <c r="D139" i="23" s="1"/>
  <c r="C102" i="23" a="1"/>
  <c r="C102" i="23" s="1"/>
  <c r="D107" i="23" a="1"/>
  <c r="D107" i="23" s="1"/>
  <c r="D118" i="23" a="1"/>
  <c r="D118" i="23" s="1"/>
  <c r="C129" i="23" a="1"/>
  <c r="C129" i="23" s="1"/>
  <c r="D134" i="23" a="1"/>
  <c r="D134" i="23" s="1"/>
  <c r="C145" i="23" a="1"/>
  <c r="C145" i="23" s="1"/>
  <c r="D102" i="23" a="1"/>
  <c r="D102" i="23" s="1"/>
  <c r="C124" i="23" a="1"/>
  <c r="C124" i="23" s="1"/>
  <c r="D129" i="23" a="1"/>
  <c r="D129" i="23" s="1"/>
  <c r="C140" i="23" a="1"/>
  <c r="C140" i="23" s="1"/>
  <c r="D145" i="23" a="1"/>
  <c r="D145" i="23" s="1"/>
  <c r="C119" i="23" a="1"/>
  <c r="C119" i="23" s="1"/>
  <c r="C135" i="23" a="1"/>
  <c r="C135" i="23" s="1"/>
  <c r="D140" i="23" a="1"/>
  <c r="D140" i="23" s="1"/>
  <c r="D119" i="23" a="1"/>
  <c r="D119" i="23" s="1"/>
  <c r="C130" i="23" a="1"/>
  <c r="C130" i="23" s="1"/>
  <c r="D135" i="23" a="1"/>
  <c r="D135" i="23" s="1"/>
  <c r="C146" i="23" a="1"/>
  <c r="C146" i="23" s="1"/>
  <c r="D103" i="23" a="1"/>
  <c r="D103" i="23" s="1"/>
  <c r="F103" i="23" s="1"/>
  <c r="C114" i="23" a="1"/>
  <c r="C114" i="23" s="1"/>
  <c r="C125" i="23" a="1"/>
  <c r="C125" i="23" s="1"/>
  <c r="D130" i="23" a="1"/>
  <c r="D130" i="23" s="1"/>
  <c r="C141" i="23" a="1"/>
  <c r="C141" i="23" s="1"/>
  <c r="D146" i="23" a="1"/>
  <c r="D146" i="23" s="1"/>
  <c r="C93" i="23" a="1"/>
  <c r="C93" i="23" s="1"/>
  <c r="F93" i="23" s="1"/>
  <c r="D98" i="23" a="1"/>
  <c r="D98" i="23" s="1"/>
  <c r="C109" i="23" a="1"/>
  <c r="C109" i="23" s="1"/>
  <c r="D114" i="23" a="1"/>
  <c r="D114" i="23" s="1"/>
  <c r="C120" i="23" a="1"/>
  <c r="C120" i="23" s="1"/>
  <c r="D125" i="23" a="1"/>
  <c r="D125" i="23" s="1"/>
  <c r="C136" i="23" a="1"/>
  <c r="C136" i="23" s="1"/>
  <c r="D141" i="23" a="1"/>
  <c r="D141" i="23" s="1"/>
  <c r="C104" i="23" a="1"/>
  <c r="C104" i="23" s="1"/>
  <c r="F104" i="23" s="1"/>
  <c r="D109" i="23" a="1"/>
  <c r="D109" i="23" s="1"/>
  <c r="D120" i="23" a="1"/>
  <c r="D120" i="23" s="1"/>
  <c r="C131" i="23" a="1"/>
  <c r="C131" i="23" s="1"/>
  <c r="D136" i="23" a="1"/>
  <c r="D136" i="23" s="1"/>
  <c r="C147" i="23" a="1"/>
  <c r="C147" i="23" s="1"/>
  <c r="C99" i="23" a="1"/>
  <c r="C99" i="23" s="1"/>
  <c r="C115" i="23" a="1"/>
  <c r="C115" i="23" s="1"/>
  <c r="C126" i="23" a="1"/>
  <c r="C126" i="23" s="1"/>
  <c r="D131" i="23" a="1"/>
  <c r="D131" i="23" s="1"/>
  <c r="C142" i="23" a="1"/>
  <c r="C142" i="23" s="1"/>
  <c r="D147" i="23" a="1"/>
  <c r="D147" i="23" s="1"/>
  <c r="D99" i="23" a="1"/>
  <c r="D99" i="23" s="1"/>
  <c r="C110" i="23" a="1"/>
  <c r="C110" i="23" s="1"/>
  <c r="D115" i="23" a="1"/>
  <c r="D115" i="23" s="1"/>
  <c r="C121" i="23" a="1"/>
  <c r="C121" i="23" s="1"/>
  <c r="D126" i="23" a="1"/>
  <c r="D126" i="23" s="1"/>
  <c r="C137" i="23" a="1"/>
  <c r="C137" i="23" s="1"/>
  <c r="D142" i="23" a="1"/>
  <c r="D142" i="23" s="1"/>
  <c r="C105" i="23" a="1"/>
  <c r="C105" i="23" s="1"/>
  <c r="D110" i="23" a="1"/>
  <c r="D110" i="23" s="1"/>
  <c r="D121" i="23" a="1"/>
  <c r="D121" i="23" s="1"/>
  <c r="C132" i="23" a="1"/>
  <c r="C132" i="23" s="1"/>
  <c r="D137" i="23" a="1"/>
  <c r="D137" i="23" s="1"/>
  <c r="C148" i="23" a="1"/>
  <c r="C148" i="23" s="1"/>
  <c r="D105" i="23" a="1"/>
  <c r="D105" i="23" s="1"/>
  <c r="D116" i="23" a="1"/>
  <c r="D116" i="23" s="1"/>
  <c r="F116" i="23" s="1"/>
  <c r="C127" i="23" a="1"/>
  <c r="C127" i="23" s="1"/>
  <c r="F127" i="23" s="1"/>
  <c r="D132" i="23" a="1"/>
  <c r="D132" i="23" s="1"/>
  <c r="C143" i="23" a="1"/>
  <c r="C143" i="23" s="1"/>
  <c r="F143" i="23" s="1"/>
  <c r="D148" i="23" a="1"/>
  <c r="D148" i="23" s="1"/>
  <c r="AQ64" i="8"/>
  <c r="F111" i="23"/>
  <c r="F100" i="23"/>
  <c r="F138" i="23"/>
  <c r="F108" i="23"/>
  <c r="F91" i="23"/>
  <c r="F124" i="23"/>
  <c r="F139" i="23"/>
  <c r="F117" i="23"/>
  <c r="F101" i="23"/>
  <c r="F113" i="23"/>
  <c r="F98" i="23"/>
  <c r="F94" i="23"/>
  <c r="F144" i="23"/>
  <c r="AQ64" i="4"/>
  <c r="F79" i="23"/>
  <c r="F81" i="23"/>
  <c r="F80" i="23"/>
  <c r="C10" i="24" a="1"/>
  <c r="C10" i="24" s="1"/>
  <c r="F82" i="23"/>
  <c r="F90" i="24"/>
  <c r="F83" i="23"/>
  <c r="C10" i="23" a="1"/>
  <c r="C10" i="23" s="1"/>
  <c r="E84" i="23"/>
  <c r="F72" i="23"/>
  <c r="E21" i="24"/>
  <c r="E29" i="24"/>
  <c r="E61" i="24"/>
  <c r="E15" i="23"/>
  <c r="E31" i="23"/>
  <c r="E47" i="23"/>
  <c r="E63" i="23"/>
  <c r="E59" i="24"/>
  <c r="E30" i="24"/>
  <c r="E24" i="23"/>
  <c r="E40" i="23"/>
  <c r="E56" i="23"/>
  <c r="E25" i="23"/>
  <c r="E33" i="23"/>
  <c r="E41" i="23"/>
  <c r="E49" i="23"/>
  <c r="E57" i="23"/>
  <c r="E65" i="23"/>
  <c r="E18" i="23"/>
  <c r="E26" i="23"/>
  <c r="E34" i="23"/>
  <c r="E42" i="23"/>
  <c r="E50" i="23"/>
  <c r="E58" i="23"/>
  <c r="E66" i="23"/>
  <c r="E19" i="23"/>
  <c r="E27" i="23"/>
  <c r="E35" i="23"/>
  <c r="E43" i="23"/>
  <c r="E51" i="23"/>
  <c r="E59" i="23"/>
  <c r="E67" i="23"/>
  <c r="E20" i="23"/>
  <c r="E50" i="24"/>
  <c r="E47" i="24"/>
  <c r="E34" i="24"/>
  <c r="C93" i="24" a="1"/>
  <c r="C93" i="24" s="1"/>
  <c r="C94" i="24" a="1"/>
  <c r="C94" i="24" s="1"/>
  <c r="D94" i="24" s="1" a="1"/>
  <c r="D94" i="24" s="1"/>
  <c r="E22" i="24"/>
  <c r="C102" i="24" a="1"/>
  <c r="C102" i="24" s="1"/>
  <c r="D102" i="24" s="1" a="1"/>
  <c r="D102" i="24" s="1"/>
  <c r="C103" i="24" a="1"/>
  <c r="C103" i="24" s="1"/>
  <c r="D103" i="24" s="1" a="1"/>
  <c r="D103" i="24" s="1"/>
  <c r="C96" i="24" a="1"/>
  <c r="C96" i="24" s="1"/>
  <c r="F96" i="24" s="1" a="1"/>
  <c r="F96" i="24" s="1"/>
  <c r="E58" i="24"/>
  <c r="E32" i="24"/>
  <c r="C8" i="24"/>
  <c r="E57" i="24"/>
  <c r="E44" i="24"/>
  <c r="E31" i="24"/>
  <c r="E20" i="24"/>
  <c r="C95" i="24" a="1"/>
  <c r="C95" i="24" s="1"/>
  <c r="E72" i="24"/>
  <c r="E56" i="24"/>
  <c r="E43" i="24"/>
  <c r="E19" i="24"/>
  <c r="C101" i="24" a="1"/>
  <c r="C101" i="24" s="1"/>
  <c r="E18" i="24"/>
  <c r="E69" i="24"/>
  <c r="E41" i="24"/>
  <c r="E17" i="24"/>
  <c r="C111" i="24" a="1"/>
  <c r="C111" i="24" s="1"/>
  <c r="F111" i="24" s="1" a="1"/>
  <c r="F111" i="24" s="1"/>
  <c r="E71" i="24"/>
  <c r="E68" i="24"/>
  <c r="E53" i="24"/>
  <c r="E40" i="24"/>
  <c r="E28" i="24"/>
  <c r="E16" i="24"/>
  <c r="C110" i="24" a="1"/>
  <c r="C110" i="24" s="1"/>
  <c r="E110" i="24" s="1" a="1"/>
  <c r="E110" i="24" s="1"/>
  <c r="C100" i="24" a="1"/>
  <c r="C100" i="24" s="1"/>
  <c r="E100" i="24" s="1" a="1"/>
  <c r="E100" i="24" s="1"/>
  <c r="E67" i="24"/>
  <c r="E52" i="24"/>
  <c r="E39" i="24"/>
  <c r="E27" i="24"/>
  <c r="E15" i="24"/>
  <c r="C109" i="24" a="1"/>
  <c r="C109" i="24" s="1"/>
  <c r="D109" i="24" s="1" a="1"/>
  <c r="D109" i="24" s="1"/>
  <c r="C99" i="24" a="1"/>
  <c r="C99" i="24" s="1"/>
  <c r="C92" i="24" a="1"/>
  <c r="C92" i="24" s="1"/>
  <c r="D92" i="24" s="1" a="1"/>
  <c r="D92" i="24" s="1"/>
  <c r="E66" i="24"/>
  <c r="E51" i="24"/>
  <c r="E38" i="24"/>
  <c r="C108" i="24" a="1"/>
  <c r="C108" i="24" s="1"/>
  <c r="E108" i="24" s="1" a="1"/>
  <c r="E108" i="24" s="1"/>
  <c r="C98" i="24" a="1"/>
  <c r="C98" i="24" s="1"/>
  <c r="D98" i="24" s="1" a="1"/>
  <c r="D98" i="24" s="1"/>
  <c r="E36" i="23"/>
  <c r="E52" i="23"/>
  <c r="E68" i="23"/>
  <c r="E65" i="24"/>
  <c r="C107" i="24" a="1"/>
  <c r="C107" i="24" s="1"/>
  <c r="E107" i="24" s="1" a="1"/>
  <c r="E107" i="24" s="1"/>
  <c r="D90" i="24"/>
  <c r="E64" i="24"/>
  <c r="E37" i="24"/>
  <c r="E25" i="24"/>
  <c r="C106" i="24" a="1"/>
  <c r="C106" i="24" s="1"/>
  <c r="D106" i="24" s="1" a="1"/>
  <c r="D106" i="24" s="1"/>
  <c r="E72" i="23"/>
  <c r="E42" i="24"/>
  <c r="E70" i="24"/>
  <c r="E14" i="23"/>
  <c r="E29" i="23"/>
  <c r="E45" i="23"/>
  <c r="E61" i="23"/>
  <c r="C8" i="23"/>
  <c r="E63" i="24"/>
  <c r="E49" i="24"/>
  <c r="E36" i="24"/>
  <c r="E24" i="24"/>
  <c r="C105" i="24" a="1"/>
  <c r="C105" i="24" s="1"/>
  <c r="D105" i="24" s="1" a="1"/>
  <c r="D105" i="24" s="1"/>
  <c r="E62" i="24"/>
  <c r="E48" i="24"/>
  <c r="E35" i="24"/>
  <c r="E23" i="24"/>
  <c r="C104" i="24" a="1"/>
  <c r="C104" i="24" s="1"/>
  <c r="D104" i="24" s="1" a="1"/>
  <c r="D104" i="24" s="1"/>
  <c r="C97" i="24" a="1"/>
  <c r="C97" i="24" s="1"/>
  <c r="E119" i="24"/>
  <c r="E118" i="24"/>
  <c r="D121" i="24"/>
  <c r="E120" i="24"/>
  <c r="C121" i="24"/>
  <c r="E60" i="24"/>
  <c r="E55" i="24"/>
  <c r="E45" i="24"/>
  <c r="E54" i="24"/>
  <c r="E33" i="24"/>
  <c r="E46" i="24"/>
  <c r="E26" i="24"/>
  <c r="C84" i="23"/>
  <c r="E37" i="23"/>
  <c r="E16" i="23"/>
  <c r="E32" i="23"/>
  <c r="E48" i="23"/>
  <c r="E64" i="23"/>
  <c r="E53" i="23"/>
  <c r="E69" i="23"/>
  <c r="E54" i="23"/>
  <c r="E70" i="23"/>
  <c r="E22" i="23"/>
  <c r="E38" i="23"/>
  <c r="E17" i="23"/>
  <c r="E23" i="23"/>
  <c r="E55" i="23"/>
  <c r="D84" i="23"/>
  <c r="E39" i="23"/>
  <c r="E71" i="23"/>
  <c r="E30" i="23"/>
  <c r="E62" i="23"/>
  <c r="E44" i="23"/>
  <c r="E46" i="23"/>
  <c r="E21" i="23"/>
  <c r="E28" i="23"/>
  <c r="E60" i="23"/>
  <c r="F140" i="23" l="1"/>
  <c r="F167" i="23"/>
  <c r="F106" i="23"/>
  <c r="F102" i="23"/>
  <c r="F146" i="23"/>
  <c r="F145" i="23"/>
  <c r="F96" i="23"/>
  <c r="F123" i="23"/>
  <c r="F107" i="23"/>
  <c r="F129" i="23"/>
  <c r="F125" i="23"/>
  <c r="F135" i="23"/>
  <c r="F118" i="23"/>
  <c r="F114" i="23"/>
  <c r="F112" i="23"/>
  <c r="F133" i="23"/>
  <c r="F95" i="23"/>
  <c r="F109" i="23"/>
  <c r="F141" i="23"/>
  <c r="F131" i="23"/>
  <c r="F110" i="23"/>
  <c r="F105" i="23"/>
  <c r="F119" i="23"/>
  <c r="F120" i="23"/>
  <c r="F99" i="23"/>
  <c r="F97" i="23"/>
  <c r="F115" i="23"/>
  <c r="F136" i="23"/>
  <c r="F134" i="23"/>
  <c r="F128" i="23"/>
  <c r="F132" i="23"/>
  <c r="F121" i="23"/>
  <c r="F147" i="23"/>
  <c r="F130" i="23"/>
  <c r="F148" i="23"/>
  <c r="F126" i="23"/>
  <c r="F142" i="23"/>
  <c r="F137" i="23"/>
  <c r="F84" i="23"/>
  <c r="F103" i="24" a="1"/>
  <c r="F103" i="24" s="1"/>
  <c r="D96" i="24" a="1"/>
  <c r="D96" i="24" s="1"/>
  <c r="E103" i="24" a="1"/>
  <c r="E103" i="24" s="1"/>
  <c r="F104" i="24" a="1"/>
  <c r="F104" i="24" s="1"/>
  <c r="F102" i="24" a="1"/>
  <c r="F102" i="24" s="1"/>
  <c r="E104" i="24" a="1"/>
  <c r="E104" i="24" s="1"/>
  <c r="F105" i="24" a="1"/>
  <c r="F105" i="24" s="1"/>
  <c r="E102" i="24" a="1"/>
  <c r="E102" i="24" s="1"/>
  <c r="E111" i="24" a="1"/>
  <c r="E111" i="24" s="1"/>
  <c r="D110" i="24" a="1"/>
  <c r="D110" i="24" s="1"/>
  <c r="D107" i="24" a="1"/>
  <c r="D107" i="24" s="1"/>
  <c r="E96" i="24" a="1"/>
  <c r="E96" i="24" s="1"/>
  <c r="F107" i="24" a="1"/>
  <c r="F107" i="24" s="1"/>
  <c r="F94" i="24" a="1"/>
  <c r="F94" i="24" s="1"/>
  <c r="E94" i="24" a="1"/>
  <c r="E94" i="24" s="1"/>
  <c r="E105" i="24" a="1"/>
  <c r="E105" i="24" s="1"/>
  <c r="F92" i="24" a="1"/>
  <c r="F92" i="24" s="1"/>
  <c r="E92" i="24" a="1"/>
  <c r="E92" i="24" s="1"/>
  <c r="F106" i="24" a="1"/>
  <c r="F106" i="24" s="1"/>
  <c r="F109" i="24" a="1"/>
  <c r="F109" i="24" s="1"/>
  <c r="E106" i="24" a="1"/>
  <c r="E106" i="24" s="1"/>
  <c r="F110" i="24" a="1"/>
  <c r="F110" i="24" s="1"/>
  <c r="E109" i="24" a="1"/>
  <c r="E109" i="24" s="1"/>
  <c r="E121" i="24"/>
  <c r="D108" i="24" a="1"/>
  <c r="D108" i="24" s="1"/>
  <c r="D111" i="24" a="1"/>
  <c r="D111" i="24" s="1"/>
  <c r="D100" i="24" a="1"/>
  <c r="D100" i="24" s="1"/>
  <c r="F108" i="24" a="1"/>
  <c r="F108" i="24" s="1"/>
  <c r="E93" i="24" a="1"/>
  <c r="E93" i="24" s="1"/>
  <c r="F93" i="24" a="1"/>
  <c r="F93" i="24" s="1"/>
  <c r="D93" i="24" a="1"/>
  <c r="D93" i="24" s="1"/>
  <c r="E101" i="24" a="1"/>
  <c r="E101" i="24" s="1"/>
  <c r="F101" i="24" a="1"/>
  <c r="F101" i="24" s="1"/>
  <c r="D101" i="24" a="1"/>
  <c r="D101" i="24" s="1"/>
  <c r="E99" i="24" a="1"/>
  <c r="E99" i="24" s="1"/>
  <c r="F99" i="24" a="1"/>
  <c r="F99" i="24" s="1"/>
  <c r="D99" i="24" a="1"/>
  <c r="D99" i="24" s="1"/>
  <c r="F98" i="24" a="1"/>
  <c r="F98" i="24" s="1"/>
  <c r="E97" i="24" a="1"/>
  <c r="E97" i="24" s="1"/>
  <c r="D97" i="24" a="1"/>
  <c r="D97" i="24" s="1"/>
  <c r="F97" i="24" a="1"/>
  <c r="F97" i="24" s="1"/>
  <c r="F100" i="24" a="1"/>
  <c r="F100" i="24" s="1"/>
  <c r="E98" i="24" a="1"/>
  <c r="E98" i="24" s="1"/>
  <c r="E95" i="24" a="1"/>
  <c r="E95" i="24" s="1"/>
  <c r="F95" i="24" a="1"/>
  <c r="F95" i="24" s="1"/>
  <c r="D95" i="24" a="1"/>
  <c r="D95" i="24" s="1"/>
  <c r="E92" i="23" a="1"/>
  <c r="E92" i="23" s="1"/>
  <c r="E149" i="23" s="1"/>
  <c r="D92" i="23" a="1"/>
  <c r="D92" i="23" s="1"/>
  <c r="D149" i="23" s="1"/>
  <c r="C92" i="23" a="1"/>
  <c r="C92" i="23" s="1"/>
  <c r="C149" i="23" l="1"/>
  <c r="F92" i="23"/>
  <c r="F149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tc={D80B269C-CFEE-4938-80DA-677E5575BDAD}</author>
    <author>tc={F3197A84-C662-470F-B923-9975A9A5CFFB}</author>
    <author>tc={96AEE005-6107-4960-801F-DE4B0AFAF1C8}</author>
    <author>tc={735F51DE-657E-4C60-9BD4-901301219C5C}</author>
    <author>tc={57AD9AED-EEB7-4CB2-AD05-AB09474DD765}</author>
    <author>tc={7AE1ED89-47A0-4F2E-B886-324A9B5A3CC4}</author>
    <author>tc={8C33AE0C-3D5E-4A7A-84F9-2949FF2CEF0A}</author>
    <author>tc={537B7F9A-3BC6-4988-ADBC-D4FD0A1219F7}</author>
    <author>tc={111637F6-3572-46BD-9A3F-028D2DBDFD05}</author>
    <author>tc={D8E172B0-B169-41BA-B6FC-F1F5A5EA8529}</author>
    <author>tc={FACFC63D-B084-4FC9-9F82-F9DAB8C0BAD5}</author>
    <author>tc={701F717E-8E25-42CF-946F-A5E2DF4B1138}</author>
    <author>tc={ADFDF3EA-10A2-4E80-AD2A-4540179F065E}</author>
    <author>tc={1047896B-D358-495F-8906-F34CE2EABA4D}</author>
    <author>tc={1645E972-3173-4E87-8BF0-108FB1513D5A}</author>
    <author>tc={F8FBD59D-44B1-45DB-92A8-DA4E87979658}</author>
    <author>tc={C76E3924-715C-492E-AA18-07B37E724425}</author>
    <author>tc={936A453D-96A8-4BC0-A004-1B47845CB4AF}</author>
    <author>tc={D71C88A7-CB06-459B-AD70-B01E9091E58C}</author>
  </authors>
  <commentList>
    <comment ref="DT29" authorId="0" shapeId="0" xr:uid="{D80B269C-CFEE-4938-80DA-677E5575BD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FERNANDO MARCOS CARVALHO DA SILVA
Desligado.</t>
      </text>
    </comment>
    <comment ref="M65" authorId="1" shapeId="0" xr:uid="{F3197A84-C662-470F-B923-9975A9A5CF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OTAVIO MEDEIROS PARREIRA
Desligado: maio</t>
      </text>
    </comment>
    <comment ref="AX65" authorId="2" shapeId="0" xr:uid="{96AEE005-6107-4960-801F-DE4B0AFAF1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JADSON CAETANO DOS REIS
Desligado</t>
      </text>
    </comment>
    <comment ref="EB67" authorId="3" shapeId="0" xr:uid="{735F51DE-657E-4C60-9BD4-901301219C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EDINEIDE PAULINA DOS SANTOS
INSS</t>
      </text>
    </comment>
    <comment ref="AA73" authorId="4" shapeId="0" xr:uid="{57AD9AED-EEB7-4CB2-AD05-AB09474DD7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MACKSON MARINS BRAGA
Transf. Civil - Maio</t>
      </text>
    </comment>
    <comment ref="DE75" authorId="5" shapeId="0" xr:uid="{7AE1ED89-47A0-4F2E-B886-324A9B5A3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LUCAS MACEDO SIQUEIRA
Transferido para a UTE.</t>
      </text>
    </comment>
    <comment ref="EB79" authorId="6" shapeId="0" xr:uid="{8C33AE0C-3D5E-4A7A-84F9-2949FF2CEF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ELISANGELA CARVALHO ROCHA
Desligamento:</t>
      </text>
    </comment>
    <comment ref="BH81" authorId="7" shapeId="0" xr:uid="{537B7F9A-3BC6-4988-ADBC-D4FD0A1219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FLAVIO RENATO DE SOUZA
Desligar</t>
      </text>
    </comment>
    <comment ref="BH83" authorId="8" shapeId="0" xr:uid="{111637F6-3572-46BD-9A3F-028D2DBDFD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FABIO SILVA ALVARENGA
Desligado</t>
      </text>
    </comment>
    <comment ref="EB85" authorId="9" shapeId="0" xr:uid="{D8E172B0-B169-41BA-B6FC-F1F5A5EA85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DAMARYS ANDRE DO AMARAL SOUZA
Desligar.</t>
      </text>
    </comment>
    <comment ref="BP110" authorId="10" shapeId="0" xr:uid="{FACFC63D-B084-4FC9-9F82-F9DAB8C0BA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Transferir custo para 741</t>
      </text>
    </comment>
    <comment ref="BZ113" authorId="11" shapeId="0" xr:uid="{701F717E-8E25-42CF-946F-A5E2DF4B11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LUDIMILLA GONCALVES AMARAL PINHEIRO DE MELO
Desligamento: 14/05/2026</t>
      </text>
    </comment>
    <comment ref="DO125" authorId="12" shapeId="0" xr:uid="{ADFDF3EA-10A2-4E80-AD2A-4540179F06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Desligar
Substituição em andamento</t>
      </text>
    </comment>
    <comment ref="EB125" authorId="13" shapeId="0" xr:uid="{1047896B-D358-495F-8906-F34CE2EABA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FABRICIO LEANDRO DA ROCHA
Desligado</t>
      </text>
    </comment>
    <comment ref="DO127" authorId="14" shapeId="0" xr:uid="{1645E972-3173-4E87-8BF0-108FB1513D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Desligar
Substituição em andamento
</t>
      </text>
    </comment>
    <comment ref="Z128" authorId="15" shapeId="0" xr:uid="{F8FBD59D-44B1-45DB-92A8-DA4E879796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 CARVALHO CALIXTO
Desligado</t>
      </text>
    </comment>
    <comment ref="EB141" authorId="16" shapeId="0" xr:uid="{C76E3924-715C-492E-AA18-07B37E7244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ALESSANDRO FONTES CABRAL
Desligado: fev</t>
      </text>
    </comment>
    <comment ref="BK143" authorId="17" shapeId="0" xr:uid="{936A453D-96A8-4BC0-A004-1B47845CB4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APOIO MACAÉ</t>
      </text>
    </comment>
    <comment ref="BV144" authorId="18" shapeId="0" xr:uid="{D71C88A7-CB06-459B-AD70-B01E9091E5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WALLACE DE OLIVEIRA CARVALHO
Desligado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tc={093BCADB-6BD8-41D3-8135-2FF588A97204}</author>
    <author>tc={21F9093B-C37C-42EC-81DB-A27551568585}</author>
    <author>tc={05A7E501-A163-41C1-A57A-22ABAB32E4FC}</author>
    <author>tc={85219DA7-FA44-4639-A5F9-844E6F0C9F1E}</author>
    <author>tc={13CD5A55-EC34-4462-956C-7EB4267BDC01}</author>
    <author>tc={AFA9382F-7714-4FBB-AAA3-200A0F4A0F53}</author>
    <author>tc={08B27ED8-F34D-4545-8291-CE589BEDE685}</author>
    <author>tc={6FF79BE8-33F5-4C21-9618-A15B9E8CEFEB}</author>
    <author>tc={2D1589E8-BF8F-4B7D-A36E-6F34AED59991}</author>
    <author>tc={20DEA7ED-B4C9-4610-8B33-E57ABAEA5BE6}</author>
    <author>tc={482F5088-0159-4862-A99D-9775380CEA44}</author>
    <author>tc={B06422C7-06FD-4161-B1CC-AFFACF0783CB}</author>
    <author>tc={93A046C4-5406-454F-BC63-7C5B77418B2C}</author>
    <author>tc={9AAB3180-82E2-46E2-8849-582129AB5F5B}</author>
    <author>tc={E1FCCC9F-4D88-45C4-8656-7688ECF552FF}</author>
    <author>tc={14D4311C-2C04-4D5F-999E-1F6A5E831110}</author>
    <author>tc={A8B4C57F-F15E-428F-9166-189757F088F7}</author>
    <author>tc={A4424D40-0FF2-4016-AB2F-49C05F009F9C}</author>
    <author>tc={BB20DF94-711E-497D-9913-28F37439E579}</author>
    <author>tc={7E786BAC-6037-41F9-B4CA-238F9700D549}</author>
    <author>tc={47755982-2D5D-4F9C-BF1D-829E46DA0A01}</author>
    <author>tc={078BA6BF-331E-4C3B-A8E9-F0765D6AB567}</author>
    <author>tc={0A25F718-7D10-4DEF-B428-2829AAF3E8D3}</author>
    <author>tc={1902D6F7-5A3C-418F-8161-0142B36520FF}</author>
    <author>tc={E2B366CC-0B9F-4249-8A0F-CBB67A417ADB}</author>
    <author>tc={0FC0E859-9217-4469-82A7-DF54A5F00564}</author>
  </authors>
  <commentList>
    <comment ref="GK42" authorId="0" shapeId="0" xr:uid="{093BCADB-6BD8-41D3-8135-2FF588A972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LEONARDO LUCAS
Transferido 741</t>
      </text>
    </comment>
    <comment ref="IA48" authorId="1" shapeId="0" xr:uid="{21F9093B-C37C-42EC-81DB-A275515685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QUADRO</t>
      </text>
    </comment>
    <comment ref="CR88" authorId="2" shapeId="0" xr:uid="{05A7E501-A163-41C1-A57A-22ABAB32E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promoção interna</t>
      </text>
    </comment>
    <comment ref="HS90" authorId="3" shapeId="0" xr:uid="{85219DA7-FA44-4639-A5F9-844E6F0C9F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ALDEMIR SCHWARTZ
Desligado</t>
      </text>
    </comment>
    <comment ref="CI92" authorId="4" shapeId="0" xr:uid="{13CD5A55-EC34-4462-956C-7EB4267BDC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ALESSANDRO PEREIRA BORGES
Promovido e transf. </t>
      </text>
    </comment>
    <comment ref="CR94" authorId="5" shapeId="0" xr:uid="{AFA9382F-7714-4FBB-AAA3-200A0F4A0F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rhay diniz bueno madureira
Promovido e transf. </t>
      </text>
    </comment>
    <comment ref="KO97" authorId="6" shapeId="0" xr:uid="{08B27ED8-F34D-4545-8291-CE589BEDE6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APOIO MACAE</t>
      </text>
    </comment>
    <comment ref="BW98" authorId="7" shapeId="0" xr:uid="{6FF79BE8-33F5-4C21-9618-A15B9E8CEF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Promoção: 05/2026</t>
      </text>
    </comment>
    <comment ref="FR98" authorId="8" shapeId="0" xr:uid="{2D1589E8-BF8F-4B7D-A36E-6F34AED599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LUIZ CESAR MADUREIRA NEVES
Promovido: Pintura</t>
      </text>
    </comment>
    <comment ref="GA100" authorId="9" shapeId="0" xr:uid="{20DEA7ED-B4C9-4610-8B33-E57ABAEA5B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IGOR DA SILVA BARBOZA
Desligado</t>
      </text>
    </comment>
    <comment ref="IC108" authorId="10" shapeId="0" xr:uid="{482F5088-0159-4862-A99D-9775380C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PEDRO HENRIQUE SANTOS GORNI DE JESUS
INSS</t>
      </text>
    </comment>
    <comment ref="EZ110" authorId="11" shapeId="0" xr:uid="{B06422C7-06FD-4161-B1CC-AFFACF0783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JORDAN CADIMO
Promovido</t>
      </text>
    </comment>
    <comment ref="IM110" authorId="12" shapeId="0" xr:uid="{93A046C4-5406-454F-BC63-7C5B77418B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GUILHERME DA SILVA FERREIRA DE PAULA
Desligado</t>
      </text>
    </comment>
    <comment ref="IM112" authorId="13" shapeId="0" xr:uid="{9AAB3180-82E2-46E2-8849-582129AB5F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LUIZ FELIPE VIANA DE OLIVEIRA
Desligado</t>
      </text>
    </comment>
    <comment ref="IW112" authorId="14" shapeId="0" xr:uid="{E1FCCC9F-4D88-45C4-8656-7688ECF552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TIAGO NUNES RITS
Desligado</t>
      </text>
    </comment>
    <comment ref="HS114" authorId="15" shapeId="0" xr:uid="{14D4311C-2C04-4D5F-999E-1F6A5E8311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SALIM SELEM BICHARA
Desligado</t>
      </text>
    </comment>
    <comment ref="IC114" authorId="16" shapeId="0" xr:uid="{A8B4C57F-F15E-428F-9166-189757F088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MATTEUS FREITAS LEITE BARRETO
Alistamento Militar</t>
      </text>
    </comment>
    <comment ref="IM114" authorId="17" shapeId="0" xr:uid="{A4424D40-0FF2-4016-AB2F-49C05F009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DOUGLAS VIANA DA FONSECA
Desligado</t>
      </text>
    </comment>
    <comment ref="IC116" authorId="18" shapeId="0" xr:uid="{BB20DF94-711E-497D-9913-28F37439E5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MATHEUS DOS ANJOS SILVA
Desligado</t>
      </text>
    </comment>
    <comment ref="IM116" authorId="19" shapeId="0" xr:uid="{7E786BAC-6037-41F9-B4CA-238F9700D5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MARCIO ANDRE FERREIRA
Desligado</t>
      </text>
    </comment>
    <comment ref="IW116" authorId="20" shapeId="0" xr:uid="{47755982-2D5D-4F9C-BF1D-829E46DA0A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FELIPE GABRIEL DO CARMO SANTOS
Desligado</t>
      </text>
    </comment>
    <comment ref="FI128" authorId="21" shapeId="0" xr:uid="{078BA6BF-331E-4C3B-A8E9-F0765D6AB5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DAVID CABRAL DA SILVA
INSS</t>
      </text>
    </comment>
    <comment ref="FI130" authorId="22" shapeId="0" xr:uid="{0A25F718-7D10-4DEF-B428-2829AAF3E8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JONATHAN PESSANHA DA CRUZ
INSS</t>
      </text>
    </comment>
    <comment ref="EZ136" authorId="23" shapeId="0" xr:uid="{1902D6F7-5A3C-418F-8161-0142B36520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DIEGO COSTA SANTANA MADUREIRA
INSS</t>
      </text>
    </comment>
    <comment ref="FR169" authorId="24" shapeId="0" xr:uid="{E2B366CC-0B9F-4249-8A0F-CBB67A417A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PAULO SANTOS DANTAS
Afastado pelo INSS.</t>
      </text>
    </comment>
    <comment ref="GE169" authorId="25" shapeId="0" xr:uid="{0FC0E859-9217-4469-82A7-DF54A5F005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OLAVO VITOR PEREIRA MIGUEL
Desligamento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tc={AB9F8654-5865-49C6-8957-BCC414111637}</author>
    <author>tc={3F9A6410-DF71-4F31-AFFF-410F494FFB34}</author>
    <author>tc={1A1D51BE-C329-4036-A1F7-56A903B1CAAF}</author>
    <author>tc={DF58760D-8397-4C4B-B8DE-473B05405BFC}</author>
    <author>tc={42422A99-C344-4156-ACDB-A789675FFE0B}</author>
  </authors>
  <commentList>
    <comment ref="BE19" authorId="0" shapeId="0" xr:uid="{AB9F8654-5865-49C6-8957-BCC414111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Organograma 737</t>
      </text>
    </comment>
    <comment ref="BN19" authorId="1" shapeId="0" xr:uid="{3F9A6410-DF71-4F31-AFFF-410F494FFB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Organograma 741</t>
      </text>
    </comment>
    <comment ref="AU21" authorId="2" shapeId="0" xr:uid="{1A1D51BE-C329-4036-A1F7-56A903B1CA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Organograma 736</t>
      </text>
    </comment>
    <comment ref="BN21" authorId="3" shapeId="0" xr:uid="{DF58760D-8397-4C4B-B8DE-473B05405B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Organograma 743</t>
      </text>
    </comment>
    <comment ref="AU28" authorId="4" shapeId="0" xr:uid="{42422A99-C344-4156-ACDB-A789675FF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Organograma 741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tc={038A2BFB-0B82-45DC-A1E0-B7679A2A8A71}</author>
    <author>tc={1F9B8CCE-353A-41AB-8065-04A01D88C465}</author>
    <author>tc={27DDA714-805E-4C71-A805-AB292EBAB32C}</author>
    <author>tc={94BAD2E3-B667-4E93-A693-93BA9EEC3177}</author>
    <author>tc={3C54A1AF-552A-4411-A563-25796F9940AD}</author>
    <author>tc={EB0E4946-61E4-4E1D-B68D-D87767505EB4}</author>
    <author>tc={F74230BE-222D-465C-AF17-9428122FA983}</author>
    <author>tc={403481C7-9AB3-4147-B065-A45426FABB50}</author>
    <author>tc={6D697168-4C44-41AA-80D0-9025CD956C9E}</author>
    <author>tc={B76F226A-657F-4B90-AE69-483C79EBCD8E}</author>
    <author>tc={B07825A3-FF4D-4DCD-9D08-11307DD43E3F}</author>
    <author>tc={C3FE2E8A-5B73-4C49-A0AD-C3A5120EC487}</author>
    <author>tc={7851F489-8E05-4A71-A0DE-531D21FC89E1}</author>
    <author>Isabel de Mendonça Damasceno</author>
    <author>tc={42990CD0-EA34-444D-AF08-EFBFC4011F3E}</author>
    <author>tc={D57133A6-857C-4E8F-9939-8CA46B31A556}</author>
    <author>tc={866F5B40-E9DE-4538-A362-ED60C5863B99}</author>
    <author>tc={969AB761-D3AC-4C96-B13B-F855DC855DD2}</author>
    <author>tc={4BB118C1-C366-4B4B-AD14-D2160596D677}</author>
    <author>tc={7A4E2C52-05E6-4C5A-B57D-38D0B089F860}</author>
    <author>tc={7996D590-ECE0-4227-96F7-01BFD539B450}</author>
    <author>tc={99A136E6-DA98-4ABA-B38E-83E8A8153E7F}</author>
    <author>tc={757AD38C-A8F9-4574-B91F-50E440A4CED4}</author>
    <author>tc={1193B852-6A0E-497C-931F-51EE3FF14273}</author>
    <author>tc={A25E4B09-98E9-4B0F-866C-B578A7404F27}</author>
    <author>tc={4E79967F-3B08-479F-A6D4-84FF9C75DA52}</author>
    <author>tc={E1736610-97F9-42D2-8742-42DF63FFCC26}</author>
    <author>tc={10A583E1-534F-41D8-BEB0-21DFE242E550}</author>
    <author>tc={FD88945C-3AD3-495D-AEB5-E57B9A03FB15}</author>
    <author>tc={93929921-80F0-47F9-A4C2-92D4E3535A8E}</author>
    <author>tc={225A12B4-1F81-441E-B6B8-64EE770D435F}</author>
    <author>tc={9EE1E8DC-A10B-4AAC-AAF8-474AB16D2494}</author>
    <author>tc={776270E6-504E-4745-B14A-979B857BD3D6}</author>
    <author>tc={F9226C62-ED87-49C8-8AF9-70B2BEE1D351}</author>
    <author>tc={CCBF5C75-3883-4000-B99E-F6F24E5D09CD}</author>
    <author>tc={F479E1C8-8222-424C-BC76-8E30B4126626}</author>
    <author>tc={66296D3A-B5DD-4008-A2EB-52CB110F70B4}</author>
    <author>tc={F77AFB3D-A139-4404-8DD0-9260E80A51A4}</author>
    <author>tc={F3760FD4-38E7-4EA2-AF38-DA579D6B1374}</author>
    <author>tc={33371080-1FA2-4AC6-8AE3-AC3703F8F8C4}</author>
    <author>tc={FF1BB523-DEC8-4545-BB58-8D186122ED3D}</author>
    <author>tc={D4CBEAB3-0D03-4826-86D0-19E15B118589}</author>
    <author>tc={A0B5FAEC-5A3C-4332-960A-3BB18E885AFF}</author>
    <author>tc={2E45D96D-7B03-42E1-9EB6-F64B5A250CFF}</author>
    <author>tc={5CE5C42B-DFCF-4ECF-9892-2200B20383D3}</author>
    <author>tc={CD56EBD2-A197-4121-B90C-AB75D199FF11}</author>
    <author>tc={4B9032F8-0647-43E9-8D6D-E1976C5313F0}</author>
    <author>tc={45D88415-158F-469A-BB28-83E9F58F2BD3}</author>
    <author>tc={2D6F2DFA-3FE9-40D9-BADD-1B9028736549}</author>
    <author>tc={92890CD5-7A7A-40C8-A6F9-532A47EE45DA}</author>
    <author>tc={474D6CAA-CCBF-4B5A-B34F-7C567F26F2E1}</author>
    <author>tc={C039BCA2-7B88-4F9B-A823-501125AAFF52}</author>
    <author>tc={280B1453-4AF8-43D5-9418-C54D2FF933F3}</author>
    <author>tc={A2D35FF8-4BA5-4A4D-8D42-AE1F981B8B71}</author>
    <author>tc={48CC1F51-3AD4-4467-A555-40362D11105D}</author>
    <author>tc={F6443796-A802-4936-87A9-1A54480C84EC}</author>
    <author>tc={C04FF428-6100-4939-A900-2355901B6C81}</author>
    <author>tc={C671806D-78AA-4834-AB29-D0D0887B7CE0}</author>
    <author>tc={C926B137-9E8E-46ED-B565-1B996BBEBA59}</author>
    <author>tc={765E2DDE-DD90-420F-A714-FD0E7DA9833A}</author>
    <author>tc={38D42D25-137F-4222-AFB3-C83B62911CEA}</author>
    <author>tc={C23D40F0-96DB-4CFE-B1D5-64435D9B5071}</author>
    <author>tc={AE729A9E-9FE9-4025-B878-2C0FBC0683D9}</author>
    <author>tc={DC6AE467-D4A1-40D4-AE34-5D0362A4085B}</author>
    <author>tc={27400B56-68E4-4716-AA53-64B0AC1EBB30}</author>
    <author>tc={74EA02CB-2505-470C-88BA-D9238BF3A9B7}</author>
    <author>tc={1CEA8D3A-C202-4680-A9EB-21FE6D262806}</author>
    <author>tc={7CE6D488-BECA-42F2-BC8F-1DA6B76796D3}</author>
    <author>tc={72D45EBA-5A82-4488-9576-BB0CE1BA87D8}</author>
    <author>tc={A33F73C4-4195-4347-8D3F-29C7B281B0BA}</author>
    <author>tc={CAF0C840-3340-4999-9333-534E38F6D016}</author>
    <author>tc={027D901E-AA1D-424A-B598-49C580CDAAF7}</author>
    <author>tc={7D2B697E-4CA6-408D-A747-0A5305F2EB8D}</author>
    <author>tc={74370B6F-6366-41A9-ABFF-630D93303582}</author>
    <author>tc={24078648-197D-43D6-B46C-C8B4EB70E569}</author>
    <author>tc={074B98F0-82EC-460B-A439-D99D9E0CCB1D}</author>
    <author>tc={3BA59ACF-36BB-466D-88CE-D1E97277892D}</author>
    <author>tc={0A3455E3-739A-4355-8767-FCAE16D2153B}</author>
    <author>tc={BC79A5F7-AE5B-4141-9FB7-EE55CE2920EF}</author>
    <author>tc={E5095296-51D4-4042-9C32-9B72BB6C6B5E}</author>
    <author>tc={D6C63E2F-BFF4-4169-9ACB-AD1F6078856B}</author>
    <author>tc={BE55F079-D65B-4E4D-8A7B-7FF59BD7551B}</author>
    <author>tc={9EC32E60-87F6-4810-9C66-4C660DFC6C79}</author>
    <author>tc={9E078DBE-1C46-4FEC-A2F6-051655B2D328}</author>
    <author>tc={3675E619-0DE6-4357-8335-E7076D957592}</author>
    <author>tc={2C091BF0-4E77-4A41-BF81-F7A9600A34CE}</author>
    <author>tc={E65528C2-380A-49A8-AF30-D67D0F9CBE4C}</author>
    <author>tc={90AC8428-1232-4D44-A983-BC485477A75F}</author>
    <author>tc={6C2D3B02-13DC-4289-B148-04C0BEA102E8}</author>
    <author>tc={F46DF49C-E86C-4C21-92DF-75DE2BAC598A}</author>
    <author>tc={0E0BE125-AF74-4319-BC9E-574F5ECD3B73}</author>
    <author>tc={4379590B-D9E2-4EB8-8410-646DCC598717}</author>
    <author>tc={29FE574F-27F4-4574-8707-81DD6E04DAF7}</author>
    <author>tc={AFE19DB6-5FE7-4CE8-BD23-216C3AEB2AA0}</author>
    <author>tc={A54B23EF-A0AD-43C4-B982-E34719CDA15B}</author>
    <author>tc={23BD0B98-1127-4C3C-90B5-1651222A8AC6}</author>
    <author>tc={717EC6EA-50CC-4CC6-A1DD-A72637D45C02}</author>
    <author>tc={F9AD952F-CE93-4B28-B54C-26D6D8A8610A}</author>
    <author>tc={10E996BF-04B9-4257-AE2A-45AD07170073}</author>
    <author>tc={7EC4DA6B-B9B8-429C-B337-8100E8250EB9}</author>
    <author>tc={B4DD32D6-3754-4875-A6C4-705FC18ABC9C}</author>
    <author>tc={1A9CA7DA-D7E8-4BDB-AB65-A377E56C097A}</author>
    <author>tc={29530D96-E745-49A6-BB60-8E3DCC4367A9}</author>
  </authors>
  <commentList>
    <comment ref="BA57" authorId="0" shapeId="0" xr:uid="{038A2BFB-0B82-45DC-A1E0-B7679A2A8A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de: SAMARA APARECIDA DA SILVA
Desligada</t>
      </text>
    </comment>
    <comment ref="IP57" authorId="1" shapeId="0" xr:uid="{1F9B8CCE-353A-41AB-8065-04A01D88C4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18/11/2025</t>
      </text>
    </comment>
    <comment ref="LA59" authorId="2" shapeId="0" xr:uid="{27DDA714-805E-4C71-A805-AB292EBAB3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BEATRIZ VALENTIM CAETANO DE OLIVEIRA 
Promoção: 03/2026</t>
      </text>
    </comment>
    <comment ref="LL59" authorId="3" shapeId="0" xr:uid="{94BAD2E3-B667-4E93-A693-93BA9EEC31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24/03/2026
ANA CRISTINA CONCEICAO DE MACEDO
Desligamento: programar</t>
      </text>
    </comment>
    <comment ref="IA60" authorId="4" shapeId="0" xr:uid="{3C54A1AF-552A-4411-A563-25796F994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MARCIO DOS SANTOS
Desligamento: 09/12/2025</t>
      </text>
    </comment>
    <comment ref="KE60" authorId="5" shapeId="0" xr:uid="{EB0E4946-61E4-4E1D-B68D-D87767505E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VICTOR HUGO VALENTIM SILVA
Desligamento
</t>
      </text>
    </comment>
    <comment ref="MP60" authorId="6" shapeId="0" xr:uid="{F74230BE-222D-465C-AF17-9428122FA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ALINE COUTINHO
Demissão: 20/01/2026</t>
      </text>
    </comment>
    <comment ref="KE62" authorId="7" shapeId="0" xr:uid="{403481C7-9AB3-4147-B065-A45426FABB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Substituição em andamento.
</t>
      </text>
    </comment>
    <comment ref="NH63" authorId="8" shapeId="0" xr:uid="{6D697168-4C44-41AA-80D0-9025CD956C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CLEIDIR FURTUOSO DE AZEREDO
Desligar.</t>
      </text>
    </comment>
    <comment ref="KE64" authorId="9" shapeId="0" xr:uid="{B76F226A-657F-4B90-AE69-483C79EBCD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GLAUBER DE JESUS SILVA
Desligado: 09/04/2026</t>
      </text>
    </comment>
    <comment ref="KE66" authorId="10" shapeId="0" xr:uid="{B07825A3-FF4D-4DCD-9D08-11307DD43E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13/10/2025</t>
      </text>
    </comment>
    <comment ref="IP67" authorId="11" shapeId="0" xr:uid="{C3FE2E8A-5B73-4C49-A0AD-C3A5120EC4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MARIA CARLA PESSANHA ATTYE MOCO
Demissão: 13/02/2026</t>
      </text>
    </comment>
    <comment ref="EI69" authorId="12" shapeId="0" xr:uid="{7851F489-8E05-4A71-A0DE-531D21FC8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YURI ARAUJO FERREIRA DE SIQUEIRA
Desligamento: 19/11/2025</t>
      </text>
    </comment>
    <comment ref="EI70" authorId="13" shapeId="0" xr:uid="{99C29AE3-D6C5-4215-96D3-78498A2B39C3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Promoção interna</t>
        </r>
      </text>
    </comment>
    <comment ref="ET71" authorId="14" shapeId="0" xr:uid="{42990CD0-EA34-444D-AF08-EFBFC4011F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FELIPE MENDES DA CUNHA
Desligamento: 09/01/2026</t>
      </text>
    </comment>
    <comment ref="FP71" authorId="15" shapeId="0" xr:uid="{D57133A6-857C-4E8F-9939-8CA46B31A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THAIS DAMASCO DIAS
Desligamento: 23/03/2026
admissão: 04/05/2026</t>
      </text>
    </comment>
    <comment ref="NH71" authorId="16" shapeId="0" xr:uid="{866F5B40-E9DE-4538-A362-ED60C5863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THAIS BEZERRA PINTO SANTANA</t>
      </text>
    </comment>
    <comment ref="EI72" authorId="13" shapeId="0" xr:uid="{D8B3BD11-ADE0-41E9-AA03-54C9B66F6FB5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Promoção interna</t>
        </r>
      </text>
    </comment>
    <comment ref="ET73" authorId="17" shapeId="0" xr:uid="{969AB761-D3AC-4C96-B13B-F855DC855D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GABRIELA SOARES LIMA DA CONCEIÇÃO
Promoção: 06/2026
admissão: 04/05/2026</t>
      </text>
    </comment>
    <comment ref="NH73" authorId="18" shapeId="0" xr:uid="{4BB118C1-C366-4B4B-AD14-D2160596D6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UELDSON BARRETO
Desligar.
Admissão: 04/05/2026</t>
      </text>
    </comment>
    <comment ref="BQ74" authorId="19" shapeId="0" xr:uid="{7A4E2C52-05E6-4C5A-B57D-38D0B089F8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MATEUS ANDRE DA SILVA CRUZ
Em teste
Admissão: 09/03/2026</t>
      </text>
    </comment>
    <comment ref="BQ81" authorId="20" shapeId="0" xr:uid="{7996D590-ECE0-4227-96F7-01BFD539B4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Josué Fernandes Cirilo
Aviso prévio</t>
      </text>
    </comment>
    <comment ref="BQ85" authorId="21" shapeId="0" xr:uid="{99A136E6-DA98-4ABA-B38E-83E8A8153E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GIOVANNI MORAIS DE SOUZA
Desligamento: 02/04/2026
Admissão: 03/03/2026</t>
      </text>
    </comment>
    <comment ref="CC87" authorId="22" shapeId="0" xr:uid="{757AD38C-A8F9-4574-B91F-50E440A4C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EGIDIO FRANCISCO DA SILVA FILHO
Desligamento: 08/12/2025</t>
      </text>
    </comment>
    <comment ref="CC89" authorId="23" shapeId="0" xr:uid="{1193B852-6A0E-497C-931F-51EE3FF142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 Hugo Cesar dos Santos
Promoção: Fev/2026</t>
      </text>
    </comment>
    <comment ref="BK109" authorId="24" shapeId="0" xr:uid="{A25E4B09-98E9-4B0F-866C-B578A7404F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20/10/2025.</t>
      </text>
    </comment>
    <comment ref="KS109" authorId="25" shapeId="0" xr:uid="{4E79967F-3B08-479F-A6D4-84FF9C75DA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10/12/2025
JANAINA DA SILVA CARDOSO
Desligamento: 03/11/2025.</t>
      </text>
    </comment>
    <comment ref="GA119" authorId="13" shapeId="0" xr:uid="{AEFD9AD4-23CA-4917-82C5-B56D691E57D9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Área de limpeza</t>
        </r>
      </text>
    </comment>
    <comment ref="GA121" authorId="13" shapeId="0" xr:uid="{1C93C53A-09F1-42DC-BEB1-6643903019C2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Z121" authorId="26" shapeId="0" xr:uid="{E1736610-97F9-42D2-8742-42DF63FFCC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ALAN RESENDE DA SILVA
Transferido p 736: 03/2026</t>
      </text>
    </comment>
    <comment ref="CR122" authorId="27" shapeId="0" xr:uid="{10A583E1-534F-41D8-BEB0-21DFE242E5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15/04/2026</t>
      </text>
    </comment>
    <comment ref="GZ123" authorId="28" shapeId="0" xr:uid="{FD88945C-3AD3-495D-AEB5-E57B9A03FB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 ANTONIO CARLOS CARDOSO DE SOUZA
Transferido para Imbetiba.
Admissão: 06/03/2026</t>
      </text>
    </comment>
    <comment ref="OC123" authorId="29" shapeId="0" xr:uid="{93929921-80F0-47F9-A4C2-92D4E3535A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JOÃO FRANCISCO DUARTE TAVARES
desligado</t>
      </text>
    </comment>
    <comment ref="HM125" authorId="30" shapeId="0" xr:uid="{225A12B4-1F81-441E-B6B8-64EE770D43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ALAN MOUZA DE CASTRO</t>
      </text>
    </comment>
    <comment ref="IL125" authorId="31" shapeId="0" xr:uid="{9EE1E8DC-A10B-4AAC-AAF8-474AB16D24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20/03/2026
BARBARA GLEISSY DA SILVA SANTOS BEIRAL
Desligamento: 08/12/2025</t>
      </text>
    </comment>
    <comment ref="KS127" authorId="13" shapeId="0" xr:uid="{9829FFFE-CBA7-43FC-B695-79A188CD4A4C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Tirar desse setor.</t>
        </r>
      </text>
    </comment>
    <comment ref="JA128" authorId="32" shapeId="0" xr:uid="{776270E6-504E-4745-B14A-979B857BD3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ADRIANO DE SOUZA BATISTA
Demissão: 12/09/2026</t>
      </text>
    </comment>
    <comment ref="LO128" authorId="33" shapeId="0" xr:uid="{F9226C62-ED87-49C8-8AF9-70B2BEE1D3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EMERSON DE AGUIAR PEREIRA
Desligamento: 19/02/2026</t>
      </text>
    </comment>
    <comment ref="CF129" authorId="34" shapeId="0" xr:uid="{CCBF5C75-3883-4000-B99E-F6F24E5D09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GILBERTO AGUIAR DE SOUZA
Desligamento: 03/02/2026</t>
      </text>
    </comment>
    <comment ref="CR129" authorId="35" shapeId="0" xr:uid="{F479E1C8-8222-424C-BC76-8E30B41266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LUIZ ANTONIO DE SOUZA TAVARES
Desligado</t>
      </text>
    </comment>
    <comment ref="EV129" authorId="36" shapeId="0" xr:uid="{66296D3A-B5DD-4008-A2EB-52CB110F70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ELI DA SILVA MOREIRA
Desligamento: 20/03/2026
Admissão: 16/04/2026</t>
      </text>
    </comment>
    <comment ref="GA129" authorId="37" shapeId="0" xr:uid="{F77AFB3D-A139-4404-8DD0-9260E80A51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KEVEN MOURA CRIZANTO MARTINS
Desligamento: 19/02/2026</t>
      </text>
    </comment>
    <comment ref="OP129" authorId="38" shapeId="0" xr:uid="{F3760FD4-38E7-4EA2-AF38-DA579D6B13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THIAGO AMARAL DOS SANTOS
Desligado: 17/11/2025
Admissão: 17/12/2025</t>
      </text>
    </comment>
    <comment ref="JA130" authorId="39" shapeId="0" xr:uid="{33371080-1FA2-4AC6-8AE3-AC3703F8F8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PAULO RENATO SOUZA DA COSTA
INSS: 24/11/2025</t>
      </text>
    </comment>
    <comment ref="KH130" authorId="40" shapeId="0" xr:uid="{FF1BB523-DEC8-4545-BB58-8D186122ED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 Lara Abreu Monzato, transferida para o Planejamento.
Admissão: 05/01/2026</t>
      </text>
    </comment>
    <comment ref="LO130" authorId="41" shapeId="0" xr:uid="{D4CBEAB3-0D03-4826-86D0-19E15B1185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WALLACE EMANOEL SOARES COSTA
INSS: 19/01/2026</t>
      </text>
    </comment>
    <comment ref="LZ130" authorId="42" shapeId="0" xr:uid="{A0B5FAEC-5A3C-4332-960A-3BB18E885A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 Pedro Henrique, transferido para Elétrica.</t>
      </text>
    </comment>
    <comment ref="R131" authorId="43" shapeId="0" xr:uid="{2E45D96D-7B03-42E1-9EB6-F64B5A250C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LUCAS CRISTINO FONTES DA SILVA
Desligamento: 18/12/2025</t>
      </text>
    </comment>
    <comment ref="AD131" authorId="44" shapeId="0" xr:uid="{5CE5C42B-DFCF-4ECF-9892-2200B20383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PEDRO HERIQUE DE LIMA PASSOS SOUZA 									
Transferido para o 736</t>
      </text>
    </comment>
    <comment ref="CR131" authorId="45" shapeId="0" xr:uid="{CD56EBD2-A197-4121-B90C-AB75D199FF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18/11/2025</t>
      </text>
    </comment>
    <comment ref="GA131" authorId="46" shapeId="0" xr:uid="{4B9032F8-0647-43E9-8D6D-E1976C5313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ALEXSANDRO DE OLIVEIRA MARINHO
Desligamento: 05/01/2026</t>
      </text>
    </comment>
    <comment ref="HM131" authorId="47" shapeId="0" xr:uid="{45D88415-158F-469A-BB28-83E9F58F2B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 LUCIA PAULA DE MORAES NASCIMENTO
Desligamento: 20/03/2026</t>
      </text>
    </comment>
    <comment ref="HZ131" authorId="48" shapeId="0" xr:uid="{2D6F2DFA-3FE9-40D9-BADD-1B90287365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DEISE DOS SANTOS GOMES PIO
Desligamento: 23/03/2026
admissão: 04/05/2026</t>
      </text>
    </comment>
    <comment ref="OC131" authorId="49" shapeId="0" xr:uid="{92890CD5-7A7A-40C8-A6F9-532A47EE4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RODRIGO QUINTELA QUEIROZ
Promovido: Fevereiro/2026.</t>
      </text>
    </comment>
    <comment ref="JA132" authorId="50" shapeId="0" xr:uid="{474D6CAA-CCBF-4B5A-B34F-7C567F26F2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</t>
      </text>
    </comment>
    <comment ref="KH132" authorId="51" shapeId="0" xr:uid="{C039BCA2-7B88-4F9B-A823-501125AAFF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Promoção para fevereiro/2026.</t>
      </text>
    </comment>
    <comment ref="KS132" authorId="52" shapeId="0" xr:uid="{280B1453-4AF8-43D5-9418-C54D2FF933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GABRIELLA ROSA AS SILVA DOS SANTOS
Demissão: 08/04/2026</t>
      </text>
    </comment>
    <comment ref="LO132" authorId="53" shapeId="0" xr:uid="{A2D35FF8-4BA5-4A4D-8D42-AE1F981B8B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</t>
      </text>
    </comment>
    <comment ref="OP132" authorId="54" shapeId="0" xr:uid="{48CC1F51-3AD4-4467-A555-40362D1110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ARVIDO BALANIUK
Transferido para 741.
Promoção: Fevereiro/2026.
</t>
      </text>
    </comment>
    <comment ref="AP133" authorId="55" shapeId="0" xr:uid="{F6443796-A802-4936-87A9-1A54480C84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05/01/2026</t>
      </text>
    </comment>
    <comment ref="HZ133" authorId="56" shapeId="0" xr:uid="{C04FF428-6100-4939-A900-2355901B6C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DELZA MACHADO BEIRAL DA SILVA
Desligamento: 09/03/2026</t>
      </text>
    </comment>
    <comment ref="BQ134" authorId="57" shapeId="0" xr:uid="{C671806D-78AA-4834-AB29-D0D0887B7C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ALEXANDRE DE CARVALHO CONCEICAO
Promovido para Mecânico na vaga do Rive.</t>
      </text>
    </comment>
    <comment ref="LO134" authorId="58" shapeId="0" xr:uid="{C926B137-9E8E-46ED-B565-1B996BBEBA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</t>
      </text>
    </comment>
    <comment ref="R135" authorId="59" shapeId="0" xr:uid="{765E2DDE-DD90-420F-A714-FD0E7DA983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JOAO VITOR DE MORAES
Promoção à Eletricista: Março/2026.
Admissão: 09/03/2026</t>
      </text>
    </comment>
    <comment ref="AD135" authorId="60" shapeId="0" xr:uid="{38D42D25-137F-4222-AFB3-C83B62911C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DOUGLAS DE ARAUJO  LISTO
Transferido para eletromecanica e promovido a Eletricista.</t>
      </text>
    </comment>
    <comment ref="GA135" authorId="61" shapeId="0" xr:uid="{C23D40F0-96DB-4CFE-B1D5-64435D9B50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FABRICIO DOS SANTOS
Desligamento: 02/02/2026
Admissão: 15/04/2026</t>
      </text>
    </comment>
    <comment ref="BQ136" authorId="62" shapeId="0" xr:uid="{AE729A9E-9FE9-4025-B878-2C0FBC068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de: Gilmar da Silva Pessoa
Transferido para 736.</t>
      </text>
    </comment>
    <comment ref="JL136" authorId="63" shapeId="0" xr:uid="{DC6AE467-D4A1-40D4-AE34-5D0362A408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ICARO DANTAS DOS SANTOS
Desligado: 20/10/2025</t>
      </text>
    </comment>
    <comment ref="LO136" authorId="64" shapeId="0" xr:uid="{27400B56-68E4-4716-AA53-64B0AC1EBB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09/12/2025</t>
      </text>
    </comment>
    <comment ref="CR137" authorId="65" shapeId="0" xr:uid="{74EA02CB-2505-470C-88BA-D9238BF3A9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DANIEL WILLIAN DE OLIVEIRA MARINHO
Desligado: 10/09/2025</t>
      </text>
    </comment>
    <comment ref="MP137" authorId="66" shapeId="0" xr:uid="{1CEA8D3A-C202-4680-A9EB-21FE6D2628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INSS: JANEIRO
IVAN DE ALMEIDA DA SILVA 
Admissão: 09/03/2026</t>
      </text>
    </comment>
    <comment ref="OC137" authorId="67" shapeId="0" xr:uid="{7CE6D488-BECA-42F2-BC8F-1DA6B76796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MARCO ANTONIO DE SOUSA
Afastamento INSS: 16/09/2025</t>
      </text>
    </comment>
    <comment ref="DY138" authorId="68" shapeId="0" xr:uid="{72D45EBA-5A82-4488-9576-BB0CE1BA87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de: LUCIANO AUSTEN CANDIDO ROZA 
Desligado: 21/10/2025</t>
      </text>
    </comment>
    <comment ref="JA138" authorId="69" shapeId="0" xr:uid="{A33F73C4-4195-4347-8D3F-29C7B281B0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03/12/2025
SERGIO LUIS DA SILVA E SILVA
Promovido para Eletricista - Refrigeração.</t>
      </text>
    </comment>
    <comment ref="LO138" authorId="70" shapeId="0" xr:uid="{CAF0C840-3340-4999-9333-534E38F6D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</t>
      </text>
    </comment>
    <comment ref="CR139" authorId="71" shapeId="0" xr:uid="{027D901E-AA1D-424A-B598-49C580CDA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NELSON PEREIRA BRAGANCA FILHO
Desligamento: 09/03/2026</t>
      </text>
    </comment>
    <comment ref="HM139" authorId="72" shapeId="0" xr:uid="{7D2B697E-4CA6-408D-A747-0A5305F2E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EDIVANIA OLIVEIRA DE ALMEIDA
Pedido de demissão</t>
      </text>
    </comment>
    <comment ref="JA140" authorId="73" shapeId="0" xr:uid="{74370B6F-6366-41A9-ABFF-630D933035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RYAN WAGNER  OLIVEIRA CONCEIÇÃO
Transferido para Eletromecânica.</t>
      </text>
    </comment>
    <comment ref="JL140" authorId="74" shapeId="0" xr:uid="{24078648-197D-43D6-B46C-C8B4EB70E5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WISLAN BEZERRA LEITE
Desligamento: 13/04/2026</t>
      </text>
    </comment>
    <comment ref="OP140" authorId="75" shapeId="0" xr:uid="{074B98F0-82EC-460B-A439-D99D9E0CCB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KEVIN DE ANDRADE RIBEIRO GOMES
Desligamento: 06/02/2026</t>
      </text>
    </comment>
    <comment ref="DD141" authorId="76" shapeId="0" xr:uid="{3BA59ACF-36BB-466D-88CE-D1E9727789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LUCIANO FERREIRA TAVARES JUNIOR
Desligado.</t>
      </text>
    </comment>
    <comment ref="NP141" authorId="77" shapeId="0" xr:uid="{0A3455E3-739A-4355-8767-FCAE16D215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JOÃO CUSTÓDIO DA SILVA
Desligamento: 08/12/2025</t>
      </text>
    </comment>
    <comment ref="BE142" authorId="78" shapeId="0" xr:uid="{BC79A5F7-AE5B-4141-9FB7-EE55CE2920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RIVE BARRETO
Demissão: 17/12/2025</t>
      </text>
    </comment>
    <comment ref="JL142" authorId="79" shapeId="0" xr:uid="{E5095296-51D4-4042-9C32-9B72BB6C6B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DIEGO RIBEIRO DOS ANJOS DE ASSIS
Desligamento: 19/02/2026</t>
      </text>
    </comment>
    <comment ref="NC143" authorId="80" shapeId="0" xr:uid="{D6C63E2F-BFF4-4169-9ACB-AD1F607885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Desligamento Natalino, vaga existente já era de Pedreiro e foi ocupada com o retorno do Bombeiro.</t>
      </text>
    </comment>
    <comment ref="GZ145" authorId="81" shapeId="0" xr:uid="{BE55F079-D65B-4E4D-8A7B-7FF59BD755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NATHALIA FRAGA DA SILVA
Desligamento: 09/04/2026</t>
      </text>
    </comment>
    <comment ref="HZ145" authorId="82" shapeId="0" xr:uid="{9EC32E60-87F6-4810-9C66-4C660DFC6C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DARLENE XAVIER
Desligamento: 08/12/2025</t>
      </text>
    </comment>
    <comment ref="PC145" authorId="83" shapeId="0" xr:uid="{9E078DBE-1C46-4FEC-A2F6-051655B2D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NEIVALDO JOSE DE MORAES SILVA
Desligamento: 08/04/2026</t>
      </text>
    </comment>
    <comment ref="GZ147" authorId="84" shapeId="0" xr:uid="{3675E619-0DE6-4357-8335-E7076D9575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</t>
      </text>
    </comment>
    <comment ref="GZ149" authorId="85" shapeId="0" xr:uid="{2C091BF0-4E77-4A41-BF81-F7A9600A34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Transferida do Apoio Macaé.
RUTE GOMES DOS SANTOS
Afastamento pelo INSS.</t>
      </text>
    </comment>
    <comment ref="HM149" authorId="86" shapeId="0" xr:uid="{E65528C2-380A-49A8-AF30-D67D0F9CBE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LUCIENE BARROS CONSTANTINO
INSS: 09/02/2026</t>
      </text>
    </comment>
    <comment ref="MP149" authorId="87" shapeId="0" xr:uid="{90AC8428-1232-4D44-A983-BC485477A7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ERIC SIDNEY BRAS DA SILVA
Desligamento: 08/04/2026</t>
      </text>
    </comment>
    <comment ref="GZ151" authorId="88" shapeId="0" xr:uid="{6C2D3B02-13DC-4289-B148-04C0BEA102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17/12/2025</t>
      </text>
    </comment>
    <comment ref="GZ153" authorId="89" shapeId="0" xr:uid="{F46DF49C-E86C-4C21-92DF-75DE2BAC59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ROBSON MATOS
Transferido para Civil.
admissão: 03/03/2026</t>
      </text>
    </comment>
    <comment ref="HZ153" authorId="90" shapeId="0" xr:uid="{0E0BE125-AF74-4319-BC9E-574F5ECD3B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ROSINETE  SEVERO
Afastamento pelo INSS: 13/10/2025</t>
      </text>
    </comment>
    <comment ref="GM157" authorId="91" shapeId="0" xr:uid="{4379590B-D9E2-4EB8-8410-646DCC5987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15/04/2026</t>
      </text>
    </comment>
    <comment ref="PC157" authorId="92" shapeId="0" xr:uid="{29FE574F-27F4-4574-8707-81DD6E04D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LUCAS PURCINO PEREIRA
Desligamento: 08/12/2025
Transferido da Limpeza.</t>
      </text>
    </comment>
    <comment ref="PC159" authorId="93" shapeId="0" xr:uid="{AFE19DB6-5FE7-4CE8-BD23-216C3AEB2A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FELIPE DA ROSA PEIXOTO
Desligamento: 08/04/2026</t>
      </text>
    </comment>
    <comment ref="GM161" authorId="94" shapeId="0" xr:uid="{A54B23EF-A0AD-43C4-B982-E34719CDA1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LARISSA DA SILVA DA CRUZ
Desligamento: 07/04/2026</t>
      </text>
    </comment>
    <comment ref="NC161" authorId="95" shapeId="0" xr:uid="{23BD0B98-1127-4C3C-90B5-1651222A8A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DEIVISON RIBEIRO VERISSIMO
Desligamento: 08/04/2026</t>
      </text>
    </comment>
    <comment ref="NC163" authorId="96" shapeId="0" xr:uid="{717EC6EA-50CC-4CC6-A1DD-A72637D45C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 Phillipe Mello, transferido para Elétrica.
admissão: 03/03/2026</t>
      </text>
    </comment>
    <comment ref="PC165" authorId="97" shapeId="0" xr:uid="{F9AD952F-CE93-4B28-B54C-26D6D8A861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PABLO JUNIOR DE ARAUJO DUTRA
Desligamento: 08/04/2026</t>
      </text>
    </comment>
    <comment ref="GM167" authorId="98" shapeId="0" xr:uid="{10E996BF-04B9-4257-AE2A-45AD071700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GABRIELY DA SILVA DE SOUZA
Afastada pelo INSS.</t>
      </text>
    </comment>
    <comment ref="NC167" authorId="99" shapeId="0" xr:uid="{7EC4DA6B-B9B8-429C-B337-8100E8250E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GEORGE REIS VIANA
Desligamento: 08/12/2025
Admissão: 09/03/2026</t>
      </text>
    </comment>
    <comment ref="GM169" authorId="100" shapeId="0" xr:uid="{B4DD32D6-3754-4875-A6C4-705FC18ABC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Luiza da Silva Rodrigues
Data: 09/03/2026
Admissão: 16/04/2026</t>
      </text>
    </comment>
    <comment ref="NC169" authorId="101" shapeId="0" xr:uid="{1A9CA7DA-D7E8-4BDB-AB65-A377E56C0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20/03/2026
MARCIO RINOVAL
Demissão: 19/01/2026</t>
      </text>
    </comment>
    <comment ref="NC171" authorId="102" shapeId="0" xr:uid="{29530D96-E745-49A6-BB60-8E3DCC4367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18/03/2026
THALES PEREIRA TORRES DA CONCEICAO
Desligamento: 05/01/2026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tc={F057AACD-C0BE-4DBC-80A0-B78C111CEE46}</author>
    <author>tc={4FC7AC3B-22B6-4709-B10E-40AAFC10B136}</author>
    <author>tc={CD064E54-4C33-4692-920D-B1D2EC15AF1F}</author>
    <author>tc={96DE2D9F-1C27-4F71-AAAB-497E37135782}</author>
    <author>tc={FD78D61B-1D1D-4B90-BE28-E5CC6F2C8F6A}</author>
    <author>tc={750A8ADC-7434-4BD4-99C3-97CE7B96E6FF}</author>
    <author>tc={DD65A993-E9BA-44A7-8E1E-18EE94EAFB04}</author>
    <author>tc={2E0F1F11-1F70-4D00-A2EC-3440D89C33DF}</author>
    <author>tc={F8BD9602-E457-47A5-A558-E22BDAB65B74}</author>
    <author>tc={2877CC7C-0E73-43C9-8DEC-5CA5BD0379C5}</author>
    <author>tc={FF6206C3-5297-4945-86C6-FDBDCACE207A}</author>
    <author>tc={DA68C217-1538-4A50-89D2-0581D4CC98B4}</author>
    <author>tc={4C38A57C-690A-40A9-8E56-E763FA4D5F70}</author>
    <author>tc={5AB7F51D-A44E-4A48-937A-7BE5A8751685}</author>
    <author>tc={A399D87E-61FE-41A2-B56F-D25A4B37AA77}</author>
    <author>tc={90F3F164-5EF1-4F00-99C0-2EC5B0FDAE0C}</author>
    <author>tc={BDBEBDBD-37F6-4B05-AE0E-BC2612E930F1}</author>
    <author>tc={C5B2684B-4EE0-4CA4-81E6-E4D49DE4D44A}</author>
    <author>tc={A6FB3D14-B32E-4658-91BF-0DB0B1D8E011}</author>
    <author>tc={43C3DC9C-89B9-43AF-8CBD-5017792C3144}</author>
    <author>Lucas Goes Teles - PrestServ</author>
    <author>tc={516EE7FB-8FC7-4AF0-8898-9F759EBD7F47}</author>
    <author>tc={DDC4FF5E-8FA5-4771-8939-C14416BFD718}</author>
    <author>tc={4DBEFC83-D4B3-474F-A27D-D5C9F8EB3271}</author>
    <author>tc={0212785F-B8F1-408D-BB0C-8E360A9FBB90}</author>
    <author>tc={CA1019D7-A4C5-4C38-B40C-09AD35B2D525}</author>
    <author>tc={7D651443-9266-4997-9F33-DF17F75A32DA}</author>
    <author>tc={1C85DBCF-084B-4B9F-835F-D6C560D74C12}</author>
    <author>tc={E1D5B561-71DD-4E53-BBC3-9C90C50244FD}</author>
    <author>tc={60757F0E-C2CC-4BA7-89B8-04C42C45D311}</author>
    <author>tc={C9DE9D9E-DA01-4FB0-BBEF-0FB23D706DCE}</author>
    <author>Normatel.local</author>
    <author>Isabel de Mendonça Damasceno</author>
    <author>tc={9511E74E-7845-4CCA-9910-63E4A5193658}</author>
    <author>tc={1C6270E3-D9E9-4ECF-A3F9-D241C49A76AF}</author>
    <author>tc={CA11E106-EF8C-404B-A634-16B520DCE26F}</author>
    <author>tc={F0E01370-720B-46CC-8A23-1A45C0891544}</author>
    <author>tc={D3D83B4F-D793-4663-9423-CD6FB5BE9FF0}</author>
    <author>tc={BC9B1A57-33F4-4B3B-BF97-F339387CD2C2}</author>
    <author>tc={7B8E3F2C-9398-479A-AE0C-3D2C41993668}</author>
    <author>tc={22F1EDAB-3EEA-4461-9E59-FF7E51A2155C}</author>
    <author>tc={68B16C98-93F0-4E59-A535-390EA40918BE}</author>
    <author>tc={D2D951B3-4660-4204-B04B-7241DDD61AEA}</author>
    <author>tc={11F3921C-9AA8-49E7-B8BC-EDCDAEE69BFC}</author>
    <author>tc={DA5BC454-85FD-4C61-80B0-7F3B6DB81A9A}</author>
    <author>tc={885AF50A-EF46-4643-A7DA-C5F0201AD0E8}</author>
    <author>tc={0BB21669-8B73-487D-AB34-AA474870D576}</author>
    <author>tc={2472DA72-5421-4398-B51F-FC0B172D01D2}</author>
    <author>tc={32A45D00-F376-4DE1-A556-DBCF665A6083}</author>
    <author>tc={C7A71504-DE17-431B-9885-D6C1ECBB6199}</author>
    <author>tc={3611ACB1-7AA5-4A76-9012-47B5A9F0A05F}</author>
    <author>tc={0AB2ED06-1A98-4E14-A5BB-43193832D3E9}</author>
    <author>tc={5BDEDE08-5317-4847-8655-383A4310773C}</author>
    <author>tc={0E125A69-9E7E-4E2E-9815-D872F76E3FEA}</author>
    <author>tc={F681AA77-A7CE-4BFF-A3CF-F335193B15BD}</author>
    <author>tc={C9A49713-7EBF-4BC6-85C4-8CC82718A50A}</author>
    <author>tc={38CCD79F-8BE5-4E4C-A32D-F26F4E7F4D6B}</author>
    <author>tc={DC19D962-CCEC-488A-80C5-119884395320}</author>
    <author>tc={15CDB638-C974-4D74-8D9C-E90E4A7E2022}</author>
    <author>tc={D680FE6B-75F3-470A-8139-70D8328D4F24}</author>
    <author>tc={8B88C6BF-3FBA-40FE-B2AA-F0472AB23135}</author>
    <author>tc={9EDFFF17-0D7E-48DC-8913-E3D781607F0F}</author>
    <author>tc={061E6609-DFFB-4BD6-BDA4-00A55C9EB1B6}</author>
    <author>tc={99F274F5-45C4-4655-812A-3DFEA53414E0}</author>
    <author>tc={759F6691-C190-4A7C-A1B2-0A267E73AE00}</author>
    <author>tc={00AD836C-0725-43E6-A99A-0EF89D54662B}</author>
    <author>tc={63A4DF2B-C7AD-478F-B393-C93F4E834B60}</author>
    <author>tc={DC2DE7FA-AD86-4BC0-B434-4503EDF31FB1}</author>
    <author>tc={EFC795B6-A955-441C-9DD9-4D5A694D1A7E}</author>
    <author>tc={D3281DD0-DA17-433B-9306-C2762AD2679F}</author>
    <author>tc={2D16AE95-D6FC-459B-BEB6-8B11C5DB4AA7}</author>
    <author>tc={5C9BE533-C8AE-43F3-8DEC-6CACBD641D17}</author>
    <author>tc={49C449C2-380B-4936-8D82-B41FE04694AA}</author>
    <author>tc={8C51B431-B380-4B5A-8060-BA7EDA631526}</author>
    <author>tc={EDCFB1DE-976A-46BD-93F9-06F2E226F0BB}</author>
    <author>tc={855E67DE-FF08-48FD-818D-3C40BB7F8983}</author>
    <author>tc={42A51DE9-9C9B-47BF-B668-1EF81A0C254B}</author>
    <author>tc={DD4996D5-E37C-4700-9C01-2AF40B8BE7AF}</author>
    <author>tc={921386A2-B595-487B-856D-3450A8BC5F88}</author>
    <author>tc={0126C44C-FC34-41DD-B34A-73A56610F16F}</author>
    <author>tc={4E5484E9-8229-4750-8188-9707A1C23439}</author>
    <author>tc={F9CF12C6-2FA8-4B72-B15D-01A85DAD807A}</author>
    <author>tc={1D6F4F17-03A1-4CD6-900C-E6BC9C833ED6}</author>
    <author>tc={5AC92F40-6B67-48CF-BAF8-7067E694F792}</author>
    <author>tc={A7B1574E-F849-4FD4-A2D0-DE1C0D1B7F8A}</author>
    <author>tc={CCC4C9AE-39D6-498C-B42E-5374E4456D60}</author>
    <author>tc={8EDD237B-8D5D-407C-BC1F-4D8741D8BB5B}</author>
    <author>tc={B59FB4FF-2DEB-4E60-A811-6A8800C41548}</author>
    <author>tc={ABD7E08B-D5D1-459B-A2BE-DA538DDC2561}</author>
    <author>tc={D2DAA116-45B6-4E00-B43B-7B78BA406034}</author>
    <author>tc={D10F1B01-433E-422A-9974-1953B7D8A434}</author>
    <author>tc={9463DEC8-CB83-454B-A058-C786C5E8637F}</author>
    <author>tc={E865B3E4-EBF5-4251-A02A-31985CB04006}</author>
    <author>tc={0406EF55-A454-46A5-B0F3-1E0DA8EFEE98}</author>
    <author>tc={469735CE-73E2-4A51-972B-BBDED7CA5764}</author>
    <author>tc={5359487F-5B6B-4E27-977E-FE8CE41C142D}</author>
    <author>tc={DF799207-7E9D-4A3E-8440-D04F3EB029EB}</author>
    <author>tc={8DFD5DD6-7390-4E14-89A6-BDCF1D3E9892}</author>
    <author>tc={232FEEB5-6A7E-49AA-B433-2F381A46F623}</author>
    <author>tc={14CB86B3-261B-46D3-93F3-1719336D507E}</author>
    <author>tc={26696EE0-11B8-4AA0-BD2A-CF784A179053}</author>
    <author>tc={C6F3258A-754B-4566-AE1D-290505F6360A}</author>
    <author>tc={394C94AB-13F2-4D80-A563-23BBC164116D}</author>
    <author>tc={9716B382-AA25-42FD-89E7-1056124EF71D}</author>
    <author>tc={CAB3E1FD-1E61-4D91-91F8-C872B9EC9686}</author>
    <author>tc={31916ACE-D699-4D24-B5CC-9BB09B296342}</author>
    <author>tc={69DE1AB2-8A26-49BF-9B98-A22CE6265A6C}</author>
    <author>tc={0680D25F-15B5-4838-B31E-CEF7F364F589}</author>
    <author>tc={CF3BB5A3-7AF9-4AD2-85FA-8964A41E891B}</author>
    <author>tc={38B0628B-D8F6-4C71-BB45-F6BC75E1353E}</author>
    <author>tc={77658C1E-7FA0-43A9-B564-A15CA9E9FB47}</author>
    <author>tc={B00DCEB2-7459-4CC5-B962-C052FECC7D90}</author>
    <author>tc={11140357-5679-4BA4-B058-685001D08A5B}</author>
    <author>tc={B7332622-3E6A-4E5A-96DB-52EB2F36F178}</author>
    <author>tc={FBC5E589-D33D-4C04-8B38-7C486AAE485B}</author>
    <author>tc={B39A1DCC-AA28-4DBF-8423-97FE388C2139}</author>
    <author>tc={9DE5E16A-00B9-478B-BAAF-3DF648303ECB}</author>
    <author>tc={BA87D69A-BCEB-4450-B85C-3B34A3402F9E}</author>
    <author>tc={F14AFE74-EECD-472C-826E-BADF5B635664}</author>
    <author>tc={96E278D9-206E-4F35-A372-677F19630447}</author>
    <author>tc={30A940B6-EB0E-4D90-A311-649B2B5FA91F}</author>
    <author>tc={97C20A9C-82F0-4A4D-9521-D66C3A928DDE}</author>
    <author>tc={D6D646EB-AF6C-4A46-A02D-A855F6B438C5}</author>
    <author>tc={9580CD2A-BDAB-4CB9-85E9-C7F52B61BA19}</author>
    <author>tc={44C3ACD0-4871-4610-81AF-82DC408C094B}</author>
    <author>tc={89C8B366-717E-4A10-8E4D-28BDE0CC7314}</author>
    <author>tc={84C658D7-CE00-48E2-A58A-DFD45BA25CE3}</author>
    <author>tc={57FC2FD0-2039-4D05-A2FA-7CE450ECBF58}</author>
    <author>tc={A95C51E9-7F19-4A49-B484-BB3DCA9230B3}</author>
    <author>tc={E34A57E5-9B2B-4652-82FF-216317C05AFD}</author>
    <author>tc={4D7FC1BD-266E-47BC-B2B4-527FD09FA47D}</author>
    <author>tc={A06D892B-496B-4E0B-A094-47716FEE5594}</author>
    <author>tc={5B1E8406-34E9-4D5E-BB5E-E68389C340A6}</author>
    <author>tc={71DA7988-1113-4F4C-A5CC-6D48E92116F4}</author>
    <author>tc={8128CD2D-FE45-4D72-A0FB-DC74899393CB}</author>
    <author>tc={F3EE1853-8D9F-4D8A-AC45-B50310395081}</author>
    <author>tc={F6C2509A-8040-4BC3-ADCC-039CBD0E2227}</author>
    <author>tc={B7D5D7E3-0F63-4351-9560-6CBA2FA869F4}</author>
    <author>tc={BA9FBEEB-D769-4090-A183-F905C5F0D046}</author>
    <author>tc={7008E7B1-F563-4FF8-A77F-229E7BB4187E}</author>
    <author>tc={D2665AB6-7A7E-4BDB-8C0A-20D635736681}</author>
    <author>tc={3E14247E-1B70-4950-8B7A-8913A3114A86}</author>
  </authors>
  <commentList>
    <comment ref="MJ53" authorId="0" shapeId="0" xr:uid="{F057AACD-C0BE-4DBC-80A0-B78C111CEE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Substituição do Alberto Silva
Data de admissão: 13/10/2025</t>
      </text>
    </comment>
    <comment ref="MJ55" authorId="1" shapeId="0" xr:uid="{4FC7AC3B-22B6-4709-B10E-40AAFC10B1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JAIRO BARBOSA DOS SANTOS
Desligado: 03/11/2025.</t>
      </text>
    </comment>
    <comment ref="HW56" authorId="2" shapeId="0" xr:uid="{CD064E54-4C33-4692-920D-B1D2EC15AF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RENATA CUNHA MARINS
Desligamento: 01/12/2025</t>
      </text>
    </comment>
    <comment ref="LY56" authorId="3" shapeId="0" xr:uid="{96DE2D9F-1C27-4F71-AAAB-497E37135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DESLIGADO: LUIS FELIPE RIBEIRO BANDEIRA 01/11/2025</t>
      </text>
    </comment>
    <comment ref="BX57" authorId="4" shapeId="0" xr:uid="{FD78D61B-1D1D-4B90-BE28-E5CC6F2C8F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de: SAMARA APARECIDA DA SILVA</t>
      </text>
    </comment>
    <comment ref="MJ57" authorId="5" shapeId="0" xr:uid="{750A8ADC-7434-4BD4-99C3-97CE7B96E6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PEDRO ARTHUR VICTOR BARBOZA
Demissão: 15/01/2026</t>
      </text>
    </comment>
    <comment ref="LY58" authorId="6" shapeId="0" xr:uid="{DD65A993-E9BA-44A7-8E1E-18EE94EAFB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RAFAELA GAUDENCIO MAXIMO
Transf: 2358</t>
      </text>
    </comment>
    <comment ref="MU58" authorId="7" shapeId="0" xr:uid="{2E0F1F11-1F70-4D00-A2EC-3440D89C33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DALVAN FERREIRA IBRAIM
Desligamento: 01/12/2025</t>
      </text>
    </comment>
    <comment ref="LY60" authorId="8" shapeId="0" xr:uid="{F8BD9602-E457-47A5-A558-E22BDAB65B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AMANDA SALES ANDRADE ALVES
Demissão: 03/03/2026</t>
      </text>
    </comment>
    <comment ref="OF60" authorId="9" shapeId="0" xr:uid="{2877CC7C-0E73-43C9-8DEC-5CA5BD0379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LEONARDO DA SILVA VENTURA
Desligamento: 15/04/2026</t>
      </text>
    </comment>
    <comment ref="KQ62" authorId="10" shapeId="0" xr:uid="{FF6206C3-5297-4945-86C6-FDBDCACE2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09/12/2025
Vaga de: MARKELES PEREIRA LOPES
Substituição em andamento.</t>
      </text>
    </comment>
    <comment ref="IW63" authorId="11" shapeId="0" xr:uid="{DA68C217-1538-4A50-89D2-0581D4CC98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Amanda da Silva Moreno
Desligamento: 02/03/2026</t>
      </text>
    </comment>
    <comment ref="MJ63" authorId="12" shapeId="0" xr:uid="{4C38A57C-690A-40A9-8E56-E763FA4D5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ROSANA DO CARMO
Licença-maternidade: 22/12/2025
EMILY HADASSA
Desligada.</t>
      </text>
    </comment>
    <comment ref="KQ64" authorId="13" shapeId="0" xr:uid="{5AB7F51D-A44E-4A48-937A-7BE5A87516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23/03/2026
LORRANDERSON - Desligar</t>
      </text>
    </comment>
    <comment ref="NT64" authorId="14" shapeId="0" xr:uid="{A399D87E-61FE-41A2-B56F-D25A4B37AA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DAVID WENDEL
Promoção: 05/2026
Admissão: 04/05/2026</t>
      </text>
    </comment>
    <comment ref="OF64" authorId="15" shapeId="0" xr:uid="{90F3F164-5EF1-4F00-99C0-2EC5B0FDAE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GUILHERME PIRES LEITE
Desligamento: 11/12/2025</t>
      </text>
    </comment>
    <comment ref="KQ66" authorId="16" shapeId="0" xr:uid="{BDBEBDBD-37F6-4B05-AE0E-BC2612E930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LEONEI DA SILVA MARINHO
Verificar status
Admissão: 22/04/2026</t>
      </text>
    </comment>
    <comment ref="FA67" authorId="17" shapeId="0" xr:uid="{C5B2684B-4EE0-4CA4-81E6-E4D49DE4D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RENATA ARLINDO DA SILVA FIGUEIREDO
Demissão: 20/01/2026</t>
      </text>
    </comment>
    <comment ref="FA69" authorId="18" shapeId="0" xr:uid="{A6FB3D14-B32E-4658-91BF-0DB0B1D8E0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MELISSA DA SILVA OLIVEIRA 
Desligada</t>
      </text>
    </comment>
    <comment ref="FL69" authorId="19" shapeId="0" xr:uid="{43C3DC9C-89B9-43AF-8CBD-5017792C31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CIBELE BARCELOS TAVARES TRINDADE
Promovida.
Admissão: 04/05/2026</t>
      </text>
    </comment>
    <comment ref="CR71" authorId="20" shapeId="0" xr:uid="{8EF7D77E-482E-46A3-A38F-B45D03BB1C5B}">
      <text>
        <r>
          <rPr>
            <b/>
            <sz val="9"/>
            <color indexed="81"/>
            <rFont val="Segoe UI"/>
            <family val="2"/>
          </rPr>
          <t>Lucas Goes Teles - PrestServ:</t>
        </r>
        <r>
          <rPr>
            <sz val="9"/>
            <color indexed="81"/>
            <rFont val="Segoe UI"/>
            <family val="2"/>
          </rPr>
          <t xml:space="preserve">
DEVE IR PARA MARIANA </t>
        </r>
      </text>
    </comment>
    <comment ref="FA71" authorId="21" shapeId="0" xr:uid="{516EE7FB-8FC7-4AF0-8898-9F759EBD7F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JHONATAN DIAS DA CRUZ
Promovido</t>
      </text>
    </comment>
    <comment ref="CQ72" authorId="22" shapeId="0" xr:uid="{DDC4FF5E-8FA5-4771-8939-C14416BFD7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VALTECIR TAVARES DO PRADO
Transferido para Elétrica.
Admissão: 15/04/2026</t>
      </text>
    </comment>
    <comment ref="FA73" authorId="23" shapeId="0" xr:uid="{4DBEFC83-D4B3-474F-A27D-D5C9F8EB32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18/11/2025</t>
      </text>
    </comment>
    <comment ref="FL73" authorId="24" shapeId="0" xr:uid="{0212785F-B8F1-408D-BB0C-8E360A9FB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JULIA GOMES RICIO
Licença-maternidade</t>
      </text>
    </comment>
    <comment ref="CQ83" authorId="25" shapeId="0" xr:uid="{CA1019D7-A4C5-4C38-B40C-09AD35B2D5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Afastado pelo INSS - 15/05/2025</t>
      </text>
    </comment>
    <comment ref="CQ91" authorId="20" shapeId="0" xr:uid="{DF10E080-AD4B-4BC6-A7A8-BEB9D1C78DE9}">
      <text>
        <r>
          <rPr>
            <b/>
            <sz val="9"/>
            <color indexed="81"/>
            <rFont val="Segoe UI"/>
            <family val="2"/>
          </rPr>
          <t>Lucas Goes Teles - PrestServ:</t>
        </r>
        <r>
          <rPr>
            <sz val="9"/>
            <color indexed="81"/>
            <rFont val="Segoe UI"/>
            <family val="2"/>
          </rPr>
          <t xml:space="preserve">
Vai oara equipe da Mariana </t>
        </r>
      </text>
    </comment>
    <comment ref="CQ92" authorId="26" shapeId="0" xr:uid="{7D651443-9266-4997-9F33-DF17F75A32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20/04/2026</t>
      </text>
    </comment>
    <comment ref="GQ112" authorId="27" shapeId="0" xr:uid="{1C85DBCF-084B-4B9F-835F-D6C560D74C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FELIPE VIRGILIO COSTA
Desligado</t>
      </text>
    </comment>
    <comment ref="CY118" authorId="28" shapeId="0" xr:uid="{E1D5B561-71DD-4E53-BBC3-9C90C50244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VAGA: RAPHAEL TAUIL</t>
      </text>
    </comment>
    <comment ref="JU118" authorId="29" shapeId="0" xr:uid="{60757F0E-C2CC-4BA7-89B8-04C42C45D3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LUA MARIANA DIAS GASPAR BENSI OLIVEIRA
Desligamento: 06/03/2026</t>
      </text>
    </comment>
    <comment ref="HG120" authorId="30" shapeId="0" xr:uid="{C9DE9D9E-DA01-4FB0-BBEF-0FB23D706D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ALINE ARAUJO FERREIRA</t>
      </text>
    </comment>
    <comment ref="DK121" authorId="31" shapeId="0" xr:uid="{BEA7B78F-E6FE-4126-8242-E3B0B0C62F56}">
      <text>
        <r>
          <rPr>
            <b/>
            <sz val="9"/>
            <color indexed="81"/>
            <rFont val="Segoe UI"/>
            <family val="2"/>
          </rPr>
          <t>Normatel.local:</t>
        </r>
        <r>
          <rPr>
            <sz val="9"/>
            <color indexed="81"/>
            <rFont val="Segoe UI"/>
            <family val="2"/>
          </rPr>
          <t xml:space="preserve">
está como técnico líder</t>
        </r>
      </text>
    </comment>
    <comment ref="EF122" authorId="32" shapeId="0" xr:uid="{7804AD4C-E23C-4057-B9A7-F55536762812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Verificar se vamos promover alguém.
</t>
        </r>
        <r>
          <rPr>
            <b/>
            <sz val="9"/>
            <color indexed="81"/>
            <rFont val="Segoe UI"/>
            <family val="2"/>
          </rPr>
          <t xml:space="preserve">
Lucas Goes: </t>
        </r>
        <r>
          <rPr>
            <sz val="9"/>
            <color indexed="81"/>
            <rFont val="Segoe UI"/>
            <family val="2"/>
          </rPr>
          <t>Subiu o Filipe. Já está exercendo a função faz 5 meses</t>
        </r>
      </text>
    </comment>
    <comment ref="BX124" authorId="33" shapeId="0" xr:uid="{9511E74E-7845-4CCA-9910-63E4A51936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Transferido do 737.</t>
      </text>
    </comment>
    <comment ref="FC124" authorId="34" shapeId="0" xr:uid="{1C6270E3-D9E9-4ECF-A3F9-D241C49A76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04/03/2026</t>
      </text>
    </comment>
    <comment ref="FS124" authorId="35" shapeId="0" xr:uid="{CA11E106-EF8C-404B-A634-16B520DCE2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LEONIS DE OLIVEIRA BARCELOS
Desligamento: 02/04/2026</t>
      </text>
    </comment>
    <comment ref="HT124" authorId="36" shapeId="0" xr:uid="{F0E01370-720B-46CC-8A23-1A45C08915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RICARDO CAMPOS ROCHA JUNIOR
Desligamento: 09/01/2026</t>
      </text>
    </comment>
    <comment ref="Y125" authorId="37" shapeId="0" xr:uid="{D3D83B4F-D793-4663-9423-CD6FB5BE9F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WEBSON ADAO BORGES
Promoção p Téc. Eletrotécnica.</t>
      </text>
    </comment>
    <comment ref="PJ125" authorId="38" shapeId="0" xr:uid="{BC9B1A57-33F4-4B3B-BF97-F339387CD2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TELMAR PINTO SANTIAGO
Afastamento por INSS.</t>
      </text>
    </comment>
    <comment ref="BL126" authorId="39" shapeId="0" xr:uid="{7B8E3F2C-9398-479A-AE0C-3D2C419936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JORGE ANTONIO FREITAS DA SILVA
Demissão: 15/01/2026</t>
      </text>
    </comment>
    <comment ref="GH126" authorId="40" shapeId="0" xr:uid="{22F1EDAB-3EEA-4461-9E59-FF7E51A215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JOISSE AZEREDO DIAS
Desligada: março
Admissão: 15/04/2026</t>
      </text>
    </comment>
    <comment ref="IS126" authorId="41" shapeId="0" xr:uid="{68B16C98-93F0-4E59-A535-390EA4091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FABIANA DA SILVA MORENO
INSS</t>
      </text>
    </comment>
    <comment ref="FC128" authorId="42" shapeId="0" xr:uid="{D2D951B3-4660-4204-B04B-7241DDD61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PAULO HENRIQUE COSTA DOS SANTOS
Desligamento: 16/03/2026
Admissão: 09/04/2026</t>
      </text>
    </comment>
    <comment ref="IG128" authorId="43" shapeId="0" xr:uid="{11F3921C-9AA8-49E7-B8BC-EDCDAEE69B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
Vaga de: JAMILSON SANTOS DANTAS
Afastamento pelo INSS - 13/10/2025</t>
      </text>
    </comment>
    <comment ref="IS128" authorId="44" shapeId="0" xr:uid="{DA5BC454-85FD-4C61-80B0-7F3B6DB81A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Fernanda Machado Correa
Programar desligamento.</t>
      </text>
    </comment>
    <comment ref="AW129" authorId="45" shapeId="0" xr:uid="{885AF50A-EF46-4643-A7DA-C5F0201AD0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NICOLAS COELHO DO NASCIMENTO
Promovido p Téc. Eletrotécnica.
Transferência da Operação.</t>
      </text>
    </comment>
    <comment ref="LB129" authorId="46" shapeId="0" xr:uid="{0BB21669-8B73-487D-AB34-AA474870D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RAPHAEL GONCALVES DE SOUZA
Desligamento: 22/04/2026</t>
      </text>
    </comment>
    <comment ref="LM129" authorId="32" shapeId="0" xr:uid="{F9BA00DA-EBCC-4FE0-AAB2-3402B055EB53}">
      <text>
        <r>
          <rPr>
            <b/>
            <sz val="9"/>
            <color indexed="81"/>
            <rFont val="Segoe UI"/>
            <family val="2"/>
          </rPr>
          <t>Isabel de Mendonça Damasceno:</t>
        </r>
        <r>
          <rPr>
            <sz val="9"/>
            <color indexed="81"/>
            <rFont val="Segoe UI"/>
            <family val="2"/>
          </rPr>
          <t xml:space="preserve">
Conferir função para ser ajudante.</t>
        </r>
      </text>
    </comment>
    <comment ref="LX129" authorId="47" shapeId="0" xr:uid="{2472DA72-5421-4398-B51F-FC0B172D01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GEMILSON CALIL
Transferido
Promovido 05/2026</t>
      </text>
    </comment>
    <comment ref="CM130" authorId="48" shapeId="0" xr:uid="{32A45D00-F376-4DE1-A556-DBCF665A60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Transferido de Imboassica</t>
      </text>
    </comment>
    <comment ref="FS130" authorId="49" shapeId="0" xr:uid="{C7A71504-DE17-431B-9885-D6C1ECBB6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DOUGLAS SOARES DE AMORIM MACHADO ANDRADE
Desligamento: 16/03/2026
Admissão: 16/04/2026</t>
      </text>
    </comment>
    <comment ref="GH130" authorId="50" shapeId="0" xr:uid="{3611ACB1-7AA5-4A76-9012-47B5A9F0A0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WALLACE RODRIGUES CORREA
Desligamento: 20/03/2026</t>
      </text>
    </comment>
    <comment ref="GT130" authorId="51" shapeId="0" xr:uid="{0AB2ED06-1A98-4E14-A5BB-43193832D3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CRISTINA MEDEIROS DA SILVA
Desligamento: 12/02/2026</t>
      </text>
    </comment>
    <comment ref="HG130" authorId="52" shapeId="0" xr:uid="{5BDEDE08-5317-4847-8655-383A431077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 CARLOS LOPES FILHO
Desligado: 10/12/2025
JAMILSON SANTOS DANTAS:
Retorno do INSS: 17/12/2025
JAMILSON SANTOS DANTAS:
Desligado: 05/03/2026</t>
      </text>
    </comment>
    <comment ref="IS130" authorId="53" shapeId="0" xr:uid="{0E125A69-9E7E-4E2E-9815-D872F76E3F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10/12/2025
GLEICIMARA DUTRA GIVIGI
Promoção: Auxiliar de SMS.</t>
      </text>
    </comment>
    <comment ref="Y131" authorId="54" shapeId="0" xr:uid="{F681AA77-A7CE-4BFF-A3CF-F335193B15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LUIZ HENRIQUE GONCALVES OLIVEIRA
Desligamento: 10/02</t>
      </text>
    </comment>
    <comment ref="BX131" authorId="55" shapeId="0" xr:uid="{C9A49713-7EBF-4BC6-85C4-8CC82718A5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 função de aux de pintura precisa-se ver os 30%</t>
      </text>
    </comment>
    <comment ref="JU131" authorId="56" shapeId="0" xr:uid="{38CCD79F-8BE5-4E4C-A32D-F26F4E7F4D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WANDER ALVES MORAES
Promovido: 03/2026</t>
      </text>
    </comment>
    <comment ref="LB131" authorId="57" shapeId="0" xr:uid="{DC19D962-CCEC-488A-80C5-1198843953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GUSTAVO JOSÉ DA SILVA
Afastamento INSS: 19/01/2026
(Retornou para Helen)</t>
      </text>
    </comment>
    <comment ref="CM132" authorId="58" shapeId="0" xr:uid="{15CDB638-C974-4D74-8D9C-E90E4A7E20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DENISON SANTOS RODRIGUES
Desligado: 13/11/2025</t>
      </text>
    </comment>
    <comment ref="DK132" authorId="59" shapeId="0" xr:uid="{D680FE6B-75F3-470A-8139-70D8328D4F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PAULO ROBERTO PEREIRA DA SILVA
Desligamento: 1 semana de fev</t>
      </text>
    </comment>
    <comment ref="FC132" authorId="60" shapeId="0" xr:uid="{8B88C6BF-3FBA-40FE-B2AA-F0472AB231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CARLOS GILBERTO CARVALHO
Promovido: 06/2026</t>
      </text>
    </comment>
    <comment ref="FS132" authorId="61" shapeId="0" xr:uid="{9EDFFF17-0D7E-48DC-8913-E3D781607F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JUAREZ SANTOS ANUNCIAÇÃO
Promoção: 06/2026</t>
      </text>
    </comment>
    <comment ref="GT132" authorId="62" shapeId="0" xr:uid="{061E6609-DFFB-4BD6-BDA4-00A55C9EB1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LAILA SILVA DOS SANTOS
Desligamento: 20/03/2026
Admissão: 15/04/2026</t>
      </text>
    </comment>
    <comment ref="HG132" authorId="63" shapeId="0" xr:uid="{99F274F5-45C4-4655-812A-3DFEA53414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CRISTIANE DA SILVA
Desligamento: 16/03/2026
Admissão: 09/04/2026</t>
      </text>
    </comment>
    <comment ref="Y133" authorId="64" shapeId="0" xr:uid="{759F6691-C190-4A7C-A1B2-0A267E73AE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WELINGTON VITORIO SANTOS
Desligado: 06/11/2025
ADMISSÃO: 17/12/2025</t>
      </text>
    </comment>
    <comment ref="AK133" authorId="65" shapeId="0" xr:uid="{00AD836C-0725-43E6-A99A-0EF89D5466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GUTHIERRY FRANCISCO DA SILVA
Demissão: 19/01/2026</t>
      </text>
    </comment>
    <comment ref="KF133" authorId="66" shapeId="0" xr:uid="{63A4DF2B-C7AD-478F-B393-C93F4E834B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06/03/2026
MAYCON DOS SANTOS SILVA
Desligado: 21/10/2025</t>
      </text>
    </comment>
    <comment ref="LM133" authorId="67" shapeId="0" xr:uid="{DC2DE7FA-AD86-4BC0-B434-4503EDF31F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LEANDRO ROCHA DA SILVA
Desligamento: 13/03/2026</t>
      </text>
    </comment>
    <comment ref="BL134" authorId="68" shapeId="0" xr:uid="{EFC795B6-A955-441C-9DD9-4D5A694D1A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SCHNEIFFITZ FERREIRA DA CRUZ JUNIOR
Desligado</t>
      </text>
    </comment>
    <comment ref="CM134" authorId="69" shapeId="0" xr:uid="{D3281DD0-DA17-433B-9306-C2762AD267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16/03/2026
HENRIQUE RUBIM PEREIRA DAUMAS DE PAULA
Promoção: Março/2026</t>
      </text>
    </comment>
    <comment ref="DK134" authorId="70" shapeId="0" xr:uid="{2D16AE95-D6FC-459B-BEB6-8B11C5DB4A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MARCIANO MATIAS DOS SANTOS
INSS</t>
      </text>
    </comment>
    <comment ref="FC134" authorId="71" shapeId="0" xr:uid="{5C9BE533-C8AE-43F3-8DEC-6CACBD641D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JOSE LUCAS MENDONCA DA SILVA
INSS</t>
      </text>
    </comment>
    <comment ref="HT134" authorId="72" shapeId="0" xr:uid="{49C449C2-380B-4936-8D82-B41FE04694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MICHELLE GOMES ESTEVAO DA SILVA
Desligada</t>
      </text>
    </comment>
    <comment ref="Y135" authorId="73" shapeId="0" xr:uid="{8C51B431-B380-4B5A-8060-BA7EDA6315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MARCUS VINICIUS
Promovido 05/2026</t>
      </text>
    </comment>
    <comment ref="AK135" authorId="74" shapeId="0" xr:uid="{EDCFB1DE-976A-46BD-93F9-06F2E226F0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09/12/2025
LUAN FRANCISCO DE SANTANA
Desligado: 07/11/2025</t>
      </text>
    </comment>
    <comment ref="KF135" authorId="75" shapeId="0" xr:uid="{855E67DE-FF08-48FD-818D-3C40BB7F8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20/03/2026
LEONE SILVA COSTA
Desligado: 21/10/2025</t>
      </text>
    </comment>
    <comment ref="CM136" authorId="76" shapeId="0" xr:uid="{42A51DE9-9C9B-47BF-B668-1EF81A0C25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09/04/2026
Subst. Prom. - Jeferson da Silva Santos</t>
      </text>
    </comment>
    <comment ref="DK136" authorId="77" shapeId="0" xr:uid="{DD4996D5-E37C-4700-9C01-2AF40B8BE7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promoção para março/2026</t>
      </text>
    </comment>
    <comment ref="GH136" authorId="78" shapeId="0" xr:uid="{921386A2-B595-487B-856D-3450A8BC5F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VANESSA GOMES DE MELO PRUDENCIO
Desligamento: 13/03/2026
Admissão: 09/04/2026</t>
      </text>
    </comment>
    <comment ref="GT136" authorId="79" shapeId="0" xr:uid="{0126C44C-FC34-41DD-B34A-73A56610F1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02/12/2025
Vaga de: CRISTINA MEDEIROS DA SILVA</t>
      </text>
    </comment>
    <comment ref="HG136" authorId="80" shapeId="0" xr:uid="{4E5484E9-8229-4750-8188-9707A1C234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EDIMARA DE SOUZA DOS SANTOS FREITAS
Desligamento:  AGENDAR DATA
Admissão: 17/04/2026</t>
      </text>
    </comment>
    <comment ref="ND136" authorId="20" shapeId="0" xr:uid="{99B1DFF0-2059-4D6A-8413-482FE42CBB1B}">
      <text>
        <r>
          <rPr>
            <b/>
            <sz val="9"/>
            <color indexed="81"/>
            <rFont val="Segoe UI"/>
            <family val="2"/>
          </rPr>
          <t>Lucas Goes Teles - PrestServ: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M136" authorId="20" shapeId="0" xr:uid="{1061113A-DAEC-49D0-8DE8-75A79AD22C66}">
      <text>
        <r>
          <rPr>
            <b/>
            <sz val="9"/>
            <color indexed="81"/>
            <rFont val="Segoe UI"/>
            <family val="2"/>
          </rPr>
          <t>Lucas Goes Teles - PrestServ: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P136" authorId="31" shapeId="0" xr:uid="{C0DF6BBE-D4B0-4ABE-A044-CC5C70FE10E4}">
      <text>
        <r>
          <rPr>
            <b/>
            <sz val="9"/>
            <color indexed="81"/>
            <rFont val="Segoe UI"/>
            <family val="2"/>
          </rPr>
          <t>Normatel.local:</t>
        </r>
        <r>
          <rPr>
            <sz val="9"/>
            <color indexed="81"/>
            <rFont val="Segoe UI"/>
            <family val="2"/>
          </rPr>
          <t xml:space="preserve">
NO LUGAR DO TECNICO WANDERSON GARCIA</t>
        </r>
      </text>
    </comment>
    <comment ref="EF137" authorId="81" shapeId="0" xr:uid="{F9CF12C6-2FA8-4B72-B15D-01A85DAD8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DANIEL SULIVAN GOMES BRAGA
Promoção: 06/2026</t>
      </text>
    </comment>
    <comment ref="LM137" authorId="82" shapeId="0" xr:uid="{1D6F4F17-03A1-4CD6-900C-E6BC9C833E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03/03/2026</t>
      </text>
    </comment>
    <comment ref="NO137" authorId="83" shapeId="0" xr:uid="{5AC92F40-6B67-48CF-BAF8-7067E694F7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JORGE MEDEIROS DA COSTA 
Desligamento: 03/02/2026</t>
      </text>
    </comment>
    <comment ref="OX137" authorId="84" shapeId="0" xr:uid="{A7B1574E-F849-4FD4-A2D0-DE1C0D1B7F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THAFILLA PORTO DE OLIVEIRA
Desligamento: 21/11/2025</t>
      </text>
    </comment>
    <comment ref="PJ137" authorId="85" shapeId="0" xr:uid="{CCC4C9AE-39D6-498C-B42E-5374E4456D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do julio cesar</t>
      </text>
    </comment>
    <comment ref="CM138" authorId="86" shapeId="0" xr:uid="{8EDD237B-8D5D-407C-BC1F-4D8741D8BB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SIDNEY LOPES COELHO
Desligamento: 16/03/2026</t>
      </text>
    </comment>
    <comment ref="DK138" authorId="87" shapeId="0" xr:uid="{B59FB4FF-2DEB-4E60-A811-6A8800C415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LUCAS CARVALHO DA CONCEIÇÃO
Desligamento: 1 semana de fev</t>
      </text>
    </comment>
    <comment ref="GT138" authorId="88" shapeId="0" xr:uid="{ABD7E08B-D5D1-459B-A2BE-DA538DDC25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18/03/2026
ELISAMA DE ANDRADE RIBEIRO
Desligamento: </t>
      </text>
    </comment>
    <comment ref="HG138" authorId="89" shapeId="0" xr:uid="{D2DAA116-45B6-4E00-B43B-7B78BA4060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SANDRA VELASCO
Desligar.</t>
      </text>
    </comment>
    <comment ref="BX140" authorId="90" shapeId="0" xr:uid="{D10F1B01-433E-422A-9974-1953B7D8A4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VALDENIR PEREIRA
Afastado pelo INSS: 22/10/2025
Promoção: 04/2026</t>
      </text>
    </comment>
    <comment ref="DK140" authorId="31" shapeId="0" xr:uid="{58106E2C-B6BA-4DDB-8634-145475199485}">
      <text>
        <r>
          <rPr>
            <b/>
            <sz val="9"/>
            <color indexed="81"/>
            <rFont val="Segoe UI"/>
            <family val="2"/>
          </rPr>
          <t>Normatel.local:</t>
        </r>
        <r>
          <rPr>
            <sz val="9"/>
            <color indexed="81"/>
            <rFont val="Segoe UI"/>
            <family val="2"/>
          </rPr>
          <t xml:space="preserve">
reposição do Paulo Sergio</t>
        </r>
      </text>
    </comment>
    <comment ref="IG140" authorId="91" shapeId="0" xr:uid="{9463DEC8-CB83-454B-A058-C786C5E863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18/03/2026
RAFAEL VICTOR DA SILVA DANTAS
Desligamento: 13/02/2026</t>
      </text>
    </comment>
    <comment ref="EF141" authorId="92" shapeId="0" xr:uid="{E865B3E4-EBF5-4251-A02A-31985CB040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04/05/2026</t>
      </text>
    </comment>
    <comment ref="GH141" authorId="93" shapeId="0" xr:uid="{0406EF55-A454-46A5-B0F3-1E0DA8EFEE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promovido de ASG para operador de máquina </t>
      </text>
    </comment>
    <comment ref="KF141" authorId="94" shapeId="0" xr:uid="{469735CE-73E2-4A51-972B-BBDED7CA57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JEAN CARLOS SOARES DE ALMEIDA
Demissão: 19/01/2026
Admissão: 15/04/2026</t>
      </text>
    </comment>
    <comment ref="NC141" authorId="95" shapeId="0" xr:uid="{5359487F-5B6B-4E27-977E-FE8CE41C14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DIOGO RIBEIRO DA SILVA SANTOS
Desligamento: 16/03/2026
Admissão: 15/04/2026</t>
      </text>
    </comment>
    <comment ref="PJ141" authorId="96" shapeId="0" xr:uid="{DF799207-7E9D-4A3E-8440-D04F3EB029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APOLONIO AZEVEDO MENDES
Desligamento: 19/02/2026</t>
      </text>
    </comment>
    <comment ref="QQ141" authorId="97" shapeId="0" xr:uid="{8DFD5DD6-7390-4E14-89A6-BDCF1D3E98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14/11/2025
Reposição: Luciano dos Santos Sales</t>
      </text>
    </comment>
    <comment ref="BX142" authorId="98" shapeId="0" xr:uid="{232FEEB5-6A7E-49AA-B433-2F381A46F6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CRISTIANO SOUZA LIMA
Desligamento: 16/03/2026</t>
      </text>
    </comment>
    <comment ref="DK142" authorId="99" shapeId="0" xr:uid="{14CB86B3-261B-46D3-93F3-1719336D50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ADMISÃO: 17/12/2025</t>
      </text>
    </comment>
    <comment ref="GH142" authorId="100" shapeId="0" xr:uid="{26696EE0-11B8-4AA0-BD2A-CF784A1790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TIAGO TAVARES PESSANHA</t>
      </text>
    </comment>
    <comment ref="OL143" authorId="101" shapeId="0" xr:uid="{C6F3258A-754B-4566-AE1D-290505F636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VALDEMIR DA CONCEIÇÃO
Desligamento: 04/12/2025</t>
      </text>
    </comment>
    <comment ref="QQ143" authorId="102" shapeId="0" xr:uid="{394C94AB-13F2-4D80-A563-23BBC16411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FABRICIO AMERICO HIPOLITO DA SILVA
Desligamento: 03/02/2026
Admissão: 09/04/2026</t>
      </text>
    </comment>
    <comment ref="RC143" authorId="103" shapeId="0" xr:uid="{9716B382-AA25-42FD-89E7-1056124EF7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MANOEL ALVES
Desligado</t>
      </text>
    </comment>
    <comment ref="RO143" authorId="104" shapeId="0" xr:uid="{CAB3E1FD-1E61-4D91-91F8-C872B9EC96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JOSE MARCIO RODRIGUES
Promovido: 01/2026</t>
      </text>
    </comment>
    <comment ref="GT144" authorId="105" shapeId="0" xr:uid="{31916ACE-D699-4D24-B5CC-9BB09B2963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18/03/2026
LARISSA DA SILVA FIGUEIREDO
Demissão: 12/01/2026</t>
      </text>
    </comment>
    <comment ref="HT144" authorId="106" shapeId="0" xr:uid="{69DE1AB2-8A26-49BF-9B98-A22CE6265A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KAILANI NOGUEIRA DIAS
INSS: 25/11/2025</t>
      </text>
    </comment>
    <comment ref="IG144" authorId="107" shapeId="0" xr:uid="{0680D25F-15B5-4838-B31E-CEF7F364F5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GUSTAVO JOSÉ DA SILVA
Afastamento INSS: 19/01/2026</t>
      </text>
    </comment>
    <comment ref="KF145" authorId="108" shapeId="0" xr:uid="{CF3BB5A3-7AF9-4AD2-85FA-8964A41E89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VICTOR GONCALVES SIMOES FONTANHA
Demissão: 02/03/2026
Admissão: 06/04/2026</t>
      </text>
    </comment>
    <comment ref="MQ145" authorId="109" shapeId="0" xr:uid="{38B0628B-D8F6-4C71-BB45-F6BC75E135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DANIEL BOUVIER DE MATTOS
Desligamento: 05/12/2025
Admissão: 16/04/2026</t>
      </text>
    </comment>
    <comment ref="OX145" authorId="110" shapeId="0" xr:uid="{77658C1E-7FA0-43A9-B564-A15CA9E9FB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GECENILDO VICENTE ALVES
Demissão: 20/01/2026</t>
      </text>
    </comment>
    <comment ref="QF145" authorId="111" shapeId="0" xr:uid="{B00DCEB2-7459-4CC5-B962-C052FECC7D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CAIO RIBEIRO DA SILVA
DEMISSÃO: 18/12/2025</t>
      </text>
    </comment>
    <comment ref="QQ145" authorId="112" shapeId="0" xr:uid="{11140357-5679-4BA4-B058-685001D08A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ADRIANO GOMES LEAO
Desligado: 05/10/2025</t>
      </text>
    </comment>
    <comment ref="GT146" authorId="113" shapeId="0" xr:uid="{B7332622-3E6A-4E5A-96DB-52EB2F36F1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23/03/2026
LIDIANE DE SOUZA DA CONCEICAO
Desligamento: 07/01/2026</t>
      </text>
    </comment>
    <comment ref="HG146" authorId="114" shapeId="0" xr:uid="{FBC5E589-D33D-4C04-8B38-7C486AAE48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LUCICLEIDE PEREIRA DE JESUS
Desligamento: 06/02/2026</t>
      </text>
    </comment>
    <comment ref="KF147" authorId="115" shapeId="0" xr:uid="{B39A1DCC-AA28-4DBF-8423-97FE388C2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09/12/2025</t>
      </text>
    </comment>
    <comment ref="RO147" authorId="116" shapeId="0" xr:uid="{9DE5E16A-00B9-478B-BAAF-3DF648303E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ADENILTON MOREIRA SAPUCAIA
Desligamento: 03/02/2026</t>
      </text>
    </comment>
    <comment ref="BL148" authorId="117" shapeId="0" xr:uid="{BA87D69A-BCEB-4450-B85C-3B34A3402F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Maicon Junior Canuto Lirio
Promovido para Elétrica 04/2026.</t>
      </text>
    </comment>
    <comment ref="GT148" authorId="118" shapeId="0" xr:uid="{F14AFE74-EECD-472C-826E-BADF5B6356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ALINE DAVID</t>
      </text>
    </comment>
    <comment ref="KF149" authorId="119" shapeId="0" xr:uid="{96E278D9-206E-4F35-A372-677F196304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Vaga de: ALUISIO BOTELHO COUTINHO
Afastamento pelo INSS - 15/10/2025</t>
      </text>
    </comment>
    <comment ref="OL149" authorId="120" shapeId="0" xr:uid="{30A940B6-EB0E-4D90-A311-649B2B5FA9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ELISMAR PEREIRA DA SILVA
Desligamento: 02/02/2026</t>
      </text>
    </comment>
    <comment ref="BX150" authorId="121" shapeId="0" xr:uid="{97C20A9C-82F0-4A4D-9521-D66C3A928D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JOSUEL BARCELLOS RODRIGUES
Promovido 04/2026.</t>
      </text>
    </comment>
    <comment ref="IS150" authorId="122" shapeId="0" xr:uid="{D6D646EB-AF6C-4A46-A02D-A855F6B438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 PAULA LAPA</t>
      </text>
    </comment>
    <comment ref="OL151" authorId="123" shapeId="0" xr:uid="{9580CD2A-BDAB-4CB9-85E9-C7F52B61BA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UELINGTON XAVIER DA CONCEIÇÃO
Desligamento: 02/02/2026
Admissão: 06/04/2026</t>
      </text>
    </comment>
    <comment ref="OX151" authorId="124" shapeId="0" xr:uid="{44C3ACD0-4871-4610-81AF-82DC408C0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ISAAC SANTOS DE SOUZA
Promovido: 01/2026</t>
      </text>
    </comment>
    <comment ref="QQ151" authorId="125" shapeId="0" xr:uid="{89C8B366-717E-4A10-8E4D-28BDE0CC73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BRUNO DA CONCEICAO TAVARES
Desligamento: 07/04/2026
Admissão: 15/04/2026</t>
      </text>
    </comment>
    <comment ref="MQ153" authorId="126" shapeId="0" xr:uid="{84C658D7-CE00-48E2-A58A-DFD45BA25C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EUDES EMANUEL DAMASCENO DOS SANTOS
INSS: 03/12/2025
Admissão: 06/04/2026</t>
      </text>
    </comment>
    <comment ref="OA153" authorId="127" shapeId="0" xr:uid="{57FC2FD0-2039-4D05-A2FA-7CE450ECBF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MURILO HENRIQUE LOPES COELHO
Desligado</t>
      </text>
    </comment>
    <comment ref="RC153" authorId="128" shapeId="0" xr:uid="{A95C51E9-7F19-4A49-B484-BB3DCA9230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LUCIANO DA SILVA SOARES
Desligamento: 16/03/2026</t>
      </text>
    </comment>
    <comment ref="GT154" authorId="129" shapeId="0" xr:uid="{E34A57E5-9B2B-4652-82FF-216317C05A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10/12/2025
Vaga de: MARIA DO CARMO BATISTA</t>
      </text>
    </comment>
    <comment ref="OX155" authorId="130" shapeId="0" xr:uid="{4D7FC1BD-266E-47BC-B2B4-527FD09FA4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ANDERSON RODRIGO WERLANG
Desligamento.</t>
      </text>
    </comment>
    <comment ref="QQ155" authorId="131" shapeId="0" xr:uid="{A06D892B-496B-4E0B-A094-47716FEE55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13/03/2026
DESLIGAMENTO:  09/12/2025
ARIALESON SANTANA DOS SANTOS</t>
      </text>
    </comment>
    <comment ref="RC155" authorId="132" shapeId="0" xr:uid="{5B1E8406-34E9-4D5E-BB5E-E68389C340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LUIS FELIPE DA SILVA CORREA
Desligado</t>
      </text>
    </comment>
    <comment ref="RO155" authorId="133" shapeId="0" xr:uid="{71DA7988-1113-4F4C-A5CC-6D48E92116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JOLBER PEREIRA DA CONCEICAO
Desligado: 10/02/2026
Admissão: 17/04/2026</t>
      </text>
    </comment>
    <comment ref="GT156" authorId="134" shapeId="0" xr:uid="{8128CD2D-FE45-4D72-A0FB-DC74899393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Admissão: 19/03/2026
ADRIANA DA FONSECA DA SILVA
Desligamento: 11/02/2026</t>
      </text>
    </comment>
    <comment ref="OX157" authorId="135" shapeId="0" xr:uid="{F3EE1853-8D9F-4D8A-AC45-B503103950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VICTOR OLIVEIRA MIRANDA DE SOUZA 
Desligado: 20/10/2025</t>
      </text>
    </comment>
    <comment ref="PJ157" authorId="136" shapeId="0" xr:uid="{F6C2509A-8040-4BC3-ADCC-039CBD0E22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MURILO DOS SANTOS SILVA
Transferido para Eletromecânica.</t>
      </text>
    </comment>
    <comment ref="PU157" authorId="137" shapeId="0" xr:uid="{B7D5D7E3-0F63-4351-9560-6CBA2FA869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FLAVIO CARVALHO LEAL
Desligamento: 05/12/2025</t>
      </text>
    </comment>
    <comment ref="RC157" authorId="138" shapeId="0" xr:uid="{BA9FBEEB-D769-4090-A183-F905C5F0D0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CRISTIAN DA SILVA PACHECO
Promovido: 01/2026
Admissão: 16/04/2026</t>
      </text>
    </comment>
    <comment ref="RO157" authorId="139" shapeId="0" xr:uid="{7008E7B1-F563-4FF8-A77F-229E7BB418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JOSIMAR DOS SANTOS PINHEIRO DE SOUZA
Desligamento: 05/12/2025</t>
      </text>
    </comment>
    <comment ref="PU159" authorId="140" shapeId="0" xr:uid="{D2665AB6-7A7E-4BDB-8C0A-20D6357366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LEONARDO BATISTA DOS SANTOS
Desligamento: 05/12/2025</t>
      </text>
    </comment>
    <comment ref="HG164" authorId="141" shapeId="0" xr:uid="{3E14247E-1B70-4950-8B7A-8913A3114A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DESLIGAMENTO: 11/12/2025
ELIS REGINA SILVA PEREIRA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<sst xmlns="http://schemas.openxmlformats.org/spreadsheetml/2006/main" count="17842" uniqueCount="5464">
  <si>
    <t xml:space="preserve">    NORMATEL  •  Diagnóstico de Efetivo</t>
  </si>
  <si>
    <t>Fonte única: aba EFETIVO 11.05.2026 • Fórmulas vivas referenciando a base</t>
  </si>
  <si>
    <t>Visão Geral</t>
  </si>
  <si>
    <t>Esta planilha consolida o quadro de pessoal dos projetos 741 e 743 a partir da aba EFETIVO 11.05.2026. Todas as análises usam fórmulas dinâmicas (COUNTIFS, SUMPRODUCT) referenciando a base -  basta atualizar a aba de efetivo (SIT, PROJETO, BASE, FUNÇÃO) e os números recalculam automaticamente.
Filtros aplicados: somente registros com SIT = 'A' (ativo) ou SIT = 'D' (desligado). Identificação de projeto pela presença de '741' ou '743' na coluna PROJETO.</t>
  </si>
  <si>
    <t>ATIVOS 741</t>
  </si>
  <si>
    <t>DESLIGADOS 741</t>
  </si>
  <si>
    <t>ATIVOS 743</t>
  </si>
  <si>
    <t>AFASTADOS (F/P/T/M)</t>
  </si>
  <si>
    <t>TOTAL ATIVOS</t>
  </si>
  <si>
    <t>TOTAL REGS</t>
  </si>
  <si>
    <t>DESLIGADOS 743</t>
  </si>
  <si>
    <t>ATIVOS 736</t>
  </si>
  <si>
    <t>DESLIGADOS 736</t>
  </si>
  <si>
    <t>ATIVOS 737</t>
  </si>
  <si>
    <t>DESLIGADOS 737</t>
  </si>
  <si>
    <t>Índice das Abas</t>
  </si>
  <si>
    <t>Sumário</t>
  </si>
  <si>
    <t>Esta aba - KPIs gerais e índice</t>
  </si>
  <si>
    <t>Análises 736</t>
  </si>
  <si>
    <t>Mesma estrutura aplicada ao projeto 736 (614 registros)</t>
  </si>
  <si>
    <t>Análises 737</t>
  </si>
  <si>
    <t>Mesma estrutura aplicada ao projeto 737 (586 registros)</t>
  </si>
  <si>
    <t>Análises 741</t>
  </si>
  <si>
    <t>5 seções com fórmulas vivas: KPIs, headcount por função, base, pontos únicos, movimentação histórica</t>
  </si>
  <si>
    <t>Análises 743</t>
  </si>
  <si>
    <t>Mesma estrutura aplicada ao projeto 743</t>
  </si>
  <si>
    <t>EFETIVO 11.05.2026</t>
  </si>
  <si>
    <t>FONTE ÚNICA. Atualize SIT, PROJETO, BASE, FUNÇÃO aqui e tudo recalcula automaticamente.</t>
  </si>
  <si>
    <t>EFETIVO 20.10.2025</t>
  </si>
  <si>
    <t>Base histórica para referência (não conectada às fórmulas)</t>
  </si>
  <si>
    <t>741 EFTV ATUALIZADO</t>
  </si>
  <si>
    <t>Base auxiliar do 741 (com classificação por Grupo/Área)</t>
  </si>
  <si>
    <t>FG-ORGANOGRAMA-741</t>
  </si>
  <si>
    <t>Organograma desenhado do projeto 741</t>
  </si>
  <si>
    <t>FG-ORGANOGRAMA-743</t>
  </si>
  <si>
    <t>Organograma desenhado do projeto 743</t>
  </si>
  <si>
    <t>ORG. RESUMIDO-741</t>
  </si>
  <si>
    <t>Versão executiva do organograma 741</t>
  </si>
  <si>
    <t>ORG-RESUMIDO-743</t>
  </si>
  <si>
    <t>Versão executiva do 743 (atualmente vazia, será preenchida)</t>
  </si>
  <si>
    <t>Notas Metodológicas</t>
  </si>
  <si>
    <t>Todos os números desta planilha vêm de fórmulas que referenciam a aba EFETIVO 11.05.2026. Edições em SIT, PROJETO, BASE ou FUNÇÃO refletem nas análises imediatamente.</t>
  </si>
  <si>
    <t>Identificação de projeto: SUMPRODUCT + ISNUMBER(SEARCH("741"...)) ou SEARCH("743"...) na coluna PROJETO. Funciona mesmo que o texto venha completo (ex.: 'PROJETO 741 - FACILITIES MULT CABIUNAS UTE/AE-SINTRAINDISTAL').</t>
  </si>
  <si>
    <t>Filtro padrão: SIT = 'A' (ativo) ou SIT = 'D' (desligado). Outros valores (F/V/P/T/M) são ignorados nas seções de Headcount/Funções.</t>
  </si>
  <si>
    <t>Movimentação histórica: o ano é extraído com YEAR() das colunas ADMISSÃO (entradas) e DEMISSÃO (saídas). Em 'D' já desligados, a contagem de ATIVO/DESLIGADO conta o registro pelo seu status final.</t>
  </si>
  <si>
    <t>Pontos Únicos de Falha (Seção 4): funções com exatamente 1 ocupante ativo. Resultado dinâmico via INDEX/SMALL - quando uma função ganhar ou perder ocupante, a lista se ajusta sozinha.</t>
  </si>
  <si>
    <t>🔒 Acesso Restrito</t>
  </si>
  <si>
    <t>As abas abaixo estão protegidas. Clique no botão correspondente e informe a senha para visualizar. Ao retornar ao Sumário, a aba é ocultada novamente automaticamente.</t>
  </si>
  <si>
    <t>Aba</t>
  </si>
  <si>
    <t>Descrição</t>
  </si>
  <si>
    <t>Acesso</t>
  </si>
  <si>
    <t>FG-ORGANOGRAMA-736</t>
  </si>
  <si>
    <t>Organograma completo do projeto 736</t>
  </si>
  <si>
    <t>FG-ORGANOGRAMA-737</t>
  </si>
  <si>
    <t>Organograma completo do projeto 737</t>
  </si>
  <si>
    <t>Organograma completo do projeto 741</t>
  </si>
  <si>
    <t>Organograma completo do projeto 743</t>
  </si>
  <si>
    <t>FG-ORGANOGRAMA-APOIO MACAÉ</t>
  </si>
  <si>
    <t>Organograma de apoio - Macaé</t>
  </si>
  <si>
    <t>Análises detalhadas do projeto 736</t>
  </si>
  <si>
    <t>Análises detalhadas do projeto 737</t>
  </si>
  <si>
    <t>Análises detalhadas do projeto 741</t>
  </si>
  <si>
    <t>Análises detalhadas do projeto 743</t>
  </si>
  <si>
    <t>EFETIVO</t>
  </si>
  <si>
    <t>Base atual de efetivo</t>
  </si>
  <si>
    <t>Gerente Regional</t>
  </si>
  <si>
    <t>DIEGO CASTELUBER BASSETTI</t>
  </si>
  <si>
    <t>Gerente de Facilities</t>
  </si>
  <si>
    <t>Engenheiro de Segurança</t>
  </si>
  <si>
    <t>Gerente Administrativo</t>
  </si>
  <si>
    <t>JOSE DANIEL SILVA SANTOS JUNIOR</t>
  </si>
  <si>
    <t>RODRIGO RODRIGUES</t>
  </si>
  <si>
    <t>EVANDO GERONIMO</t>
  </si>
  <si>
    <t>Assistente Administrativo</t>
  </si>
  <si>
    <t>Supervisor Administrativo</t>
  </si>
  <si>
    <t>Supervisor de Planejamento</t>
  </si>
  <si>
    <t>GABRIEL SERAFIM DA CRUZ</t>
  </si>
  <si>
    <t>MAICON MONTEIRO</t>
  </si>
  <si>
    <t>PEDRO PAULO TAVARES BARBOSA MACHADO</t>
  </si>
  <si>
    <t>Tecnico de Enfermagem</t>
  </si>
  <si>
    <t>Supervisora Administrativo</t>
  </si>
  <si>
    <t>RAPHAEL DURAO SENOS DE CAMPOS</t>
  </si>
  <si>
    <t>Planejador</t>
  </si>
  <si>
    <t>CLEITON ORILIO LIRA DA SILVA</t>
  </si>
  <si>
    <t>TAIANE TEIXEIRA DA SILVA DE OLIVEIRA</t>
  </si>
  <si>
    <t>Supervisora de SMS</t>
  </si>
  <si>
    <t>Software</t>
  </si>
  <si>
    <t>Assistente de Logistica I</t>
  </si>
  <si>
    <t>Comprador - Normatel</t>
  </si>
  <si>
    <t>DANIELE LIMA PONTES</t>
  </si>
  <si>
    <t>Auxiliar Administrativo</t>
  </si>
  <si>
    <t>Almoxarife</t>
  </si>
  <si>
    <t>IZABELLA DE JESUS LIMA</t>
  </si>
  <si>
    <t>DIEGO GREGORIO HESPANHOL</t>
  </si>
  <si>
    <t>ALESSANDRA DA SILVA MARIANO</t>
  </si>
  <si>
    <t>MICHELE VIEIRA SOUZA</t>
  </si>
  <si>
    <t>ADENILSON LUIZ DA SILVA</t>
  </si>
  <si>
    <t>Tecnico de Segurança II</t>
  </si>
  <si>
    <t>THAINANDA DOS SANTOS SOUZA LEONE</t>
  </si>
  <si>
    <t>VITOR DANIEL RODRIGUES DE CARVALHO MATOS</t>
  </si>
  <si>
    <t>KARINY CORREA REIS</t>
  </si>
  <si>
    <t>HERALDO JULIO GREGORIO DA SILVA</t>
  </si>
  <si>
    <t>JULIA FRANCO SOUZA</t>
  </si>
  <si>
    <t>VANESSA DE OLIVEIRA MACHARETE</t>
  </si>
  <si>
    <t>Motorista</t>
  </si>
  <si>
    <t>Comprador - Petrobras</t>
  </si>
  <si>
    <t>Auxiliar de Almoxarifado</t>
  </si>
  <si>
    <t>GERALDO ALVES BEZERRA</t>
  </si>
  <si>
    <t>IONE DE FREIRAS</t>
  </si>
  <si>
    <t>EDUARDA MANHAES VELASCO</t>
  </si>
  <si>
    <t>DOCUMENTAÇÃO</t>
  </si>
  <si>
    <t>ÁREA / DOCUMENTAÇÃO</t>
  </si>
  <si>
    <t>INSPEÇÃO</t>
  </si>
  <si>
    <t>RH</t>
  </si>
  <si>
    <t>WEBERSON DA PAIXAO DE ARAUJO SILVA</t>
  </si>
  <si>
    <t>Auxiliar de SMS</t>
  </si>
  <si>
    <t>Tecnico de Segurança</t>
  </si>
  <si>
    <t>JOABSON DE OLIVEIRA FERREIRA</t>
  </si>
  <si>
    <t>NIVIA RANGEL</t>
  </si>
  <si>
    <t>Planejamento</t>
  </si>
  <si>
    <t>IZADORA MONTEIRO CARVALHO</t>
  </si>
  <si>
    <t>FILIPE DE PAULA DA SILVA</t>
  </si>
  <si>
    <t>RAFAELA GAUDENCIO MAXIMO</t>
  </si>
  <si>
    <t>DALISSON CARDOSO FERREIRA</t>
  </si>
  <si>
    <t>CLAUDIO MONTEIRO ANDRE</t>
  </si>
  <si>
    <t>CRISTIANO PAIVA</t>
  </si>
  <si>
    <t>LAURAH HECTH FELIX</t>
  </si>
  <si>
    <t>MARIA FERNANDA SILVA SANTOS</t>
  </si>
  <si>
    <t>SANDRO AUGUSTO SOUZA DO COUTO</t>
  </si>
  <si>
    <t>Suprimentos</t>
  </si>
  <si>
    <t>Operador de Retroesvacadeira</t>
  </si>
  <si>
    <t>VAGA</t>
  </si>
  <si>
    <t>Compras</t>
  </si>
  <si>
    <t>MATEUS HIPOLITO CHAGAS RIBEIRO</t>
  </si>
  <si>
    <t>Motorista Munckeiro</t>
  </si>
  <si>
    <t>UENDER DA SILVA GOMES</t>
  </si>
  <si>
    <t>LEONARDO LOUSA DA SILVA</t>
  </si>
  <si>
    <t>Logística</t>
  </si>
  <si>
    <t>MARIA LUIZA DE FATIMA ALFARO</t>
  </si>
  <si>
    <t>SMS</t>
  </si>
  <si>
    <t>Preposto</t>
  </si>
  <si>
    <t>ALEXANDRO DOS REIS JUNIOR</t>
  </si>
  <si>
    <t>Coordenador de Manutenção</t>
  </si>
  <si>
    <t>ANA CAROLINA RODRIGUES</t>
  </si>
  <si>
    <t>AREAS EXTERNAS</t>
  </si>
  <si>
    <t>Supervisor de Eletrica</t>
  </si>
  <si>
    <t>Engenheira Civil</t>
  </si>
  <si>
    <t>Engenheiro Agronomo</t>
  </si>
  <si>
    <t>RODRIGO COTA SANTOS</t>
  </si>
  <si>
    <t>KARLA KOPPE BATISTA</t>
  </si>
  <si>
    <t>GUSTAVO FABRI BASTOS</t>
  </si>
  <si>
    <t>Supervisor de Manutencao Civil</t>
  </si>
  <si>
    <t>ARVIDO BALANIUK JUNIOR</t>
  </si>
  <si>
    <t>Supervisor de Áreas Verdes</t>
  </si>
  <si>
    <t>Supervisor de Limpeza</t>
  </si>
  <si>
    <t>MECANICA</t>
  </si>
  <si>
    <t>ELETRICA</t>
  </si>
  <si>
    <t>JEFFERSON DE SOUZA CUNHA</t>
  </si>
  <si>
    <t>TIAGO DIOGO SANTOS DA COSTA</t>
  </si>
  <si>
    <t>Tecnico de Mecanica</t>
  </si>
  <si>
    <t>Tecnico em Eletrotecnica</t>
  </si>
  <si>
    <t>GEFERSON RODRIGUES SIMPLICIO</t>
  </si>
  <si>
    <t>FERNANDO SILVA ALVARENGA</t>
  </si>
  <si>
    <t>ANDAIMES</t>
  </si>
  <si>
    <t>APOIO TÉCNICO</t>
  </si>
  <si>
    <t>HIDRAULICA</t>
  </si>
  <si>
    <t>DRONE</t>
  </si>
  <si>
    <t>Encarregado de Áreas Verdes</t>
  </si>
  <si>
    <t>Encarregado de Limpeza</t>
  </si>
  <si>
    <t>Mecanico</t>
  </si>
  <si>
    <t>Eletricista Predial</t>
  </si>
  <si>
    <t>Montador de Andaimes</t>
  </si>
  <si>
    <t>Artífice</t>
  </si>
  <si>
    <t>Operador de RPAS</t>
  </si>
  <si>
    <t>BRENO RODRIGUES CINQUINE</t>
  </si>
  <si>
    <t>CLEIDIANE CONCEICAO SANTOS</t>
  </si>
  <si>
    <t>ESTEVAO DIANINI CUNHA CRUZ DE CARVALHO</t>
  </si>
  <si>
    <t>EM ANDAMENTO</t>
  </si>
  <si>
    <t>LEONARDO LUCAS SILVA PINHEIRO</t>
  </si>
  <si>
    <t>KISEPP CLAYTON MENDES DOS SANTOS</t>
  </si>
  <si>
    <t>DIEGO WAGNER MARTINS DA SILVA</t>
  </si>
  <si>
    <t>Ajudante de Mecanica Predial</t>
  </si>
  <si>
    <t>Técnico de Edificacoes</t>
  </si>
  <si>
    <t>Jardineiro</t>
  </si>
  <si>
    <t>Operador de Rocadeira</t>
  </si>
  <si>
    <t>Auxiliar de Serviços Gerais - 2x2</t>
  </si>
  <si>
    <t>JOAO FELIPE DE OLIVEIRA ALMEIDA</t>
  </si>
  <si>
    <t>LEONARDO BEZERRA DE SOUSA PAIVA</t>
  </si>
  <si>
    <t>ROEMILSON LOPES RIBEIRO</t>
  </si>
  <si>
    <t>LUIS PAULO SANTOS DA SILVA</t>
  </si>
  <si>
    <t>JORGE LUIZ FERREIRA DA SILVA</t>
  </si>
  <si>
    <t>CLEDEILSON BORGES MARCELINO</t>
  </si>
  <si>
    <t>ANTONIO VEIGA POSES</t>
  </si>
  <si>
    <t>Ajudante de Eletromecanica Predial</t>
  </si>
  <si>
    <t>Ajudante de Eletrica Predial</t>
  </si>
  <si>
    <t>Auxiliar de Jardinagem</t>
  </si>
  <si>
    <t>FILIPE LEITE DA CRUZ</t>
  </si>
  <si>
    <t>BRUNO SACRAMENTO SANTANA</t>
  </si>
  <si>
    <t>BARBARA SALDANHA SANTOS</t>
  </si>
  <si>
    <t>DANILO CINQUINE CRISOSTOMO</t>
  </si>
  <si>
    <t>CARLOS HENRIQUE CRUZ MARIANO DE OLIVEIRA</t>
  </si>
  <si>
    <t>ERICA SOUZA DE JESUS PORTELA</t>
  </si>
  <si>
    <t>CAUA SILVA DE PAULA</t>
  </si>
  <si>
    <t xml:space="preserve">CLAUDECIR OLIVEIRA SANTOS </t>
  </si>
  <si>
    <t>LUAN ADILSON DE SOUZA CUNHA</t>
  </si>
  <si>
    <t>TANIA APARECIDA BARRETO</t>
  </si>
  <si>
    <t>Auxiliar de Serviços Gerais</t>
  </si>
  <si>
    <t>JEFFERSON MARQUES PEREIRA</t>
  </si>
  <si>
    <t>JOSIMAR CORDEIRO PEREIRA</t>
  </si>
  <si>
    <t>WANDERNEY ENCARNACAO DOS SANTOS</t>
  </si>
  <si>
    <t>NATAN SAMUEL MONTEIRO FORTES</t>
  </si>
  <si>
    <t>PINTURA</t>
  </si>
  <si>
    <t>MARCENARIA</t>
  </si>
  <si>
    <t>CALDEIRARIA</t>
  </si>
  <si>
    <t>ALVENARIA</t>
  </si>
  <si>
    <t>LUCAS MACEDO SIQUEIRA</t>
  </si>
  <si>
    <t>CARLOS ANDRE DE OLIVEIRA</t>
  </si>
  <si>
    <t>CARLOS DANIEL BARRETO VASCO DA GLORIA</t>
  </si>
  <si>
    <t>Pintor Industrial</t>
  </si>
  <si>
    <t>Caldeireiro</t>
  </si>
  <si>
    <t>Manutenção</t>
  </si>
  <si>
    <t>ISMAEL MACHADO ALMEIDA</t>
  </si>
  <si>
    <t>JOAO PAULO GEAMONOND PINTO CHAVES</t>
  </si>
  <si>
    <t>LEONARDO LUCIDIO DOS SANTOS</t>
  </si>
  <si>
    <t>WESLEY FERREIRA DOS SANTOS</t>
  </si>
  <si>
    <t>MATEUS SANT ANA COUTINHO</t>
  </si>
  <si>
    <t>GABRIEL FERNANDES DOS SANTOS</t>
  </si>
  <si>
    <t>Pintor</t>
  </si>
  <si>
    <t>Auxiliar de Manut. em Caldeiraria</t>
  </si>
  <si>
    <t>AMELIO SILVINO MAIA DA SILVA</t>
  </si>
  <si>
    <t>RUBINEY DOS SANTOS MARTINS</t>
  </si>
  <si>
    <t>GILSON CARVALHO DOS SANTOS</t>
  </si>
  <si>
    <t>MARCIO CLAUDIO ALVES DO NASCIMENTO</t>
  </si>
  <si>
    <t>DAMARYS ANDRE DO AMARAL SOUZA</t>
  </si>
  <si>
    <t>Ajudante de Pintura</t>
  </si>
  <si>
    <t>GUILHERME OLIVEIRA FERREIRA</t>
  </si>
  <si>
    <t>ISAIAS DO ROSARIO</t>
  </si>
  <si>
    <t>WELLINGTON ALVARENGA MENDES</t>
  </si>
  <si>
    <t>FABIOLA LOPES DA SILVA ANDRADE</t>
  </si>
  <si>
    <t>DIOGO NOGUEIRA DE ALMEIDA</t>
  </si>
  <si>
    <t>LUIANDERSON DE SOUZA ROCHA</t>
  </si>
  <si>
    <t>YURI DIAS DOS SANTOS</t>
  </si>
  <si>
    <t>JOSEFA DOS SANTOS JOVINO</t>
  </si>
  <si>
    <t>Auxiliar de Manutencao Civil</t>
  </si>
  <si>
    <t>Àreas Verdes</t>
  </si>
  <si>
    <t>THALINE REIS ANUNCIACAO</t>
  </si>
  <si>
    <t>THAISE REIS ANUNCIACAO</t>
  </si>
  <si>
    <t>VALDENEIDE DOS SANTOS</t>
  </si>
  <si>
    <t>Civil</t>
  </si>
  <si>
    <t>UILSON JANES BATISTA</t>
  </si>
  <si>
    <t>LEANDRA EVANGELISTA DOS SANTOS MACHADO</t>
  </si>
  <si>
    <t>Limpeza</t>
  </si>
  <si>
    <t>UTE-TMA</t>
  </si>
  <si>
    <t>Supervisor de Manutenção II</t>
  </si>
  <si>
    <t>LAFAETE DAUMAS BRAGA DE MORAES</t>
  </si>
  <si>
    <t>HUGO GABRIEL DOS SANTOS</t>
  </si>
  <si>
    <t>BRUNO DA COSTA ROCHA</t>
  </si>
  <si>
    <t>EDUARDO SALDANHA SANTOS</t>
  </si>
  <si>
    <t>Cadista</t>
  </si>
  <si>
    <t>Encarregado Civil</t>
  </si>
  <si>
    <t>Tecnico de Edificacoes</t>
  </si>
  <si>
    <t>MAIZA DA SILVA DE SOUZA</t>
  </si>
  <si>
    <t>CELIO PERES</t>
  </si>
  <si>
    <t>SUSPENSA</t>
  </si>
  <si>
    <t>MECÂNICA</t>
  </si>
  <si>
    <t>ELÉTRICA</t>
  </si>
  <si>
    <t>FILIPE GOMES DOS SANTOS DE LIMA</t>
  </si>
  <si>
    <t>RAYSSA DE SOUZA DA SILVA</t>
  </si>
  <si>
    <t>ROGERIO QUEIROZ DE DEUS</t>
  </si>
  <si>
    <t>MARCELO MAGALHAES CHAVES</t>
  </si>
  <si>
    <t>Operador de Roçadeira</t>
  </si>
  <si>
    <t>HIDRÁULICA</t>
  </si>
  <si>
    <t>ALISOM DE OLIVEIRA ROSA</t>
  </si>
  <si>
    <t>ALCIMAR SILVA MONTEIRO</t>
  </si>
  <si>
    <t>ALICE ALVES DINIZ</t>
  </si>
  <si>
    <t>CRISTIANO DA COSTA SAMPAYO</t>
  </si>
  <si>
    <t>CLAUDENIR PEREIRA LIMA</t>
  </si>
  <si>
    <t>FELIPE LOPES FERREIRA</t>
  </si>
  <si>
    <t>JEFE DO CARMO CABRAL</t>
  </si>
  <si>
    <t>JOSE RIBAMAR NOVAIS PEREIRA</t>
  </si>
  <si>
    <t>JOSE APARICIO PEREIRA BEMBEM</t>
  </si>
  <si>
    <t>ANDERSON ALVES DINIZ MARQUES</t>
  </si>
  <si>
    <t>CARMEM LUCIA BARBOZA DE OLIVEIRA  QUINTANILHA</t>
  </si>
  <si>
    <t>EDSON ROBERTO CARVALHO DE OLIVEIRA</t>
  </si>
  <si>
    <t>GABRIEL DOS SANTOS AZEVEDO MACHADO</t>
  </si>
  <si>
    <t>Ajudante de Caldeiraria</t>
  </si>
  <si>
    <t>Mecanico de Refrigeracao I</t>
  </si>
  <si>
    <t>LUCAS ALVES SILVA</t>
  </si>
  <si>
    <t>WELLINGTON DE MORAES XAVIER JARDIM</t>
  </si>
  <si>
    <t>VALDECIR DA SILVA</t>
  </si>
  <si>
    <t>ELYARDO DUTRA RIBEIRO MACHADO</t>
  </si>
  <si>
    <t>ESDRAS ANDRE DE OLIVEIRA</t>
  </si>
  <si>
    <t>DEBORA DE OLIVEIRA</t>
  </si>
  <si>
    <t>FRANCISCO DE ASSIS DOS SANTOS DA COSTA</t>
  </si>
  <si>
    <t>THIAGO CORREA SIQUEIRA</t>
  </si>
  <si>
    <t>FERNANDO DA SILVA DE SOUZA</t>
  </si>
  <si>
    <t>GILSON DE AZEVEDO NEVES SOARES</t>
  </si>
  <si>
    <t>EDIR DA SILVA FERNANDES LEONEL</t>
  </si>
  <si>
    <t>GAUDENCIO CARLOS DOS SANTOS</t>
  </si>
  <si>
    <t>KENNY GABRIEL RIBEIRO TEIXEIRA</t>
  </si>
  <si>
    <t>IGOR BRENNER ALVES</t>
  </si>
  <si>
    <t>HEBRAIA SILVA ANDRADE</t>
  </si>
  <si>
    <t>MATHEUS ANDRE CARDIM</t>
  </si>
  <si>
    <t>LEONARDO STODUTO MUNIZ</t>
  </si>
  <si>
    <t>JADER MADUREIRA DA SILVA</t>
  </si>
  <si>
    <t>ICARO EVANGELISTA DALTI ALBINO</t>
  </si>
  <si>
    <t>FABRICIO MENEZES DE SOUZA</t>
  </si>
  <si>
    <t>REINALDO VIRGULINO</t>
  </si>
  <si>
    <t>GENILSON SANTANA DA CONCEICAO</t>
  </si>
  <si>
    <t>LUCAS DAUMAS BRAGA DE MORAES</t>
  </si>
  <si>
    <t>JOSE DO CARMO MORAES</t>
  </si>
  <si>
    <t xml:space="preserve">ITAMARA DE FREITAS DA SILVA </t>
  </si>
  <si>
    <t>ANDERSON SOUZA DA SILVA</t>
  </si>
  <si>
    <t>LEANDRO RIBEIRO DA COSTA</t>
  </si>
  <si>
    <t>PAULO VICTOR GOMES RODRIGUES MANHAES</t>
  </si>
  <si>
    <t>PAULO SERGIO ROCHA DOS SANTOS</t>
  </si>
  <si>
    <t>JOANITA VICENTE VIANA FLORES</t>
  </si>
  <si>
    <t>CARLOS ANTONIO DOS SANTOS GENEROSO</t>
  </si>
  <si>
    <t>CARLOS AUGUSTO POSES DO NASCIMENTO</t>
  </si>
  <si>
    <t>THALISSON LEANDRO DA SILVA</t>
  </si>
  <si>
    <t>THELWIS DOS SANTOS SILVA</t>
  </si>
  <si>
    <t>QUELEN MARCIA GREGORIO DA SILVA</t>
  </si>
  <si>
    <t>TRANSFERENCIA INTERNA</t>
  </si>
  <si>
    <t>CARLOS FRANCISCO CABRAL BESSA</t>
  </si>
  <si>
    <t>Auxiliar de Manutenção Civil</t>
  </si>
  <si>
    <t>VALDEMIR DE PAULA BARBOSA</t>
  </si>
  <si>
    <t>VINICIUS VIEIRA DUVIRGENS</t>
  </si>
  <si>
    <t>ROSANA DE FATIMA RIBEIRO DA SILVA</t>
  </si>
  <si>
    <t>LEVE DA SILVA GOMES</t>
  </si>
  <si>
    <t>ANDRE GOMES DA SILVA</t>
  </si>
  <si>
    <t>MAURICIO DE PAULA DA SILVA ROZA</t>
  </si>
  <si>
    <t xml:space="preserve">GABRIEL DOS SANTOS ROCHA							</t>
  </si>
  <si>
    <t>TATIANA PAULA DA SILVA</t>
  </si>
  <si>
    <t>MARCOS VINICIUS SOUZA DOS SANTOS</t>
  </si>
  <si>
    <t>FLAVIO DE SOUZA MIRANDA</t>
  </si>
  <si>
    <t>GUSTAVO MORAES DOS SANTOS LIMA</t>
  </si>
  <si>
    <t>PEDRO HENRIQUE DE PAULA SILVA</t>
  </si>
  <si>
    <t>RONIELE CARDIM DA SILVA</t>
  </si>
  <si>
    <t>KAUE CORREA PACHECO</t>
  </si>
  <si>
    <t>ALCINEI DE SOUZA CUNHA</t>
  </si>
  <si>
    <t>GUSTAVO PEREIRA CARVALHO</t>
  </si>
  <si>
    <t>MARCELO LUIZ SILVA</t>
  </si>
  <si>
    <t>JAIME LUIZ CRUZ DA SILVA</t>
  </si>
  <si>
    <t>PATRICK BARBOSA DA SILVA</t>
  </si>
  <si>
    <t>LEANDRO MACHADO DE BRITO</t>
  </si>
  <si>
    <t>EDIVANILTON BISPO DOS SANTOS</t>
  </si>
  <si>
    <t>FERNANDO LOPES DA SILVA</t>
  </si>
  <si>
    <t>GABRIEL RESENDE GONCALVES</t>
  </si>
  <si>
    <t>EDSON DOS SANTOS CORREA</t>
  </si>
  <si>
    <t>LUCAS SANTOS CARDOSO DA SILVA</t>
  </si>
  <si>
    <t>LUIZ FILIPI ABREU ALVES</t>
  </si>
  <si>
    <t>FABIO JUNIOR SILVA DE SOUZA</t>
  </si>
  <si>
    <t>ELISEU DO COUTO CORREA</t>
  </si>
  <si>
    <t>KLEYTON DA CONCEICAO DOS SANTOS</t>
  </si>
  <si>
    <t>Áreas Verdes</t>
  </si>
  <si>
    <t>NEEMIAS DA CRUZ PERES</t>
  </si>
  <si>
    <t>RODRIGO CEZAR LIMA DIAS</t>
  </si>
  <si>
    <t>WELITON DA SILVA NUNES</t>
  </si>
  <si>
    <t>WILSON PERES DA COSTA</t>
  </si>
  <si>
    <t>TAPERA</t>
  </si>
  <si>
    <t>GUILHERME DA CRUZ GOMES</t>
  </si>
  <si>
    <t>ALCILENE DA CONCEICAO BARRETO</t>
  </si>
  <si>
    <t>VITOR BARCELLOS DA SILVA</t>
  </si>
  <si>
    <t>Gerente de Facilites</t>
  </si>
  <si>
    <t>Gerente de SMS</t>
  </si>
  <si>
    <t>Gerente ADM</t>
  </si>
  <si>
    <t>RODRIGO CESAR RODRIGUES</t>
  </si>
  <si>
    <t xml:space="preserve">EVANDO GERONIMO </t>
  </si>
  <si>
    <t xml:space="preserve">EQUIPE ESTRATÉGICA </t>
  </si>
  <si>
    <t xml:space="preserve">GERÊNCIA DE INTEGRAÇÃO </t>
  </si>
  <si>
    <t>QUALIDADE, SAÚDE SEGURANÇA E MEIO AMBIENTE</t>
  </si>
  <si>
    <t xml:space="preserve">EQUIPE DE SAUDE </t>
  </si>
  <si>
    <t>ALMOXARIFADO</t>
  </si>
  <si>
    <t>Supervisora de Planejamento</t>
  </si>
  <si>
    <t>SOFTWARE</t>
  </si>
  <si>
    <t>LOGÍSTICA</t>
  </si>
  <si>
    <t>COMPRAS</t>
  </si>
  <si>
    <t>PLANEJAMENTO</t>
  </si>
  <si>
    <t>Áreas Externas</t>
  </si>
  <si>
    <t>Tapera</t>
  </si>
  <si>
    <t>Engenheiro Civil</t>
  </si>
  <si>
    <t>MANUTENÇÃO</t>
  </si>
  <si>
    <t>CIVIL</t>
  </si>
  <si>
    <t xml:space="preserve">ÁREAS VERDES </t>
  </si>
  <si>
    <t>CONS. LIMPEZA</t>
  </si>
  <si>
    <t xml:space="preserve">TOTAL </t>
  </si>
  <si>
    <t xml:space="preserve">    NORMATEL  •  Análises Projeto 741</t>
  </si>
  <si>
    <t>Cálculos dinâmicos sobre EFETIVO 11.05.2026 - Situações (SIT): A=Ativo, D=Desligado, F=Férias, P=INSS, T=Acidente de Trabalho, M=Serviço Militar</t>
  </si>
  <si>
    <t>1. Indicadores do Projeto 741</t>
  </si>
  <si>
    <t>Total de registros vinculados ao 741 (todas situações)</t>
  </si>
  <si>
    <t>Ativos no 741</t>
  </si>
  <si>
    <t>Desligados no 741</t>
  </si>
  <si>
    <t>% de turnover (desligados / total)</t>
  </si>
  <si>
    <t>Afastados no 741 (F+P+T+M)</t>
  </si>
  <si>
    <t>Funções distintas (ativos)</t>
  </si>
  <si>
    <t>2. Colaboradores por Função (Ativos / Desligados / Afastados)</t>
  </si>
  <si>
    <t>Função</t>
  </si>
  <si>
    <t>Ativos</t>
  </si>
  <si>
    <t>Desligados</t>
  </si>
  <si>
    <t>% do total ativos</t>
  </si>
  <si>
    <t>Afastados</t>
  </si>
  <si>
    <t>AJUDANTE DE CALDEIRARIA</t>
  </si>
  <si>
    <t>AJUDANTE DE ELETRICA PREDIAL</t>
  </si>
  <si>
    <t>AJUDANTE DE ELETROMECANICA PREDIAL</t>
  </si>
  <si>
    <t>AJUDANTE DE MANUTENCAO ELETRICA</t>
  </si>
  <si>
    <t>AJUDANTE DE MECANICA PREDIAL</t>
  </si>
  <si>
    <t>AJUDANTE DE PEDREIRO</t>
  </si>
  <si>
    <t>AJUDANTE DE PINTURA</t>
  </si>
  <si>
    <t>AJUDANTE DE PINTURA INDUSTRIAL</t>
  </si>
  <si>
    <t>ALMOXARIFE</t>
  </si>
  <si>
    <t>ARTIFICE</t>
  </si>
  <si>
    <t>ASSISTENTE ADMINISTRATIVO</t>
  </si>
  <si>
    <t>ASSISTENTE DE LOGISTICA I</t>
  </si>
  <si>
    <t>AUXILIAR ADMINISTRATIVO</t>
  </si>
  <si>
    <t>AUXILIAR DE ALMOXARIFADO</t>
  </si>
  <si>
    <t>AUXILIAR DE ALMOXARIFE</t>
  </si>
  <si>
    <t>AUXILIAR DE JARDINAGEM</t>
  </si>
  <si>
    <t>AUXILIAR DE MANUTENCAO CIVIL</t>
  </si>
  <si>
    <t>AUXILIAR DE MANUTENCAO EM CALDEIRARIA</t>
  </si>
  <si>
    <t>AUXILIAR DE SEGURANCA DO TRABALHO</t>
  </si>
  <si>
    <t>AUXILIAR DE SERVICOS GERAIS</t>
  </si>
  <si>
    <t>BOMBEIRO HIDRAULICO</t>
  </si>
  <si>
    <t>CADISTA I</t>
  </si>
  <si>
    <t>CALDEIREIRO</t>
  </si>
  <si>
    <t>CARPINTEIRO</t>
  </si>
  <si>
    <t>COMPRADOR</t>
  </si>
  <si>
    <t>COORDENADOR DE MANUTENCAO</t>
  </si>
  <si>
    <t>ELETRICISTA PREDIAL</t>
  </si>
  <si>
    <t>ENCARREGADO CIVIL</t>
  </si>
  <si>
    <t>ENCARREGADO DE AREAS VERDES</t>
  </si>
  <si>
    <t>ENCARREGADO DE CONSERVACAO E LIMPEZA</t>
  </si>
  <si>
    <t>ENGENHEIRO AGRONOMO</t>
  </si>
  <si>
    <t>ENGENHEIRO CIVIL</t>
  </si>
  <si>
    <t>ESTIVAS</t>
  </si>
  <si>
    <t>GERENTE DE PROJETO</t>
  </si>
  <si>
    <t>GERENTE DE PROJETO I</t>
  </si>
  <si>
    <t>JARDINEIRO</t>
  </si>
  <si>
    <t>MECANICO</t>
  </si>
  <si>
    <t>MECANICO DE REFRIGERACAO I</t>
  </si>
  <si>
    <t>MONTADOR DE ANDAIMES</t>
  </si>
  <si>
    <t>MOTORISTA</t>
  </si>
  <si>
    <t>OPERADOR DE ROCADEIRA</t>
  </si>
  <si>
    <t>OPERADOR DE RPAS</t>
  </si>
  <si>
    <t>PINTOR</t>
  </si>
  <si>
    <t>PINTOR INDUSTRIAL</t>
  </si>
  <si>
    <t>PLANEJADOR</t>
  </si>
  <si>
    <t>SUPERVISOR ADMINISTRATIVO</t>
  </si>
  <si>
    <t>SUPERVISOR DE AREAS VERDES</t>
  </si>
  <si>
    <t>SUPERVISOR DE ELETRICA</t>
  </si>
  <si>
    <t>SUPERVISOR DE ELETRICA PREDIAL</t>
  </si>
  <si>
    <t>SUPERVISOR DE LIMPEZA E CONSERVACAO</t>
  </si>
  <si>
    <t>SUPERVISOR DE MANUTENCAO CIVIL</t>
  </si>
  <si>
    <t>SUPERVISOR DE MANUTENCAO II</t>
  </si>
  <si>
    <t>SUPERVISOR DE PLANEJAMENTO</t>
  </si>
  <si>
    <t>SUPERVISOR DE SMS</t>
  </si>
  <si>
    <t>TECNICO DE EDIFICACOES</t>
  </si>
  <si>
    <t>TECNICO DE MECANICA</t>
  </si>
  <si>
    <t>TECNICO DE SEGURANCA DO TRABALHO</t>
  </si>
  <si>
    <t>TECNICO EM ELETROTECNICA</t>
  </si>
  <si>
    <t>TOTAL</t>
  </si>
  <si>
    <t>3. Pessoas por Base — Projeto 741</t>
  </si>
  <si>
    <t>A coluna BASE está parcialmente preenchida na fonte. Linhas sem base aparecem em '(sem base)'.</t>
  </si>
  <si>
    <t>Base</t>
  </si>
  <si>
    <t>Ativos 741</t>
  </si>
  <si>
    <t>Desligados 741</t>
  </si>
  <si>
    <t>Afastados 741</t>
  </si>
  <si>
    <t>Total registros</t>
  </si>
  <si>
    <t>(sem base)</t>
  </si>
  <si>
    <t>AE</t>
  </si>
  <si>
    <t>UTE</t>
  </si>
  <si>
    <t>VAGA UTE</t>
  </si>
  <si>
    <t>3.1 Pessoas por Função × Base — Projeto 741 (Ativos)</t>
  </si>
  <si>
    <t>Mesma lista de funções da Seção 2, contando apenas ativos (SIT=A) por base. Linhas sem função distinta no projeto 741 ficam zeradas.</t>
  </si>
  <si>
    <t>Função BR</t>
  </si>
  <si>
    <t>Total Ativos</t>
  </si>
  <si>
    <t>#</t>
  </si>
  <si>
    <t>Nome do único ocupante</t>
  </si>
  <si>
    <t>Admissão</t>
  </si>
  <si>
    <t>5. Movimentação Histórica - Admissões e Desligamentos por Ano</t>
  </si>
  <si>
    <t>Ano</t>
  </si>
  <si>
    <t>Admissões</t>
  </si>
  <si>
    <t>Desligamentos</t>
  </si>
  <si>
    <t>Saldo líquido</t>
  </si>
  <si>
    <t>CHAPA</t>
  </si>
  <si>
    <t>NOME</t>
  </si>
  <si>
    <t>FUNÇÃO</t>
  </si>
  <si>
    <t>CPF</t>
  </si>
  <si>
    <t>ADMISSÃO</t>
  </si>
  <si>
    <t>DEMISSÃO</t>
  </si>
  <si>
    <t>SIT</t>
  </si>
  <si>
    <t>PROJETO</t>
  </si>
  <si>
    <t>BASE</t>
  </si>
  <si>
    <t>CARTEIRA</t>
  </si>
  <si>
    <t>ABIBA COSTA SALAMI MARQUES</t>
  </si>
  <si>
    <t>D</t>
  </si>
  <si>
    <t>PROJETO 743 - FACILITIES MULT CABIUNAS-SINTRAINDISTAL</t>
  </si>
  <si>
    <t>CABIUNAS</t>
  </si>
  <si>
    <t>ABILIO BOMFIM DA SILVA NETO</t>
  </si>
  <si>
    <t>ADELSON LEITE DA SILVA</t>
  </si>
  <si>
    <t> </t>
  </si>
  <si>
    <t>A</t>
  </si>
  <si>
    <t>PROJETO 743 - FACILITIES MULT CABIUNAS-SEEACEC</t>
  </si>
  <si>
    <t>PROJETO 741 - FACILITIES MULT CABIUNAS UTE/AE-SINTRAINDISTAL</t>
  </si>
  <si>
    <t>ADRIANO CANDAL LEAL</t>
  </si>
  <si>
    <t>JULIO CESAR FERNANDES</t>
  </si>
  <si>
    <t>AJUDANTE DE BOMBEIRO PREDIAL</t>
  </si>
  <si>
    <t>ADRIANO DA SILVA SOUSA</t>
  </si>
  <si>
    <t>AFRICA DE AZEVEDO NEVES CARINO</t>
  </si>
  <si>
    <t>PROJETO 741 - FACILITIES MULT CABIUNAS UTE/AE-SEEACEC</t>
  </si>
  <si>
    <t>ALDAIR JOSE PONCE SOARES</t>
  </si>
  <si>
    <t>ALDEMIR SCHWARTZ DA SILVA JUNIOR</t>
  </si>
  <si>
    <t>ALESSANDRO DOS SANTOS</t>
  </si>
  <si>
    <t>ALESSANDRO FONTES CABRAL</t>
  </si>
  <si>
    <t>ALESSANDRO PEREIRA BORGES</t>
  </si>
  <si>
    <t>ALEX BERNARDO RODRIGUES</t>
  </si>
  <si>
    <t>ALEX PIMENTA BENTO</t>
  </si>
  <si>
    <t>TECNICO AGRONOMO</t>
  </si>
  <si>
    <t>ALEX SALES DA COSTA</t>
  </si>
  <si>
    <t>ALEX SANDRO CORREA VIANA</t>
  </si>
  <si>
    <t>ALEX SANDRO PIZIO DA SILVA</t>
  </si>
  <si>
    <t>ALEXANDRE BARDASSON GONCALVES</t>
  </si>
  <si>
    <t>ALEXANDRE GOMES PAVUNA</t>
  </si>
  <si>
    <t>ALEXANDRE GUEDES BARBOSA</t>
  </si>
  <si>
    <t>ALEXANDRE SILVA SANTOS</t>
  </si>
  <si>
    <t>ALICIA VITORIA TENORIO DA ROCHA</t>
  </si>
  <si>
    <t>F</t>
  </si>
  <si>
    <t>ALLAN ROBERT CARVALHO ROSA</t>
  </si>
  <si>
    <t>OPERADOR DE AUDIO E VIDEO</t>
  </si>
  <si>
    <t>ALLEFY KELVI SOUZA SANTOS</t>
  </si>
  <si>
    <t>AMANDA DE CARVALHO BELO DA SILVA</t>
  </si>
  <si>
    <t>AMANDA PORTUGAL NUNES</t>
  </si>
  <si>
    <t>LUIZ CESAR MADUREIRA NEVES</t>
  </si>
  <si>
    <t>ANA CAROLINA DE LIMA RODRIGUES</t>
  </si>
  <si>
    <t>ANA CELIA DE OLIVEIRA SANTOS</t>
  </si>
  <si>
    <t>ANA CLAUDIA DA SILVA RIBEIRO RODRIGUES</t>
  </si>
  <si>
    <t>ANA LUCIA BUENO BRASILIENSE</t>
  </si>
  <si>
    <t>ANA LUIZA NASCIMENTO DA SILVA</t>
  </si>
  <si>
    <t>ANDERSON BRAGA</t>
  </si>
  <si>
    <t>LUIZ FELIPE DA SILVA MARTINS</t>
  </si>
  <si>
    <t>ANDERSON GUIMARAES GREGORIO</t>
  </si>
  <si>
    <t>ANDRE ARAUJO DOS SANTOS</t>
  </si>
  <si>
    <t>ANDRE DA SILVA MARINHO</t>
  </si>
  <si>
    <t>ANDRE DE JESUS SOUZA</t>
  </si>
  <si>
    <t>ANDRE FARIAS DE MOURA</t>
  </si>
  <si>
    <t>OPERADOR</t>
  </si>
  <si>
    <t>ANDREWS DUARTE DOS REIS ARRUDA</t>
  </si>
  <si>
    <t>ANTONIA LUCIETE NUNES CAMELO</t>
  </si>
  <si>
    <t>ANTONIO CESAR BATISTA DE ALMEIDA</t>
  </si>
  <si>
    <t>LUCAS OLIVEIRA DE PAULA</t>
  </si>
  <si>
    <t>AJUDANTE DE CALDEIRARIA PREDIAL</t>
  </si>
  <si>
    <t>ARGOS MATHEUS SOUZA LOPES</t>
  </si>
  <si>
    <t>ARIANE AMANDA AUGUSTO GERMANO</t>
  </si>
  <si>
    <t>INSPETOR PREDIAL</t>
  </si>
  <si>
    <t>ARISTIDES MARTINS DE OLIVEIRA NETO</t>
  </si>
  <si>
    <t>LUIS GUSTAVO SILVA GEMINO</t>
  </si>
  <si>
    <t>AJUDANTE DE CARPINTEIRO</t>
  </si>
  <si>
    <t>ARTHUR CARVALHO MANHAES</t>
  </si>
  <si>
    <t>ARTHUR FRANCISCO DA PAIXAO</t>
  </si>
  <si>
    <t>ARTHUR GABRIEL SANTOS</t>
  </si>
  <si>
    <t>ARTHUR MARTINS SILVA</t>
  </si>
  <si>
    <t>THIAGO ILDEBRANDO FINAMOR</t>
  </si>
  <si>
    <t>AURENICE ALVES BATISTA CORREIA</t>
  </si>
  <si>
    <t>JOSE AIRES DA SILVA</t>
  </si>
  <si>
    <t>AJUDANTE DE MARCENEIRO</t>
  </si>
  <si>
    <t>BEATRIZ CAMPELO FERREIRA</t>
  </si>
  <si>
    <t>BRAIAM NOGUEIRA SOARES</t>
  </si>
  <si>
    <t>PATRICK MUNIZ ALVARENGA</t>
  </si>
  <si>
    <t>BRENO ROSA DE OLIVEIRA</t>
  </si>
  <si>
    <t>BRUNO GOMES DE SOUZA</t>
  </si>
  <si>
    <t>ADRIANO DA SILVA MOREIRA</t>
  </si>
  <si>
    <t>BRUNO MARTINS ROCHA</t>
  </si>
  <si>
    <t>DANIEL BUENO MARQUES</t>
  </si>
  <si>
    <t>BRUNO SILVA PEREIRA MARQUES</t>
  </si>
  <si>
    <t>BRUNO VENANCIO LIMA</t>
  </si>
  <si>
    <t>CAIO GABRIEL DA SILVA SANTOS LIMA</t>
  </si>
  <si>
    <t>EMERSON BRANDAO SILVA</t>
  </si>
  <si>
    <t>CAMILA MAYARA VASCONCELOS XIMENES</t>
  </si>
  <si>
    <t>CARLOS ALBERTO NUNES BARBOSA</t>
  </si>
  <si>
    <t>ELETRICISTA</t>
  </si>
  <si>
    <t>FILIPE LEITE AZEVEDO</t>
  </si>
  <si>
    <t>JOSE CARLOS SILVA DOS SANTOS</t>
  </si>
  <si>
    <t>LEONARDO DIAS DOS SANTOS MACHADO</t>
  </si>
  <si>
    <t>CARLOS DANIEL FRANCA SANTOS</t>
  </si>
  <si>
    <t>CARLOS EDUARDO DE ANDRADE SOUZA</t>
  </si>
  <si>
    <t>CARLOS EDUARDO GUERREIRO DOS SANTOS ALVES</t>
  </si>
  <si>
    <t>CARLOS HENRIQUE ALVES DE OLIVEIRA</t>
  </si>
  <si>
    <t>ENCARREGADO DE ELETROMECANICA</t>
  </si>
  <si>
    <t>CARLOS OTAVIO PINTO ALVES</t>
  </si>
  <si>
    <t>MARCIO CLAUDIO MOTA SILVEIRA</t>
  </si>
  <si>
    <t>CARLOS ROBERTO CHAVES NOBREGA</t>
  </si>
  <si>
    <t>CARLOS ROBERTO DO LIVRAMENTO</t>
  </si>
  <si>
    <t>OPERADOR DE MAQUINA</t>
  </si>
  <si>
    <t>CAROLINA BRANDAO FERNANDES</t>
  </si>
  <si>
    <t>CELIANE RODRIGUES DE SOUZA</t>
  </si>
  <si>
    <t>CHARLENE FERREIRA DE SOUZA</t>
  </si>
  <si>
    <t>CHEDI WILLIAN DA SILVA PERES</t>
  </si>
  <si>
    <t>CINTIA MARTINS SILVA</t>
  </si>
  <si>
    <t>CLARISIANE SANTANA SOARES</t>
  </si>
  <si>
    <t>CLEO MENDES DA SILVA</t>
  </si>
  <si>
    <t>CLEVERTON DE SOUZA DA SILVA</t>
  </si>
  <si>
    <t>TECNICO DE ELETRICA</t>
  </si>
  <si>
    <t>CLOVIS NEVES CHAVES</t>
  </si>
  <si>
    <t>CRISTIAN FORTUNATA DA SILVA VIEGAS</t>
  </si>
  <si>
    <t>CRISTIANE MARQUES DA SILVA</t>
  </si>
  <si>
    <t>CRISTIANO ABREU TENORIO</t>
  </si>
  <si>
    <t>CRISTIANO CARDOSO SILVA</t>
  </si>
  <si>
    <t>PEDREIRO</t>
  </si>
  <si>
    <t>CRISTIANO DA CONCEICAO DE PAULA</t>
  </si>
  <si>
    <t>CRISTIANO MOREIRA DE OLIVEIRA</t>
  </si>
  <si>
    <t>CRISTIANO PAIVA DE CARVALHO</t>
  </si>
  <si>
    <t>DAIANA MARQUES</t>
  </si>
  <si>
    <t>PATRICK GOMES MANHAES</t>
  </si>
  <si>
    <t>DALMIR DA SILVA BUENO</t>
  </si>
  <si>
    <t>DALMO MARTINS DE SOUZA</t>
  </si>
  <si>
    <t>DALTON FERREIRA CRUZ</t>
  </si>
  <si>
    <t>DAMIAO DE SOUSA GOMES</t>
  </si>
  <si>
    <t>DAMILTON PROFETA SIMAO</t>
  </si>
  <si>
    <t>BRENO HENRIQUE DAUMAS PEREIRA</t>
  </si>
  <si>
    <t>DANIEL DA SILVA RICARDO</t>
  </si>
  <si>
    <t>DANIEL DOS SANTOS NASCIMENTO</t>
  </si>
  <si>
    <t>ENGENHEIRO ELETRICISTA</t>
  </si>
  <si>
    <t>DANIEL GONCALVES DA SILVA</t>
  </si>
  <si>
    <t>DANIEL LUIZ FELIPE ROSA</t>
  </si>
  <si>
    <t>DANIEL MAIA DA SILVA</t>
  </si>
  <si>
    <t>DANIEL MARTINS ROCHA</t>
  </si>
  <si>
    <t>OFICIAL DE REFRIGERACAO</t>
  </si>
  <si>
    <t>DANIEL MATTOS ALVES</t>
  </si>
  <si>
    <t>GUSTAVO NASCIMENTO DUTRA</t>
  </si>
  <si>
    <t>DANNILO TEIXEIRA DE SOUZA CORDEIRO</t>
  </si>
  <si>
    <t>DARCI TEIXEIRA DOS SANTOS</t>
  </si>
  <si>
    <t>DARIO ARTHUR ROBERTI CHAVES PEDROSA</t>
  </si>
  <si>
    <t xml:space="preserve">DAVI CARVALHO TAVARES VASCONCELOS </t>
  </si>
  <si>
    <t>DAVI MADUREIRA</t>
  </si>
  <si>
    <t>DAVID CABRAL DA SILVA</t>
  </si>
  <si>
    <t>P</t>
  </si>
  <si>
    <t>DEIVERSON SEBASTIAO DAS DORES</t>
  </si>
  <si>
    <t>DEIVID BUENO AUGUSTO</t>
  </si>
  <si>
    <t>DELEON DOS SANTOS SILVA</t>
  </si>
  <si>
    <t>DENILDO LACERDA AREAS JUNIOR</t>
  </si>
  <si>
    <t>DEYVID TRAJANO DE ALVARENGA</t>
  </si>
  <si>
    <t>DEYVISON ANDRE DO AMARAL</t>
  </si>
  <si>
    <t>DIARLEN CALDEIRA DO ESPIRITO SANTO</t>
  </si>
  <si>
    <t>ENCARREGADO DE ELETRICA</t>
  </si>
  <si>
    <t>DIARLES DE ALMEIDA SANTOS</t>
  </si>
  <si>
    <t>DIEGO CHAGAS PIRES</t>
  </si>
  <si>
    <t>DIEGO COSTA SANTANA MADUREIRA</t>
  </si>
  <si>
    <t>DIEGO MARQUES DA SILVA</t>
  </si>
  <si>
    <t>DIOGO FELIPE FERREIRA DOS SANTOS</t>
  </si>
  <si>
    <t xml:space="preserve">DOUGLAS COELHO PAIXAO RASMA </t>
  </si>
  <si>
    <t>DOUGLAS SILVA DE MOURA</t>
  </si>
  <si>
    <t>DOUGLAS VIANA DA FONSECA</t>
  </si>
  <si>
    <t>EDCARLOS PEREIRA SANTOS</t>
  </si>
  <si>
    <t>EDIJANE EUGENIO DA SILVA</t>
  </si>
  <si>
    <t>EDILAINE DA SILVA SANTOS</t>
  </si>
  <si>
    <t>EDILENE DA SILVA BUENO MADUREIRA</t>
  </si>
  <si>
    <t>EDILENE MARTINS DA SILVA</t>
  </si>
  <si>
    <t>EDINEIDE PAULINA DOS SANTOS</t>
  </si>
  <si>
    <t>EDLUIM DE SOUZA ATAIDE GONCALVES</t>
  </si>
  <si>
    <t>EDUARDA PENA ALVES DE SOUZA VIEIRA</t>
  </si>
  <si>
    <t>EDUARDO DE SOUZA FERNANDES DINIZ</t>
  </si>
  <si>
    <t>EDUARDO RANGEL HENRIQUE AMARAL</t>
  </si>
  <si>
    <t>JACKSON DOUGLAS MADUREIRA DE PAULA</t>
  </si>
  <si>
    <t>EDVAN DOS REIS DA CRUZ</t>
  </si>
  <si>
    <t>ELAINE EUGENIO DA SILVA</t>
  </si>
  <si>
    <t>ELAINE LOPES FREITAS GONZAGA</t>
  </si>
  <si>
    <t>T</t>
  </si>
  <si>
    <t>ELCINEI DIAS DOMINGOS</t>
  </si>
  <si>
    <t>ELIAS CICERO DA SILVA</t>
  </si>
  <si>
    <t>ELIAS DE OLIVEIRA MACHADO</t>
  </si>
  <si>
    <t>SIDNEY BATISTA LANDIM</t>
  </si>
  <si>
    <t>ELISANGELA CARVALHO ROCHA</t>
  </si>
  <si>
    <t>ELISANGELA DOS SANTOS SILVA</t>
  </si>
  <si>
    <t>THIAGO MANHAES GOMES</t>
  </si>
  <si>
    <t>ENDREW SOUZA MANHAES</t>
  </si>
  <si>
    <t>ENZO AUGUSTO PEREIRA</t>
  </si>
  <si>
    <t>ERICA DA SILVA CANUTO DE SOUZA</t>
  </si>
  <si>
    <t>EVERT CLEY ANDRADE ROSA</t>
  </si>
  <si>
    <t>EVERTON LUCAS RIBEIRO CARNEIRO</t>
  </si>
  <si>
    <t>EVILIN PERES GRIGORIO MAIA</t>
  </si>
  <si>
    <t>FABIANE ALVES DE OLIVEIRA</t>
  </si>
  <si>
    <t>FABIANO DA SILVA</t>
  </si>
  <si>
    <t>FABIANO DA SILVA ARAUJO</t>
  </si>
  <si>
    <t>FABIANO DA SILVA MOREIRA</t>
  </si>
  <si>
    <t>FABIANO MARTINS MODESTO</t>
  </si>
  <si>
    <t>MANOEL CAETANO DAS CANDEIAS</t>
  </si>
  <si>
    <t>CARLOS ALBERTO SERAFIM PEREIRA</t>
  </si>
  <si>
    <t>FABIO JUNIOR LOPES DA SILVA</t>
  </si>
  <si>
    <t>FABIO LUIZ NUNES BOTELHO</t>
  </si>
  <si>
    <t>FABIO PINHEIRO DE SOUZA</t>
  </si>
  <si>
    <t>FABIO ROCHA DE AZEVEDO</t>
  </si>
  <si>
    <t>FABIO SILVA ALVARENGA</t>
  </si>
  <si>
    <t>FABRICIA LOPES DA SILVA</t>
  </si>
  <si>
    <t>FABRICIO BONIFACIO DOS SANTOS</t>
  </si>
  <si>
    <t>EDVALDO FERREIRA ADORNO</t>
  </si>
  <si>
    <t>FABRICIO LEANDRO DA ROCHA</t>
  </si>
  <si>
    <t>FAGNER DA ROSA FIGUEIREDO</t>
  </si>
  <si>
    <t>FELIPE DA SILVA SANTOS</t>
  </si>
  <si>
    <t>FELIPE GABRIEL DO CARMO SANTOS</t>
  </si>
  <si>
    <t>FELIPE SERAFIM DA SILVA</t>
  </si>
  <si>
    <t>FELIPE VALCACIO FONTES</t>
  </si>
  <si>
    <t>APOIO</t>
  </si>
  <si>
    <t xml:space="preserve">FERNANDO MARCOS CARVALHO DA SILVA </t>
  </si>
  <si>
    <t>FILIPE LEANDRO LEAL</t>
  </si>
  <si>
    <t>GABRIEL DA SILVA DAUMAS</t>
  </si>
  <si>
    <t>FILIPE MACHADO MADUREIRA</t>
  </si>
  <si>
    <t>FILIPE MARTINS ROCHA</t>
  </si>
  <si>
    <t>FLAVIO DUARTE RODRIGUES</t>
  </si>
  <si>
    <t>JORGE ASSIS SILVA NASCIMENTO</t>
  </si>
  <si>
    <t>FLAVIO RENATO DE SOUZA EVANGELISTA BRANDAO</t>
  </si>
  <si>
    <t>FLAVIO RIBEIRO CRESPO</t>
  </si>
  <si>
    <t>JULIO DE JESUS DOS SANTOS</t>
  </si>
  <si>
    <t>GABRIEL CARVALHO CALIXTO</t>
  </si>
  <si>
    <t>LUCIMAR DA SILVA DAS DORES</t>
  </si>
  <si>
    <t>GABRIEL DANTOS BENITES SORIANO</t>
  </si>
  <si>
    <t>GABRIEL DE ALMEIDA SOUTO</t>
  </si>
  <si>
    <t>GABRIEL DOS SANTOS ROCHA</t>
  </si>
  <si>
    <t>GABRIEL NASCIMENTO DA SILVA</t>
  </si>
  <si>
    <t>GABRIEL NEGREIROS AMARAL</t>
  </si>
  <si>
    <t>GABRIEL PAIXAO BUENO</t>
  </si>
  <si>
    <t>GABRIELA CANECA DA SILVA</t>
  </si>
  <si>
    <t xml:space="preserve">GABRIELLA RODRIGUES PINTO </t>
  </si>
  <si>
    <t>GEILSON CUNHA DA SILVA</t>
  </si>
  <si>
    <t>GENILSON PORTUGAL DOS SANTOS</t>
  </si>
  <si>
    <t>GEORGE ANTONIO DA COSTA DE SOUZA</t>
  </si>
  <si>
    <t>GEOVANES ADELINO DE ANDRADE FILHO</t>
  </si>
  <si>
    <t>GERALDO VALDECIR DE OLIVEIRA</t>
  </si>
  <si>
    <t>GESSICA RAMOS DOS REIS</t>
  </si>
  <si>
    <t>GILBERTO BARCELOS</t>
  </si>
  <si>
    <t>GILBERTO GURGEL RODRIGUES</t>
  </si>
  <si>
    <t>GILMAR BARCELOS</t>
  </si>
  <si>
    <t>ATHIRSON NASCIMENTO SILVA</t>
  </si>
  <si>
    <t>GILSIMAR TELES MALAFAIA</t>
  </si>
  <si>
    <t>GILSON DOS SANTOS</t>
  </si>
  <si>
    <t>GILSON QUIRINO DA SILVA</t>
  </si>
  <si>
    <t>GISLAINE SOUZA DA SILVA</t>
  </si>
  <si>
    <t>GLAUCIA DA SILVA FERNANDES</t>
  </si>
  <si>
    <t>GLEICIANE DOS ANGELOS OLIVEIRA</t>
  </si>
  <si>
    <t>GLEICIANE PESSANHA BARCELOS</t>
  </si>
  <si>
    <t>AUXILIAR DE ALMOXARIFE II</t>
  </si>
  <si>
    <t>GRAZIELE OSORIO DE CASTRO COUTO DE  OLIVEIRA</t>
  </si>
  <si>
    <t>GUARACI BORGES</t>
  </si>
  <si>
    <t>GUARACY DOS SANTOS NERES</t>
  </si>
  <si>
    <t>CAIO PACHECO AZEVEDO</t>
  </si>
  <si>
    <t>GUILHERME DA SILVA BARBOSA CARVALHO</t>
  </si>
  <si>
    <t>GUILHERME DA SILVA FERREIRA DE PAULA</t>
  </si>
  <si>
    <t>GUILHERME DE SOUZA ARAUJO BOTELHO</t>
  </si>
  <si>
    <t>DAIANE MARINS DA SILVA</t>
  </si>
  <si>
    <t>GUSTAVO DE SANTANA PAIXAO</t>
  </si>
  <si>
    <t>DANILO RODRIGUES COUTINHO</t>
  </si>
  <si>
    <t>HELIO PEREIRA DE MORAIS NETTO</t>
  </si>
  <si>
    <t>HENRIQUE PINHEIRO DE AGUIAR</t>
  </si>
  <si>
    <t>TECNICO DE SEGURANCA DO TRABALHO II</t>
  </si>
  <si>
    <t>HIAN DO NASCIMENTO QUEIROZ</t>
  </si>
  <si>
    <t>AJUDANTE DE REFRIGERACAO</t>
  </si>
  <si>
    <t>HOMERO DE SOUZA COSTA CARDOSO</t>
  </si>
  <si>
    <t>IAN DA SILVA NEVES</t>
  </si>
  <si>
    <t>IDENILSON SANTANA DA SILVA</t>
  </si>
  <si>
    <t>ELIEL SOUZA ALVES</t>
  </si>
  <si>
    <t>FABIO JUNIO PESSANHA SILVA</t>
  </si>
  <si>
    <t>IONE DE FREITAS GOMES</t>
  </si>
  <si>
    <t>ISABELLE CRISTINA SCHUINDT RIBEIRO</t>
  </si>
  <si>
    <t>ISADORA BARCELOS ALMEIDA</t>
  </si>
  <si>
    <t>ISAQUE MATEUS DE MORAES ALBUQUERQUE</t>
  </si>
  <si>
    <t>TECNICO EM AUTOMACAO</t>
  </si>
  <si>
    <t>ISMAEL MOCO DA SILVA</t>
  </si>
  <si>
    <t>ITALO ROCHA DOS SANTOS</t>
  </si>
  <si>
    <t>FABRICIO JOSE PINTO</t>
  </si>
  <si>
    <t>IVANILSON MARQUES DA SILVA FRANCO</t>
  </si>
  <si>
    <t>SUPERVISOR DE ELETROMECANICA</t>
  </si>
  <si>
    <t>RENAN PEREIRA DE AZEVEDO</t>
  </si>
  <si>
    <t>JACKSON INACIO PESSANHA</t>
  </si>
  <si>
    <t>JADSON CAETANO DOS REIS</t>
  </si>
  <si>
    <t>TIAGO PESSANHA DA SILVA</t>
  </si>
  <si>
    <t>JANKLEY CARVALHO RABELO SILVA</t>
  </si>
  <si>
    <t>JEAN CARLOS FARIAS DE ARAUJO</t>
  </si>
  <si>
    <t>JEAN LUCAS DE FIGUEIREDO RODRIGUES</t>
  </si>
  <si>
    <t>JEAN SANTOS DA SILVA</t>
  </si>
  <si>
    <t>JEFFERSON ROSA LIBANO</t>
  </si>
  <si>
    <t>JEFFERSON SANTOS PEREIRA</t>
  </si>
  <si>
    <t>JEMERSON DO NASCIMENTO BATISTA</t>
  </si>
  <si>
    <t>JHONATAN ALVES DA SILVA</t>
  </si>
  <si>
    <t>JOANA D ARC ALVES DA SILVA</t>
  </si>
  <si>
    <t>JOAO BATISTA SILVA QUEIROZ</t>
  </si>
  <si>
    <t>JOAO CARLOS DE OLIVEIRA MATHIAS</t>
  </si>
  <si>
    <t>JOAO MARCOS FRAZAO DA SILVA</t>
  </si>
  <si>
    <t>JOAO PEDRO MELLO</t>
  </si>
  <si>
    <t>JOAO PEDRO SANTOS CARDIM</t>
  </si>
  <si>
    <t>JOAO VICTOR ARAUJO ALVES</t>
  </si>
  <si>
    <t>JOAO VITOR ALVES FARIA</t>
  </si>
  <si>
    <t>JOAO VITOR BARDASSON DA SILVA NEVES</t>
  </si>
  <si>
    <t>JOAO VITOR BUENO AUGUSTO ALVES</t>
  </si>
  <si>
    <t>JOAO VITOR CORDEIRO LUNA</t>
  </si>
  <si>
    <t>JOAO VITOR LIMA BAPTISTA</t>
  </si>
  <si>
    <t>JOAO VITTOR SALATIEL REIS</t>
  </si>
  <si>
    <t>JOCIRLEI AMARO SARAIVA</t>
  </si>
  <si>
    <t>JOELMA DA SILVA RAMOS</t>
  </si>
  <si>
    <t>MENSAGEIRO</t>
  </si>
  <si>
    <t>JOHN EMERSON ANDRADE ROSA</t>
  </si>
  <si>
    <t>JOHN KEVIN DE OLIVEIRA QUINTES</t>
  </si>
  <si>
    <t>LUCAS AZEVEDO DA SILVA</t>
  </si>
  <si>
    <t>JONAS CORREA RAMOS DA SILVA</t>
  </si>
  <si>
    <t>JONATHAN PESSANHA DA CRUZ</t>
  </si>
  <si>
    <t>JORDAN CADIMO MORAES</t>
  </si>
  <si>
    <t>JOSUE TIL</t>
  </si>
  <si>
    <t>JORGE LEANDRO ALMEIDA DE PAULA</t>
  </si>
  <si>
    <t>SANDRO ALEX DE LIMA RIBEIRO</t>
  </si>
  <si>
    <t>JOSE ANDERSON RODRIGUES NUNES</t>
  </si>
  <si>
    <t>JOSE ANTONIO BATISTA BARROSO</t>
  </si>
  <si>
    <t>JOSE CARLOS RIBEIRO JUNIOR</t>
  </si>
  <si>
    <t>LEONARDO SOARES MARTINS</t>
  </si>
  <si>
    <t>JOSE CLAUDIO BEZERRA MARINHO</t>
  </si>
  <si>
    <t>JOSE GINALDO DOS SANTOS</t>
  </si>
  <si>
    <t>JOSE PAULO FRANCA ISAAC</t>
  </si>
  <si>
    <t>LEONIS DE JESUS MARTINS</t>
  </si>
  <si>
    <t>PAULO ROBERTO FRANCISCO</t>
  </si>
  <si>
    <t>JOSENILDO CAETANO DOS SANTOS</t>
  </si>
  <si>
    <t>JOSIANE GUIMARAES FRATANI</t>
  </si>
  <si>
    <t>JOSIEL DA SILVA MARQUES</t>
  </si>
  <si>
    <t>JOSUE DA CONCEICAO PESSANHA</t>
  </si>
  <si>
    <t>MAICON DE SOUSA CRISTO</t>
  </si>
  <si>
    <t>JULIANE GONZAGA DA SILVA</t>
  </si>
  <si>
    <t>PAULO CEZAR DA SILVA BARBOSA</t>
  </si>
  <si>
    <t>WESLLEY ALVES FRAGA</t>
  </si>
  <si>
    <t>BRUNO MANHAES</t>
  </si>
  <si>
    <t>JUNIOR SILVA GIRON</t>
  </si>
  <si>
    <t>MECANICO DE REFRIGERACAO PREDIAL</t>
  </si>
  <si>
    <t>KAIO CORREA PACHECO</t>
  </si>
  <si>
    <t>KAIO KNUPP AZEVEDO</t>
  </si>
  <si>
    <t>KAIQUE SOUZA DOS SANTOS</t>
  </si>
  <si>
    <t>KASSIO JOSE DA SILVA CORDEIRO</t>
  </si>
  <si>
    <t>KATLLUEN ANDRE DE SOUZA</t>
  </si>
  <si>
    <t>KAUA DE OLIVEIRA MELEGARI DOS SANTOS</t>
  </si>
  <si>
    <t>KEVEN DIAS MAGALHAES DA CONCEICAO</t>
  </si>
  <si>
    <t>GUILHERME ALVES</t>
  </si>
  <si>
    <t>LEONARDO DOS SANTOS HENRIQUES</t>
  </si>
  <si>
    <t>LEOMAR GOMES DA SILVA</t>
  </si>
  <si>
    <t>OPERADOR DE RETRO ESCAVADEIRA</t>
  </si>
  <si>
    <t>LEONARDO DA SILVA AQUINO</t>
  </si>
  <si>
    <t>RODRIGO DE CARVALHO CYPRIANO</t>
  </si>
  <si>
    <t>LEONARDO DOS SANTOS GOMES</t>
  </si>
  <si>
    <t>LUIS VALERIO DOS SANTOS</t>
  </si>
  <si>
    <t>ENCARREGADO DE ANDAIME</t>
  </si>
  <si>
    <t>LEONARDO GRAVINA RASMA</t>
  </si>
  <si>
    <t>LEONARDO NUNES FIRMINO</t>
  </si>
  <si>
    <t>BRUNO NASCIMENTO DE ABREU SOUZA</t>
  </si>
  <si>
    <t>GUILHERME DE SOUZA BATISTA</t>
  </si>
  <si>
    <t>LETICIA APARECIDA CIRILO PESSANHA</t>
  </si>
  <si>
    <t>LEYDIANE DA SILVA BATISTA</t>
  </si>
  <si>
    <t>LIAN GONCALO JESUS DA SILVA</t>
  </si>
  <si>
    <t>LILIANE DA CONCEICAO SILVA</t>
  </si>
  <si>
    <t>LUAN DA SILVA FRAGA</t>
  </si>
  <si>
    <t>KEROLAYNNE NERES DE SOUZA</t>
  </si>
  <si>
    <t>LUANA BATISTA LACERDA</t>
  </si>
  <si>
    <t>IGOR DA SILVA DIAS</t>
  </si>
  <si>
    <t>LUCAS BRAGANCA DE AZEREDO</t>
  </si>
  <si>
    <t>LUCAS HENRIQUE ALVES</t>
  </si>
  <si>
    <t>LUCAS MORAIS FERRO MACHADO</t>
  </si>
  <si>
    <t>LUCAS NASCIMENTO FERREIRA</t>
  </si>
  <si>
    <t>LUCAS NOGUEIRA</t>
  </si>
  <si>
    <t>PAULO HENRIQUE DOS SANTOS SILVA</t>
  </si>
  <si>
    <t>LUCAS REIS GOMES</t>
  </si>
  <si>
    <t>LUCAS SILVA PEREIRA MARQUES</t>
  </si>
  <si>
    <t>LUCAS SOUZA MEDEIROS DA SILVA DE OLIVEIRA</t>
  </si>
  <si>
    <t>LUCIANA VICENTE DE SOUZA</t>
  </si>
  <si>
    <t>RUAN DE ANDRADE LEAL ROCHA</t>
  </si>
  <si>
    <t>WILLIAM COSME MANHAES DILAIS</t>
  </si>
  <si>
    <t>LUDIMILA FERREIRA SANTOS</t>
  </si>
  <si>
    <t>AUXILIAR DE SMS</t>
  </si>
  <si>
    <t>LUDIMILLA GONCALVES AMARAL PINHEIRO DE MELO</t>
  </si>
  <si>
    <t>LUIS CLAUDIO DE OLIVEIRA FREITAS</t>
  </si>
  <si>
    <t>LUIS CLAUDIO FORTUNATA</t>
  </si>
  <si>
    <t>GILMAR LEITE AZEVEDO</t>
  </si>
  <si>
    <t>MARCENEIRO</t>
  </si>
  <si>
    <t>LUIS MAURO DE ANDRADE CASTILHO</t>
  </si>
  <si>
    <t>SOLDADOR</t>
  </si>
  <si>
    <t>JULIO MUNIZ</t>
  </si>
  <si>
    <t>LUISMARIO BARRETO DE SOUZA</t>
  </si>
  <si>
    <t>LUIZ CARLOS TEIXEIRA DA CRUZ</t>
  </si>
  <si>
    <t>IGOR DA SILVA BARBOZA</t>
  </si>
  <si>
    <t>JOSE ROBERTO DOS REIS</t>
  </si>
  <si>
    <t>LUIZ FELIPE VIANA DE OLIVEIRA</t>
  </si>
  <si>
    <t>LUIZ FERNANDO FRANCISCO CORDEIRO</t>
  </si>
  <si>
    <t>LUIZ FERNANDO MARTINS SOUZA</t>
  </si>
  <si>
    <t>LUIZ GABRIEL ESPIRITO SANTO MIRANDA</t>
  </si>
  <si>
    <t>LUSIMAR DA SILVA NASCIMENTO CASTRO</t>
  </si>
  <si>
    <t>MACKSON MARINS BRAGA</t>
  </si>
  <si>
    <t>MADSSON EDUARDO CAMPOS DE SANTANA</t>
  </si>
  <si>
    <t>MAGNO CANDEIAS PEREIRA</t>
  </si>
  <si>
    <t>MAGNO CESAR PEREIRA COSTA</t>
  </si>
  <si>
    <t>LUCIANO SANTANA BISPO</t>
  </si>
  <si>
    <t>MAICON MONTEIRO DO ROSARIO</t>
  </si>
  <si>
    <t>MAICON PARAHYBA LOPES</t>
  </si>
  <si>
    <t>MANASSES DE OLIVEIRA</t>
  </si>
  <si>
    <t>ROGERIO FRANCISCO CARVALHO</t>
  </si>
  <si>
    <t>AMARILDO DA SILVA MOREIRA</t>
  </si>
  <si>
    <t>MARCELO DA COSTA AGUIAR</t>
  </si>
  <si>
    <t>MARCELO DAS DORES SIQUEIRA</t>
  </si>
  <si>
    <t>ANTONIO CORREA PIASSA</t>
  </si>
  <si>
    <t>MARCELO MOREIRA</t>
  </si>
  <si>
    <t>MARCELO OLIVEIRA FALCAO</t>
  </si>
  <si>
    <t>MARCIA VERONICA PORTO DOS SANTOS</t>
  </si>
  <si>
    <t>BARTOLOMEU PORFIRIO ROSA</t>
  </si>
  <si>
    <t>MARCIO ANDRE FERREIRA</t>
  </si>
  <si>
    <t>FABIO FERREIRA SANTOS</t>
  </si>
  <si>
    <t>MARCIO DO ESPIRITO SANTO</t>
  </si>
  <si>
    <t>MARCIO GEOVANY PEREIRA DA SILVA</t>
  </si>
  <si>
    <t>MARCIO SANT ANA DOS SANTOS</t>
  </si>
  <si>
    <t>MARCO ANTONIO SANTOS VILAS BOAS JUNIOR</t>
  </si>
  <si>
    <t xml:space="preserve">MARCO AURELIO DA SILVA ALVES </t>
  </si>
  <si>
    <t>MARCOS PAULO RIBEIRO BENAVENUTO</t>
  </si>
  <si>
    <t>MARCUS VINICIUS LINS DE MORAES</t>
  </si>
  <si>
    <t>MARIA ANDREA DE OLIVEIRA MELEGARI FIGUEIRA</t>
  </si>
  <si>
    <t>MARIA LUCIA DA CONCEICAO SILVA</t>
  </si>
  <si>
    <t>MARIANA VENTUROTT FERREIRA BARCELOS</t>
  </si>
  <si>
    <t>MARILENE NEVES BATISTA DA SILVA</t>
  </si>
  <si>
    <t>MARLLON SILVA DE OLIVEIRA</t>
  </si>
  <si>
    <t>MARLONI DE SOUZA SILVA</t>
  </si>
  <si>
    <t>MARTA SANTOS DE SANTANA</t>
  </si>
  <si>
    <t>MATEUS MACHADO</t>
  </si>
  <si>
    <t>MATHEUS BARCELLOS GOMES</t>
  </si>
  <si>
    <t>MATHEUS BUENO AUGUSTO ALVES</t>
  </si>
  <si>
    <t>MATHEUS DA SILVA DOLOR</t>
  </si>
  <si>
    <t>MATHEUS DE SOUZA PINTO</t>
  </si>
  <si>
    <t>MATHEUS DOS ANJOS SILVA</t>
  </si>
  <si>
    <t>MATHEUS FERREIRA CALDEIRA</t>
  </si>
  <si>
    <t>MATTEUS FREITAS LEITE BARRETO</t>
  </si>
  <si>
    <t>M</t>
  </si>
  <si>
    <t>MAURO SANT ANA DIAS</t>
  </si>
  <si>
    <t>MAYKE LIMA DA SILVA</t>
  </si>
  <si>
    <t>MOACYR FRANCO DE AGUIAR</t>
  </si>
  <si>
    <t>MONICA BELARMINO DA SILVA</t>
  </si>
  <si>
    <t>MONICA DALYS OLIVEIRA DA SILVA</t>
  </si>
  <si>
    <t>NADILTON SANTOS DE JESUS</t>
  </si>
  <si>
    <t>NAIANE SEVERIANO BEVILAQUA SOARES</t>
  </si>
  <si>
    <t>NALBERTH GOMES ROMUALDO</t>
  </si>
  <si>
    <t>NATAN DOS SANTOS SILVA PAULA</t>
  </si>
  <si>
    <t>NATHANY SOUZA DE JESUS GONCALVES</t>
  </si>
  <si>
    <t>NELCI PACHECO</t>
  </si>
  <si>
    <t>NERLON LANNES PEREIRA</t>
  </si>
  <si>
    <t>NILSON SILVA GOMES</t>
  </si>
  <si>
    <t>NIVIA RANGEL DA SILVA</t>
  </si>
  <si>
    <t>OLAVO VITOR PEREIRA MIGUEL</t>
  </si>
  <si>
    <t>ONESIMO DA SILVA RIBEIRO</t>
  </si>
  <si>
    <t>OSEAS PEREIRA DA SILVA JUNIOR</t>
  </si>
  <si>
    <t>OTAVIO MEDEIROS PARREIRA</t>
  </si>
  <si>
    <t>PABLO SILVA DE OLIVEIRA</t>
  </si>
  <si>
    <t>PABLO SOUZA COUTINHO</t>
  </si>
  <si>
    <t>PABLO WERNECK RIOGA</t>
  </si>
  <si>
    <t>PALOMA DE RESENDE DUARTE BARBOSA</t>
  </si>
  <si>
    <t>PAMELA SILVA DE OLIVEIRA</t>
  </si>
  <si>
    <t>PATRICIA DE PAULA SOUZA</t>
  </si>
  <si>
    <t>PATRICK ERNANI DE SOUZA PINTO</t>
  </si>
  <si>
    <t>FRANCISCO DE ASSIZ ALIPIO DE SOUSA</t>
  </si>
  <si>
    <t>JOSE RENATO GAMA PESSANHA</t>
  </si>
  <si>
    <t>PATRICK OLIVEIRA MARCONDES</t>
  </si>
  <si>
    <t>MARCILIANO DA SILVA SANTOS</t>
  </si>
  <si>
    <t>PATRYCK GOMES DE MELO</t>
  </si>
  <si>
    <t>PAULA ROBERTA DA SILVA MANGIA DE SOUZA CARVALHO</t>
  </si>
  <si>
    <t>ANALISTA DE DADOS</t>
  </si>
  <si>
    <t>PAULO AUGUSTO COSTA OLIVEIRA</t>
  </si>
  <si>
    <t>ROBERTO CABRAL FEITOSA</t>
  </si>
  <si>
    <t>PAULO HENRIQUE DE OLIVEIRA SOUZA SILVA</t>
  </si>
  <si>
    <t>ANDERSON DANIEL ROSA SCHELES</t>
  </si>
  <si>
    <t>CARLOS ANTONIO PORTO ALBINO DA SILVA</t>
  </si>
  <si>
    <t>CARLOS DANIEL DOS SANTOS RODRIGUES</t>
  </si>
  <si>
    <t>PAULO ROBERTO SANTOS AZEVEDO</t>
  </si>
  <si>
    <t>PAULO SANTOS DANTAS</t>
  </si>
  <si>
    <t>PAULO VINICIUS RODRIGUES MEIRELES</t>
  </si>
  <si>
    <t>PEDRO HENRIQUE SANTOS GORNI DE JESUS</t>
  </si>
  <si>
    <t>PEDRO NOLASCO DUARTE SEABRA</t>
  </si>
  <si>
    <t>POLIANE LAPA MARINS</t>
  </si>
  <si>
    <t>RACHEL AUGUSTA DE AGUIAR ALVES E ALVES</t>
  </si>
  <si>
    <t>RAFAEL ALVES DA SILVA</t>
  </si>
  <si>
    <t>RAFAEL ALVES DA SILVA MACHADO</t>
  </si>
  <si>
    <t>RAFAEL CAETANO ADOLPHO</t>
  </si>
  <si>
    <t>RAFAEL MACHADO</t>
  </si>
  <si>
    <t>RAFAEL REIS DE MORAES</t>
  </si>
  <si>
    <t>RAFAELA MOREIRA CERQUEIRA SILVA</t>
  </si>
  <si>
    <t>RAIANDERSON DOS SANTOS XAVIER</t>
  </si>
  <si>
    <t>RAPHAEL DA SILVA PINTO</t>
  </si>
  <si>
    <t>RAPHAEL LUIZ PINHEIRO PEREIRA</t>
  </si>
  <si>
    <t>RENAN FARIAS DE SOUZA</t>
  </si>
  <si>
    <t>RENAN FERREIRA NERES</t>
  </si>
  <si>
    <t>FLAVIO JOSE PINTO</t>
  </si>
  <si>
    <t>RENATO DAUMAS BRAGA</t>
  </si>
  <si>
    <t>RHAY DINIZ BUENO MADUREIRA</t>
  </si>
  <si>
    <t>RHUAN ALEIXO DA SILVA</t>
  </si>
  <si>
    <t>RHUAN VENANCIO LIMA</t>
  </si>
  <si>
    <t>RHUANN DE SOUZA RABELO PAIVA</t>
  </si>
  <si>
    <t>RIVERTON VICENTE DOS SANTOS</t>
  </si>
  <si>
    <t>ITHALO MAXWELL PACHECO PEREIRA</t>
  </si>
  <si>
    <t>ROBSON JORGE RIBEIRO ALVES</t>
  </si>
  <si>
    <t>JOILSON MARQUES GURGEL DA SILVA</t>
  </si>
  <si>
    <t>RODRIGO DE JESUS</t>
  </si>
  <si>
    <t>RODRIGO MAIA LOPES</t>
  </si>
  <si>
    <t>RODRIGO MARTINS DE SOUZA</t>
  </si>
  <si>
    <t>LEANDRO ALBINO DA SILVA</t>
  </si>
  <si>
    <t>ROMULO NOGUEIRA GOMES</t>
  </si>
  <si>
    <t>RONEI STERQUE FARIAS</t>
  </si>
  <si>
    <t>ROUSE DE OLIVEIRA SOUZA</t>
  </si>
  <si>
    <t>LEANDRO MARTINS PENA</t>
  </si>
  <si>
    <t>RYAN DE OLIVEIRA SILVA</t>
  </si>
  <si>
    <t>SALIM SELEM BICHARA</t>
  </si>
  <si>
    <t>SANDRA REGINA SOUTHER DA SILVA</t>
  </si>
  <si>
    <t>PATRICK VICTOR DOS SANTOS RAMOS</t>
  </si>
  <si>
    <t>SANDRO OLIVEIRA DA SILVA</t>
  </si>
  <si>
    <t>SAULO AZEVEDO DE MATOS</t>
  </si>
  <si>
    <t>SAYLON BRAGANCA DE OLIVEIRA</t>
  </si>
  <si>
    <t>SERGIO RODRIGUES DA SILVA</t>
  </si>
  <si>
    <t>SHUEDEN DA SILVA DE LIMA</t>
  </si>
  <si>
    <t>SIDICLEI PEDRO DIAS</t>
  </si>
  <si>
    <t>ARLINDO DELFINO DA SILVA FILHO</t>
  </si>
  <si>
    <t>SIMONE COUTINHO</t>
  </si>
  <si>
    <t>SIRLEI CANUTO MORAES</t>
  </si>
  <si>
    <t>STAILAN DE AZEVEDO RAMOS</t>
  </si>
  <si>
    <t>TADEU DA SILVA MOREIRA</t>
  </si>
  <si>
    <t>TAILANE DOS SANTOS QUEIROZ</t>
  </si>
  <si>
    <t>THAMYRIS BARCELOS BARRETO GONCALVES</t>
  </si>
  <si>
    <t>THIAGO CASSIANO DE CASTRO</t>
  </si>
  <si>
    <t>THIAGO DA SILVA</t>
  </si>
  <si>
    <t>CARLOS RENATO GOMES DE SOUZA</t>
  </si>
  <si>
    <t>JAMIL DE ASSUNCAO</t>
  </si>
  <si>
    <t>THIAGO MOREIRA DE SOUZA</t>
  </si>
  <si>
    <t>THIANE BRITO ALMEIDA</t>
  </si>
  <si>
    <t>THYAGO GONCALVES FARIAS</t>
  </si>
  <si>
    <t>TIAGO NUNES RITS</t>
  </si>
  <si>
    <t>MANOEL PESSANHA</t>
  </si>
  <si>
    <t>UANDERSON BERNARDO REIS</t>
  </si>
  <si>
    <t>MOTORISTA MUNCKEIRO</t>
  </si>
  <si>
    <t>VALCINEI DA SILVA</t>
  </si>
  <si>
    <t>VALDENICE DOS SANTOS LEMOS</t>
  </si>
  <si>
    <t>VALDIR RODRIGUES DOS SANTOS</t>
  </si>
  <si>
    <t>VALMIR SILVA VIANA NETO</t>
  </si>
  <si>
    <t>VANDERLEY FELICIANO ALVES</t>
  </si>
  <si>
    <t>VERA LUCIA AZEVEDO DE SOUZA</t>
  </si>
  <si>
    <t>VIRGINIA SILVA MACHADO BEZERRA</t>
  </si>
  <si>
    <t>VITOR DOS SANTOS MACIEL</t>
  </si>
  <si>
    <t>VITOR DOS SANTOS MAIA</t>
  </si>
  <si>
    <t>VITOR SOUSA DIAS</t>
  </si>
  <si>
    <t>WAGNER MACHADO MEDUREIRA</t>
  </si>
  <si>
    <t>WAGNER SILVA DE OLIVEIRA</t>
  </si>
  <si>
    <t>WALDIR PEREIRA DE SOUZA</t>
  </si>
  <si>
    <t>WALLACE DE OLIVEIRA CARVALHO</t>
  </si>
  <si>
    <t>WANDERSON AZEVEDO PINTO</t>
  </si>
  <si>
    <t>WANDERSON MANHAES DILAIS</t>
  </si>
  <si>
    <t>WEBSON DOS SANTOS NASCIMENTO</t>
  </si>
  <si>
    <t>WEBSTER PALHETA DAFLON</t>
  </si>
  <si>
    <t>WELLINGTON LUIS PEREIRA ROCHA</t>
  </si>
  <si>
    <t>WELTON MENDES MOREIRA</t>
  </si>
  <si>
    <t>WENDERSON DE SOUZA FURTADO</t>
  </si>
  <si>
    <t>SUPERVISOR DE REFRIGERACAO</t>
  </si>
  <si>
    <t>WENDERSON WILLIAMS DOS SANTOS MIRANDA</t>
  </si>
  <si>
    <t>MARCELO DOS SANTOS</t>
  </si>
  <si>
    <t>WILIAN DA SILVA MORAES</t>
  </si>
  <si>
    <t>PAULO ROBERTO DOS SANTOS</t>
  </si>
  <si>
    <t>ZENILDA MARTINS DOS SANTOS</t>
  </si>
  <si>
    <t>ZILDEAN BARBOZA ALVES</t>
  </si>
  <si>
    <t>13231</t>
  </si>
  <si>
    <t>ADAILTON MACHADO SANTANA DOS SANTOS</t>
  </si>
  <si>
    <t>01847530583</t>
  </si>
  <si>
    <t>PROJETO 736 - MANUTENCAO MULTISERVICOS IMBETIBA-SINDMETAL</t>
  </si>
  <si>
    <t>IMBETIBA</t>
  </si>
  <si>
    <t>22525</t>
  </si>
  <si>
    <t>ADAIR JOSE BARCELOS FERNANDES</t>
  </si>
  <si>
    <t>05639394781</t>
  </si>
  <si>
    <t>PROJETO 737 - MANUTENCAO MULTISERVICOS IMBOASSICA-SINDMETAL</t>
  </si>
  <si>
    <t>IMBOASSICA</t>
  </si>
  <si>
    <t>17613</t>
  </si>
  <si>
    <t>ADAO DA SILVA GONCALVES</t>
  </si>
  <si>
    <t>00841151733</t>
  </si>
  <si>
    <t>14225</t>
  </si>
  <si>
    <t>ADEILSON DA SILVA REGIS</t>
  </si>
  <si>
    <t>OPERADOR DE SUPERVISORIO</t>
  </si>
  <si>
    <t>19160762705</t>
  </si>
  <si>
    <t>17610</t>
  </si>
  <si>
    <t>ADEILSON GONCALVES CARDOSO</t>
  </si>
  <si>
    <t>ENCARREGADO DE MOVIMENTACAO DE VOLUMES</t>
  </si>
  <si>
    <t>00725325720</t>
  </si>
  <si>
    <t>PROJETO 736 - MANUTENCAO MULTISERVICOS IMBETIBA-SEEACEC</t>
  </si>
  <si>
    <t>18458</t>
  </si>
  <si>
    <t>ADELSON DE SOUZA GALDEANO</t>
  </si>
  <si>
    <t>93294271700</t>
  </si>
  <si>
    <t>17928</t>
  </si>
  <si>
    <t>ADENILSON SILVA DE OLIVEIRA</t>
  </si>
  <si>
    <t>SERRALHEIRO I</t>
  </si>
  <si>
    <t>00431617740</t>
  </si>
  <si>
    <t>22836</t>
  </si>
  <si>
    <t>ADENILTON MOREIRA SAPUCAIA</t>
  </si>
  <si>
    <t>AJUDANTE</t>
  </si>
  <si>
    <t>80324878591</t>
  </si>
  <si>
    <t>19337</t>
  </si>
  <si>
    <t>ADILIO DUARTE DA COSTA</t>
  </si>
  <si>
    <t>08599900790</t>
  </si>
  <si>
    <t>PROJETO 737 - MANUTENCAO MULTISERVICOS IMBOASSICA-SEEACEC</t>
  </si>
  <si>
    <t>13861</t>
  </si>
  <si>
    <t>ADILSON CAMPOS CHAVES</t>
  </si>
  <si>
    <t>05230449683</t>
  </si>
  <si>
    <t>18902</t>
  </si>
  <si>
    <t>ADILSON LIRA GOMES</t>
  </si>
  <si>
    <t>11147140707</t>
  </si>
  <si>
    <t>17999</t>
  </si>
  <si>
    <t>ADRIANA CRISTINA DA CUNHA SANTOS PINTO</t>
  </si>
  <si>
    <t>04201857719</t>
  </si>
  <si>
    <t>23881</t>
  </si>
  <si>
    <t>ADRIANA DA FONSECA DA SILVA</t>
  </si>
  <si>
    <t>10094632766</t>
  </si>
  <si>
    <t>22928</t>
  </si>
  <si>
    <t>ADRIANA DA SILVA NUNES</t>
  </si>
  <si>
    <t>10890198748</t>
  </si>
  <si>
    <t>22033</t>
  </si>
  <si>
    <t>ADRIANA DOS SANTOS</t>
  </si>
  <si>
    <t>84993391587</t>
  </si>
  <si>
    <t>18494</t>
  </si>
  <si>
    <t>ADRIANA FIDELIS DOS SANTOS</t>
  </si>
  <si>
    <t>14356928709</t>
  </si>
  <si>
    <t>18164</t>
  </si>
  <si>
    <t>ADRIANA PINHEIRO DA CONCEICAO</t>
  </si>
  <si>
    <t>02615675516</t>
  </si>
  <si>
    <t>E</t>
  </si>
  <si>
    <t>03932</t>
  </si>
  <si>
    <t>ADRIANO DA SILVA FERNANDES</t>
  </si>
  <si>
    <t>MOTORISTA DE CAMINHAO MUNCK</t>
  </si>
  <si>
    <t>08716801733</t>
  </si>
  <si>
    <t>18080</t>
  </si>
  <si>
    <t>ADRIANO DE JESUS PINHO</t>
  </si>
  <si>
    <t>SUPERVISOR DE MANUTENCAO</t>
  </si>
  <si>
    <t>15720231714</t>
  </si>
  <si>
    <t>20228</t>
  </si>
  <si>
    <t>ADRIANO DE SOUZA BATISTA</t>
  </si>
  <si>
    <t>07340094709</t>
  </si>
  <si>
    <t>22418</t>
  </si>
  <si>
    <t>ADRIANO GOMES LEAO</t>
  </si>
  <si>
    <t>13825285740</t>
  </si>
  <si>
    <t>18964</t>
  </si>
  <si>
    <t>ADRIELLE DA SILVA RODRIGUES</t>
  </si>
  <si>
    <t>15641051721</t>
  </si>
  <si>
    <t>19902</t>
  </si>
  <si>
    <t>AGNALDO SILVA DOS SANTOS</t>
  </si>
  <si>
    <t>07948262709</t>
  </si>
  <si>
    <t>24761</t>
  </si>
  <si>
    <t>AGNUS DE BRAGANCA RANGEL</t>
  </si>
  <si>
    <t>16093459756</t>
  </si>
  <si>
    <t>16363</t>
  </si>
  <si>
    <t>AGRIMALDO BATISTA NACORT JUNIOR</t>
  </si>
  <si>
    <t>AUXILIAR DE MANUTENCAO</t>
  </si>
  <si>
    <t>10416450741</t>
  </si>
  <si>
    <t>18868</t>
  </si>
  <si>
    <t>AILTON ROBERTO ANGELO ROMULO ARAUJO</t>
  </si>
  <si>
    <t>ENCARREGADO DE MANUTENCAO</t>
  </si>
  <si>
    <t>03423761601</t>
  </si>
  <si>
    <t>19906</t>
  </si>
  <si>
    <t>AILTON SANTOS FILHO</t>
  </si>
  <si>
    <t>18654702796</t>
  </si>
  <si>
    <t>20186</t>
  </si>
  <si>
    <t>ALAN DA SILVA FERREIRA</t>
  </si>
  <si>
    <t>ENGENHEIRO MECANICO - HVAC</t>
  </si>
  <si>
    <t>14018175728</t>
  </si>
  <si>
    <t>20294</t>
  </si>
  <si>
    <t>ALAN MOUZA DE CASTRO</t>
  </si>
  <si>
    <t>13262233722</t>
  </si>
  <si>
    <t>22094</t>
  </si>
  <si>
    <t>ALAN RESENDE DA SILVA</t>
  </si>
  <si>
    <t>09822501773</t>
  </si>
  <si>
    <t>20397</t>
  </si>
  <si>
    <t>ALBERTO SILVA</t>
  </si>
  <si>
    <t>31591295866</t>
  </si>
  <si>
    <t>18076</t>
  </si>
  <si>
    <t>ALDERICO SANTOS COSTA</t>
  </si>
  <si>
    <t>87527588772</t>
  </si>
  <si>
    <t>07329</t>
  </si>
  <si>
    <t>ALDO JOSE MONERAT GOMES</t>
  </si>
  <si>
    <t>79251927634</t>
  </si>
  <si>
    <t>22792</t>
  </si>
  <si>
    <t>ALEF FERREIRA DE SOUZA MEDEIROS</t>
  </si>
  <si>
    <t>14605164782</t>
  </si>
  <si>
    <t>18027</t>
  </si>
  <si>
    <t>ALESSANDRA DA SILVA SANTOS</t>
  </si>
  <si>
    <t>12762170729</t>
  </si>
  <si>
    <t>18001</t>
  </si>
  <si>
    <t>ALESSANDRA MORAES DE MELLO</t>
  </si>
  <si>
    <t>08904932785</t>
  </si>
  <si>
    <t>18159</t>
  </si>
  <si>
    <t>ALESSANDRA RODRIGUES PEIXOTO BARRETO</t>
  </si>
  <si>
    <t>11786425777</t>
  </si>
  <si>
    <t>20333</t>
  </si>
  <si>
    <t>ALESSANDRA SILVEIRA ROCHA DOS SANTOS</t>
  </si>
  <si>
    <t>03065721767</t>
  </si>
  <si>
    <t>22612</t>
  </si>
  <si>
    <t>ALESSANDRO DA SILVA</t>
  </si>
  <si>
    <t>09166110785</t>
  </si>
  <si>
    <t>17615</t>
  </si>
  <si>
    <t>ALESSANDRO ROSA ROCHA</t>
  </si>
  <si>
    <t>11177410796</t>
  </si>
  <si>
    <t>18054</t>
  </si>
  <si>
    <t>ALESSANDRO SANTOS SILVA JUNIOR</t>
  </si>
  <si>
    <t>16934072723</t>
  </si>
  <si>
    <t>20102</t>
  </si>
  <si>
    <t>ALEX BORGES DAS DORES</t>
  </si>
  <si>
    <t>17853195745</t>
  </si>
  <si>
    <t>11158</t>
  </si>
  <si>
    <t>ALEX LEAL DE SOUZA</t>
  </si>
  <si>
    <t>15670749790</t>
  </si>
  <si>
    <t>12607</t>
  </si>
  <si>
    <t>ALEX SANDRO COSTA BRITO</t>
  </si>
  <si>
    <t>02876693780</t>
  </si>
  <si>
    <t>13816</t>
  </si>
  <si>
    <t>ALEX SANDRO DOS SANTOS GOMES</t>
  </si>
  <si>
    <t>05554579744</t>
  </si>
  <si>
    <t>22400</t>
  </si>
  <si>
    <t>ALEX VIEIRA SERRANO JUNIOR</t>
  </si>
  <si>
    <t>18734497714</t>
  </si>
  <si>
    <t>15140</t>
  </si>
  <si>
    <t>ALEXANDRA BARCELOS FURTADO DA SILVA</t>
  </si>
  <si>
    <t>TECNICO DE PLANEJAMENTO I</t>
  </si>
  <si>
    <t>18785322784</t>
  </si>
  <si>
    <t>21322</t>
  </si>
  <si>
    <t>ALEXANDRA NOLASCO DE ANDRADE</t>
  </si>
  <si>
    <t>09509807737</t>
  </si>
  <si>
    <t>24767</t>
  </si>
  <si>
    <t>ALEXANDRE CRUZ MARIANO</t>
  </si>
  <si>
    <t>14105313762</t>
  </si>
  <si>
    <t>14488</t>
  </si>
  <si>
    <t>ALEXANDRE DE CARVALHO CONCEICAO</t>
  </si>
  <si>
    <t>04186799750</t>
  </si>
  <si>
    <t>24880</t>
  </si>
  <si>
    <t>ALEXANDRE DE MEDEIROS PEREIRA JUNIOR</t>
  </si>
  <si>
    <t>16971085710</t>
  </si>
  <si>
    <t>24720</t>
  </si>
  <si>
    <t>ALEXANDRE DE OLIVEIRA FERREIRA</t>
  </si>
  <si>
    <t>ENGENHEIRO MECANICO</t>
  </si>
  <si>
    <t>12116686733</t>
  </si>
  <si>
    <t>20300</t>
  </si>
  <si>
    <t>ALEXANDRE FERREIRA</t>
  </si>
  <si>
    <t>09105033705</t>
  </si>
  <si>
    <t>20238</t>
  </si>
  <si>
    <t>ALEXANDRE LIMA DE JESUS</t>
  </si>
  <si>
    <t>80389767549</t>
  </si>
  <si>
    <t>18068</t>
  </si>
  <si>
    <t>ALEXANDRE MARCELINO PEREIRA</t>
  </si>
  <si>
    <t>07067894743</t>
  </si>
  <si>
    <t>17133</t>
  </si>
  <si>
    <t>ALEXANDRE MOURA DA SILVA</t>
  </si>
  <si>
    <t>83447113472</t>
  </si>
  <si>
    <t>18060</t>
  </si>
  <si>
    <t>ALEXANDRE PEREIRA SANTOS ESTANISLAU</t>
  </si>
  <si>
    <t>10313015775</t>
  </si>
  <si>
    <t>05995</t>
  </si>
  <si>
    <t>ALEXANDRO CORREIA TEIXEIRA DA SILVA</t>
  </si>
  <si>
    <t>03609466740</t>
  </si>
  <si>
    <t>20705</t>
  </si>
  <si>
    <t>ALEXANDRO LUIZ DA SILVA</t>
  </si>
  <si>
    <t>04335568460</t>
  </si>
  <si>
    <t>22390</t>
  </si>
  <si>
    <t>ALEXSANDRO DE OLIVEIRA MARINHO</t>
  </si>
  <si>
    <t>14779400732</t>
  </si>
  <si>
    <t>17609</t>
  </si>
  <si>
    <t>ALEXSANDRO QUEIROZ OLIVEIRA</t>
  </si>
  <si>
    <t>08928951798</t>
  </si>
  <si>
    <t>17614</t>
  </si>
  <si>
    <t>ALEXSSANDRA ESPERIDIAO DA SILVA</t>
  </si>
  <si>
    <t>11140813706</t>
  </si>
  <si>
    <t>20090</t>
  </si>
  <si>
    <t>ALINE ARAUJO FERREIRA</t>
  </si>
  <si>
    <t>ENCARREGADO DE LIMPEZA</t>
  </si>
  <si>
    <t>83486658549</t>
  </si>
  <si>
    <t>22767</t>
  </si>
  <si>
    <t>ALINE DA SILVA COUTINHO</t>
  </si>
  <si>
    <t>12103664795</t>
  </si>
  <si>
    <t>24007</t>
  </si>
  <si>
    <t>ALINE DAVID DE SOUZA</t>
  </si>
  <si>
    <t>12038904782</t>
  </si>
  <si>
    <t>20320</t>
  </si>
  <si>
    <t>ALLAN DA SILVA OLIVEIRA</t>
  </si>
  <si>
    <t>14956532776</t>
  </si>
  <si>
    <t>24755</t>
  </si>
  <si>
    <t>ALLAN SILVIO MISQUITA DOS SANTOS</t>
  </si>
  <si>
    <t>06349675762</t>
  </si>
  <si>
    <t>24836</t>
  </si>
  <si>
    <t>ALLEY CARVALHO ROCHA</t>
  </si>
  <si>
    <t>17340374744</t>
  </si>
  <si>
    <t>13869</t>
  </si>
  <si>
    <t>ALMYR DE LIMA FERREIRA</t>
  </si>
  <si>
    <t>10483503711</t>
  </si>
  <si>
    <t>24282</t>
  </si>
  <si>
    <t>ALTAIR JOSE DOS SANTOS</t>
  </si>
  <si>
    <t>11252107706</t>
  </si>
  <si>
    <t>22613</t>
  </si>
  <si>
    <t>ALUISIO BOTELHO COUTINHO</t>
  </si>
  <si>
    <t>07659701711</t>
  </si>
  <si>
    <t>21228</t>
  </si>
  <si>
    <t>ALYSSON DOS SANTOS CHAVES LINHARES</t>
  </si>
  <si>
    <t>TECNICO DE REFRIGERACAO</t>
  </si>
  <si>
    <t>13305769777</t>
  </si>
  <si>
    <t>17728</t>
  </si>
  <si>
    <t>ALZELINA MARIA ANDRADE</t>
  </si>
  <si>
    <t>07873447707</t>
  </si>
  <si>
    <t>21205</t>
  </si>
  <si>
    <t>AMANDA BATTISACO GARCIA LEITAO</t>
  </si>
  <si>
    <t>08936571745</t>
  </si>
  <si>
    <t>23880</t>
  </si>
  <si>
    <t>AMANDA CARLA RAMOS DOS SANTOS</t>
  </si>
  <si>
    <t>16745805766</t>
  </si>
  <si>
    <t>17663</t>
  </si>
  <si>
    <t>AMANDA CRISTINA NAZARE TORRES</t>
  </si>
  <si>
    <t>02741486336</t>
  </si>
  <si>
    <t>22717</t>
  </si>
  <si>
    <t>AMANDA DA SILVA MORENO</t>
  </si>
  <si>
    <t>15678033778</t>
  </si>
  <si>
    <t>23574</t>
  </si>
  <si>
    <t>AMANDA SALES ANDRADE ALVES</t>
  </si>
  <si>
    <t>15622344719</t>
  </si>
  <si>
    <t>24821</t>
  </si>
  <si>
    <t>AMANDA SOUZA MARTINS</t>
  </si>
  <si>
    <t>20989193799</t>
  </si>
  <si>
    <t>17852</t>
  </si>
  <si>
    <t>ANA CARLA NOGUEIRA NASCIMENTO DA SILVA</t>
  </si>
  <si>
    <t>07963026778</t>
  </si>
  <si>
    <t>24124</t>
  </si>
  <si>
    <t>ANA CAROLAYNE DA PAIXAO TIBURCIO</t>
  </si>
  <si>
    <t>18632875744</t>
  </si>
  <si>
    <t>15539</t>
  </si>
  <si>
    <t>ANA CAROLINA HONORIO RAMOS</t>
  </si>
  <si>
    <t>17005843754</t>
  </si>
  <si>
    <t>18111</t>
  </si>
  <si>
    <t>ANA CAROLINA MENEZES VIANA</t>
  </si>
  <si>
    <t>20896801721</t>
  </si>
  <si>
    <t>17998</t>
  </si>
  <si>
    <t>ANA CAROLINA SEABRA DE BARROS</t>
  </si>
  <si>
    <t>06407212731</t>
  </si>
  <si>
    <t>17669</t>
  </si>
  <si>
    <t>ANA CRISTINA ABREU LOPES</t>
  </si>
  <si>
    <t>05394069700</t>
  </si>
  <si>
    <t>21658</t>
  </si>
  <si>
    <t>ANA CRISTINA CONCEICAO DE MACEDO</t>
  </si>
  <si>
    <t>13022918747</t>
  </si>
  <si>
    <t>21401</t>
  </si>
  <si>
    <t>ANA KAROLINE SILVA DE SOUZA SANTOS</t>
  </si>
  <si>
    <t>08716612507</t>
  </si>
  <si>
    <t>17997</t>
  </si>
  <si>
    <t>ANA LUCIA DE JESUS MELO</t>
  </si>
  <si>
    <t>39719421568</t>
  </si>
  <si>
    <t>18972</t>
  </si>
  <si>
    <t>ANA LUCIA PAULA DE MORAES NASCIMENTO</t>
  </si>
  <si>
    <t>09025698727</t>
  </si>
  <si>
    <t>21302</t>
  </si>
  <si>
    <t>ANA LUIZA PEREIRA RIBEIRO</t>
  </si>
  <si>
    <t>91339480700</t>
  </si>
  <si>
    <t>12417</t>
  </si>
  <si>
    <t>ANA MARIA ROCHA DOS SANTOS</t>
  </si>
  <si>
    <t>TECNICO DE SEGURANCA DO TRABALHO III</t>
  </si>
  <si>
    <t>08643988758</t>
  </si>
  <si>
    <t>18000</t>
  </si>
  <si>
    <t>ANA PAULA DOS SANTOS</t>
  </si>
  <si>
    <t>84051582515</t>
  </si>
  <si>
    <t>22532</t>
  </si>
  <si>
    <t>ANA PAULA LAPA DE OLIVEIRA DA SILVA</t>
  </si>
  <si>
    <t>08165096702</t>
  </si>
  <si>
    <t>20337</t>
  </si>
  <si>
    <t>ANA PAULA VIEIRA DA IGREJA</t>
  </si>
  <si>
    <t>87168499220</t>
  </si>
  <si>
    <t>22068</t>
  </si>
  <si>
    <t>ANDERSON CARLOS DE SOUSA</t>
  </si>
  <si>
    <t>36984101840</t>
  </si>
  <si>
    <t>07260</t>
  </si>
  <si>
    <t>ANDERSON COSTA MONTEIRO</t>
  </si>
  <si>
    <t>10554159716</t>
  </si>
  <si>
    <t>07241</t>
  </si>
  <si>
    <t>ANDERSON DOS SANTOS PACHECO</t>
  </si>
  <si>
    <t>11248265726</t>
  </si>
  <si>
    <t>22647</t>
  </si>
  <si>
    <t>ANDERSON GOMES ALEXANDRE</t>
  </si>
  <si>
    <t>12667311728</t>
  </si>
  <si>
    <t>17876</t>
  </si>
  <si>
    <t>ANDERSON JOSE DO ROSARIO CARDOSO DE CASTRO</t>
  </si>
  <si>
    <t>09985660714</t>
  </si>
  <si>
    <t>22706</t>
  </si>
  <si>
    <t>ANDERSON NEVES DE MOURA</t>
  </si>
  <si>
    <t>00055288790</t>
  </si>
  <si>
    <t>22707</t>
  </si>
  <si>
    <t>ANDERSON RODRIGO WERLANG</t>
  </si>
  <si>
    <t>16794271729</t>
  </si>
  <si>
    <t>13562</t>
  </si>
  <si>
    <t>ANDERSON SOUZA CELINO</t>
  </si>
  <si>
    <t>07548433786</t>
  </si>
  <si>
    <t>21560</t>
  </si>
  <si>
    <t>ANDRE DA COSTA CARVALHO ALMEIDA LOPES</t>
  </si>
  <si>
    <t>15245758792</t>
  </si>
  <si>
    <t>20989</t>
  </si>
  <si>
    <t>ANDRE DAVI SIQUEIRA PINTO</t>
  </si>
  <si>
    <t>12873288736</t>
  </si>
  <si>
    <t>21324</t>
  </si>
  <si>
    <t>21729</t>
  </si>
  <si>
    <t>ANDRE DE JESUS PINHO</t>
  </si>
  <si>
    <t>06384173760</t>
  </si>
  <si>
    <t>17628</t>
  </si>
  <si>
    <t>ANDRE LUIS RANGEL MATHEUS</t>
  </si>
  <si>
    <t>04194013778</t>
  </si>
  <si>
    <t>22398</t>
  </si>
  <si>
    <t>ANDRE LUIZ CRAVO VIEIRA</t>
  </si>
  <si>
    <t>15361701785</t>
  </si>
  <si>
    <t>20085</t>
  </si>
  <si>
    <t>ANDRE LUIZ DE OLIVEIRA SANTANA</t>
  </si>
  <si>
    <t>78726107520</t>
  </si>
  <si>
    <t>19910</t>
  </si>
  <si>
    <t>ANDRE LUIZ DINIZ DE LIMA</t>
  </si>
  <si>
    <t>12646615760</t>
  </si>
  <si>
    <t>20273</t>
  </si>
  <si>
    <t>ANDRE MARCELINO BATISTA LOPES</t>
  </si>
  <si>
    <t>03072528764</t>
  </si>
  <si>
    <t>07261</t>
  </si>
  <si>
    <t>ANDRE MARCIANO CONCEICAO</t>
  </si>
  <si>
    <t>11128314797</t>
  </si>
  <si>
    <t>13844</t>
  </si>
  <si>
    <t>ANDRE MONTEIRO DA SILVA</t>
  </si>
  <si>
    <t>08664112754</t>
  </si>
  <si>
    <t>22059</t>
  </si>
  <si>
    <t>ANDREA ALVARENGA CABRAL MELO</t>
  </si>
  <si>
    <t>05874314741</t>
  </si>
  <si>
    <t>19335</t>
  </si>
  <si>
    <t>ANDREA CHAGAS</t>
  </si>
  <si>
    <t>00377303712</t>
  </si>
  <si>
    <t>24716</t>
  </si>
  <si>
    <t>18005</t>
  </si>
  <si>
    <t>ANDREA DA SILVA CHAGAS</t>
  </si>
  <si>
    <t>09702195713</t>
  </si>
  <si>
    <t>24932</t>
  </si>
  <si>
    <t>ANDRESSA ANDRADE RIBEIRO AREAS</t>
  </si>
  <si>
    <t>11292988762</t>
  </si>
  <si>
    <t>22540</t>
  </si>
  <si>
    <t>ANDREW CORDEIRO DA SILVA</t>
  </si>
  <si>
    <t>12290946796</t>
  </si>
  <si>
    <t>18899</t>
  </si>
  <si>
    <t>ANDREY DA SILVA RODRIGUES</t>
  </si>
  <si>
    <t>18785497746</t>
  </si>
  <si>
    <t>18002</t>
  </si>
  <si>
    <t>ANDREY FELIPE PACHECO SILVA</t>
  </si>
  <si>
    <t>17501614784</t>
  </si>
  <si>
    <t>24898</t>
  </si>
  <si>
    <t>18905</t>
  </si>
  <si>
    <t>ANGELICA PAES PEREIRA</t>
  </si>
  <si>
    <t>TECNICO DE SEGURANCA DO TRABALHO I</t>
  </si>
  <si>
    <t>05530167764</t>
  </si>
  <si>
    <t>20021</t>
  </si>
  <si>
    <t>ANNA CLARA RANGEL HELEODORO</t>
  </si>
  <si>
    <t>19199935767</t>
  </si>
  <si>
    <t>17678</t>
  </si>
  <si>
    <t>ANTONIA ANGELICA MENDES DA SILVA</t>
  </si>
  <si>
    <t>76704866353</t>
  </si>
  <si>
    <t>20381</t>
  </si>
  <si>
    <t>ANTONIO CARLOS CARDOSO DE SOUZA</t>
  </si>
  <si>
    <t>AUXILIAR DE PINTURA</t>
  </si>
  <si>
    <t>01951873777</t>
  </si>
  <si>
    <t>21841</t>
  </si>
  <si>
    <t>ANTONIO CARLOS DOS SANTOS</t>
  </si>
  <si>
    <t>08297546527</t>
  </si>
  <si>
    <t>22082</t>
  </si>
  <si>
    <t>ANTONIO CARLOS LOPES FILHO</t>
  </si>
  <si>
    <t>08298982711</t>
  </si>
  <si>
    <t>18061</t>
  </si>
  <si>
    <t>ANTONIO CARLOS OLIVEIRA DA CONCEICAO</t>
  </si>
  <si>
    <t>05541970571</t>
  </si>
  <si>
    <t>18153</t>
  </si>
  <si>
    <t>ANTONIO CARLOS RODRIGUES DE OLIVEIRA</t>
  </si>
  <si>
    <t>07417196730</t>
  </si>
  <si>
    <t>18142</t>
  </si>
  <si>
    <t>ANTONIO CLAUDIO MADUREIRA</t>
  </si>
  <si>
    <t>92726607772</t>
  </si>
  <si>
    <t>20268</t>
  </si>
  <si>
    <t>ANTONIO FERNANDO CABRAL DANTAS</t>
  </si>
  <si>
    <t>02813983560</t>
  </si>
  <si>
    <t>18356</t>
  </si>
  <si>
    <t>ANTONIO LEANDRO DA SILVA NETO</t>
  </si>
  <si>
    <t>11623523613</t>
  </si>
  <si>
    <t>21232</t>
  </si>
  <si>
    <t>ANTONIO PEDRO DAMASCENO CALDEIRA AGUIAR</t>
  </si>
  <si>
    <t>11587599759</t>
  </si>
  <si>
    <t>03046</t>
  </si>
  <si>
    <t>ANTONIO SIRQUEIRA PEREIRA</t>
  </si>
  <si>
    <t>01737688301</t>
  </si>
  <si>
    <t>17627</t>
  </si>
  <si>
    <t>APARECIDA MERCES SOUZA MARTINS</t>
  </si>
  <si>
    <t>81411855604</t>
  </si>
  <si>
    <t>20216</t>
  </si>
  <si>
    <t>APOLONIO AZEVEDO MENDES</t>
  </si>
  <si>
    <t>17153661743</t>
  </si>
  <si>
    <t>19905</t>
  </si>
  <si>
    <t>AQUILES SANTOS DE SANTANA</t>
  </si>
  <si>
    <t>04036732595</t>
  </si>
  <si>
    <t>20258</t>
  </si>
  <si>
    <t>AREONILTON DE SOUZA VALERIO FILHO</t>
  </si>
  <si>
    <t>06749344585</t>
  </si>
  <si>
    <t>22843</t>
  </si>
  <si>
    <t>ARIALESON SANTANA DOS SANTOS</t>
  </si>
  <si>
    <t>10411230514</t>
  </si>
  <si>
    <t>24769</t>
  </si>
  <si>
    <t>ARIANE OLIVEIRA SILVA</t>
  </si>
  <si>
    <t>15657624602</t>
  </si>
  <si>
    <t>21805</t>
  </si>
  <si>
    <t>ARILSON NASCIMENTO DA SILVA</t>
  </si>
  <si>
    <t>03079601530</t>
  </si>
  <si>
    <t>24591</t>
  </si>
  <si>
    <t>ARISTIDES FERREIRA DE CARVALHO NETO</t>
  </si>
  <si>
    <t>16352600786</t>
  </si>
  <si>
    <t>18059</t>
  </si>
  <si>
    <t>ARLEI DA SILVA CORREA</t>
  </si>
  <si>
    <t>02076613757</t>
  </si>
  <si>
    <t>19920</t>
  </si>
  <si>
    <t>ARLINA SILVA</t>
  </si>
  <si>
    <t>04647417697</t>
  </si>
  <si>
    <t>04596</t>
  </si>
  <si>
    <t>ARNALDO BRITO DO NASCIMENTO</t>
  </si>
  <si>
    <t>MONTADOR DE ANDAIMES II</t>
  </si>
  <si>
    <t>80055060315</t>
  </si>
  <si>
    <t>20318</t>
  </si>
  <si>
    <t>AROLDO CESAR VIEIRA MEIRELES</t>
  </si>
  <si>
    <t>03949857702</t>
  </si>
  <si>
    <t>24890</t>
  </si>
  <si>
    <t>ARTHUR ALVES BAPTISTA GOMES</t>
  </si>
  <si>
    <t>21351221736</t>
  </si>
  <si>
    <t>20336</t>
  </si>
  <si>
    <t>ARTHUR PINTO PAIVA</t>
  </si>
  <si>
    <t>15641037737</t>
  </si>
  <si>
    <t>22523</t>
  </si>
  <si>
    <t>ARTUR DE LIMA PEREIRA</t>
  </si>
  <si>
    <t>16642492730</t>
  </si>
  <si>
    <t>20487</t>
  </si>
  <si>
    <t>ARTUR ROBERTO BAYER JUNIOR</t>
  </si>
  <si>
    <t>08462412773</t>
  </si>
  <si>
    <t>05178</t>
  </si>
  <si>
    <t>ATAIDES XAVIER DE ANDRADE FILHO</t>
  </si>
  <si>
    <t>24866738812</t>
  </si>
  <si>
    <t>15369</t>
  </si>
  <si>
    <t>AUNI COSTA CARVALHO NETO</t>
  </si>
  <si>
    <t>15695294770</t>
  </si>
  <si>
    <t>18110</t>
  </si>
  <si>
    <t>AVANI LUIZA GOMES DA SILVA</t>
  </si>
  <si>
    <t>02660980705</t>
  </si>
  <si>
    <t>20695</t>
  </si>
  <si>
    <t>BARBARA ELIZABETH BANDEIRA DE OLIVEIRA DA ROCHA</t>
  </si>
  <si>
    <t>TECNICO DE ENFERMAGEM</t>
  </si>
  <si>
    <t>11294099701</t>
  </si>
  <si>
    <t>18036</t>
  </si>
  <si>
    <t>BARBARA GLEISSY DA SILVA SANTOS BEIRAL</t>
  </si>
  <si>
    <t>05960736586</t>
  </si>
  <si>
    <t>24652</t>
  </si>
  <si>
    <t>BEATRIZ DO ROSARIO FORTUNA</t>
  </si>
  <si>
    <t>13772231756</t>
  </si>
  <si>
    <t>24358</t>
  </si>
  <si>
    <t>BEATRIZ DOS SANTOS NASCIMENTO</t>
  </si>
  <si>
    <t>19968572748</t>
  </si>
  <si>
    <t>20398</t>
  </si>
  <si>
    <t>BEATRIZ VALENTIM CAETANO DE OLIVEIRA</t>
  </si>
  <si>
    <t>18960739723</t>
  </si>
  <si>
    <t>18158</t>
  </si>
  <si>
    <t>BENICIO DOS SANTOS JUNIOR</t>
  </si>
  <si>
    <t>00508766788</t>
  </si>
  <si>
    <t>24766</t>
  </si>
  <si>
    <t>BRAYAN DOUGLAS GERALDO COSTA</t>
  </si>
  <si>
    <t>13138797709</t>
  </si>
  <si>
    <t>19152</t>
  </si>
  <si>
    <t>BRUCE WILLIAM CASANOVA DE OLIVEIRA MORAES</t>
  </si>
  <si>
    <t>14454248788</t>
  </si>
  <si>
    <t>18003</t>
  </si>
  <si>
    <t>BRUNA SUZANA DA SILVA</t>
  </si>
  <si>
    <t>13389371702</t>
  </si>
  <si>
    <t>24955</t>
  </si>
  <si>
    <t>BRUNNO DE OLIVEIRA PITANGA</t>
  </si>
  <si>
    <t>19062175724</t>
  </si>
  <si>
    <t>20374</t>
  </si>
  <si>
    <t>BRUNO BARBOSA RANGEL</t>
  </si>
  <si>
    <t>10051258722</t>
  </si>
  <si>
    <t>19973</t>
  </si>
  <si>
    <t>BRUNO CAUA SOUSA ALVES</t>
  </si>
  <si>
    <t>20089429702</t>
  </si>
  <si>
    <t>24165</t>
  </si>
  <si>
    <t>BRUNO COUTINHO DE OLIVEIRA</t>
  </si>
  <si>
    <t>12118847750</t>
  </si>
  <si>
    <t>20067</t>
  </si>
  <si>
    <t>BRUNO DA CONCEICAO TAVARES</t>
  </si>
  <si>
    <t>11391836723</t>
  </si>
  <si>
    <t>22096</t>
  </si>
  <si>
    <t>BRUNO DA CUNHA BOTELHO</t>
  </si>
  <si>
    <t>13688555716</t>
  </si>
  <si>
    <t>20740</t>
  </si>
  <si>
    <t>BRUNO DE ARAUJO OLIVEIRA</t>
  </si>
  <si>
    <t>ENGENHEIRO DE AUTOMACAO</t>
  </si>
  <si>
    <t>05971368583</t>
  </si>
  <si>
    <t>15473</t>
  </si>
  <si>
    <t>BRUNO GOMES DA SILVA</t>
  </si>
  <si>
    <t>12526005779</t>
  </si>
  <si>
    <t>22025</t>
  </si>
  <si>
    <t>BRUNO MACEDO GRANDI</t>
  </si>
  <si>
    <t>20134122747</t>
  </si>
  <si>
    <t>20298</t>
  </si>
  <si>
    <t>BRUNO MARINS DE ARNIZAU</t>
  </si>
  <si>
    <t>05663851712</t>
  </si>
  <si>
    <t>18160</t>
  </si>
  <si>
    <t>BRUNO RODRIGUES DE PAULA</t>
  </si>
  <si>
    <t>12032179784</t>
  </si>
  <si>
    <t>04679</t>
  </si>
  <si>
    <t>BRUNO SILVA DE OLIVEIRA</t>
  </si>
  <si>
    <t>13235568778</t>
  </si>
  <si>
    <t>20451</t>
  </si>
  <si>
    <t>BRUNO TADEU MOTTA LINHARES</t>
  </si>
  <si>
    <t>10348790732</t>
  </si>
  <si>
    <t>22041</t>
  </si>
  <si>
    <t>CAIO CELSO MATHEUS ALVES</t>
  </si>
  <si>
    <t>15750145727</t>
  </si>
  <si>
    <t>22075</t>
  </si>
  <si>
    <t>CAIO RIBEIRO DA SILVA</t>
  </si>
  <si>
    <t>15498640765</t>
  </si>
  <si>
    <t>22057</t>
  </si>
  <si>
    <t>CAIQUE FRANCA DE MELLO CARVALHO</t>
  </si>
  <si>
    <t>18300767797</t>
  </si>
  <si>
    <t>19151</t>
  </si>
  <si>
    <t>CAMILA FERREIRA MACHADO</t>
  </si>
  <si>
    <t>11586474766</t>
  </si>
  <si>
    <t>23853</t>
  </si>
  <si>
    <t>CAMILA VACCARI RAMOS</t>
  </si>
  <si>
    <t>13080576799</t>
  </si>
  <si>
    <t>22268</t>
  </si>
  <si>
    <t>CAMILO LELLIS DA SILVA FERREIRA</t>
  </si>
  <si>
    <t>DESENHISTA</t>
  </si>
  <si>
    <t>12794817736</t>
  </si>
  <si>
    <t>19139</t>
  </si>
  <si>
    <t>CARLA LUZIA DE PAULA FERREIRA OLIVEIRA</t>
  </si>
  <si>
    <t>10864137761</t>
  </si>
  <si>
    <t>24243</t>
  </si>
  <si>
    <t>CARLOS ALEXANDRE BRAGANCA BARBOSA</t>
  </si>
  <si>
    <t>19428746770</t>
  </si>
  <si>
    <t>22348</t>
  </si>
  <si>
    <t>CARLOS ANDRE MACEDO NUNES</t>
  </si>
  <si>
    <t>08831910752</t>
  </si>
  <si>
    <t>22170</t>
  </si>
  <si>
    <t>CARLOS ANTONIO SOUZA DE SANTANA</t>
  </si>
  <si>
    <t>56532318515</t>
  </si>
  <si>
    <t>18057</t>
  </si>
  <si>
    <t>CARLOS BRANDAO DE MATTOS</t>
  </si>
  <si>
    <t>08226465796</t>
  </si>
  <si>
    <t>24490</t>
  </si>
  <si>
    <t>CARLOS EDUARDO BORGES DIAS</t>
  </si>
  <si>
    <t>20647238705</t>
  </si>
  <si>
    <t>20996</t>
  </si>
  <si>
    <t>CARLOS EDUARDO DA PENHA GOMES</t>
  </si>
  <si>
    <t>11472866711</t>
  </si>
  <si>
    <t>19334</t>
  </si>
  <si>
    <t>CARLOS EDUARDO GOMES DA SILVA VIANA</t>
  </si>
  <si>
    <t>19646934706</t>
  </si>
  <si>
    <t>12603</t>
  </si>
  <si>
    <t>CARLOS EDUARDO SILVA FERREIRA</t>
  </si>
  <si>
    <t>09200680739</t>
  </si>
  <si>
    <t>24935</t>
  </si>
  <si>
    <t>CARLOS ELIANO DA SILVA RODRIGUES</t>
  </si>
  <si>
    <t>09026014740</t>
  </si>
  <si>
    <t>19563</t>
  </si>
  <si>
    <t>CARLOS FERNANDO AREAS PEIXOTO</t>
  </si>
  <si>
    <t>08694212714</t>
  </si>
  <si>
    <t>20346</t>
  </si>
  <si>
    <t>CARLOS GILBERTO DE LIMA CARREIRA</t>
  </si>
  <si>
    <t>12203983736</t>
  </si>
  <si>
    <t>17748</t>
  </si>
  <si>
    <t>CARLOS HENRIQUE CIRILO DA COSTA</t>
  </si>
  <si>
    <t>09529657714</t>
  </si>
  <si>
    <t>20233</t>
  </si>
  <si>
    <t>CARLOS HENRIQUE MARTINS</t>
  </si>
  <si>
    <t>05891354730</t>
  </si>
  <si>
    <t>20208</t>
  </si>
  <si>
    <t>CARLOS HENRIQUE SILVA GEMINO</t>
  </si>
  <si>
    <t>13653487765</t>
  </si>
  <si>
    <t>20751</t>
  </si>
  <si>
    <t>CARLOS HENRIQUE SOARES DA SILVA</t>
  </si>
  <si>
    <t>10722877498</t>
  </si>
  <si>
    <t>24726</t>
  </si>
  <si>
    <t>CARLOS PIERRE DA SILVA JOSE</t>
  </si>
  <si>
    <t>12728645701</t>
  </si>
  <si>
    <t>23933</t>
  </si>
  <si>
    <t>CARLOS ROBERTO GOMES MURTA</t>
  </si>
  <si>
    <t>COORDENADOR DE APOIO</t>
  </si>
  <si>
    <t>09512011743</t>
  </si>
  <si>
    <t>20230</t>
  </si>
  <si>
    <t>CARLOS TEIXEIRA DA ANUNCIACAO</t>
  </si>
  <si>
    <t>98815733515</t>
  </si>
  <si>
    <t>24511</t>
  </si>
  <si>
    <t>CARMELIA DE OLIVEIRA GANDA MORENO</t>
  </si>
  <si>
    <t>04188509767</t>
  </si>
  <si>
    <t>24649</t>
  </si>
  <si>
    <t>CAROLINA BARROS DE ALMEIDA</t>
  </si>
  <si>
    <t>14683936771</t>
  </si>
  <si>
    <t>17912</t>
  </si>
  <si>
    <t>CAROLINA DE MENEZES SANTOS</t>
  </si>
  <si>
    <t>07720448561</t>
  </si>
  <si>
    <t>21807</t>
  </si>
  <si>
    <t>CAROLINE COSTA LIMA</t>
  </si>
  <si>
    <t>14917465729</t>
  </si>
  <si>
    <t>20311</t>
  </si>
  <si>
    <t>CAROLINE PEREIRA DE SOUZA</t>
  </si>
  <si>
    <t>TECNICO DE MEIO AMBIENTE I</t>
  </si>
  <si>
    <t>14400647765</t>
  </si>
  <si>
    <t>17723</t>
  </si>
  <si>
    <t>CASSIO DA SILVA COSTA MUNIZ</t>
  </si>
  <si>
    <t>12462212760</t>
  </si>
  <si>
    <t>20358</t>
  </si>
  <si>
    <t>CAUA DA CUNHA ROCHA</t>
  </si>
  <si>
    <t>15811079788</t>
  </si>
  <si>
    <t>18106</t>
  </si>
  <si>
    <t>CENILSO BORGES DA SILVA</t>
  </si>
  <si>
    <t>95118853753</t>
  </si>
  <si>
    <t>19028</t>
  </si>
  <si>
    <t>CHAIANE PEREIRA GOMES</t>
  </si>
  <si>
    <t>17704728784</t>
  </si>
  <si>
    <t>18095</t>
  </si>
  <si>
    <t>CHARLES DA SILVA MIRANDA</t>
  </si>
  <si>
    <t>09512214776</t>
  </si>
  <si>
    <t>12699</t>
  </si>
  <si>
    <t>CHARLES DO DESTERRO PECANHA</t>
  </si>
  <si>
    <t>ELETRICISTA I</t>
  </si>
  <si>
    <t>10440111730</t>
  </si>
  <si>
    <t>17665</t>
  </si>
  <si>
    <t>CHARLES SOUZA LIMA</t>
  </si>
  <si>
    <t>08709235795</t>
  </si>
  <si>
    <t>16231</t>
  </si>
  <si>
    <t>CHRISTIAN FERREIRA DA SILVA</t>
  </si>
  <si>
    <t>12198027780</t>
  </si>
  <si>
    <t>20170</t>
  </si>
  <si>
    <t>CIBELE BARCELOS TAVARES TRINDADE</t>
  </si>
  <si>
    <t>08723782765</t>
  </si>
  <si>
    <t>23934</t>
  </si>
  <si>
    <t>CICERA PEREIRA TELES DE SOUZA</t>
  </si>
  <si>
    <t>06878951461</t>
  </si>
  <si>
    <t>17696</t>
  </si>
  <si>
    <t>CLAUDEMAR JOSE DA SILVA</t>
  </si>
  <si>
    <t>03705418475</t>
  </si>
  <si>
    <t>18010</t>
  </si>
  <si>
    <t>CLAUDIA DA SILVA TAVARES LOPES</t>
  </si>
  <si>
    <t>10392624737</t>
  </si>
  <si>
    <t>18314</t>
  </si>
  <si>
    <t>CLAUDIA MARCIA DE AZEVEDO LIMA</t>
  </si>
  <si>
    <t>07829955786</t>
  </si>
  <si>
    <t>18493</t>
  </si>
  <si>
    <t>CLAUDIANE DA SILVA LIMA</t>
  </si>
  <si>
    <t>05852445452</t>
  </si>
  <si>
    <t>19180</t>
  </si>
  <si>
    <t>CLAUDIO LUCAS DE SOUZA CANDIDO</t>
  </si>
  <si>
    <t>16245932750</t>
  </si>
  <si>
    <t>12462</t>
  </si>
  <si>
    <t>CLAUDIO LUIZ DE FREITAS CUNHA</t>
  </si>
  <si>
    <t>03061573739</t>
  </si>
  <si>
    <t>22694</t>
  </si>
  <si>
    <t>CLAUDIO RANGEL DA CONCEICAO</t>
  </si>
  <si>
    <t>10016150775</t>
  </si>
  <si>
    <t>18366</t>
  </si>
  <si>
    <t>CLAUDIO SERGIO BARROS DE MELO</t>
  </si>
  <si>
    <t>77791681404</t>
  </si>
  <si>
    <t>20297</t>
  </si>
  <si>
    <t>CLEBER DA SILVA</t>
  </si>
  <si>
    <t>14084150703</t>
  </si>
  <si>
    <t>14226</t>
  </si>
  <si>
    <t>CLEBIO JUNIO GOMES DA SILVA</t>
  </si>
  <si>
    <t>13244791751</t>
  </si>
  <si>
    <t>17639</t>
  </si>
  <si>
    <t>CLEIDE VENTURA DE ANDRADE RIBEIRO</t>
  </si>
  <si>
    <t>09275039720</t>
  </si>
  <si>
    <t>20080</t>
  </si>
  <si>
    <t>CLEIDIANE JESUS DOS SANTOS</t>
  </si>
  <si>
    <t>04602267548</t>
  </si>
  <si>
    <t>22497</t>
  </si>
  <si>
    <t>CLEIDIR FURTUOSO DE AZEVEDO</t>
  </si>
  <si>
    <t>07092267722</t>
  </si>
  <si>
    <t>21850</t>
  </si>
  <si>
    <t>TECNICO DE ENFERMAGEM DO TRABALHO</t>
  </si>
  <si>
    <t>12711086747</t>
  </si>
  <si>
    <t>18186</t>
  </si>
  <si>
    <t>CLENILSON DIOGO</t>
  </si>
  <si>
    <t>07545226607</t>
  </si>
  <si>
    <t>16780</t>
  </si>
  <si>
    <t>CLEYTON DE SOUZA DE CARVALHO</t>
  </si>
  <si>
    <t>06123781790</t>
  </si>
  <si>
    <t>18024</t>
  </si>
  <si>
    <t>CREMILDO CANEMA MARCOS SALES</t>
  </si>
  <si>
    <t>01791694756</t>
  </si>
  <si>
    <t>18006</t>
  </si>
  <si>
    <t>CREONICE TAVARES DE OLIVEIRA</t>
  </si>
  <si>
    <t>07449393727</t>
  </si>
  <si>
    <t>22526</t>
  </si>
  <si>
    <t>CRISTHIAN PESSANHA RAMOS JUNIOR</t>
  </si>
  <si>
    <t>20452477751</t>
  </si>
  <si>
    <t>13856</t>
  </si>
  <si>
    <t>CRISTIAN BATISTA PENA</t>
  </si>
  <si>
    <t>12448775737</t>
  </si>
  <si>
    <t>20155</t>
  </si>
  <si>
    <t>CRISTIAN DA SILVA PACHECO</t>
  </si>
  <si>
    <t>12644049725</t>
  </si>
  <si>
    <t>20075</t>
  </si>
  <si>
    <t>CRISTIAN GRIJO GONCALVES</t>
  </si>
  <si>
    <t>14349029788</t>
  </si>
  <si>
    <t>22074</t>
  </si>
  <si>
    <t>CRISTIANE DA SILVA</t>
  </si>
  <si>
    <t>05944231475</t>
  </si>
  <si>
    <t>20706</t>
  </si>
  <si>
    <t>CRISTIANE GONCALVES MOREIRA</t>
  </si>
  <si>
    <t>04487870755</t>
  </si>
  <si>
    <t>17704</t>
  </si>
  <si>
    <t>CRISTIANO GOMES RODRIGUES</t>
  </si>
  <si>
    <t>OFICIAL DE MECANICA</t>
  </si>
  <si>
    <t>01779423713</t>
  </si>
  <si>
    <t>17705</t>
  </si>
  <si>
    <t>CRISTIANO RANGEL DA SILVA</t>
  </si>
  <si>
    <t>02897754770</t>
  </si>
  <si>
    <t>15542</t>
  </si>
  <si>
    <t>CRISTIANO SILVA OLIVEIRA</t>
  </si>
  <si>
    <t>08031451605</t>
  </si>
  <si>
    <t>23984</t>
  </si>
  <si>
    <t>CRISTIANO SOUZA LIMA</t>
  </si>
  <si>
    <t>92547931591</t>
  </si>
  <si>
    <t>06796</t>
  </si>
  <si>
    <t>CRISTIANO VITORIO DE SOUSA BERNARDO</t>
  </si>
  <si>
    <t>06934220765</t>
  </si>
  <si>
    <t>17698</t>
  </si>
  <si>
    <t>CRISTINA DE SOUZA DA SILVA MARTINS</t>
  </si>
  <si>
    <t>10668892790</t>
  </si>
  <si>
    <t>17758</t>
  </si>
  <si>
    <t>CRISTINA MEDEIROS DA SILVA</t>
  </si>
  <si>
    <t>12986090702</t>
  </si>
  <si>
    <t>18055</t>
  </si>
  <si>
    <t>DAIANE CARVALHO LIMA</t>
  </si>
  <si>
    <t>01363688596</t>
  </si>
  <si>
    <t>22793</t>
  </si>
  <si>
    <t>DAIANE RODRIGUES DE JESUS DOS SANTOS</t>
  </si>
  <si>
    <t>00694603538</t>
  </si>
  <si>
    <t>24792</t>
  </si>
  <si>
    <t>DALVA MATOS DE OLIVEIRA</t>
  </si>
  <si>
    <t>03240073706</t>
  </si>
  <si>
    <t>21024</t>
  </si>
  <si>
    <t>DALVAN FERREIRA IBRAIM</t>
  </si>
  <si>
    <t>TECNICO DE QUALIDADE</t>
  </si>
  <si>
    <t>16351792703</t>
  </si>
  <si>
    <t>24218</t>
  </si>
  <si>
    <t>20153</t>
  </si>
  <si>
    <t>DANIEL BOUVIER DE MATTOS</t>
  </si>
  <si>
    <t>13491475759</t>
  </si>
  <si>
    <t>17826</t>
  </si>
  <si>
    <t>DANIEL DA CONCEICAO RAMOS</t>
  </si>
  <si>
    <t>01207823759</t>
  </si>
  <si>
    <t>24640</t>
  </si>
  <si>
    <t>DANIEL DE OLIVEIRA PORTO</t>
  </si>
  <si>
    <t>19022521796</t>
  </si>
  <si>
    <t>18465</t>
  </si>
  <si>
    <t>DANIEL DE SOUZA BARCELOS</t>
  </si>
  <si>
    <t>COMPRADOR I</t>
  </si>
  <si>
    <t>20177807741</t>
  </si>
  <si>
    <t>17713</t>
  </si>
  <si>
    <t>DANIEL DE SOUZA PINTO</t>
  </si>
  <si>
    <t>08583683743</t>
  </si>
  <si>
    <t>20270</t>
  </si>
  <si>
    <t>DANIEL FERREIRA DOS SANTOS</t>
  </si>
  <si>
    <t>06140143527</t>
  </si>
  <si>
    <t>20335</t>
  </si>
  <si>
    <t>DANIEL HENRIQUE FRAGOSO BRAZ</t>
  </si>
  <si>
    <t>14397850747</t>
  </si>
  <si>
    <t>18535</t>
  </si>
  <si>
    <t>DANIEL JUNIOR MACHADO BARCELLOS</t>
  </si>
  <si>
    <t>16731437760</t>
  </si>
  <si>
    <t>18045</t>
  </si>
  <si>
    <t>DANIEL MAGUINO SANTOS DA SILVA</t>
  </si>
  <si>
    <t>00762238500</t>
  </si>
  <si>
    <t>24219</t>
  </si>
  <si>
    <t>DANIEL PAULA DA ROCHA</t>
  </si>
  <si>
    <t>16986198710</t>
  </si>
  <si>
    <t>22504</t>
  </si>
  <si>
    <t>DANIEL PESSANHA DA SILVA</t>
  </si>
  <si>
    <t>17919875757</t>
  </si>
  <si>
    <t>23852</t>
  </si>
  <si>
    <t>DANIEL ROCHA CARNEIRO</t>
  </si>
  <si>
    <t>16764887748</t>
  </si>
  <si>
    <t>20324</t>
  </si>
  <si>
    <t>DANIEL SANTANA NASCIMENTO</t>
  </si>
  <si>
    <t>PROJETISTA</t>
  </si>
  <si>
    <t>18175087765</t>
  </si>
  <si>
    <t>13849</t>
  </si>
  <si>
    <t>DANIEL SCHIMANSKI DE FREITAS</t>
  </si>
  <si>
    <t>13560105714</t>
  </si>
  <si>
    <t>16982</t>
  </si>
  <si>
    <t>DANIEL SULIVAN GOMES BRAGA</t>
  </si>
  <si>
    <t>02244000290</t>
  </si>
  <si>
    <t>18994</t>
  </si>
  <si>
    <t>DANIEL WILLIAN DE OLIVEIRA MARINHO</t>
  </si>
  <si>
    <t>06273011770</t>
  </si>
  <si>
    <t>19375</t>
  </si>
  <si>
    <t>DANIELA DOS SANTOS GOMES RIBEIRO</t>
  </si>
  <si>
    <t>03695764546</t>
  </si>
  <si>
    <t>22594</t>
  </si>
  <si>
    <t>DANIELLY DE PAULA CONCEICAO</t>
  </si>
  <si>
    <t>19747378701</t>
  </si>
  <si>
    <t>18999</t>
  </si>
  <si>
    <t>DANILO AUGUSTO DOS SANTOS</t>
  </si>
  <si>
    <t>01435942574</t>
  </si>
  <si>
    <t>22533</t>
  </si>
  <si>
    <t>DANILO DA SILVA MONTEIRO</t>
  </si>
  <si>
    <t>14197976704</t>
  </si>
  <si>
    <t>18476</t>
  </si>
  <si>
    <t>DANILO DE JESUS</t>
  </si>
  <si>
    <t>11076183719</t>
  </si>
  <si>
    <t>20394</t>
  </si>
  <si>
    <t>DAQUISON XAVIER CARVALHO</t>
  </si>
  <si>
    <t>13146917750</t>
  </si>
  <si>
    <t>22851</t>
  </si>
  <si>
    <t>DARLENE CHAVIER</t>
  </si>
  <si>
    <t>10532602706</t>
  </si>
  <si>
    <t>02456</t>
  </si>
  <si>
    <t>DAVI BARCELOS MARIA</t>
  </si>
  <si>
    <t>89545877715</t>
  </si>
  <si>
    <t>24641</t>
  </si>
  <si>
    <t>DAVI BERNARDES DE SOUZA FREITAS</t>
  </si>
  <si>
    <t>19452544759</t>
  </si>
  <si>
    <t>18263</t>
  </si>
  <si>
    <t>DAVI DOS SANTOS FERREIRA DE SOUZA</t>
  </si>
  <si>
    <t>16954948730</t>
  </si>
  <si>
    <t>20108</t>
  </si>
  <si>
    <t>DAVI FRANCO ARAUJO</t>
  </si>
  <si>
    <t>14061140736</t>
  </si>
  <si>
    <t>18023</t>
  </si>
  <si>
    <t>DAVI GOMES HEITOR</t>
  </si>
  <si>
    <t>18537344702</t>
  </si>
  <si>
    <t>18037</t>
  </si>
  <si>
    <t>DAVI RANGEL BRAGANCA BARBOSA</t>
  </si>
  <si>
    <t>18407750760</t>
  </si>
  <si>
    <t>23416</t>
  </si>
  <si>
    <t>DAVID WENDEL MOURA MATOS</t>
  </si>
  <si>
    <t>11874304718</t>
  </si>
  <si>
    <t>17700</t>
  </si>
  <si>
    <t>DAYVID GONCALVES DA SILVA CLEMENTE</t>
  </si>
  <si>
    <t>ENCARREGADO DE JARDINAGEM</t>
  </si>
  <si>
    <t>13588629742</t>
  </si>
  <si>
    <t>24212</t>
  </si>
  <si>
    <t>DEBORA MARTINS DOS SANTOS</t>
  </si>
  <si>
    <t>11151104701</t>
  </si>
  <si>
    <t>18180</t>
  </si>
  <si>
    <t>DEISE DOS SANTOS GOMES PIO</t>
  </si>
  <si>
    <t>13281646751</t>
  </si>
  <si>
    <t>20361</t>
  </si>
  <si>
    <t>DEIVID FERNANDES CARVALHO</t>
  </si>
  <si>
    <t>15889675737</t>
  </si>
  <si>
    <t>19899</t>
  </si>
  <si>
    <t>DEIVISON RIBEIRO VERISSIMO</t>
  </si>
  <si>
    <t>14518284704</t>
  </si>
  <si>
    <t>10532</t>
  </si>
  <si>
    <t>DELCIONE JOSE MARQUES</t>
  </si>
  <si>
    <t>08369123651</t>
  </si>
  <si>
    <t>18185</t>
  </si>
  <si>
    <t>DELZA MACHADO BEIRAL DA SILVA</t>
  </si>
  <si>
    <t>08737007750</t>
  </si>
  <si>
    <t>18251</t>
  </si>
  <si>
    <t>DENISE MONTEIRO SALLES</t>
  </si>
  <si>
    <t>09734957740</t>
  </si>
  <si>
    <t>17771</t>
  </si>
  <si>
    <t>DENISE PAULA DA ROCHA</t>
  </si>
  <si>
    <t>08999599701</t>
  </si>
  <si>
    <t>20093</t>
  </si>
  <si>
    <t>DENISON SANTOS RODRIGUES</t>
  </si>
  <si>
    <t>77850009568</t>
  </si>
  <si>
    <t>22032</t>
  </si>
  <si>
    <t>DIANA DE FATIMA DA SILVA ANDRADE</t>
  </si>
  <si>
    <t>11757279709</t>
  </si>
  <si>
    <t>22927</t>
  </si>
  <si>
    <t>DIEGO DE SALES DA COSTA ANDRADE</t>
  </si>
  <si>
    <t>19494830709</t>
  </si>
  <si>
    <t>20117</t>
  </si>
  <si>
    <t>DIEGO DOS SANTOS SANTANA</t>
  </si>
  <si>
    <t>DUTEIRO</t>
  </si>
  <si>
    <t>04346682570</t>
  </si>
  <si>
    <t>17725</t>
  </si>
  <si>
    <t>DIEGO GAMA RODRIGUES</t>
  </si>
  <si>
    <t>11338595776</t>
  </si>
  <si>
    <t>10778</t>
  </si>
  <si>
    <t>DIEGO MOLEDO NUNES</t>
  </si>
  <si>
    <t>13117534784</t>
  </si>
  <si>
    <t>15370</t>
  </si>
  <si>
    <t>DIEGO NOGUEIRA DE SOUZA</t>
  </si>
  <si>
    <t>14982169780</t>
  </si>
  <si>
    <t>22885</t>
  </si>
  <si>
    <t>DIEGO RIBEIRO DOS ANJOS DE ASSIS</t>
  </si>
  <si>
    <t>14923921706</t>
  </si>
  <si>
    <t>20119</t>
  </si>
  <si>
    <t>DINA NAZARE DOS SANTOS</t>
  </si>
  <si>
    <t>10083470786</t>
  </si>
  <si>
    <t>22343</t>
  </si>
  <si>
    <t>DIOGO RAPHAEL COSTA DE ARAUJO</t>
  </si>
  <si>
    <t>18145664730</t>
  </si>
  <si>
    <t>20473</t>
  </si>
  <si>
    <t>DIOGO RIBEIRO DA SILVA SANTOS</t>
  </si>
  <si>
    <t>17924781781</t>
  </si>
  <si>
    <t>20107</t>
  </si>
  <si>
    <t>DIONATHAN DE JESUS TAVARES MARTINS</t>
  </si>
  <si>
    <t>10766690695</t>
  </si>
  <si>
    <t>18099</t>
  </si>
  <si>
    <t>DIONCLEI WILLARD DE OLIVEIRA</t>
  </si>
  <si>
    <t>03449340719</t>
  </si>
  <si>
    <t>20237</t>
  </si>
  <si>
    <t>DIONES DO ROZARIO DIAS</t>
  </si>
  <si>
    <t>11036433714</t>
  </si>
  <si>
    <t>20074</t>
  </si>
  <si>
    <t>DIONI SILVA BATISTA</t>
  </si>
  <si>
    <t>13326806744</t>
  </si>
  <si>
    <t>23612</t>
  </si>
  <si>
    <t>DOUGLAS DA SILVA MARQUES EMILIANO</t>
  </si>
  <si>
    <t>14287430735</t>
  </si>
  <si>
    <t>18194</t>
  </si>
  <si>
    <t>DOUGLAS DA SILVA MIRANDA</t>
  </si>
  <si>
    <t>PLANEJADOR I</t>
  </si>
  <si>
    <t>17627609755</t>
  </si>
  <si>
    <t>20307</t>
  </si>
  <si>
    <t>DOUGLAS DE ARAUJO LISTO</t>
  </si>
  <si>
    <t>15372008792</t>
  </si>
  <si>
    <t>22693</t>
  </si>
  <si>
    <t>DOUGLAS MONTEIRO LOPES PEREIRA</t>
  </si>
  <si>
    <t>10940479702</t>
  </si>
  <si>
    <t>21569</t>
  </si>
  <si>
    <t>DOUGLAS REIS LIMA LEAL</t>
  </si>
  <si>
    <t>11247821765</t>
  </si>
  <si>
    <t>19537</t>
  </si>
  <si>
    <t>DOUGLAS SANTOS ANDRADE DA SILVEIRA</t>
  </si>
  <si>
    <t>14959965738</t>
  </si>
  <si>
    <t>22702</t>
  </si>
  <si>
    <t>DOUGLAS SOARES DE AMORIM MACHADO ANDRADE</t>
  </si>
  <si>
    <t>14438671795</t>
  </si>
  <si>
    <t>18843</t>
  </si>
  <si>
    <t>DOUGLAS VIANA RIQUEZA</t>
  </si>
  <si>
    <t>12797698746</t>
  </si>
  <si>
    <t>18075</t>
  </si>
  <si>
    <t>EDENILTON LIMA DOS SANTOS JUNIOR</t>
  </si>
  <si>
    <t>SERRALHEIRO</t>
  </si>
  <si>
    <t>08217008558</t>
  </si>
  <si>
    <t>18009</t>
  </si>
  <si>
    <t>EDILANE DE SOUZA SANTOS</t>
  </si>
  <si>
    <t>10901627747</t>
  </si>
  <si>
    <t>20269</t>
  </si>
  <si>
    <t>EDILSON DAS VIRGENS XAVIER FILHO</t>
  </si>
  <si>
    <t>85827502502</t>
  </si>
  <si>
    <t>20255</t>
  </si>
  <si>
    <t>EDIMAR CORREIA DIAS</t>
  </si>
  <si>
    <t>08797310794</t>
  </si>
  <si>
    <t>20092</t>
  </si>
  <si>
    <t>EDIMARA DE SOUZA DOS SANTOS FREITAS</t>
  </si>
  <si>
    <t>13744983781</t>
  </si>
  <si>
    <t>12600</t>
  </si>
  <si>
    <t>EDIVALDO DA SILVA TAVARES</t>
  </si>
  <si>
    <t>11634841727</t>
  </si>
  <si>
    <t>19544</t>
  </si>
  <si>
    <t>EDIVALDO FERREIRA DE SOUZA</t>
  </si>
  <si>
    <t>09960061760</t>
  </si>
  <si>
    <t>18033</t>
  </si>
  <si>
    <t>EDIVANIA OLIVEIRA DE ALMEIDA</t>
  </si>
  <si>
    <t>92603084534</t>
  </si>
  <si>
    <t>19174</t>
  </si>
  <si>
    <t>EDIVANIA REGINA DA SILVA</t>
  </si>
  <si>
    <t>05296476484</t>
  </si>
  <si>
    <t>18299</t>
  </si>
  <si>
    <t>EDMILSON SILVEIRA DA SILVA</t>
  </si>
  <si>
    <t>00131279777</t>
  </si>
  <si>
    <t>17693</t>
  </si>
  <si>
    <t>EDNILSON SOUZA FERREIRA</t>
  </si>
  <si>
    <t>62589318553</t>
  </si>
  <si>
    <t>18029</t>
  </si>
  <si>
    <t>EDSON CARVALHO ALMEIDA</t>
  </si>
  <si>
    <t>84667494549</t>
  </si>
  <si>
    <t>20281</t>
  </si>
  <si>
    <t>EDSON RODRIGUES FRANCISCO</t>
  </si>
  <si>
    <t>07889955707</t>
  </si>
  <si>
    <t>22616</t>
  </si>
  <si>
    <t>EDUARDO AUGUSTO VIEIRA</t>
  </si>
  <si>
    <t>70577801686</t>
  </si>
  <si>
    <t>12587</t>
  </si>
  <si>
    <t>EDUARDO CARVALHO DOS SANTOS FILHO</t>
  </si>
  <si>
    <t>18261422747</t>
  </si>
  <si>
    <t>17939</t>
  </si>
  <si>
    <t>EDUARDO DE AZEREDO SILVA</t>
  </si>
  <si>
    <t>14442719705</t>
  </si>
  <si>
    <t>10561</t>
  </si>
  <si>
    <t>EDUARDO FELLIPE CARDOSO PACHECO RIBEIRO</t>
  </si>
  <si>
    <t>14584218722</t>
  </si>
  <si>
    <t>24753</t>
  </si>
  <si>
    <t>EDUARDO FERREIRA MANHAES</t>
  </si>
  <si>
    <t>07830404747</t>
  </si>
  <si>
    <t>18019</t>
  </si>
  <si>
    <t>EDUARDO LUIS DA SILVA</t>
  </si>
  <si>
    <t>02770869736</t>
  </si>
  <si>
    <t>10574</t>
  </si>
  <si>
    <t>EDVAN RIBEIRO PESSANHA</t>
  </si>
  <si>
    <t>12273159706</t>
  </si>
  <si>
    <t>15373</t>
  </si>
  <si>
    <t>EGIDIO FRANCISCO DA SILVA FILHO</t>
  </si>
  <si>
    <t>76800369772</t>
  </si>
  <si>
    <t>24754</t>
  </si>
  <si>
    <t>ELAINE CRISTINA DE SOUZA SANTOS</t>
  </si>
  <si>
    <t>12906487783</t>
  </si>
  <si>
    <t>07239</t>
  </si>
  <si>
    <t>ELCI DA CONCEICAO ROCHA DELFINO</t>
  </si>
  <si>
    <t>15746479705</t>
  </si>
  <si>
    <t>14633</t>
  </si>
  <si>
    <t>ELCI ESTANISLAU DELFINO</t>
  </si>
  <si>
    <t>75594773720</t>
  </si>
  <si>
    <t>20267</t>
  </si>
  <si>
    <t>ELCIO MOURA DE MELO</t>
  </si>
  <si>
    <t>00106822799</t>
  </si>
  <si>
    <t>18021</t>
  </si>
  <si>
    <t>ELENA WAIT LEAL CARDOSO</t>
  </si>
  <si>
    <t>52110125268</t>
  </si>
  <si>
    <t>20392</t>
  </si>
  <si>
    <t>ELI DA SILVA MOREIRA</t>
  </si>
  <si>
    <t>00812386736</t>
  </si>
  <si>
    <t>15376</t>
  </si>
  <si>
    <t>ELIANDRO RIBEIRO DE JESUS</t>
  </si>
  <si>
    <t>09753140762</t>
  </si>
  <si>
    <t>17768</t>
  </si>
  <si>
    <t>ELIANE AZEREDO DE MORAIS SILVA</t>
  </si>
  <si>
    <t>12068522756</t>
  </si>
  <si>
    <t>20409</t>
  </si>
  <si>
    <t>ELIANE NOGUEIRA</t>
  </si>
  <si>
    <t>10932555799</t>
  </si>
  <si>
    <t>22838</t>
  </si>
  <si>
    <t>ELIS REGINA SILVA PEREIRA</t>
  </si>
  <si>
    <t>06425538660</t>
  </si>
  <si>
    <t>18850</t>
  </si>
  <si>
    <t>ELISA DE FATIMA DA SILVA BERNARDO</t>
  </si>
  <si>
    <t>11231704799</t>
  </si>
  <si>
    <t>19008</t>
  </si>
  <si>
    <t>ELISAMA DE ANDRADE RIBEIRO</t>
  </si>
  <si>
    <t>18968379726</t>
  </si>
  <si>
    <t>23415</t>
  </si>
  <si>
    <t>ELISMAR PEREIRA DA SILVA</t>
  </si>
  <si>
    <t>02917995580</t>
  </si>
  <si>
    <t>20462</t>
  </si>
  <si>
    <t>ELIVAR EUCLIDES DOS SANTOS</t>
  </si>
  <si>
    <t>86050222568</t>
  </si>
  <si>
    <t>21730</t>
  </si>
  <si>
    <t>ELIVELTON PEREIRA DA SILVA</t>
  </si>
  <si>
    <t>11977857795</t>
  </si>
  <si>
    <t>18966</t>
  </si>
  <si>
    <t>ELIZABETE DOS SANTOS</t>
  </si>
  <si>
    <t>09690217712</t>
  </si>
  <si>
    <t>18894</t>
  </si>
  <si>
    <t>ELIZETE RODRIGUES OLIVEIRA</t>
  </si>
  <si>
    <t>08163606690</t>
  </si>
  <si>
    <t>20103</t>
  </si>
  <si>
    <t>ELIZEU SILVA DE JESUS</t>
  </si>
  <si>
    <t>04487457556</t>
  </si>
  <si>
    <t>13846</t>
  </si>
  <si>
    <t>EMANUEL ARAUJO XAVIER</t>
  </si>
  <si>
    <t>01443400700</t>
  </si>
  <si>
    <t>14734</t>
  </si>
  <si>
    <t>EMANUEL LUCAS SILVA SANTOS</t>
  </si>
  <si>
    <t>09223921538</t>
  </si>
  <si>
    <t>18242</t>
  </si>
  <si>
    <t>EMERSON DA SILVA NOGUEIRA</t>
  </si>
  <si>
    <t>03079127790</t>
  </si>
  <si>
    <t>20385</t>
  </si>
  <si>
    <t>EMERSON DE AGUIAR PEREIRA</t>
  </si>
  <si>
    <t>18745026769</t>
  </si>
  <si>
    <t>17790</t>
  </si>
  <si>
    <t>EMERSON MASSENA DE SOUSA</t>
  </si>
  <si>
    <t>15013817765</t>
  </si>
  <si>
    <t>19525</t>
  </si>
  <si>
    <t>ERIC LUIZ ADAO RODRIGUES</t>
  </si>
  <si>
    <t>17933949703</t>
  </si>
  <si>
    <t>20227</t>
  </si>
  <si>
    <t>ERIC SIDNEY BRAS DA SILVA</t>
  </si>
  <si>
    <t>08213134796</t>
  </si>
  <si>
    <t>16981</t>
  </si>
  <si>
    <t>ERICK CALDAS RODRIGUES PINHO</t>
  </si>
  <si>
    <t>09109041702</t>
  </si>
  <si>
    <t>14321</t>
  </si>
  <si>
    <t>ERICK MAIQUE SAMPAIO REIS</t>
  </si>
  <si>
    <t>18713918737</t>
  </si>
  <si>
    <t>23919</t>
  </si>
  <si>
    <t>ERICK VINICIUS SAO PEDRO DOS SANTOS</t>
  </si>
  <si>
    <t>10262432544</t>
  </si>
  <si>
    <t>20379</t>
  </si>
  <si>
    <t>ERINALDO DOS SANTOS SILVA</t>
  </si>
  <si>
    <t>61045693316</t>
  </si>
  <si>
    <t>20293</t>
  </si>
  <si>
    <t>ESTER DO ESPIRITO SANTO BRAGA</t>
  </si>
  <si>
    <t>13778810758</t>
  </si>
  <si>
    <t>22789</t>
  </si>
  <si>
    <t>EUDES EMANUEL DAMASCENO DOS SANTOS</t>
  </si>
  <si>
    <t>05392904599</t>
  </si>
  <si>
    <t>20079</t>
  </si>
  <si>
    <t>EURIDICE MARTINS DOS SANTOS</t>
  </si>
  <si>
    <t>04352729507</t>
  </si>
  <si>
    <t>20280</t>
  </si>
  <si>
    <t>EVALDINO MORENO DA SILVA</t>
  </si>
  <si>
    <t>07497428799</t>
  </si>
  <si>
    <t>20214</t>
  </si>
  <si>
    <t>EVANDRO AMORIM LEAO</t>
  </si>
  <si>
    <t>13891314752</t>
  </si>
  <si>
    <t>19049</t>
  </si>
  <si>
    <t>EVANDRO CANUTO AMORIM</t>
  </si>
  <si>
    <t>13021495710</t>
  </si>
  <si>
    <t>22354</t>
  </si>
  <si>
    <t>EVANILTON SALES MATO GROSSO</t>
  </si>
  <si>
    <t>84405260591</t>
  </si>
  <si>
    <t>20084</t>
  </si>
  <si>
    <t>EVELYNE SOUSA FLORES</t>
  </si>
  <si>
    <t>12951225709</t>
  </si>
  <si>
    <t>24820</t>
  </si>
  <si>
    <t>EVERALDO RODRIGUES JUNIOR</t>
  </si>
  <si>
    <t>13031731743</t>
  </si>
  <si>
    <t>20382</t>
  </si>
  <si>
    <t>EVERTON DE LIMA FRAGA</t>
  </si>
  <si>
    <t>01161641157</t>
  </si>
  <si>
    <t>18844</t>
  </si>
  <si>
    <t>EVERTON FRANCISCO DA SILVA</t>
  </si>
  <si>
    <t>18890416700</t>
  </si>
  <si>
    <t>18196</t>
  </si>
  <si>
    <t>EZEQUIAS NEVES DOS SANTOS</t>
  </si>
  <si>
    <t>63463348322</t>
  </si>
  <si>
    <t>18278</t>
  </si>
  <si>
    <t>FABIANA DA SILVA MORENO</t>
  </si>
  <si>
    <t>09553154760</t>
  </si>
  <si>
    <t>19765</t>
  </si>
  <si>
    <t>FABIANA SANTOS DA CRUZ</t>
  </si>
  <si>
    <t>03121762524</t>
  </si>
  <si>
    <t>17731</t>
  </si>
  <si>
    <t>FABIANO DE OLIVEIRA SIQUEIRA</t>
  </si>
  <si>
    <t>09316398754</t>
  </si>
  <si>
    <t>18144</t>
  </si>
  <si>
    <t>FABIANO DE SOUZA NACORT</t>
  </si>
  <si>
    <t>03064462784</t>
  </si>
  <si>
    <t>18122</t>
  </si>
  <si>
    <t>FABIANO FRANCA DA CRUZ</t>
  </si>
  <si>
    <t>07603945712</t>
  </si>
  <si>
    <t>17732</t>
  </si>
  <si>
    <t>FABIANO PAULO PEREIRA</t>
  </si>
  <si>
    <t>15231213780</t>
  </si>
  <si>
    <t>18516</t>
  </si>
  <si>
    <t>FABIO HENRIQUE MACIEL DOS SANTOS</t>
  </si>
  <si>
    <t>12138389758</t>
  </si>
  <si>
    <t>13594</t>
  </si>
  <si>
    <t>FABIO HENRIQUE SANTOS JUNIOR</t>
  </si>
  <si>
    <t>06791899557</t>
  </si>
  <si>
    <t>17702</t>
  </si>
  <si>
    <t>FABIO JOSE PINHEIRO VIANA</t>
  </si>
  <si>
    <t>83272100253</t>
  </si>
  <si>
    <t>14218</t>
  </si>
  <si>
    <t>FABIO REGES DE JESUS</t>
  </si>
  <si>
    <t>78788790525</t>
  </si>
  <si>
    <t>20263</t>
  </si>
  <si>
    <t>FABRICIO AMERICO HIPOLITO DA SILVA</t>
  </si>
  <si>
    <t>06257894662</t>
  </si>
  <si>
    <t>20209</t>
  </si>
  <si>
    <t>FABRICIO CANDIDO DA SILVA LEOPOLDINO</t>
  </si>
  <si>
    <t>12523190702</t>
  </si>
  <si>
    <t>22355</t>
  </si>
  <si>
    <t>FABRICIO DOS SANTOS</t>
  </si>
  <si>
    <t>13562351747</t>
  </si>
  <si>
    <t>24590</t>
  </si>
  <si>
    <t>FABRICIO SALATIEL RIBEIRO JUNIOR</t>
  </si>
  <si>
    <t>21973990717</t>
  </si>
  <si>
    <t>19911</t>
  </si>
  <si>
    <t>FAIKSON VASCONCELLOS PINHEIRO DE SOUZA</t>
  </si>
  <si>
    <t>17849052757</t>
  </si>
  <si>
    <t>20288</t>
  </si>
  <si>
    <t>FELIPE CANDIDO DA SILVA</t>
  </si>
  <si>
    <t>11546925740</t>
  </si>
  <si>
    <t>23281</t>
  </si>
  <si>
    <t>FELIPE CARDOSO PALACIOS</t>
  </si>
  <si>
    <t>16800756750</t>
  </si>
  <si>
    <t>20100</t>
  </si>
  <si>
    <t>FELIPE CORREA RAMOS DA SILVA</t>
  </si>
  <si>
    <t>16097162723</t>
  </si>
  <si>
    <t>19166</t>
  </si>
  <si>
    <t>FELIPE CORREA RIBEIRO</t>
  </si>
  <si>
    <t>17394745708</t>
  </si>
  <si>
    <t>19140</t>
  </si>
  <si>
    <t>FELIPE DA ROSA PEIXOTO</t>
  </si>
  <si>
    <t>15649033706</t>
  </si>
  <si>
    <t>20207</t>
  </si>
  <si>
    <t>FELIPE DA SILVA FERREIRA</t>
  </si>
  <si>
    <t>15365036735</t>
  </si>
  <si>
    <t>20500</t>
  </si>
  <si>
    <t>FELIPE DA SILVA NASCIMENTO SANT ANA</t>
  </si>
  <si>
    <t>14145342720</t>
  </si>
  <si>
    <t>20099</t>
  </si>
  <si>
    <t>FELIPE DE ALCANTARA MASCARENHAS PINTO</t>
  </si>
  <si>
    <t>09746915770</t>
  </si>
  <si>
    <t>17838</t>
  </si>
  <si>
    <t>FELIPE MENDES DA CUNHA</t>
  </si>
  <si>
    <t>18787601737</t>
  </si>
  <si>
    <t>18065</t>
  </si>
  <si>
    <t>FELIPE VINICIUS ANDRADE BENTO</t>
  </si>
  <si>
    <t>18494735799</t>
  </si>
  <si>
    <t>17623</t>
  </si>
  <si>
    <t>FELIPE VIRGILIO COSTA</t>
  </si>
  <si>
    <t>SUPERVISOR DE LIMPEZA</t>
  </si>
  <si>
    <t>11887067728</t>
  </si>
  <si>
    <t>21549</t>
  </si>
  <si>
    <t>FERNANDA DA CONCEICAO FERNANDES</t>
  </si>
  <si>
    <t>79192939520</t>
  </si>
  <si>
    <t>19922</t>
  </si>
  <si>
    <t>FERNANDA MACHADO CORREA</t>
  </si>
  <si>
    <t>11413048722</t>
  </si>
  <si>
    <t>19907</t>
  </si>
  <si>
    <t>FERNANDO DE FREITAS ALVES</t>
  </si>
  <si>
    <t>11312888741</t>
  </si>
  <si>
    <t>18121</t>
  </si>
  <si>
    <t>FERNANDO DE MELO ANUDA</t>
  </si>
  <si>
    <t>08374393700</t>
  </si>
  <si>
    <t>18020</t>
  </si>
  <si>
    <t>FILIPE GABRIEL DA SILVA DANTAS</t>
  </si>
  <si>
    <t>21086310705</t>
  </si>
  <si>
    <t>14303</t>
  </si>
  <si>
    <t>FILIPE MARTINS DO CARMO</t>
  </si>
  <si>
    <t>14100735723</t>
  </si>
  <si>
    <t>24003</t>
  </si>
  <si>
    <t>FILIPE PIERRE WARTON CONTAIFER</t>
  </si>
  <si>
    <t>16915161716</t>
  </si>
  <si>
    <t>17631</t>
  </si>
  <si>
    <t>FLAVIA CORDEIRO DE OLIVEIRA</t>
  </si>
  <si>
    <t>13432424795</t>
  </si>
  <si>
    <t>18007</t>
  </si>
  <si>
    <t>FLAVIA PEREIRA DA SILVA</t>
  </si>
  <si>
    <t>09288459405</t>
  </si>
  <si>
    <t>18011</t>
  </si>
  <si>
    <t>FLAVIA SANTANA DA CONCEICAO DOS SANTOS</t>
  </si>
  <si>
    <t>11026028760</t>
  </si>
  <si>
    <t>20347</t>
  </si>
  <si>
    <t>FLAVIO CARREIRO DE OLIVEIRA</t>
  </si>
  <si>
    <t>08539730758</t>
  </si>
  <si>
    <t>22705</t>
  </si>
  <si>
    <t>FLAVIO CARVALHO LEAL</t>
  </si>
  <si>
    <t>16126046765</t>
  </si>
  <si>
    <t>18192</t>
  </si>
  <si>
    <t>FLAVIO JOSE DA SILVA</t>
  </si>
  <si>
    <t>09553317731</t>
  </si>
  <si>
    <t>17737</t>
  </si>
  <si>
    <t>FLAVIO VELASCO SALVADOR SA FREIRE</t>
  </si>
  <si>
    <t>00722941757</t>
  </si>
  <si>
    <t>24897</t>
  </si>
  <si>
    <t>FRANCIELE NEVES SANTOS</t>
  </si>
  <si>
    <t>14665270724</t>
  </si>
  <si>
    <t>11088</t>
  </si>
  <si>
    <t>FRANCINILDO DE OLIVEIRA PEREIRA</t>
  </si>
  <si>
    <t>07477268338</t>
  </si>
  <si>
    <t>18464</t>
  </si>
  <si>
    <t>FRANCISCO CALDEIRA MELO</t>
  </si>
  <si>
    <t>07551376712</t>
  </si>
  <si>
    <t>20707</t>
  </si>
  <si>
    <t>FRANCISCO DE ASSIS RIBEIRO DE MELO</t>
  </si>
  <si>
    <t>00703500783</t>
  </si>
  <si>
    <t>16612</t>
  </si>
  <si>
    <t>FRANCISCO NEUDICLEY DANTAS FERNANDES</t>
  </si>
  <si>
    <t>08479744723</t>
  </si>
  <si>
    <t>18848</t>
  </si>
  <si>
    <t>FRANCISLEI QUIRINO DO CARMO</t>
  </si>
  <si>
    <t>12102400760</t>
  </si>
  <si>
    <t>20183</t>
  </si>
  <si>
    <t>GABRIEL HENRIQUE LIMA DOS SANTOS</t>
  </si>
  <si>
    <t>12162082551</t>
  </si>
  <si>
    <t>20220</t>
  </si>
  <si>
    <t>GABRIEL MARCIANO CONCEICAO DE OLIVEIRA</t>
  </si>
  <si>
    <t>17314884757</t>
  </si>
  <si>
    <t>24214</t>
  </si>
  <si>
    <t>GABRIEL SANTOS MARINS</t>
  </si>
  <si>
    <t>12452673706</t>
  </si>
  <si>
    <t>19165</t>
  </si>
  <si>
    <t>GABRIEL SOARES GONCALVES</t>
  </si>
  <si>
    <t>INSTRUMENTISTA</t>
  </si>
  <si>
    <t>12677319667</t>
  </si>
  <si>
    <t>20343</t>
  </si>
  <si>
    <t>GABRIEL SOUZA DOS SANTOS</t>
  </si>
  <si>
    <t>17297824771</t>
  </si>
  <si>
    <t>18357</t>
  </si>
  <si>
    <t>GABRIEL VINICIUS FREITAS VELASCO</t>
  </si>
  <si>
    <t>18258267736</t>
  </si>
  <si>
    <t>24599</t>
  </si>
  <si>
    <t>GABRIELA MARCIANO CONCEICAO DE OLIVEIRA</t>
  </si>
  <si>
    <t>17314866775</t>
  </si>
  <si>
    <t>22048</t>
  </si>
  <si>
    <t>GABRIELA SOARES LIMA DA CONCEICAO</t>
  </si>
  <si>
    <t>12149054710</t>
  </si>
  <si>
    <t>24403</t>
  </si>
  <si>
    <t>GABRIELI DOS SANTOS FREIRE BASILIO</t>
  </si>
  <si>
    <t>11846546702</t>
  </si>
  <si>
    <t>22502</t>
  </si>
  <si>
    <t>GABRIELLA ROSA DA SILVA DOS SANTOS</t>
  </si>
  <si>
    <t>17066242718</t>
  </si>
  <si>
    <t>22776</t>
  </si>
  <si>
    <t>GABRIELY DA SILVA DE SOUZA</t>
  </si>
  <si>
    <t>16812951722</t>
  </si>
  <si>
    <t>21851</t>
  </si>
  <si>
    <t>GABRYELA ELINE DE AZEVEDO PINHEIRO</t>
  </si>
  <si>
    <t>13558880773</t>
  </si>
  <si>
    <t>20239</t>
  </si>
  <si>
    <t>GECENILDO VICENTE ALVES</t>
  </si>
  <si>
    <t>05579278462</t>
  </si>
  <si>
    <t>17686</t>
  </si>
  <si>
    <t>GECILDA LEAL CARMELINO</t>
  </si>
  <si>
    <t>12603980726</t>
  </si>
  <si>
    <t>15359</t>
  </si>
  <si>
    <t>GEILTON DE CARVALHO FARIA</t>
  </si>
  <si>
    <t>92726020763</t>
  </si>
  <si>
    <t>17611</t>
  </si>
  <si>
    <t>GEISA DOS SANTOS SOUZA</t>
  </si>
  <si>
    <t>02666660516</t>
  </si>
  <si>
    <t>18156</t>
  </si>
  <si>
    <t>GELSON ANDRADE MOURA</t>
  </si>
  <si>
    <t>03514167737</t>
  </si>
  <si>
    <t>18128</t>
  </si>
  <si>
    <t>GELSON DE OLIVEIRA SILVA</t>
  </si>
  <si>
    <t>08384938741</t>
  </si>
  <si>
    <t>21329</t>
  </si>
  <si>
    <t>GELSON JOSE FELIPE</t>
  </si>
  <si>
    <t>90898613434</t>
  </si>
  <si>
    <t>12602</t>
  </si>
  <si>
    <t>GEMILSON CALIL</t>
  </si>
  <si>
    <t>88006549753</t>
  </si>
  <si>
    <t>07243</t>
  </si>
  <si>
    <t>GEMILSON SILVA CALIL</t>
  </si>
  <si>
    <t>16816822730</t>
  </si>
  <si>
    <t>18133</t>
  </si>
  <si>
    <t>GENIVALDO SANTOS DE JESUS</t>
  </si>
  <si>
    <t>51504120582</t>
  </si>
  <si>
    <t>18104</t>
  </si>
  <si>
    <t>GEORGE DA SILVA KLEN</t>
  </si>
  <si>
    <t>00729546713</t>
  </si>
  <si>
    <t>21398</t>
  </si>
  <si>
    <t>GEORGE REIS VIANA</t>
  </si>
  <si>
    <t>10632048794</t>
  </si>
  <si>
    <t>20396</t>
  </si>
  <si>
    <t>GERSON MORAES DE CASTRO</t>
  </si>
  <si>
    <t>05472529786</t>
  </si>
  <si>
    <t>24785</t>
  </si>
  <si>
    <t>GESSIANE MARQUES BATISTA FELIX</t>
  </si>
  <si>
    <t>14977736796</t>
  </si>
  <si>
    <t>21321</t>
  </si>
  <si>
    <t>GESSICA RAMOS DE ASSIS</t>
  </si>
  <si>
    <t>14988606724</t>
  </si>
  <si>
    <t>12703</t>
  </si>
  <si>
    <t>GILBER NASCIMENTO SANTOS</t>
  </si>
  <si>
    <t>03937686789</t>
  </si>
  <si>
    <t>13852</t>
  </si>
  <si>
    <t>GILBERTO AGUIAR DE SOUSA</t>
  </si>
  <si>
    <t>46881204515</t>
  </si>
  <si>
    <t>17699</t>
  </si>
  <si>
    <t>GILBERTO DE PAULA SANTOS</t>
  </si>
  <si>
    <t>07558641667</t>
  </si>
  <si>
    <t>24777</t>
  </si>
  <si>
    <t>18064489717</t>
  </si>
  <si>
    <t>20081</t>
  </si>
  <si>
    <t>GILBERTO LUCAS DA SILVA JUNIOR</t>
  </si>
  <si>
    <t>14387577789</t>
  </si>
  <si>
    <t>17735</t>
  </si>
  <si>
    <t>GILCIMAR VIEIRA DE SOUZA</t>
  </si>
  <si>
    <t>10376328690</t>
  </si>
  <si>
    <t>12601</t>
  </si>
  <si>
    <t>GILDOMAR SOUZA BRITO</t>
  </si>
  <si>
    <t>02301496503</t>
  </si>
  <si>
    <t>11323</t>
  </si>
  <si>
    <t>GILIAN PINTO DE SOUZA</t>
  </si>
  <si>
    <t>05900186717</t>
  </si>
  <si>
    <t>10540</t>
  </si>
  <si>
    <t>GILMAR DA SILVA PESSOA</t>
  </si>
  <si>
    <t>93291639391</t>
  </si>
  <si>
    <t>20305</t>
  </si>
  <si>
    <t>GILMAR GOMES DE OLIVEIRA</t>
  </si>
  <si>
    <t>11998489485</t>
  </si>
  <si>
    <t>03086</t>
  </si>
  <si>
    <t>GIOVANNI MORAIS DE SOUZA</t>
  </si>
  <si>
    <t>12114199754</t>
  </si>
  <si>
    <t>17846</t>
  </si>
  <si>
    <t>GISELE DE SOUSA BORGES</t>
  </si>
  <si>
    <t>15645891708</t>
  </si>
  <si>
    <t>18161</t>
  </si>
  <si>
    <t>GISELE SILVA DOS SANTOS</t>
  </si>
  <si>
    <t>14977758765</t>
  </si>
  <si>
    <t>22841</t>
  </si>
  <si>
    <t>GIULIANO PAOLO SANTOS ANDREIOLO</t>
  </si>
  <si>
    <t>10753728796</t>
  </si>
  <si>
    <t>18936</t>
  </si>
  <si>
    <t>GIVANILDO DOS SANTOS</t>
  </si>
  <si>
    <t>ENCARREGADO DE TURMA</t>
  </si>
  <si>
    <t>02688498541</t>
  </si>
  <si>
    <t>14086</t>
  </si>
  <si>
    <t>GLAUBER DA SILVA RODRIGUES</t>
  </si>
  <si>
    <t>16975651744</t>
  </si>
  <si>
    <t>22360</t>
  </si>
  <si>
    <t>GLAUBER DE JESUS SILVA</t>
  </si>
  <si>
    <t>01785805541</t>
  </si>
  <si>
    <t>24008</t>
  </si>
  <si>
    <t>GLAUCO ROCHA DA SILVA JUNIOR</t>
  </si>
  <si>
    <t>06067804590</t>
  </si>
  <si>
    <t>20279</t>
  </si>
  <si>
    <t>GLEICE DA SILVA COUTINHO</t>
  </si>
  <si>
    <t>74581767253</t>
  </si>
  <si>
    <t>18971</t>
  </si>
  <si>
    <t>GLEICIMARA DUTRA GIVIGI</t>
  </si>
  <si>
    <t>18687719701</t>
  </si>
  <si>
    <t>14320</t>
  </si>
  <si>
    <t>GUALTIERO SOARES</t>
  </si>
  <si>
    <t>02692615751</t>
  </si>
  <si>
    <t>18997</t>
  </si>
  <si>
    <t>GUILHERME PIRES LEITE</t>
  </si>
  <si>
    <t>12458060765</t>
  </si>
  <si>
    <t>24718</t>
  </si>
  <si>
    <t>GUILHERME SILVA MARINS</t>
  </si>
  <si>
    <t>18762137794</t>
  </si>
  <si>
    <t>22839</t>
  </si>
  <si>
    <t>GUISYELLE GARCIA ROLEMBERG</t>
  </si>
  <si>
    <t>16220524713</t>
  </si>
  <si>
    <t>19903</t>
  </si>
  <si>
    <t>GUSTAVO DOS SANTOS SILVA</t>
  </si>
  <si>
    <t>18458153785</t>
  </si>
  <si>
    <t>20122</t>
  </si>
  <si>
    <t>GUSTAVO JOSE DA SILVA</t>
  </si>
  <si>
    <t>11161058451</t>
  </si>
  <si>
    <t>24825</t>
  </si>
  <si>
    <t>GUSTAVO SEMI PERES</t>
  </si>
  <si>
    <t>13152639716</t>
  </si>
  <si>
    <t>20339</t>
  </si>
  <si>
    <t>GUTHIERRY FRANCISCO DA SILVA</t>
  </si>
  <si>
    <t>18105182700</t>
  </si>
  <si>
    <t>20709</t>
  </si>
  <si>
    <t>HARUQUIA CAROLINE RODRIGUES MORENO</t>
  </si>
  <si>
    <t>07743298663</t>
  </si>
  <si>
    <t>24579</t>
  </si>
  <si>
    <t>HEITOR MAGALHAES NETO</t>
  </si>
  <si>
    <t>19133675767</t>
  </si>
  <si>
    <t>20076</t>
  </si>
  <si>
    <t>HELEN BALDANI DUTRA GOMES</t>
  </si>
  <si>
    <t>33971984886</t>
  </si>
  <si>
    <t>17733</t>
  </si>
  <si>
    <t>HELOISA ASSIS SOUZA SANTOS</t>
  </si>
  <si>
    <t>13242974760</t>
  </si>
  <si>
    <t>23877</t>
  </si>
  <si>
    <t>HEMILY HADASSA OLIVEIRA MOREIRA DA SILVA</t>
  </si>
  <si>
    <t>17608941766</t>
  </si>
  <si>
    <t>23962</t>
  </si>
  <si>
    <t>HENDRIUS CAETANO SARTORE</t>
  </si>
  <si>
    <t>19330604765</t>
  </si>
  <si>
    <t>20292</t>
  </si>
  <si>
    <t>HENRIQUE LUCAS VASCONCELLOS</t>
  </si>
  <si>
    <t>17391128732</t>
  </si>
  <si>
    <t>20329</t>
  </si>
  <si>
    <t>HENRIQUE RUBIM PEREIRA DAUMAS DE PAULA</t>
  </si>
  <si>
    <t>17768379756</t>
  </si>
  <si>
    <t>20338</t>
  </si>
  <si>
    <t>HERALDO DOS SANTOS DIAS</t>
  </si>
  <si>
    <t>14486119703</t>
  </si>
  <si>
    <t>21282</t>
  </si>
  <si>
    <t>HERALDO DOS SANTOS PAULA</t>
  </si>
  <si>
    <t>PINTOR I</t>
  </si>
  <si>
    <t>62376489768</t>
  </si>
  <si>
    <t>14199</t>
  </si>
  <si>
    <t>HERBERT DA SILVA PEREIRA</t>
  </si>
  <si>
    <t>04901220519</t>
  </si>
  <si>
    <t>20375</t>
  </si>
  <si>
    <t>HERMINEU CONCEICAO DE SOUZA FILHO</t>
  </si>
  <si>
    <t>11128655780</t>
  </si>
  <si>
    <t>20453</t>
  </si>
  <si>
    <t>HERNANDES GABRIEL DE SOUZA FILHO</t>
  </si>
  <si>
    <t>04268480129</t>
  </si>
  <si>
    <t>20325</t>
  </si>
  <si>
    <t>HILDENY IGREJA DE FARIAS</t>
  </si>
  <si>
    <t>72847077200</t>
  </si>
  <si>
    <t>20303</t>
  </si>
  <si>
    <t>HUGO CESAR DOS SANTOS</t>
  </si>
  <si>
    <t>04750331597</t>
  </si>
  <si>
    <t>18841</t>
  </si>
  <si>
    <t>HUGO DA PAIXAO LEITE</t>
  </si>
  <si>
    <t>13204694771</t>
  </si>
  <si>
    <t>22477</t>
  </si>
  <si>
    <t>HUGO MACHADO SANTANA</t>
  </si>
  <si>
    <t>16364866735</t>
  </si>
  <si>
    <t>20274</t>
  </si>
  <si>
    <t>HUGO MARTINS LOPES</t>
  </si>
  <si>
    <t>14887952740</t>
  </si>
  <si>
    <t>18510</t>
  </si>
  <si>
    <t>IAGO BARCELOS DA SILVA DIAS</t>
  </si>
  <si>
    <t>18478774785</t>
  </si>
  <si>
    <t>22045</t>
  </si>
  <si>
    <t>IALDISON FERRAZ QUINTANILHA</t>
  </si>
  <si>
    <t>01893990745</t>
  </si>
  <si>
    <t>22775</t>
  </si>
  <si>
    <t>IAN FAGUNDES CALADO</t>
  </si>
  <si>
    <t>19872294798</t>
  </si>
  <si>
    <t>24393</t>
  </si>
  <si>
    <t>IASMIN BERNARDO MACHADO REIS</t>
  </si>
  <si>
    <t>14192090783</t>
  </si>
  <si>
    <t>20327</t>
  </si>
  <si>
    <t>ICARO DANTAS DOS SANTOS</t>
  </si>
  <si>
    <t>86598741530</t>
  </si>
  <si>
    <t>24717</t>
  </si>
  <si>
    <t>IGOR SOUZA DAUMAS BRAGA</t>
  </si>
  <si>
    <t>16602800795</t>
  </si>
  <si>
    <t>24724</t>
  </si>
  <si>
    <t>ILDO ANTONIO DA SILVA</t>
  </si>
  <si>
    <t>98401270715</t>
  </si>
  <si>
    <t>21914</t>
  </si>
  <si>
    <t>INGRIDHI ALCANTARA ALVARENGA</t>
  </si>
  <si>
    <t>16407086779</t>
  </si>
  <si>
    <t>17689</t>
  </si>
  <si>
    <t>ISAAC SANTOS DE SOUZA</t>
  </si>
  <si>
    <t>86667715504</t>
  </si>
  <si>
    <t>22544</t>
  </si>
  <si>
    <t>ISAIAS DE OLIVEIRA</t>
  </si>
  <si>
    <t>38703068749</t>
  </si>
  <si>
    <t>20378</t>
  </si>
  <si>
    <t>ISAIAS DOS SANTOS CORREA</t>
  </si>
  <si>
    <t>84755865387</t>
  </si>
  <si>
    <t>18102</t>
  </si>
  <si>
    <t>ISAIAS GARCIA PEREIRA</t>
  </si>
  <si>
    <t>18157979757</t>
  </si>
  <si>
    <t>24001</t>
  </si>
  <si>
    <t>ISMAEL BARRETO DE SOUZA</t>
  </si>
  <si>
    <t>OPERADOR DE EMPILHADEIRA</t>
  </si>
  <si>
    <t>16997162770</t>
  </si>
  <si>
    <t>13859</t>
  </si>
  <si>
    <t>ISMAEL LIMEIRA BAGGIO</t>
  </si>
  <si>
    <t>00215001770</t>
  </si>
  <si>
    <t>18937</t>
  </si>
  <si>
    <t>ISRAEL BIANCHINI DE ARAUJO</t>
  </si>
  <si>
    <t>08399437760</t>
  </si>
  <si>
    <t>13512</t>
  </si>
  <si>
    <t>ISRAEL VICTOR BARBOSA</t>
  </si>
  <si>
    <t>ANALISTA DE SUPRIMENTOS I</t>
  </si>
  <si>
    <t>62921332302</t>
  </si>
  <si>
    <t>18295</t>
  </si>
  <si>
    <t>ITALO JORGE MONTEIRO LEAO</t>
  </si>
  <si>
    <t>TECNICO DE EDIFICACOES I</t>
  </si>
  <si>
    <t>19895637756</t>
  </si>
  <si>
    <t>15362</t>
  </si>
  <si>
    <t>ITAMAR DA SILVA HONORIO</t>
  </si>
  <si>
    <t>11871877717</t>
  </si>
  <si>
    <t>19193</t>
  </si>
  <si>
    <t>IUAN LUCAS DE LIMA ALENCAR</t>
  </si>
  <si>
    <t>70538784490</t>
  </si>
  <si>
    <t>22884</t>
  </si>
  <si>
    <t>IVAN DE ALMEIDA DA SILVA</t>
  </si>
  <si>
    <t>07157090708</t>
  </si>
  <si>
    <t>24186</t>
  </si>
  <si>
    <t>IVERTIM DE OLIVEIRA DA SILVA</t>
  </si>
  <si>
    <t>16072556779</t>
  </si>
  <si>
    <t>18013</t>
  </si>
  <si>
    <t>IVETE RITA VIANA</t>
  </si>
  <si>
    <t>78215803768</t>
  </si>
  <si>
    <t>13823</t>
  </si>
  <si>
    <t>IZAIAS DOS SANTOS GOMES</t>
  </si>
  <si>
    <t>01768580758</t>
  </si>
  <si>
    <t>17877</t>
  </si>
  <si>
    <t>JAILMA FERREIRA DE JESUS</t>
  </si>
  <si>
    <t>02299989501</t>
  </si>
  <si>
    <t>24756</t>
  </si>
  <si>
    <t>JAILTON CUNHA FRANCISCO</t>
  </si>
  <si>
    <t>02693656729</t>
  </si>
  <si>
    <t>20389</t>
  </si>
  <si>
    <t>JAIME PINHEIRO COQUITO NETTO</t>
  </si>
  <si>
    <t>17143266752</t>
  </si>
  <si>
    <t>18514</t>
  </si>
  <si>
    <t>JAIR DO AMARAL CAMARGO JUNIOR</t>
  </si>
  <si>
    <t>38766620520</t>
  </si>
  <si>
    <t>18084</t>
  </si>
  <si>
    <t>JAIR LOROSA PIRES</t>
  </si>
  <si>
    <t>03066385760</t>
  </si>
  <si>
    <t>20331</t>
  </si>
  <si>
    <t>JAIR ROBERTO DE LIMA</t>
  </si>
  <si>
    <t>07292735711</t>
  </si>
  <si>
    <t>20694</t>
  </si>
  <si>
    <t>JAIR TEIXEIRA FILHO</t>
  </si>
  <si>
    <t>95553690706</t>
  </si>
  <si>
    <t>18926</t>
  </si>
  <si>
    <t>JAIRO BARBOSA DOS SANTOS</t>
  </si>
  <si>
    <t>01395575550</t>
  </si>
  <si>
    <t>18903</t>
  </si>
  <si>
    <t>JALBANICE DA CONCEICAO BELLO</t>
  </si>
  <si>
    <t>09852095773</t>
  </si>
  <si>
    <t>18195</t>
  </si>
  <si>
    <t>JAMILE DOS SANTOS LIMA</t>
  </si>
  <si>
    <t>06253570510</t>
  </si>
  <si>
    <t>20334</t>
  </si>
  <si>
    <t>JAMILSON SANTOS DANTAS</t>
  </si>
  <si>
    <t>05243143570</t>
  </si>
  <si>
    <t>20189</t>
  </si>
  <si>
    <t>JANAINA DA SILVA CARDOSO</t>
  </si>
  <si>
    <t>07722081746</t>
  </si>
  <si>
    <t>20193</t>
  </si>
  <si>
    <t>JANDRE DE LIMA</t>
  </si>
  <si>
    <t>04035552488</t>
  </si>
  <si>
    <t>17624</t>
  </si>
  <si>
    <t>JAQUELINE DA CONCEICAO BASTOS PINTO CARDOSO</t>
  </si>
  <si>
    <t>05317031770</t>
  </si>
  <si>
    <t>17736</t>
  </si>
  <si>
    <t>JAQUELINE JERONIMO MATHEUS</t>
  </si>
  <si>
    <t>11403449783</t>
  </si>
  <si>
    <t>18291</t>
  </si>
  <si>
    <t>JAQUELINE PEREIRA MACHADO DINIZ</t>
  </si>
  <si>
    <t>13093501750</t>
  </si>
  <si>
    <t>23885</t>
  </si>
  <si>
    <t>JEAN BARRETO DA SILVA</t>
  </si>
  <si>
    <t>14905608740</t>
  </si>
  <si>
    <t>20393</t>
  </si>
  <si>
    <t>JEAN CARLOS ARANTE DE OLIVEIRA</t>
  </si>
  <si>
    <t>15923779714</t>
  </si>
  <si>
    <t>20083</t>
  </si>
  <si>
    <t>JEAN CARLOS SOARES DE ALMEIDA</t>
  </si>
  <si>
    <t>14639690746</t>
  </si>
  <si>
    <t>24772</t>
  </si>
  <si>
    <t>JEAN FELIPE SOUSA PEREIRA DE PAULA</t>
  </si>
  <si>
    <t>06506401796</t>
  </si>
  <si>
    <t>19901</t>
  </si>
  <si>
    <t>JEDSON CAETANO DOS SANTOS</t>
  </si>
  <si>
    <t>13337248705</t>
  </si>
  <si>
    <t>20345</t>
  </si>
  <si>
    <t>JEFERSON DA SILVA SANTOS</t>
  </si>
  <si>
    <t>13373559766</t>
  </si>
  <si>
    <t>18362</t>
  </si>
  <si>
    <t>JEFERSON PABLO SOUZA RODRIGUES</t>
  </si>
  <si>
    <t>15019316792</t>
  </si>
  <si>
    <t>14232</t>
  </si>
  <si>
    <t>JEFFERSON LEONEL BELCHIOR</t>
  </si>
  <si>
    <t>14356374703</t>
  </si>
  <si>
    <t>24971</t>
  </si>
  <si>
    <t>JEFFERSON LUIZ DE SOUZA</t>
  </si>
  <si>
    <t>17261623709</t>
  </si>
  <si>
    <t>22837</t>
  </si>
  <si>
    <t>JEFFERSON TEIXEIRA DOS SANTOS</t>
  </si>
  <si>
    <t>12048360785</t>
  </si>
  <si>
    <t>20332</t>
  </si>
  <si>
    <t>JELSO KLAUS DO CARMO FERNANDES</t>
  </si>
  <si>
    <t>69047286120</t>
  </si>
  <si>
    <t>18079</t>
  </si>
  <si>
    <t>JENILSON SANTOS</t>
  </si>
  <si>
    <t>08616155490</t>
  </si>
  <si>
    <t>20096</t>
  </si>
  <si>
    <t>JESSICA DA SILVA GOUVEIA SPALLA</t>
  </si>
  <si>
    <t>12873569743</t>
  </si>
  <si>
    <t>24758</t>
  </si>
  <si>
    <t>JESSICA DE OLIVEIRA VALADAO</t>
  </si>
  <si>
    <t>17251902737</t>
  </si>
  <si>
    <t>18086</t>
  </si>
  <si>
    <t>JESSICA ELIAS DANTAS FERREIRA DA SILVA</t>
  </si>
  <si>
    <t>17688200741</t>
  </si>
  <si>
    <t>23893</t>
  </si>
  <si>
    <t>JESSICA TAVARES SALLES</t>
  </si>
  <si>
    <t>17220376790</t>
  </si>
  <si>
    <t>23987</t>
  </si>
  <si>
    <t>JHENNIFER DA COSTA CARVALHO</t>
  </si>
  <si>
    <t>20819053708</t>
  </si>
  <si>
    <t>12590</t>
  </si>
  <si>
    <t>JHONATAN DE CARVALHO NUNES</t>
  </si>
  <si>
    <t>14643878770</t>
  </si>
  <si>
    <t>19422</t>
  </si>
  <si>
    <t>JHONATAN DIAS DA CRUZ</t>
  </si>
  <si>
    <t>TECNICO DE PLANEJAMENTO</t>
  </si>
  <si>
    <t>16521518771</t>
  </si>
  <si>
    <t>20313</t>
  </si>
  <si>
    <t>JHONATAN LOPES DA SILVA</t>
  </si>
  <si>
    <t>13673791729</t>
  </si>
  <si>
    <t>19009</t>
  </si>
  <si>
    <t>JHONY FRANCISCO DIAS</t>
  </si>
  <si>
    <t>14392735702</t>
  </si>
  <si>
    <t>18303</t>
  </si>
  <si>
    <t>JOACIR MARCELINO PEREIRA</t>
  </si>
  <si>
    <t>09748691713</t>
  </si>
  <si>
    <t>22923</t>
  </si>
  <si>
    <t>JOAO BARCELOS GOMES</t>
  </si>
  <si>
    <t>02077802774</t>
  </si>
  <si>
    <t>21885</t>
  </si>
  <si>
    <t>JOAO CUSTODIO DA SILVA</t>
  </si>
  <si>
    <t>12856214762</t>
  </si>
  <si>
    <t>22055</t>
  </si>
  <si>
    <t>JOAO FRANCISCO DUARTE TAVARES</t>
  </si>
  <si>
    <t>09747411750</t>
  </si>
  <si>
    <t>13718</t>
  </si>
  <si>
    <t>JOAO LUCAS DA SILVA OLIVEIRA</t>
  </si>
  <si>
    <t>15799881729</t>
  </si>
  <si>
    <t>21711</t>
  </si>
  <si>
    <t>JOAO MARCELO QUINTANILHA RODRIGUES</t>
  </si>
  <si>
    <t>18613353770</t>
  </si>
  <si>
    <t>24363</t>
  </si>
  <si>
    <t>JOAO MARCOS ALMEIDA DOS SANTOS</t>
  </si>
  <si>
    <t>21100795766</t>
  </si>
  <si>
    <t>24246</t>
  </si>
  <si>
    <t>JOAO MARCOS DA SILVA SOUZA</t>
  </si>
  <si>
    <t>09284693608</t>
  </si>
  <si>
    <t>10536</t>
  </si>
  <si>
    <t>JOAO PAULO DE SOUZA SANTOS</t>
  </si>
  <si>
    <t>14659594750</t>
  </si>
  <si>
    <t>24360</t>
  </si>
  <si>
    <t>JOAO PAULO DO VALE SILVA</t>
  </si>
  <si>
    <t>19874964774</t>
  </si>
  <si>
    <t>23285</t>
  </si>
  <si>
    <t>JOAO PEDRO APARECIDO ROMANO</t>
  </si>
  <si>
    <t>89719018704</t>
  </si>
  <si>
    <t>19141</t>
  </si>
  <si>
    <t>JOAO PEDRO DA SILVA RODRIGUES</t>
  </si>
  <si>
    <t>21046322770</t>
  </si>
  <si>
    <t>19543</t>
  </si>
  <si>
    <t>JOAO PEDRO DIAS VIEIRA</t>
  </si>
  <si>
    <t>18163375795</t>
  </si>
  <si>
    <t>22925</t>
  </si>
  <si>
    <t>JOAO PEDRO LIMA SOARES</t>
  </si>
  <si>
    <t>15610517729</t>
  </si>
  <si>
    <t>24639</t>
  </si>
  <si>
    <t>JOAO VICTOR ATAIDE DA SILVA</t>
  </si>
  <si>
    <t>18801752741</t>
  </si>
  <si>
    <t>21335</t>
  </si>
  <si>
    <t>JOAO VICTOR DE BRITO VIEIRA</t>
  </si>
  <si>
    <t>18232854731</t>
  </si>
  <si>
    <t>20266</t>
  </si>
  <si>
    <t>JOAO VICTOR GUIJARRO PINHEIRO</t>
  </si>
  <si>
    <t>18943763743</t>
  </si>
  <si>
    <t>19904</t>
  </si>
  <si>
    <t>JOAO VICTOR MARQUES MANHAES</t>
  </si>
  <si>
    <t>19171472797</t>
  </si>
  <si>
    <t>23961</t>
  </si>
  <si>
    <t>JOAO VINICIUS PACHECO DE PAULA</t>
  </si>
  <si>
    <t>15702460766</t>
  </si>
  <si>
    <t>18269</t>
  </si>
  <si>
    <t>JOAO VITOR ABREU SILVO</t>
  </si>
  <si>
    <t>19486484740</t>
  </si>
  <si>
    <t>18296</t>
  </si>
  <si>
    <t>JOAO VITOR DE MORAES ALBUQUERQUE</t>
  </si>
  <si>
    <t>17514987789</t>
  </si>
  <si>
    <t>16883</t>
  </si>
  <si>
    <t>JOAO VITOR ROCHA SILVA</t>
  </si>
  <si>
    <t>19308066713</t>
  </si>
  <si>
    <t>24593</t>
  </si>
  <si>
    <t>JOAO VITOR SILVEIRA DE LAURO</t>
  </si>
  <si>
    <t>15388915735</t>
  </si>
  <si>
    <t>13561</t>
  </si>
  <si>
    <t>JOAQUIM FLORENTINO DA SILVA</t>
  </si>
  <si>
    <t>01411130731</t>
  </si>
  <si>
    <t>21278</t>
  </si>
  <si>
    <t>JOAQUIM LOURENCO DA CONCEICAO</t>
  </si>
  <si>
    <t>62400657734</t>
  </si>
  <si>
    <t>22876</t>
  </si>
  <si>
    <t>JOCELINO MODESTO</t>
  </si>
  <si>
    <t>82855854768</t>
  </si>
  <si>
    <t>17690</t>
  </si>
  <si>
    <t>JOCIENE DE SOUZA ALVES DA SILVA</t>
  </si>
  <si>
    <t>09297460747</t>
  </si>
  <si>
    <t>24583</t>
  </si>
  <si>
    <t>JOCILENE DA SILVA PEIXOTO</t>
  </si>
  <si>
    <t>13829889747</t>
  </si>
  <si>
    <t>24933</t>
  </si>
  <si>
    <t>JOCILENE GONCALVES DA COSTA</t>
  </si>
  <si>
    <t>11965217788</t>
  </si>
  <si>
    <t>19381</t>
  </si>
  <si>
    <t>JOEL RIBEIRO CORREA</t>
  </si>
  <si>
    <t>09035292707</t>
  </si>
  <si>
    <t>20276</t>
  </si>
  <si>
    <t>JOELSON SILVA DE OLIVEIRA</t>
  </si>
  <si>
    <t>09737125703</t>
  </si>
  <si>
    <t>20316</t>
  </si>
  <si>
    <t>JOHNY KELVIN MACHADO NASCIMENTO</t>
  </si>
  <si>
    <t>07646644501</t>
  </si>
  <si>
    <t>21332</t>
  </si>
  <si>
    <t>JOILSON ANDERSON DUQUE DA ROSA</t>
  </si>
  <si>
    <t>10412286785</t>
  </si>
  <si>
    <t>12598</t>
  </si>
  <si>
    <t>JOILSON BARCELOS MAGALHAES</t>
  </si>
  <si>
    <t>00123695783</t>
  </si>
  <si>
    <t>23920</t>
  </si>
  <si>
    <t>JOISSE AZEREDO DIAS</t>
  </si>
  <si>
    <t>18763649713</t>
  </si>
  <si>
    <t>22926</t>
  </si>
  <si>
    <t>JOLBER PEREIRA DA CONCEICAO</t>
  </si>
  <si>
    <t>16378207712</t>
  </si>
  <si>
    <t>18840</t>
  </si>
  <si>
    <t>JONATAN GOMES DA SILVA</t>
  </si>
  <si>
    <t>10412308770</t>
  </si>
  <si>
    <t>21264</t>
  </si>
  <si>
    <t>JONATAN RODRIGUES GOMES</t>
  </si>
  <si>
    <t>14321935709</t>
  </si>
  <si>
    <t>18082</t>
  </si>
  <si>
    <t>JONATAN SILVA DA GRACA</t>
  </si>
  <si>
    <t>15153889726</t>
  </si>
  <si>
    <t>19926</t>
  </si>
  <si>
    <t>JONATAS LAUREANO NUNES BILE</t>
  </si>
  <si>
    <t>11686232780</t>
  </si>
  <si>
    <t>24763</t>
  </si>
  <si>
    <t>JONATAS VIEIRA GUERRA</t>
  </si>
  <si>
    <t>12938235704</t>
  </si>
  <si>
    <t>18092</t>
  </si>
  <si>
    <t>JONATHAN CHAGAS CONCEICAO</t>
  </si>
  <si>
    <t>09985931769</t>
  </si>
  <si>
    <t>02535</t>
  </si>
  <si>
    <t>JONATHAN DA SILVA RANGEL</t>
  </si>
  <si>
    <t>11934072737</t>
  </si>
  <si>
    <t>05465</t>
  </si>
  <si>
    <t>JONY CANUTO LIRIO</t>
  </si>
  <si>
    <t>11891069730</t>
  </si>
  <si>
    <t>18062</t>
  </si>
  <si>
    <t>JORGE ANTONIO DA CONCEICAO</t>
  </si>
  <si>
    <t>09533744758</t>
  </si>
  <si>
    <t>23075</t>
  </si>
  <si>
    <t>JORGE ANTONIO FREITAS DA SILVA</t>
  </si>
  <si>
    <t>62201069700</t>
  </si>
  <si>
    <t>20275</t>
  </si>
  <si>
    <t>JORGE BRAS DA SILVA</t>
  </si>
  <si>
    <t>02878125703</t>
  </si>
  <si>
    <t>20248</t>
  </si>
  <si>
    <t>JORGE DOS SANTOS</t>
  </si>
  <si>
    <t>03492334466</t>
  </si>
  <si>
    <t>21118</t>
  </si>
  <si>
    <t>JORGE EDUARDO BASTOS</t>
  </si>
  <si>
    <t>75589435749</t>
  </si>
  <si>
    <t>17619</t>
  </si>
  <si>
    <t>JORGE ENRIQUE MONTEIRO DE MATOS</t>
  </si>
  <si>
    <t>03072482756</t>
  </si>
  <si>
    <t>18162</t>
  </si>
  <si>
    <t>JORGE GOMES JUNIOR</t>
  </si>
  <si>
    <t>01794676708</t>
  </si>
  <si>
    <t>21915</t>
  </si>
  <si>
    <t>JORGE MEDEIROS DA COSTA</t>
  </si>
  <si>
    <t>00089393732</t>
  </si>
  <si>
    <t>12605</t>
  </si>
  <si>
    <t>JORGE SILVA SANTOS</t>
  </si>
  <si>
    <t>TECNICO DE INSTRUMENTACAO</t>
  </si>
  <si>
    <t>07402136795</t>
  </si>
  <si>
    <t>12592</t>
  </si>
  <si>
    <t>JOSE AMARO NOGUEIRA PINHEIRO JUNIOR</t>
  </si>
  <si>
    <t>SUPERVISOR DE AUTOMACAO</t>
  </si>
  <si>
    <t>09322480718</t>
  </si>
  <si>
    <t>24604</t>
  </si>
  <si>
    <t>JOSE ANTONIO DE SOUZA GONCALVES</t>
  </si>
  <si>
    <t>17231640702</t>
  </si>
  <si>
    <t>18135</t>
  </si>
  <si>
    <t>JOSE ANTONIO DOS SANTOS</t>
  </si>
  <si>
    <t>00214567710</t>
  </si>
  <si>
    <t>17616</t>
  </si>
  <si>
    <t>JOSE ARTHUR ROCHA VIANNA</t>
  </si>
  <si>
    <t>12596873761</t>
  </si>
  <si>
    <t>10552</t>
  </si>
  <si>
    <t>JOSE AUGUSTO DE OLIVEIRA RISCADO</t>
  </si>
  <si>
    <t>11422872700</t>
  </si>
  <si>
    <t>24815</t>
  </si>
  <si>
    <t>JOSE CARLOS CONCEICAO DA CRUZ</t>
  </si>
  <si>
    <t>07658609536</t>
  </si>
  <si>
    <t>18096</t>
  </si>
  <si>
    <t>JOSE CARLOS CONTI TAVARES</t>
  </si>
  <si>
    <t>75868512715</t>
  </si>
  <si>
    <t>18146</t>
  </si>
  <si>
    <t>JOSE CARLOS OLIVEIRA DA SILVA</t>
  </si>
  <si>
    <t>71583920749</t>
  </si>
  <si>
    <t>18017</t>
  </si>
  <si>
    <t>JOSE CARLOS RIBEIRO DOS SANTOS</t>
  </si>
  <si>
    <t>35547740578</t>
  </si>
  <si>
    <t>18012</t>
  </si>
  <si>
    <t>JOSE CARLOS SILVA</t>
  </si>
  <si>
    <t>00722811705</t>
  </si>
  <si>
    <t>13762</t>
  </si>
  <si>
    <t>JOSE DE LIMA LIRA</t>
  </si>
  <si>
    <t>03368161709</t>
  </si>
  <si>
    <t>20229</t>
  </si>
  <si>
    <t>JOSE EDUARDO MENDES MACHADO</t>
  </si>
  <si>
    <t>03072035733</t>
  </si>
  <si>
    <t>20321</t>
  </si>
  <si>
    <t>JOSE ERIBERTO NOGUEIRA BARBOSA</t>
  </si>
  <si>
    <t>61925578453</t>
  </si>
  <si>
    <t>13857</t>
  </si>
  <si>
    <t>JOSE JOAQUIM HERNANDES DE CASTRO</t>
  </si>
  <si>
    <t>MECANICO DE REFRIGERACAO II</t>
  </si>
  <si>
    <t>49047574753</t>
  </si>
  <si>
    <t>22846</t>
  </si>
  <si>
    <t>JOSE LUCAS MENDONCA DA SILVA</t>
  </si>
  <si>
    <t>15984609789</t>
  </si>
  <si>
    <t>24493</t>
  </si>
  <si>
    <t>JOSE LUCAS SANTOS DA SILVA</t>
  </si>
  <si>
    <t>18293866705</t>
  </si>
  <si>
    <t>20203</t>
  </si>
  <si>
    <t>JOSE LUIS DA SILVA REGO</t>
  </si>
  <si>
    <t>03663436705</t>
  </si>
  <si>
    <t>18014</t>
  </si>
  <si>
    <t>JOSE LUIS DE SOUZA</t>
  </si>
  <si>
    <t>87941899949</t>
  </si>
  <si>
    <t>20199</t>
  </si>
  <si>
    <t>JOSE MARCIO RODRIGUES</t>
  </si>
  <si>
    <t>10926687727</t>
  </si>
  <si>
    <t>18568</t>
  </si>
  <si>
    <t>JOSE NILTON DE OLIVEIRA DOS SANTOS</t>
  </si>
  <si>
    <t>02950993567</t>
  </si>
  <si>
    <t>20315</t>
  </si>
  <si>
    <t>JOSE RICARDO DA SILVA</t>
  </si>
  <si>
    <t>09534451436</t>
  </si>
  <si>
    <t>20285</t>
  </si>
  <si>
    <t>JOSE RICARDO DE ASSIS</t>
  </si>
  <si>
    <t>02336045702</t>
  </si>
  <si>
    <t>14103</t>
  </si>
  <si>
    <t>JOSE ROBERTO DE JESUS SANTOS</t>
  </si>
  <si>
    <t>46833404534</t>
  </si>
  <si>
    <t>18193</t>
  </si>
  <si>
    <t>JOSENILDO OLIVEIRA DOS SANTOS</t>
  </si>
  <si>
    <t>82797129504</t>
  </si>
  <si>
    <t>23850</t>
  </si>
  <si>
    <t>JOSIAS DOS SANTOS BARCELOS</t>
  </si>
  <si>
    <t>07805906785</t>
  </si>
  <si>
    <t>20465</t>
  </si>
  <si>
    <t>JOSIAS GAMA BORGES</t>
  </si>
  <si>
    <t>61656526700</t>
  </si>
  <si>
    <t>24242</t>
  </si>
  <si>
    <t>JOSIAS SILVINO</t>
  </si>
  <si>
    <t>10995701741</t>
  </si>
  <si>
    <t>20087</t>
  </si>
  <si>
    <t>JOSIDALVA SANTOS DE JESUS DIAS</t>
  </si>
  <si>
    <t>77135504534</t>
  </si>
  <si>
    <t>22489</t>
  </si>
  <si>
    <t>JOSIMAR BERNARDO REIS</t>
  </si>
  <si>
    <t>05920232730</t>
  </si>
  <si>
    <t>22482</t>
  </si>
  <si>
    <t>JOSIMAR DOS SANTOS PINHEIRO DE SOUZA</t>
  </si>
  <si>
    <t>01613927509</t>
  </si>
  <si>
    <t>20182</t>
  </si>
  <si>
    <t>JOSIVAN SANTOS SILISTRINO</t>
  </si>
  <si>
    <t>05058142503</t>
  </si>
  <si>
    <t>15389</t>
  </si>
  <si>
    <t>JOSUE FERNANDES CIRILO MIRANDA</t>
  </si>
  <si>
    <t>16295037704</t>
  </si>
  <si>
    <t>13860</t>
  </si>
  <si>
    <t>JOSUEL BARCELLOS RODRIGUES</t>
  </si>
  <si>
    <t>13222143790</t>
  </si>
  <si>
    <t>17691</t>
  </si>
  <si>
    <t>JOVENIRA DA CONCEICAO SOARES</t>
  </si>
  <si>
    <t>01748325752</t>
  </si>
  <si>
    <t>19900</t>
  </si>
  <si>
    <t>JUAN KAIKY DA CONCEICAO ANQUIETA</t>
  </si>
  <si>
    <t>21033424706</t>
  </si>
  <si>
    <t>22692</t>
  </si>
  <si>
    <t>JUAREZ SANTOS ANUNCIACAO</t>
  </si>
  <si>
    <t>01904182577</t>
  </si>
  <si>
    <t>17819</t>
  </si>
  <si>
    <t>JULCELIA LIMA DOS SANTOS</t>
  </si>
  <si>
    <t>00666129509</t>
  </si>
  <si>
    <t>20152</t>
  </si>
  <si>
    <t>JULIA GOMES RICIO</t>
  </si>
  <si>
    <t>19063258712</t>
  </si>
  <si>
    <t>18977</t>
  </si>
  <si>
    <t>JULIANA DE JESUS DOS SANTOS</t>
  </si>
  <si>
    <t>14744718701</t>
  </si>
  <si>
    <t>18155</t>
  </si>
  <si>
    <t>JULIANO DE OLIVEIRA FARIA</t>
  </si>
  <si>
    <t>08616241736</t>
  </si>
  <si>
    <t>20558</t>
  </si>
  <si>
    <t>JULIANO SILVA</t>
  </si>
  <si>
    <t>14405714738</t>
  </si>
  <si>
    <t>23515</t>
  </si>
  <si>
    <t>JULIO CESAR MENDES DA SILVA</t>
  </si>
  <si>
    <t>04027003683</t>
  </si>
  <si>
    <t>C</t>
  </si>
  <si>
    <t>20341</t>
  </si>
  <si>
    <t>JULIO ROLACA GASPAR DA SILVA</t>
  </si>
  <si>
    <t>19368335737</t>
  </si>
  <si>
    <t>20326</t>
  </si>
  <si>
    <t>JULLIANO AUGUSTO RIBEIRO DE SANTANA</t>
  </si>
  <si>
    <t>02202787500</t>
  </si>
  <si>
    <t>20363</t>
  </si>
  <si>
    <t>KAIKE MONTEIRO ROCHA</t>
  </si>
  <si>
    <t>17971652755</t>
  </si>
  <si>
    <t>21917</t>
  </si>
  <si>
    <t>KAILANI NOGUEIRA DIAS</t>
  </si>
  <si>
    <t>18485329708</t>
  </si>
  <si>
    <t>22704</t>
  </si>
  <si>
    <t>KAILANY BARCELOS SILVEIRA</t>
  </si>
  <si>
    <t>18602951779</t>
  </si>
  <si>
    <t>21849</t>
  </si>
  <si>
    <t>KAREN CRISTINA ALVES MARTINS</t>
  </si>
  <si>
    <t>06217667711</t>
  </si>
  <si>
    <t>24270</t>
  </si>
  <si>
    <t>KAUA DA SILVEIRA SANTOS</t>
  </si>
  <si>
    <t>18157095700</t>
  </si>
  <si>
    <t>23953</t>
  </si>
  <si>
    <t>KAUA TEIXEIRA ALVES</t>
  </si>
  <si>
    <t>19005801794</t>
  </si>
  <si>
    <t>20472</t>
  </si>
  <si>
    <t>KAYAN NERIS SANTOS</t>
  </si>
  <si>
    <t>19242464732</t>
  </si>
  <si>
    <t>20483</t>
  </si>
  <si>
    <t>KAYO BERNARDO MACHADO SANTOS</t>
  </si>
  <si>
    <t>17177624767</t>
  </si>
  <si>
    <t>19001</t>
  </si>
  <si>
    <t>KELLINGTON FIGARIO DE OLIVEIRA</t>
  </si>
  <si>
    <t>14887163746</t>
  </si>
  <si>
    <t>23752</t>
  </si>
  <si>
    <t>KELWYN DIAS BEIRAL</t>
  </si>
  <si>
    <t>19471419700</t>
  </si>
  <si>
    <t>22397</t>
  </si>
  <si>
    <t>KEVEN MOURA CRIZANTO MARTINS</t>
  </si>
  <si>
    <t>19625010785</t>
  </si>
  <si>
    <t>18298</t>
  </si>
  <si>
    <t>KEVIN DANIEL LAGO BORGES</t>
  </si>
  <si>
    <t>20716724707</t>
  </si>
  <si>
    <t>22423</t>
  </si>
  <si>
    <t>KEVIN DE ANDRADE RIBEIRO GOMES</t>
  </si>
  <si>
    <t>06227282707</t>
  </si>
  <si>
    <t>24794</t>
  </si>
  <si>
    <t>KEVIN NUNES DE FARIA</t>
  </si>
  <si>
    <t>20237508737</t>
  </si>
  <si>
    <t>18896</t>
  </si>
  <si>
    <t>KLEBER BERNARDO LEONEL</t>
  </si>
  <si>
    <t>14242371730</t>
  </si>
  <si>
    <t>18052</t>
  </si>
  <si>
    <t>LAIANE DA SILVA DA CRUZ</t>
  </si>
  <si>
    <t>07033189508</t>
  </si>
  <si>
    <t>23883</t>
  </si>
  <si>
    <t>LAILA SILVA DOS SANTOS</t>
  </si>
  <si>
    <t>16596192709</t>
  </si>
  <si>
    <t>24144</t>
  </si>
  <si>
    <t>LAIS COUTINHO DE ARAUJO PAIXAO</t>
  </si>
  <si>
    <t>06910702530</t>
  </si>
  <si>
    <t>22518</t>
  </si>
  <si>
    <t>LARA ABREU MONZATO</t>
  </si>
  <si>
    <t>20498899764</t>
  </si>
  <si>
    <t>19528</t>
  </si>
  <si>
    <t>LARISSA ALMEIDA BELAS</t>
  </si>
  <si>
    <t>17016199703</t>
  </si>
  <si>
    <t>18028</t>
  </si>
  <si>
    <t>LARISSA DA SILVA DA CRUZ</t>
  </si>
  <si>
    <t>08534265542</t>
  </si>
  <si>
    <t>20086</t>
  </si>
  <si>
    <t>LARISSA DA SILVA FIGUEREDO</t>
  </si>
  <si>
    <t>16610302707</t>
  </si>
  <si>
    <t>18895</t>
  </si>
  <si>
    <t>LARISSA FERNANDES MARTINS</t>
  </si>
  <si>
    <t>20390677795</t>
  </si>
  <si>
    <t>18304</t>
  </si>
  <si>
    <t>LARISSA MINGUTA FERREIRA</t>
  </si>
  <si>
    <t>17501574707</t>
  </si>
  <si>
    <t>18311</t>
  </si>
  <si>
    <t>LARISSA NEVES DOS SANTOS LOURENCO</t>
  </si>
  <si>
    <t>14952755746</t>
  </si>
  <si>
    <t>17629</t>
  </si>
  <si>
    <t>LARYSSA SANTOS DOS REIS</t>
  </si>
  <si>
    <t>15488214704</t>
  </si>
  <si>
    <t>20485</t>
  </si>
  <si>
    <t>LARYSSA SOARES DA SILVA RIBEIRO</t>
  </si>
  <si>
    <t>12241738727</t>
  </si>
  <si>
    <t>18051</t>
  </si>
  <si>
    <t>LAUDICEA APARECIDA DOS SANTOS MATIAS</t>
  </si>
  <si>
    <t>87912392734</t>
  </si>
  <si>
    <t>22292</t>
  </si>
  <si>
    <t>LAVINIA DUTRA REIS DE PAULA</t>
  </si>
  <si>
    <t>13352085773</t>
  </si>
  <si>
    <t>19196</t>
  </si>
  <si>
    <t>LEANDRO ALMEIDA VALENTIM</t>
  </si>
  <si>
    <t>03087432539</t>
  </si>
  <si>
    <t>20437</t>
  </si>
  <si>
    <t xml:space="preserve">LEANDRO DUTRA MACIEL </t>
  </si>
  <si>
    <t>09518496706</t>
  </si>
  <si>
    <t>22375</t>
  </si>
  <si>
    <t>LEANDRO GABRYELL BRANDO XIMENES</t>
  </si>
  <si>
    <t>19824056785</t>
  </si>
  <si>
    <t>10530</t>
  </si>
  <si>
    <t>LEANDRO MONTEIRO VIANA</t>
  </si>
  <si>
    <t>10220295760</t>
  </si>
  <si>
    <t>20265</t>
  </si>
  <si>
    <t>LEANDRO ROCHA DA SILVA</t>
  </si>
  <si>
    <t>09322560746</t>
  </si>
  <si>
    <t>18506</t>
  </si>
  <si>
    <t>LEANDRO SEVERINO DA SILVA</t>
  </si>
  <si>
    <t>11303399474</t>
  </si>
  <si>
    <t>24752</t>
  </si>
  <si>
    <t>LEILIANE CORREA DE SOUZA DUTRA</t>
  </si>
  <si>
    <t>08354775763</t>
  </si>
  <si>
    <t>17868</t>
  </si>
  <si>
    <t>LELIO CORREA CORDEIRO</t>
  </si>
  <si>
    <t>03061471731</t>
  </si>
  <si>
    <t>18968</t>
  </si>
  <si>
    <t>LEONARDO BARBOZA DA SILVA</t>
  </si>
  <si>
    <t>18524413727</t>
  </si>
  <si>
    <t>22703</t>
  </si>
  <si>
    <t>LEONARDO BATISTA DOS SANTOS</t>
  </si>
  <si>
    <t>17441351774</t>
  </si>
  <si>
    <t>14581</t>
  </si>
  <si>
    <t>LEONARDO BISPO ARAUJO</t>
  </si>
  <si>
    <t>11194862705</t>
  </si>
  <si>
    <t>18294</t>
  </si>
  <si>
    <t>LEONARDO COELHO DE VASCONCELOS</t>
  </si>
  <si>
    <t>10922567760</t>
  </si>
  <si>
    <t>23903</t>
  </si>
  <si>
    <t>LEONARDO DA SILVA VENTURA</t>
  </si>
  <si>
    <t>12306669740</t>
  </si>
  <si>
    <t>17674</t>
  </si>
  <si>
    <t>LEONARDO DE ABREU</t>
  </si>
  <si>
    <t>16215830747</t>
  </si>
  <si>
    <t>18100</t>
  </si>
  <si>
    <t>LEONARDO FAUSTINO MARTINS DA SILVA</t>
  </si>
  <si>
    <t>08021939605</t>
  </si>
  <si>
    <t>20184</t>
  </si>
  <si>
    <t>LEONARDO OUVERNEY DE ALMEIDA</t>
  </si>
  <si>
    <t>18067589704</t>
  </si>
  <si>
    <t>17683</t>
  </si>
  <si>
    <t>LEONARDO RIBEIRO DE JESUS</t>
  </si>
  <si>
    <t>08469819712</t>
  </si>
  <si>
    <t>20282</t>
  </si>
  <si>
    <t>LEONE SILVA COSTA</t>
  </si>
  <si>
    <t>13386953719</t>
  </si>
  <si>
    <t>24011</t>
  </si>
  <si>
    <t>LEONEI DE ALEXANDRE MARINHO</t>
  </si>
  <si>
    <t>13013337788</t>
  </si>
  <si>
    <t>20348</t>
  </si>
  <si>
    <t>LEONIS DE OLIVEIRA BARCELOS</t>
  </si>
  <si>
    <t>13228535762</t>
  </si>
  <si>
    <t>24175</t>
  </si>
  <si>
    <t>LETICIA TAVARES DE SOUZA SILVA</t>
  </si>
  <si>
    <t>17883046756</t>
  </si>
  <si>
    <t>23098</t>
  </si>
  <si>
    <t>LIA MARA BARBOSA PINTO</t>
  </si>
  <si>
    <t>01644274736</t>
  </si>
  <si>
    <t>20391</t>
  </si>
  <si>
    <t>LIAMARCIA BOUCAR DE LIMA</t>
  </si>
  <si>
    <t>09563367790</t>
  </si>
  <si>
    <t>22126</t>
  </si>
  <si>
    <t>LIDIANE DE SOUZA DA CONCEICAO</t>
  </si>
  <si>
    <t>11424888700</t>
  </si>
  <si>
    <t>22028</t>
  </si>
  <si>
    <t>LILIAN CARLA SILVA DA CONCEICAO</t>
  </si>
  <si>
    <t>10549233709</t>
  </si>
  <si>
    <t>23952</t>
  </si>
  <si>
    <t>LILIAN DA FONSECA SANTOS SILVA</t>
  </si>
  <si>
    <t>08039545730</t>
  </si>
  <si>
    <t>18016</t>
  </si>
  <si>
    <t>LILIAN MARIA PACHECO GABRIEL</t>
  </si>
  <si>
    <t>01748554786</t>
  </si>
  <si>
    <t>18108</t>
  </si>
  <si>
    <t>LIZIENE ALVES BOMFIM</t>
  </si>
  <si>
    <t>05771139769</t>
  </si>
  <si>
    <t>21811</t>
  </si>
  <si>
    <t>LODINA DE ABREU</t>
  </si>
  <si>
    <t>08705889740</t>
  </si>
  <si>
    <t>19133</t>
  </si>
  <si>
    <t>LORRAN MERELLES DA SILVA</t>
  </si>
  <si>
    <t>15450307748</t>
  </si>
  <si>
    <t>23930</t>
  </si>
  <si>
    <t>LORRANDERSON DE SOUZA LIMA</t>
  </si>
  <si>
    <t>17406379765</t>
  </si>
  <si>
    <t>20190</t>
  </si>
  <si>
    <t>LOURENZO LEVI DIAS AMARAL</t>
  </si>
  <si>
    <t>16928731729</t>
  </si>
  <si>
    <t>20388</t>
  </si>
  <si>
    <t>LUA MARIANA DIAS GASPAR BENSI OLIVEIRA</t>
  </si>
  <si>
    <t>15145288786</t>
  </si>
  <si>
    <t>20154</t>
  </si>
  <si>
    <t>LUAN BERTO DA SILVA</t>
  </si>
  <si>
    <t>15682240790</t>
  </si>
  <si>
    <t>17765</t>
  </si>
  <si>
    <t>LUAN DOS SANTOS BARCELOS MAGALHAES</t>
  </si>
  <si>
    <t>19584064738</t>
  </si>
  <si>
    <t>20082</t>
  </si>
  <si>
    <t>LUAN FRANCISCO DE SANTANA</t>
  </si>
  <si>
    <t>14627727739</t>
  </si>
  <si>
    <t>22595</t>
  </si>
  <si>
    <t>LUAN NASCIMENTO DE SOUSA</t>
  </si>
  <si>
    <t>13359675754</t>
  </si>
  <si>
    <t>20088</t>
  </si>
  <si>
    <t>LUCAS AZEVEDO BUENO</t>
  </si>
  <si>
    <t>13267354706</t>
  </si>
  <si>
    <t>20317</t>
  </si>
  <si>
    <t>LUCAS CARVALHO DA CONCEICAO</t>
  </si>
  <si>
    <t>16383259792</t>
  </si>
  <si>
    <t>18365</t>
  </si>
  <si>
    <t>LUCAS CRISTINO FONTES DA SILVA</t>
  </si>
  <si>
    <t>16544664766</t>
  </si>
  <si>
    <t>15540</t>
  </si>
  <si>
    <t>LUCAS DA COSTA DA SILVA</t>
  </si>
  <si>
    <t>14850462707</t>
  </si>
  <si>
    <t>18004</t>
  </si>
  <si>
    <t>LUCAS DE ASSIS MARTINS DE SOUZA</t>
  </si>
  <si>
    <t>18991991793</t>
  </si>
  <si>
    <t>20350</t>
  </si>
  <si>
    <t>LUCAS DE SA CEZARIO</t>
  </si>
  <si>
    <t>16519718700</t>
  </si>
  <si>
    <t>17682</t>
  </si>
  <si>
    <t>LUCAS DOS SANTOS BARCELOS MAGALHAES</t>
  </si>
  <si>
    <t>17800604756</t>
  </si>
  <si>
    <t>19542</t>
  </si>
  <si>
    <t>LUCAS FERREIRA</t>
  </si>
  <si>
    <t>16256292731</t>
  </si>
  <si>
    <t>20196</t>
  </si>
  <si>
    <t>LUCAS FILIPE MOSQUEIRA BATISTA</t>
  </si>
  <si>
    <t>19652378780</t>
  </si>
  <si>
    <t>20770</t>
  </si>
  <si>
    <t>LUCAS GOES TELES</t>
  </si>
  <si>
    <t>16231758796</t>
  </si>
  <si>
    <t>24240</t>
  </si>
  <si>
    <t>LUCAS GONCALVES QUINTANILHA</t>
  </si>
  <si>
    <t>14957661790</t>
  </si>
  <si>
    <t>16085</t>
  </si>
  <si>
    <t>LUCAS GRIJO FARIA</t>
  </si>
  <si>
    <t>16180770743</t>
  </si>
  <si>
    <t>19534</t>
  </si>
  <si>
    <t>LUCAS LIMA DIAS</t>
  </si>
  <si>
    <t>13582268730</t>
  </si>
  <si>
    <t>24391</t>
  </si>
  <si>
    <t>LUCAS PAULO DA SILVA MACHADO</t>
  </si>
  <si>
    <t>00655437509</t>
  </si>
  <si>
    <t>18064</t>
  </si>
  <si>
    <t>LUCAS PURCINO PEREIRA</t>
  </si>
  <si>
    <t>04788062569</t>
  </si>
  <si>
    <t>20306</t>
  </si>
  <si>
    <t>LUCAS SOUZA MUNIZ DOS SANTOS</t>
  </si>
  <si>
    <t>13371716708</t>
  </si>
  <si>
    <t>21815</t>
  </si>
  <si>
    <t>LUCI CLAUDIA NOBERTO</t>
  </si>
  <si>
    <t>11307578705</t>
  </si>
  <si>
    <t>12579</t>
  </si>
  <si>
    <t>LUCIAN DOS SANTOS MOREIRA</t>
  </si>
  <si>
    <t>13760243738</t>
  </si>
  <si>
    <t>17759</t>
  </si>
  <si>
    <t>LUCIANA DA SILVA</t>
  </si>
  <si>
    <t>08329964752</t>
  </si>
  <si>
    <t>18039</t>
  </si>
  <si>
    <t>LUCIANA DAS GRACAS REIS DOMINGOS</t>
  </si>
  <si>
    <t>03485150657</t>
  </si>
  <si>
    <t>17772</t>
  </si>
  <si>
    <t>LUCIANA DE OLIVEIRA VILASBOAS BARCELOS</t>
  </si>
  <si>
    <t>03948880735</t>
  </si>
  <si>
    <t>17668</t>
  </si>
  <si>
    <t>LUCIANA DE SOUZA ORRICO</t>
  </si>
  <si>
    <t>00836916506</t>
  </si>
  <si>
    <t>17742</t>
  </si>
  <si>
    <t>LUCIANA NATALICE DE OLIVEIRA SOUZA</t>
  </si>
  <si>
    <t>10029066794</t>
  </si>
  <si>
    <t>12257</t>
  </si>
  <si>
    <t>LUCIANA RIBEIRO NETO DE ANDRADE</t>
  </si>
  <si>
    <t>GERENTE DE FACILITIES</t>
  </si>
  <si>
    <t>07134404730</t>
  </si>
  <si>
    <t>12576</t>
  </si>
  <si>
    <t>LUCIANO AUSTEN CANDIDO ROZA</t>
  </si>
  <si>
    <t>01507819110</t>
  </si>
  <si>
    <t>22046</t>
  </si>
  <si>
    <t>LUCIANO DA SILVA SOARES</t>
  </si>
  <si>
    <t>07678092628</t>
  </si>
  <si>
    <t>20249</t>
  </si>
  <si>
    <t>LUCIANO DOS SANTOS SALES</t>
  </si>
  <si>
    <t>86627902753</t>
  </si>
  <si>
    <t>20461</t>
  </si>
  <si>
    <t>LUCIANO FERREIRA TAVARES JUNIOR</t>
  </si>
  <si>
    <t>13528697725</t>
  </si>
  <si>
    <t>18566</t>
  </si>
  <si>
    <t>LUCIANO FRANCA DO NASCIMENTO</t>
  </si>
  <si>
    <t>00199178720</t>
  </si>
  <si>
    <t>20261</t>
  </si>
  <si>
    <t>LUCIANO NUNES DE FARIA</t>
  </si>
  <si>
    <t>13652757793</t>
  </si>
  <si>
    <t>18174</t>
  </si>
  <si>
    <t>LUCIARA APOLINARIO FELIX</t>
  </si>
  <si>
    <t>88036260778</t>
  </si>
  <si>
    <t>20746</t>
  </si>
  <si>
    <t>LUCICLEIDE PEREIRA DE JESUS</t>
  </si>
  <si>
    <t>80761313591</t>
  </si>
  <si>
    <t>22794</t>
  </si>
  <si>
    <t>LUCIENE BARROS CONSTANTINO</t>
  </si>
  <si>
    <t>10752304704</t>
  </si>
  <si>
    <t>20118</t>
  </si>
  <si>
    <t>LUCIENE NASCIMENTO DA SILVA</t>
  </si>
  <si>
    <t>03937087729</t>
  </si>
  <si>
    <t>17633</t>
  </si>
  <si>
    <t>LUCIENE SIMAO PESSANHA MOURA</t>
  </si>
  <si>
    <t>07635429701</t>
  </si>
  <si>
    <t>20262</t>
  </si>
  <si>
    <t>LUCIMAR FREIRE LIDUINO PINHEIRO</t>
  </si>
  <si>
    <t>12702653774</t>
  </si>
  <si>
    <t>18044</t>
  </si>
  <si>
    <t>LUCIMARA BRITO DOS SANTOS</t>
  </si>
  <si>
    <t>03602070573</t>
  </si>
  <si>
    <t>18083</t>
  </si>
  <si>
    <t>LUCINEIA CANDIDO DOS SANTOS FERREIRA</t>
  </si>
  <si>
    <t>06799774656</t>
  </si>
  <si>
    <t>20105</t>
  </si>
  <si>
    <t>LUIAN DA SILVA NUNES FERNANDES</t>
  </si>
  <si>
    <t>18014905709</t>
  </si>
  <si>
    <t>20192</t>
  </si>
  <si>
    <t>LUIANY DA SILVA CORREA</t>
  </si>
  <si>
    <t>17664769701</t>
  </si>
  <si>
    <t>20213</t>
  </si>
  <si>
    <t>LUIS FELIPE DA SILVA CORREA</t>
  </si>
  <si>
    <t>19548442710</t>
  </si>
  <si>
    <t>22708</t>
  </si>
  <si>
    <t>LUIS FELIPE RIBEIRO BANDEIRA</t>
  </si>
  <si>
    <t>19864138707</t>
  </si>
  <si>
    <t>18345</t>
  </si>
  <si>
    <t>LUIS PAULO PEREIRA RIBEIRO</t>
  </si>
  <si>
    <t>00715443720</t>
  </si>
  <si>
    <t>20194</t>
  </si>
  <si>
    <t>LUIS PAULO SANTANA DA SILVA</t>
  </si>
  <si>
    <t>14744478727</t>
  </si>
  <si>
    <t>20245</t>
  </si>
  <si>
    <t>LUIS VANIO JESUS DIAS</t>
  </si>
  <si>
    <t>02854788508</t>
  </si>
  <si>
    <t>24210</t>
  </si>
  <si>
    <t>LUISA CARNEIRO DA SILVA</t>
  </si>
  <si>
    <t>17829758700</t>
  </si>
  <si>
    <t>16082</t>
  </si>
  <si>
    <t>LUIZ ANTONIO DE SOUZA TAVARES</t>
  </si>
  <si>
    <t>01392249554</t>
  </si>
  <si>
    <t>20999</t>
  </si>
  <si>
    <t>LUIZ CARLOS LIMA DA SILVA</t>
  </si>
  <si>
    <t>06110768537</t>
  </si>
  <si>
    <t>20089</t>
  </si>
  <si>
    <t>LUIZ CARLOS PEREIRA DIAS</t>
  </si>
  <si>
    <t>19357906762</t>
  </si>
  <si>
    <t>23876</t>
  </si>
  <si>
    <t>LUIZ CLAUDIO RANGEL CORREA</t>
  </si>
  <si>
    <t>13138271774</t>
  </si>
  <si>
    <t>12608</t>
  </si>
  <si>
    <t>LUIZ DIEGO SILVA MARTINS</t>
  </si>
  <si>
    <t>05574182750</t>
  </si>
  <si>
    <t>20482</t>
  </si>
  <si>
    <t>LUIZ ENRIQUE GOMES DA SILVA</t>
  </si>
  <si>
    <t>71601964498</t>
  </si>
  <si>
    <t>22824</t>
  </si>
  <si>
    <t>LUIZ FELIPE EUGENIO DO CARMO CLEMENTE</t>
  </si>
  <si>
    <t>18077707700</t>
  </si>
  <si>
    <t>11324</t>
  </si>
  <si>
    <t>LUIZ FERNANDO DA SILVA PINTO</t>
  </si>
  <si>
    <t>84772999787</t>
  </si>
  <si>
    <t>20314</t>
  </si>
  <si>
    <t>LUIZ HENRIQUE GONCALVES OLIVEIRA</t>
  </si>
  <si>
    <t>16150265765</t>
  </si>
  <si>
    <t>24868</t>
  </si>
  <si>
    <t>LUIZ OTAVIO DE JESUS PEREIRA DA SILVA</t>
  </si>
  <si>
    <t>20886008760</t>
  </si>
  <si>
    <t>18152</t>
  </si>
  <si>
    <t>LUIZ ROBERTO SILVA DE SOUZA</t>
  </si>
  <si>
    <t>82955263753</t>
  </si>
  <si>
    <t>22848</t>
  </si>
  <si>
    <t>LUIZA DA SILVA RODRIGUES</t>
  </si>
  <si>
    <t>11666678716</t>
  </si>
  <si>
    <t>20259</t>
  </si>
  <si>
    <t>MACIEL INACIO AZEVEDO</t>
  </si>
  <si>
    <t>08355032756</t>
  </si>
  <si>
    <t>24643</t>
  </si>
  <si>
    <t>MACIEL SANTOS DA GLORIA</t>
  </si>
  <si>
    <t>11916715770</t>
  </si>
  <si>
    <t>17671</t>
  </si>
  <si>
    <t>MAGALI DE OLIVEIRA PAULA ROSA DOS SANTOS</t>
  </si>
  <si>
    <t>07440092783</t>
  </si>
  <si>
    <t>19332</t>
  </si>
  <si>
    <t>MAGNA LUIZ DA CRUZ</t>
  </si>
  <si>
    <t>00775619531</t>
  </si>
  <si>
    <t>15368</t>
  </si>
  <si>
    <t>MAGNO GOMES LEANDRO</t>
  </si>
  <si>
    <t>13413264702</t>
  </si>
  <si>
    <t>24774</t>
  </si>
  <si>
    <t>MAICO RODRIGUES DE OLIVEIRA</t>
  </si>
  <si>
    <t>11676831703</t>
  </si>
  <si>
    <t>20452</t>
  </si>
  <si>
    <t>MAICON DE BARROS COSTA</t>
  </si>
  <si>
    <t>10152665765</t>
  </si>
  <si>
    <t>22879</t>
  </si>
  <si>
    <t>MAICON JUNIOR CANUTO LIRIO</t>
  </si>
  <si>
    <t>11891063707</t>
  </si>
  <si>
    <t>22534</t>
  </si>
  <si>
    <t>MANOEL ALVES DOS SANTOS JUNIOR</t>
  </si>
  <si>
    <t>03878049510</t>
  </si>
  <si>
    <t>20747</t>
  </si>
  <si>
    <t>MANOEL CARLOS BARRETO VIEIRA</t>
  </si>
  <si>
    <t>89784707772</t>
  </si>
  <si>
    <t>23957</t>
  </si>
  <si>
    <t>MANOEL IZIDRO DOS SANTOS</t>
  </si>
  <si>
    <t>02855237408</t>
  </si>
  <si>
    <t>22535</t>
  </si>
  <si>
    <t>MANOEL SILVA ALBUQUERQUE</t>
  </si>
  <si>
    <t>08405490752</t>
  </si>
  <si>
    <t>24209</t>
  </si>
  <si>
    <t>MANOELA MORAES DE ALMEIDA</t>
  </si>
  <si>
    <t>11269447777</t>
  </si>
  <si>
    <t>17666</t>
  </si>
  <si>
    <t>MARA CRISTINA DE OLIVIERA DA SILVA</t>
  </si>
  <si>
    <t>10861605764</t>
  </si>
  <si>
    <t>21907</t>
  </si>
  <si>
    <t>MARCELA BARCELOS REGIS</t>
  </si>
  <si>
    <t>13526736731</t>
  </si>
  <si>
    <t>20304</t>
  </si>
  <si>
    <t>MARCELLO MOZER DA SILVA</t>
  </si>
  <si>
    <t>08101573305</t>
  </si>
  <si>
    <t>18078</t>
  </si>
  <si>
    <t>MARCELO CRUZ BARBOSA</t>
  </si>
  <si>
    <t>08570943784</t>
  </si>
  <si>
    <t>18103</t>
  </si>
  <si>
    <t>MARCELO DE ALMEIDA FLOR DA CUNHA</t>
  </si>
  <si>
    <t>08987972763</t>
  </si>
  <si>
    <t>20206</t>
  </si>
  <si>
    <t>MARCELO MARTINS GUIMARAES</t>
  </si>
  <si>
    <t>07181293770</t>
  </si>
  <si>
    <t>18268</t>
  </si>
  <si>
    <t>MARCELO MORAES DA SILVA</t>
  </si>
  <si>
    <t>01091068739</t>
  </si>
  <si>
    <t>24508</t>
  </si>
  <si>
    <t>MARCELO PEIXOTO DE MORAES JUNIOR</t>
  </si>
  <si>
    <t>14538071790</t>
  </si>
  <si>
    <t>20407</t>
  </si>
  <si>
    <t>MARCELO PEREIRA</t>
  </si>
  <si>
    <t>11846877652</t>
  </si>
  <si>
    <t>10559</t>
  </si>
  <si>
    <t>MARCELO RIBEIRO NETO</t>
  </si>
  <si>
    <t>SUPERVISOR DE OPERACAO</t>
  </si>
  <si>
    <t>08740048705</t>
  </si>
  <si>
    <t>17654</t>
  </si>
  <si>
    <t>MARCIA BOCAFOLI GONCALVES</t>
  </si>
  <si>
    <t>09495344719</t>
  </si>
  <si>
    <t>18018</t>
  </si>
  <si>
    <t>MARCIA SANTOS VIEIRA</t>
  </si>
  <si>
    <t>62606581504</t>
  </si>
  <si>
    <t>18267</t>
  </si>
  <si>
    <t>MARCIANO JOSE DA SILVA</t>
  </si>
  <si>
    <t>09460699723</t>
  </si>
  <si>
    <t>22844</t>
  </si>
  <si>
    <t>MARCIANO MATIAS DOS SANTOS</t>
  </si>
  <si>
    <t>02974480721</t>
  </si>
  <si>
    <t>18925</t>
  </si>
  <si>
    <t>MARCIO ANTONIO PAES</t>
  </si>
  <si>
    <t>00584084790</t>
  </si>
  <si>
    <t>20223</t>
  </si>
  <si>
    <t>MARCIO DA SILVA SOBRAL</t>
  </si>
  <si>
    <t>12913319726</t>
  </si>
  <si>
    <t>20260</t>
  </si>
  <si>
    <t>MARCIO DOS SANTOS</t>
  </si>
  <si>
    <t>08436619765</t>
  </si>
  <si>
    <t>24771</t>
  </si>
  <si>
    <t>MARCIO DOUGLAS DA SILVA GOMES</t>
  </si>
  <si>
    <t>19990908702</t>
  </si>
  <si>
    <t>22351</t>
  </si>
  <si>
    <t>MARCIO FILIPE VASCONCELLOS DE SOUSA RAMOS DA SILVA</t>
  </si>
  <si>
    <t>16151719751</t>
  </si>
  <si>
    <t>18101</t>
  </si>
  <si>
    <t>MARCIO LEANDRO FERREIRA DA SILVA</t>
  </si>
  <si>
    <t>09742205744</t>
  </si>
  <si>
    <t>20390</t>
  </si>
  <si>
    <t>MARCIO RINOVAL</t>
  </si>
  <si>
    <t>07507375730</t>
  </si>
  <si>
    <t>15364</t>
  </si>
  <si>
    <t>MARCIO VINICIUS MORAES DA SILVA</t>
  </si>
  <si>
    <t>TECNICO DE REFRIGERACAO HVAC</t>
  </si>
  <si>
    <t>05828816764</t>
  </si>
  <si>
    <t>18148</t>
  </si>
  <si>
    <t>MARCO ANTONIO DE SOUSA</t>
  </si>
  <si>
    <t>11082205761</t>
  </si>
  <si>
    <t>18519</t>
  </si>
  <si>
    <t>MARCO ANTONIO DO NASCIMENTO MOURA</t>
  </si>
  <si>
    <t>00734147783</t>
  </si>
  <si>
    <t>18526</t>
  </si>
  <si>
    <t>MARCOS ANTONIO BORGES DE ANDRADE</t>
  </si>
  <si>
    <t>02692459792</t>
  </si>
  <si>
    <t>18031</t>
  </si>
  <si>
    <t>MARCOS ANTONIO DA ROCHA LUIZ</t>
  </si>
  <si>
    <t>10077215702</t>
  </si>
  <si>
    <t>23684</t>
  </si>
  <si>
    <t>MARCOS ANTONIO FERREIRA DE LIMA</t>
  </si>
  <si>
    <t>09430327763</t>
  </si>
  <si>
    <t>20308</t>
  </si>
  <si>
    <t>MARCOS ANTONIO GUIMARAES ABRAHAO</t>
  </si>
  <si>
    <t>00886772737</t>
  </si>
  <si>
    <t>20312</t>
  </si>
  <si>
    <t>MARCOS AURELIO MELO DA SILVA</t>
  </si>
  <si>
    <t>08024923718</t>
  </si>
  <si>
    <t>18346</t>
  </si>
  <si>
    <t>MARCOS BENICIO CORDEIRO MOREIRA</t>
  </si>
  <si>
    <t>05623310770</t>
  </si>
  <si>
    <t>22001</t>
  </si>
  <si>
    <t>MARCOS DE AZEVEDO MARQUIOTI</t>
  </si>
  <si>
    <t>05685169744</t>
  </si>
  <si>
    <t>20366</t>
  </si>
  <si>
    <t>MARCOS DUBOWSKI</t>
  </si>
  <si>
    <t>10054538882</t>
  </si>
  <si>
    <t>19540</t>
  </si>
  <si>
    <t>MARCOS FILIPE RABELLO MORAIS</t>
  </si>
  <si>
    <t>11550370731</t>
  </si>
  <si>
    <t>24006</t>
  </si>
  <si>
    <t>MARCOS FILIPE SANTOS NASCIMENTO LEITE</t>
  </si>
  <si>
    <t>08568369588</t>
  </si>
  <si>
    <t>17708</t>
  </si>
  <si>
    <t>MARCOS RODRIGUES DIAS</t>
  </si>
  <si>
    <t>12572295750</t>
  </si>
  <si>
    <t>20024</t>
  </si>
  <si>
    <t>MARCOS SANTANA DOS SANTOS</t>
  </si>
  <si>
    <t>02195159561</t>
  </si>
  <si>
    <t>07544</t>
  </si>
  <si>
    <t>MARCOS VINICIUS ANDRE DA SILVA CRUZ</t>
  </si>
  <si>
    <t>17045338724</t>
  </si>
  <si>
    <t>23951</t>
  </si>
  <si>
    <t>MARCOS VINICIUS SILVA</t>
  </si>
  <si>
    <t>05771950505</t>
  </si>
  <si>
    <t>22496</t>
  </si>
  <si>
    <t>MARCUS VINICIUS NOGUEIRA ALVES</t>
  </si>
  <si>
    <t>15278988738</t>
  </si>
  <si>
    <t>17536</t>
  </si>
  <si>
    <t>MARCUS VINICIUS ROCHA DA SILVA</t>
  </si>
  <si>
    <t>13834634760</t>
  </si>
  <si>
    <t>20406</t>
  </si>
  <si>
    <t>MARCUS VINICIUS TAVARES CHAGAS</t>
  </si>
  <si>
    <t>11007357711</t>
  </si>
  <si>
    <t>17634</t>
  </si>
  <si>
    <t>MARGARETE DE OLIVEIRA SILVA</t>
  </si>
  <si>
    <t>09836236783</t>
  </si>
  <si>
    <t>21920</t>
  </si>
  <si>
    <t>MARIA AMELIA VIRGILIO</t>
  </si>
  <si>
    <t>07696184725</t>
  </si>
  <si>
    <t>22132</t>
  </si>
  <si>
    <t>MARIA APARECIDA ALVES DOS SANTOS</t>
  </si>
  <si>
    <t>83305483504</t>
  </si>
  <si>
    <t>23858</t>
  </si>
  <si>
    <t>MARIA CARLA PESSANHA ATTYE MOCO</t>
  </si>
  <si>
    <t>10842619798</t>
  </si>
  <si>
    <t>18030</t>
  </si>
  <si>
    <t>MARIA DA CONCEICAO TAVARES</t>
  </si>
  <si>
    <t>03066679756</t>
  </si>
  <si>
    <t>18034</t>
  </si>
  <si>
    <t>MARIA DAS GRACAS SOUZA DE JESUS</t>
  </si>
  <si>
    <t>03526914508</t>
  </si>
  <si>
    <t>18188</t>
  </si>
  <si>
    <t>MARIA DAS NEVES FERREIRA</t>
  </si>
  <si>
    <t>03939663727</t>
  </si>
  <si>
    <t>22054</t>
  </si>
  <si>
    <t>MARIA DO CARMO BATISTA</t>
  </si>
  <si>
    <t>00197647740</t>
  </si>
  <si>
    <t>22081</t>
  </si>
  <si>
    <t>MARIA JOSE CONCEICAO BOTELHO</t>
  </si>
  <si>
    <t>09550869733</t>
  </si>
  <si>
    <t>18032</t>
  </si>
  <si>
    <t>MARIA LUACI DOS SANTOS BACELAR</t>
  </si>
  <si>
    <t>83308660504</t>
  </si>
  <si>
    <t>23931</t>
  </si>
  <si>
    <t>MARIA ZILDA SANTOS SOUZA</t>
  </si>
  <si>
    <t>05222380769</t>
  </si>
  <si>
    <t>20151</t>
  </si>
  <si>
    <t>MARIANA MARIA RIBEIRO</t>
  </si>
  <si>
    <t>02103822790</t>
  </si>
  <si>
    <t>04182</t>
  </si>
  <si>
    <t>MARIANE DE SOUZA DOS SANTOS</t>
  </si>
  <si>
    <t>13354105704</t>
  </si>
  <si>
    <t>24934</t>
  </si>
  <si>
    <t>MARIELIS MARCIANO DE SOUZA</t>
  </si>
  <si>
    <t>08330942708</t>
  </si>
  <si>
    <t>17711</t>
  </si>
  <si>
    <t>MARILENE DO NASCIMENTO CONCEICAO DA SILVA</t>
  </si>
  <si>
    <t>08139908746</t>
  </si>
  <si>
    <t>17820</t>
  </si>
  <si>
    <t>MARILIA DOS SANTOS</t>
  </si>
  <si>
    <t>11844443744</t>
  </si>
  <si>
    <t>18070</t>
  </si>
  <si>
    <t>MARILZA DE OLIVEIRA SILVA</t>
  </si>
  <si>
    <t>09027855757</t>
  </si>
  <si>
    <t>18147</t>
  </si>
  <si>
    <t>MARIO SERGIO DA SILVA</t>
  </si>
  <si>
    <t>04941164636</t>
  </si>
  <si>
    <t>14227</t>
  </si>
  <si>
    <t>MARKELES PEREIRA LOPES</t>
  </si>
  <si>
    <t>08379124316</t>
  </si>
  <si>
    <t>18145</t>
  </si>
  <si>
    <t>MARLA SILVA SOUSA CUNHA</t>
  </si>
  <si>
    <t>10543021700</t>
  </si>
  <si>
    <t>17706</t>
  </si>
  <si>
    <t>MARLENE DE SOUZA BERNARDO SILVA</t>
  </si>
  <si>
    <t>09740803733</t>
  </si>
  <si>
    <t>18302</t>
  </si>
  <si>
    <t>MARLON DOUGLAS CARVALHO</t>
  </si>
  <si>
    <t>19943346736</t>
  </si>
  <si>
    <t>15142</t>
  </si>
  <si>
    <t>MATEUS ANDRE DA SILVA CRUZ</t>
  </si>
  <si>
    <t>17568051722</t>
  </si>
  <si>
    <t>15240</t>
  </si>
  <si>
    <t>MATEUS CAMILO DA SILVA</t>
  </si>
  <si>
    <t>10005326664</t>
  </si>
  <si>
    <t>11155</t>
  </si>
  <si>
    <t>MATEUS DE SOUZA DA SILVA</t>
  </si>
  <si>
    <t>15127848775</t>
  </si>
  <si>
    <t>20095</t>
  </si>
  <si>
    <t>MATHEUS ALVES ROMAO</t>
  </si>
  <si>
    <t>20545726751</t>
  </si>
  <si>
    <t>14380</t>
  </si>
  <si>
    <t>MATHEUS BARCELOS DA FONSECA</t>
  </si>
  <si>
    <t>16080355736</t>
  </si>
  <si>
    <t>23894</t>
  </si>
  <si>
    <t>MATHEUS FELIX DA SILVA SALVADOR</t>
  </si>
  <si>
    <t>19401773750</t>
  </si>
  <si>
    <t>19908</t>
  </si>
  <si>
    <t>MATHEUS FRANCO MOREIRA ROSA</t>
  </si>
  <si>
    <t>14054255710</t>
  </si>
  <si>
    <t>24264</t>
  </si>
  <si>
    <t>MATHEUS INACIO PESSANHA</t>
  </si>
  <si>
    <t>17195204707</t>
  </si>
  <si>
    <t>24496</t>
  </si>
  <si>
    <t>MATHEUS JORGE DOS SANTOS DA SILVA</t>
  </si>
  <si>
    <t>22556513780</t>
  </si>
  <si>
    <t>18297</t>
  </si>
  <si>
    <t>MATHEUS PIRES DE SOUSA CUNHA</t>
  </si>
  <si>
    <t>16107319727</t>
  </si>
  <si>
    <t>18969</t>
  </si>
  <si>
    <t>MATHEUS PRADO MACEDO</t>
  </si>
  <si>
    <t>18704554795</t>
  </si>
  <si>
    <t>21388</t>
  </si>
  <si>
    <t>MATHEUS REBELLO DA FONSECA</t>
  </si>
  <si>
    <t>17444703752</t>
  </si>
  <si>
    <t>24900</t>
  </si>
  <si>
    <t>MATHEUS REIS BORBA</t>
  </si>
  <si>
    <t>17954909778</t>
  </si>
  <si>
    <t>20007</t>
  </si>
  <si>
    <t>MAURILIO DE SOUSA VASCONCELLOS</t>
  </si>
  <si>
    <t>85938521734</t>
  </si>
  <si>
    <t>20781</t>
  </si>
  <si>
    <t>MAURILIO PEREIRA FERNANDES</t>
  </si>
  <si>
    <t>09939612745</t>
  </si>
  <si>
    <t>20072</t>
  </si>
  <si>
    <t>MAURO DE SOUZA GUIMARAES</t>
  </si>
  <si>
    <t>14760640754</t>
  </si>
  <si>
    <t>20094</t>
  </si>
  <si>
    <t>MAURO WESLEY FEITOSA DA CONCEICAO</t>
  </si>
  <si>
    <t>05111458298</t>
  </si>
  <si>
    <t>20370</t>
  </si>
  <si>
    <t>MAX BRENER TORRES DE LIMA</t>
  </si>
  <si>
    <t>17421279750</t>
  </si>
  <si>
    <t>20077</t>
  </si>
  <si>
    <t>MAX VITOR THOMAZ DE SOUZA</t>
  </si>
  <si>
    <t>12878013743</t>
  </si>
  <si>
    <t>20205</t>
  </si>
  <si>
    <t>MAXWEL OLIVEIRA DA SILVA</t>
  </si>
  <si>
    <t>16368389796</t>
  </si>
  <si>
    <t>24959</t>
  </si>
  <si>
    <t>MAYARA GURGEL RODRIGUES</t>
  </si>
  <si>
    <t>18124234701</t>
  </si>
  <si>
    <t>18928</t>
  </si>
  <si>
    <t>MAYCO OLIVEIRA SANTANA</t>
  </si>
  <si>
    <t>21042471797</t>
  </si>
  <si>
    <t>21662</t>
  </si>
  <si>
    <t>MAYCON DE SOUZA CORREA</t>
  </si>
  <si>
    <t>16076042729</t>
  </si>
  <si>
    <t>20271</t>
  </si>
  <si>
    <t>MAYCON DOS SANTOS SILVA</t>
  </si>
  <si>
    <t>71580804470</t>
  </si>
  <si>
    <t>20211</t>
  </si>
  <si>
    <t>MAYCON EDWIRGES BARRETO</t>
  </si>
  <si>
    <t>15330989728</t>
  </si>
  <si>
    <t>18187</t>
  </si>
  <si>
    <t>MAYLA SOARES XAVIER MACHADO</t>
  </si>
  <si>
    <t>17511024750</t>
  </si>
  <si>
    <t>20698</t>
  </si>
  <si>
    <t xml:space="preserve">MELISSA DA SILVA DE OLIVEIRA </t>
  </si>
  <si>
    <t>18788466710</t>
  </si>
  <si>
    <t>20384</t>
  </si>
  <si>
    <t>MICHAEL DA SILVA DE PAULA</t>
  </si>
  <si>
    <t>13175191754</t>
  </si>
  <si>
    <t>18348</t>
  </si>
  <si>
    <t>MICHAEL DE JESUS DA SILVA</t>
  </si>
  <si>
    <t>18443107790</t>
  </si>
  <si>
    <t>22688</t>
  </si>
  <si>
    <t>MICHEL DAVID DE MORAES DA SILVA</t>
  </si>
  <si>
    <t>17699712706</t>
  </si>
  <si>
    <t>24889</t>
  </si>
  <si>
    <t>MICHELLE ESPINDOLA BARROS ABREU LUCINDO</t>
  </si>
  <si>
    <t>11374307700</t>
  </si>
  <si>
    <t>23884</t>
  </si>
  <si>
    <t>MICHELLE GOMES ESTEVAO DA SILVA</t>
  </si>
  <si>
    <t>07540985755</t>
  </si>
  <si>
    <t>22031</t>
  </si>
  <si>
    <t>MIDIAN DA SILVA DUTRA ALVES</t>
  </si>
  <si>
    <t>02947979559</t>
  </si>
  <si>
    <t>18347</t>
  </si>
  <si>
    <t>MIGUEL DOS SANTOS PAULA</t>
  </si>
  <si>
    <t>98693514768</t>
  </si>
  <si>
    <t>10554</t>
  </si>
  <si>
    <t>MILTON PORTO DA SILVA</t>
  </si>
  <si>
    <t>85917842787</t>
  </si>
  <si>
    <t>19163</t>
  </si>
  <si>
    <t>MIRELLA GOMES DE MATTOS</t>
  </si>
  <si>
    <t>20168036738</t>
  </si>
  <si>
    <t>13727</t>
  </si>
  <si>
    <t>MOISES ESTANISLAU PINTO</t>
  </si>
  <si>
    <t>01784003786</t>
  </si>
  <si>
    <t>22419</t>
  </si>
  <si>
    <t>MONICA DE FATIMA BRUM</t>
  </si>
  <si>
    <t>01885719736</t>
  </si>
  <si>
    <t>22834</t>
  </si>
  <si>
    <t>MURILO DOS SANTOS SILVA</t>
  </si>
  <si>
    <t>16549537762</t>
  </si>
  <si>
    <t>24404</t>
  </si>
  <si>
    <t>MURILO HENRIQUE LOPES COELHO</t>
  </si>
  <si>
    <t>13843268711</t>
  </si>
  <si>
    <t>20212</t>
  </si>
  <si>
    <t>MYLENA ALVES SILVA</t>
  </si>
  <si>
    <t>18705851785</t>
  </si>
  <si>
    <t>22486</t>
  </si>
  <si>
    <t>MYLENA MELO DA SILVA CARNEIRO</t>
  </si>
  <si>
    <t>06270244757</t>
  </si>
  <si>
    <t>20748</t>
  </si>
  <si>
    <t>NAIADE VIEIRA RAMOS</t>
  </si>
  <si>
    <t>05817179709</t>
  </si>
  <si>
    <t>24824</t>
  </si>
  <si>
    <t>NAIARA PEREIRA DA CONCEICAO BASTOS</t>
  </si>
  <si>
    <t>20638056799</t>
  </si>
  <si>
    <t>24207</t>
  </si>
  <si>
    <t>NATALIA CRISTINA PINHEIRO</t>
  </si>
  <si>
    <t>15370624763</t>
  </si>
  <si>
    <t>17764</t>
  </si>
  <si>
    <t>NATALIE DE JESUS BRITO SOUZA</t>
  </si>
  <si>
    <t>02857853548</t>
  </si>
  <si>
    <t>24397</t>
  </si>
  <si>
    <t>NATALINA DA SILVA LIMA</t>
  </si>
  <si>
    <t>13692327722</t>
  </si>
  <si>
    <t>18154</t>
  </si>
  <si>
    <t>NATALINO DE SOUZA</t>
  </si>
  <si>
    <t>62399306791</t>
  </si>
  <si>
    <t>12938</t>
  </si>
  <si>
    <t>NATHALIA AQUINO FERREIRA</t>
  </si>
  <si>
    <t>COORDENADOR DE PLANEJAMENTO</t>
  </si>
  <si>
    <t>12344700714</t>
  </si>
  <si>
    <t>23892</t>
  </si>
  <si>
    <t>NATHALIA FRAGA DA SILVA</t>
  </si>
  <si>
    <t>13102377785</t>
  </si>
  <si>
    <t>20342</t>
  </si>
  <si>
    <t>NAYARA CAETANO GOIS</t>
  </si>
  <si>
    <t>TECNICO EM QUIMICA</t>
  </si>
  <si>
    <t>14337469729</t>
  </si>
  <si>
    <t>18150</t>
  </si>
  <si>
    <t>NEIVALDO JOSE DE MORAES SILVA</t>
  </si>
  <si>
    <t>75595192704</t>
  </si>
  <si>
    <t>18038</t>
  </si>
  <si>
    <t>NELCELIA DE JESUS SANTOS</t>
  </si>
  <si>
    <t>02360379518</t>
  </si>
  <si>
    <t>23131</t>
  </si>
  <si>
    <t>NELSON PEREIRA BRAGANCA FILHO</t>
  </si>
  <si>
    <t>00323652760</t>
  </si>
  <si>
    <t>17617</t>
  </si>
  <si>
    <t>NERISCEU BARCELOS DO DESTERRO</t>
  </si>
  <si>
    <t>00008704716</t>
  </si>
  <si>
    <t>17643</t>
  </si>
  <si>
    <t>NEUSETE CABRAL DA SILVA BARCELOS</t>
  </si>
  <si>
    <t>01749022710</t>
  </si>
  <si>
    <t>19526</t>
  </si>
  <si>
    <t>NEUZA PAIXAO MENEZES SIQUEIRA</t>
  </si>
  <si>
    <t>11960225774</t>
  </si>
  <si>
    <t>13045</t>
  </si>
  <si>
    <t>NICOLAS COELHO DO NASCIMENTO</t>
  </si>
  <si>
    <t>17951627755</t>
  </si>
  <si>
    <t>22476</t>
  </si>
  <si>
    <t>NILCILEA DE ALMEIDA DA SILVA</t>
  </si>
  <si>
    <t>11901395707</t>
  </si>
  <si>
    <t>18462</t>
  </si>
  <si>
    <t>NOELIA MOTA DE FREITAS</t>
  </si>
  <si>
    <t>01345873590</t>
  </si>
  <si>
    <t>24208</t>
  </si>
  <si>
    <t>NOEMI DE FIGUEIREDO BARBOSA</t>
  </si>
  <si>
    <t>12300770733</t>
  </si>
  <si>
    <t>22050</t>
  </si>
  <si>
    <t>NUBIA ROSANGELA DA SILVA</t>
  </si>
  <si>
    <t>00382408748</t>
  </si>
  <si>
    <t>20323</t>
  </si>
  <si>
    <t>ORLANDO DAS DORES FILHO</t>
  </si>
  <si>
    <t>12798424747</t>
  </si>
  <si>
    <t>24757</t>
  </si>
  <si>
    <t>OSCAR DE FREITAS DUTRA NETO</t>
  </si>
  <si>
    <t>40741855801</t>
  </si>
  <si>
    <t>20284</t>
  </si>
  <si>
    <t>OTAVIO DA CONCEICAO SILVA MOREIRA</t>
  </si>
  <si>
    <t>21042396728</t>
  </si>
  <si>
    <t>18466</t>
  </si>
  <si>
    <t>PABLO JUNIOR DE ARAUJO DUTRA</t>
  </si>
  <si>
    <t>20669884723</t>
  </si>
  <si>
    <t>22825</t>
  </si>
  <si>
    <t>PABLO SODRE DOS SANTOS BRAZ</t>
  </si>
  <si>
    <t>16963310726</t>
  </si>
  <si>
    <t>18042</t>
  </si>
  <si>
    <t>PATRICIA BARRETO</t>
  </si>
  <si>
    <t>11168853796</t>
  </si>
  <si>
    <t>17714</t>
  </si>
  <si>
    <t>PATRICIA GOMES DA SILVA SANTOS</t>
  </si>
  <si>
    <t>83481109415</t>
  </si>
  <si>
    <t>22490</t>
  </si>
  <si>
    <t>PATRICK DIAS RIBEIRO DE OLIVEIRA</t>
  </si>
  <si>
    <t>11624470793</t>
  </si>
  <si>
    <t>12435</t>
  </si>
  <si>
    <t>PATRICK SANTOS DE MORAES CARVALHO</t>
  </si>
  <si>
    <t>SUPERVISOR DE ENGENHARIA</t>
  </si>
  <si>
    <t>10656455705</t>
  </si>
  <si>
    <t>20464</t>
  </si>
  <si>
    <t>PATRIK SCHLUCKEBIER DA SILVA</t>
  </si>
  <si>
    <t>17272304774</t>
  </si>
  <si>
    <t>20244</t>
  </si>
  <si>
    <t>PAULO ALBERTO CHAVES TAVARES DO NORTE</t>
  </si>
  <si>
    <t>14498986709</t>
  </si>
  <si>
    <t>23682</t>
  </si>
  <si>
    <t>PAULO CESAR DA SILVA DO ESPIRITO SANTO</t>
  </si>
  <si>
    <t>01686644701</t>
  </si>
  <si>
    <t>23946</t>
  </si>
  <si>
    <t>PAULO CESAR DE AZEVEDO OLIVEIRA</t>
  </si>
  <si>
    <t>03241453731</t>
  </si>
  <si>
    <t>17716</t>
  </si>
  <si>
    <t>PAULO CESAR MIGUEL LEONEL</t>
  </si>
  <si>
    <t>03955968740</t>
  </si>
  <si>
    <t>24394</t>
  </si>
  <si>
    <t>PAULO HENRIQUE AGUIAR OLIVEIRA</t>
  </si>
  <si>
    <t>15743677735</t>
  </si>
  <si>
    <t>24837</t>
  </si>
  <si>
    <t>PAULO HENRIQUE CAMPOS TAVARES</t>
  </si>
  <si>
    <t>16173881730</t>
  </si>
  <si>
    <t>20272</t>
  </si>
  <si>
    <t>PAULO HENRIQUE COSTA DOS SANTOS</t>
  </si>
  <si>
    <t>21043174796</t>
  </si>
  <si>
    <t>18459</t>
  </si>
  <si>
    <t>PAULO HENRIQUE SILVA DOS SANTOS</t>
  </si>
  <si>
    <t>13303151709</t>
  </si>
  <si>
    <t>17709</t>
  </si>
  <si>
    <t>PAULO HENRIQUE SILVA FERREIRA</t>
  </si>
  <si>
    <t>07599860703</t>
  </si>
  <si>
    <t>20309</t>
  </si>
  <si>
    <t>PAULO HENRIQUE VIEIRA MEIRELES</t>
  </si>
  <si>
    <t>08533375786</t>
  </si>
  <si>
    <t>18098</t>
  </si>
  <si>
    <t>PAULO MICHEL SILVA LIMA</t>
  </si>
  <si>
    <t>02513182570</t>
  </si>
  <si>
    <t>20450</t>
  </si>
  <si>
    <t>PAULO RENATO SOUZA DA COSTA</t>
  </si>
  <si>
    <t>11101310707</t>
  </si>
  <si>
    <t>15365</t>
  </si>
  <si>
    <t>PAULO RICARDO DA ROSA DIAS</t>
  </si>
  <si>
    <t>17689691757</t>
  </si>
  <si>
    <t>13870</t>
  </si>
  <si>
    <t>PAULO ROBERTO PEREIRA DA SILVA</t>
  </si>
  <si>
    <t>01765611709</t>
  </si>
  <si>
    <t>12586</t>
  </si>
  <si>
    <t>PAULO ROSSI DOS SANTOS PINTO</t>
  </si>
  <si>
    <t>10168298767</t>
  </si>
  <si>
    <t>21657</t>
  </si>
  <si>
    <t>PAULO SANTIAGO GALDINO</t>
  </si>
  <si>
    <t>04568277736</t>
  </si>
  <si>
    <t>19164</t>
  </si>
  <si>
    <t>PAULO SERGIO DA SILVA SANTOS</t>
  </si>
  <si>
    <t>17657507764</t>
  </si>
  <si>
    <t>18120</t>
  </si>
  <si>
    <t>PAULO SERGIO DE ALMEIDA FERREIRA</t>
  </si>
  <si>
    <t>50309293715</t>
  </si>
  <si>
    <t>23924</t>
  </si>
  <si>
    <t>PAULO SERGIO DOS SANTOS</t>
  </si>
  <si>
    <t>86935607515</t>
  </si>
  <si>
    <t>20301</t>
  </si>
  <si>
    <t>PAULO SERGIO DOS SANTOS FERREIRA</t>
  </si>
  <si>
    <t>07671565792</t>
  </si>
  <si>
    <t>15134</t>
  </si>
  <si>
    <t>PAULO SILVA</t>
  </si>
  <si>
    <t>13691950795</t>
  </si>
  <si>
    <t>22030</t>
  </si>
  <si>
    <t>PEDRO ARTHUR VICTOR BARBOZA</t>
  </si>
  <si>
    <t>16173936739</t>
  </si>
  <si>
    <t>22485</t>
  </si>
  <si>
    <t>PEDRO GOMES LIMA</t>
  </si>
  <si>
    <t>89267834568</t>
  </si>
  <si>
    <t>24166</t>
  </si>
  <si>
    <t>PEDRO HENRIQUE DA ROCHA</t>
  </si>
  <si>
    <t>19064263760</t>
  </si>
  <si>
    <t>03964</t>
  </si>
  <si>
    <t>PEDRO HENRIQUE DA SILVA BARRETO</t>
  </si>
  <si>
    <t>15283736776</t>
  </si>
  <si>
    <t>20187</t>
  </si>
  <si>
    <t>PEDRO HENRIQUE DA SILVA MELO</t>
  </si>
  <si>
    <t>15839056936</t>
  </si>
  <si>
    <t>23147</t>
  </si>
  <si>
    <t>PEDRO HENRIQUE DE LIMA PASSOS SOUZA</t>
  </si>
  <si>
    <t>13253480747</t>
  </si>
  <si>
    <t>18363</t>
  </si>
  <si>
    <t>PEDRO MACHADO DAFLON</t>
  </si>
  <si>
    <t>15161484799</t>
  </si>
  <si>
    <t>22417</t>
  </si>
  <si>
    <t>PEDRO TEIXEIRA BATISTA</t>
  </si>
  <si>
    <t>83319450778</t>
  </si>
  <si>
    <t>18842</t>
  </si>
  <si>
    <t>PEDRO VAZ CAMINHA DA SILVA PEREIRA</t>
  </si>
  <si>
    <t>14439957706</t>
  </si>
  <si>
    <t>21828</t>
  </si>
  <si>
    <t>PETER LOPES DA SILVA</t>
  </si>
  <si>
    <t>16188356709</t>
  </si>
  <si>
    <t>24607</t>
  </si>
  <si>
    <t>24503</t>
  </si>
  <si>
    <t>PHELLIPE AUGUSTO CAMELO BASTOS</t>
  </si>
  <si>
    <t>15680723760</t>
  </si>
  <si>
    <t>18534</t>
  </si>
  <si>
    <t>PHILIPE LEMOS PAES</t>
  </si>
  <si>
    <t>19058775798</t>
  </si>
  <si>
    <t>21389</t>
  </si>
  <si>
    <t>PHILLIPE MELLO DE OLIVEIRA</t>
  </si>
  <si>
    <t>15741170765</t>
  </si>
  <si>
    <t>24822</t>
  </si>
  <si>
    <t>PRISCILLA DONATO SILVA NUNES</t>
  </si>
  <si>
    <t>13118760737</t>
  </si>
  <si>
    <t>18063</t>
  </si>
  <si>
    <t>RAFAEL DE ANDRADE KLEIN</t>
  </si>
  <si>
    <t>13230160746</t>
  </si>
  <si>
    <t>18995</t>
  </si>
  <si>
    <t>RAFAEL DE OLIVEIRA ALMEIDA VAZ</t>
  </si>
  <si>
    <t>10841183783</t>
  </si>
  <si>
    <t>13757</t>
  </si>
  <si>
    <t>RAFAEL LEITE FERNANDES</t>
  </si>
  <si>
    <t>11154081788</t>
  </si>
  <si>
    <t>10555</t>
  </si>
  <si>
    <t>RAFAEL SOUZA DE CARVALHO</t>
  </si>
  <si>
    <t>13815746701</t>
  </si>
  <si>
    <t>20377</t>
  </si>
  <si>
    <t>RAFAEL VICTOR DA SILVA DANTAS</t>
  </si>
  <si>
    <t>21086328752</t>
  </si>
  <si>
    <t>21803</t>
  </si>
  <si>
    <t>RAFAELLA DA SILVA MESQUITA REID</t>
  </si>
  <si>
    <t>15591116744</t>
  </si>
  <si>
    <t>18536</t>
  </si>
  <si>
    <t>RAFHAEL NASCIMENTO DOS SANTOS</t>
  </si>
  <si>
    <t>21076083773</t>
  </si>
  <si>
    <t>18151</t>
  </si>
  <si>
    <t>RAIMUNDO DE CASTRO MACIEL</t>
  </si>
  <si>
    <t>02693226716</t>
  </si>
  <si>
    <t>22881</t>
  </si>
  <si>
    <t>RALF MADUREIRA VITORIANO</t>
  </si>
  <si>
    <t>15151991779</t>
  </si>
  <si>
    <t>18879</t>
  </si>
  <si>
    <t>RALF OLIVEIRA GONCALVES</t>
  </si>
  <si>
    <t>12046997719</t>
  </si>
  <si>
    <t>12591</t>
  </si>
  <si>
    <t>RALPH SILVA DE SA CASANOVA</t>
  </si>
  <si>
    <t>16748764750</t>
  </si>
  <si>
    <t>18097</t>
  </si>
  <si>
    <t>RAMON FRANCA DANIEL</t>
  </si>
  <si>
    <t>06120293795</t>
  </si>
  <si>
    <t>18817</t>
  </si>
  <si>
    <t>RAMON NASCIMENTO FRANCA ALVES</t>
  </si>
  <si>
    <t>05771335789</t>
  </si>
  <si>
    <t>20383</t>
  </si>
  <si>
    <t>RAPHAEL DA CUNHA PEREIRA</t>
  </si>
  <si>
    <t>08042414730</t>
  </si>
  <si>
    <t>22287</t>
  </si>
  <si>
    <t>RAPHAEL GONCALVES DE SOUZA</t>
  </si>
  <si>
    <t>12824741708</t>
  </si>
  <si>
    <t>15360</t>
  </si>
  <si>
    <t>RAPHAEL SILVA DE SA CASANOVA</t>
  </si>
  <si>
    <t>16760838718</t>
  </si>
  <si>
    <t>13848</t>
  </si>
  <si>
    <t>RAPHAEL TAUIL DA COSTA</t>
  </si>
  <si>
    <t>11677737727</t>
  </si>
  <si>
    <t>22840</t>
  </si>
  <si>
    <t>RAQUEL MARTINS CELESTINO DA MOTA</t>
  </si>
  <si>
    <t>11476229732</t>
  </si>
  <si>
    <t>17687</t>
  </si>
  <si>
    <t>RAUILEN FELICIANO DA SILVA</t>
  </si>
  <si>
    <t>12890574784</t>
  </si>
  <si>
    <t>23956</t>
  </si>
  <si>
    <t>RAYANE SANTOS CASTELO</t>
  </si>
  <si>
    <t>16215928712</t>
  </si>
  <si>
    <t>17655</t>
  </si>
  <si>
    <t>REBERT DE OLIVEIRA NICOLAU</t>
  </si>
  <si>
    <t>18152250767</t>
  </si>
  <si>
    <t>23882</t>
  </si>
  <si>
    <t>REGIANE SANTOS DA SILVA</t>
  </si>
  <si>
    <t>11456789716</t>
  </si>
  <si>
    <t>17839</t>
  </si>
  <si>
    <t>REGINA CELESTE SANTOS DA HORA</t>
  </si>
  <si>
    <t>19821530591</t>
  </si>
  <si>
    <t>18279</t>
  </si>
  <si>
    <t>REIJANE DE JESUS DO SANTOS</t>
  </si>
  <si>
    <t>02260240593</t>
  </si>
  <si>
    <t>20386</t>
  </si>
  <si>
    <t>RENATA ARLINDO DA SILVA FIGUEIREDO</t>
  </si>
  <si>
    <t>10241826730</t>
  </si>
  <si>
    <t>20749</t>
  </si>
  <si>
    <t>RENATA CUNHA MARINS</t>
  </si>
  <si>
    <t>16447781737</t>
  </si>
  <si>
    <t>18280</t>
  </si>
  <si>
    <t>RENATA VENTURA DE ANDRADE</t>
  </si>
  <si>
    <t>10981637701</t>
  </si>
  <si>
    <t>18119</t>
  </si>
  <si>
    <t>RENATO DE OLIVEIRA SILVA</t>
  </si>
  <si>
    <t>03950836721</t>
  </si>
  <si>
    <t>12434</t>
  </si>
  <si>
    <t>RENATO LOPES GRIJO</t>
  </si>
  <si>
    <t>08194906792</t>
  </si>
  <si>
    <t>21065</t>
  </si>
  <si>
    <t>RENATO TEIXEIRA DE ABREU</t>
  </si>
  <si>
    <t>BOMBEIRO CIVIL</t>
  </si>
  <si>
    <t>01356952798</t>
  </si>
  <si>
    <t>23927</t>
  </si>
  <si>
    <t>RICARDO CAMPOS ROCHA JUNIOR</t>
  </si>
  <si>
    <t>16962200765</t>
  </si>
  <si>
    <t>17644</t>
  </si>
  <si>
    <t>RICARDO GOMES DOS SANTOS</t>
  </si>
  <si>
    <t>08150086781</t>
  </si>
  <si>
    <t>15246</t>
  </si>
  <si>
    <t>RICARDO SOARES DA COSTA JUNIOR</t>
  </si>
  <si>
    <t>13753152773</t>
  </si>
  <si>
    <t>18305</t>
  </si>
  <si>
    <t>RIVE BARRETO BATALHA</t>
  </si>
  <si>
    <t>02013493703</t>
  </si>
  <si>
    <t>12593</t>
  </si>
  <si>
    <t>ROBERTO ADRIANO CRESPO WETTERLING</t>
  </si>
  <si>
    <t>95005994734</t>
  </si>
  <si>
    <t>20319</t>
  </si>
  <si>
    <t>ROBERTO DOS SANTOS</t>
  </si>
  <si>
    <t>12386916766</t>
  </si>
  <si>
    <t>13274</t>
  </si>
  <si>
    <t>ROBERTO JUNIO MANHAES BARBOSA</t>
  </si>
  <si>
    <t>13423953799</t>
  </si>
  <si>
    <t>18975</t>
  </si>
  <si>
    <t>ROBERTO MOSCOSO CARDOSO PIRES</t>
  </si>
  <si>
    <t>13459654783</t>
  </si>
  <si>
    <t>18531</t>
  </si>
  <si>
    <t>ROBERTO SOUSA BARROS</t>
  </si>
  <si>
    <t>09637905600</t>
  </si>
  <si>
    <t>15472</t>
  </si>
  <si>
    <t>ROBERTO VIEIRA DA SILVA</t>
  </si>
  <si>
    <t>01097906779</t>
  </si>
  <si>
    <t>07294</t>
  </si>
  <si>
    <t>ROBSON ANTERO DA SILVA</t>
  </si>
  <si>
    <t>11702023737</t>
  </si>
  <si>
    <t>13123</t>
  </si>
  <si>
    <t>ROBSON BARCELOS MAGALHAES</t>
  </si>
  <si>
    <t>08211057794</t>
  </si>
  <si>
    <t>07284</t>
  </si>
  <si>
    <t>ROBSON DA CONCEICAO BASILIO</t>
  </si>
  <si>
    <t>05873446792</t>
  </si>
  <si>
    <t>07301</t>
  </si>
  <si>
    <t>ROBSON DOS SANTOS VIEIRA</t>
  </si>
  <si>
    <t>05594601716</t>
  </si>
  <si>
    <t>21919</t>
  </si>
  <si>
    <t>ROBSON MATOS DA SILVA</t>
  </si>
  <si>
    <t>40436962802</t>
  </si>
  <si>
    <t>22491</t>
  </si>
  <si>
    <t>ROBSON MOLINA ALVES JUNIOR</t>
  </si>
  <si>
    <t>14222627747</t>
  </si>
  <si>
    <t>10594</t>
  </si>
  <si>
    <t>RODOLFO SANTOS FERNANDES</t>
  </si>
  <si>
    <t>08962872706</t>
  </si>
  <si>
    <t>15377</t>
  </si>
  <si>
    <t>RODRIGO ALBINO DO CARMO</t>
  </si>
  <si>
    <t>07608264713</t>
  </si>
  <si>
    <t>18191</t>
  </si>
  <si>
    <t>RODRIGO BAPTISTA GOMES</t>
  </si>
  <si>
    <t>11198154799</t>
  </si>
  <si>
    <t>20349</t>
  </si>
  <si>
    <t>RODRIGO CEZARIO DIOGO</t>
  </si>
  <si>
    <t>08223902729</t>
  </si>
  <si>
    <t>20204</t>
  </si>
  <si>
    <t>RODRIGO DA SILVA RIBEIRO</t>
  </si>
  <si>
    <t>15230604760</t>
  </si>
  <si>
    <t>18287</t>
  </si>
  <si>
    <t>RODRIGO DOS ANJOS LIMA</t>
  </si>
  <si>
    <t>07750139435</t>
  </si>
  <si>
    <t>18139</t>
  </si>
  <si>
    <t>RODRIGO NASCIMENTO DE SOUZA</t>
  </si>
  <si>
    <t>09101860739</t>
  </si>
  <si>
    <t>18358</t>
  </si>
  <si>
    <t>RODRIGO NETO DA SILVA</t>
  </si>
  <si>
    <t>08095252751</t>
  </si>
  <si>
    <t>18077</t>
  </si>
  <si>
    <t>RODRIGO NOVAIS BAHIA</t>
  </si>
  <si>
    <t>05104531635</t>
  </si>
  <si>
    <t>22598</t>
  </si>
  <si>
    <t>RODRIGO QUINTELA QUEIROZ</t>
  </si>
  <si>
    <t>05694187717</t>
  </si>
  <si>
    <t>13851</t>
  </si>
  <si>
    <t>RODRIGO RIBEIRO DA SILVA</t>
  </si>
  <si>
    <t>32779438878</t>
  </si>
  <si>
    <t>02427</t>
  </si>
  <si>
    <t>RODRIGO SOUZA BANDEIRA SOBRINHO</t>
  </si>
  <si>
    <t>08231415785</t>
  </si>
  <si>
    <t>24211</t>
  </si>
  <si>
    <t>RODRIGO VASCONCELOS FERREIRA DE JESUS</t>
  </si>
  <si>
    <t>12209814782</t>
  </si>
  <si>
    <t>23922</t>
  </si>
  <si>
    <t>RODRIGO VERNECK DA SILVA DAMASCENO</t>
  </si>
  <si>
    <t>19135005785</t>
  </si>
  <si>
    <t>21287</t>
  </si>
  <si>
    <t>ROGERIO JORGE DA SILVA</t>
  </si>
  <si>
    <t>02915953759</t>
  </si>
  <si>
    <t>24021</t>
  </si>
  <si>
    <t>ROGERIO PAULO DA SILVA</t>
  </si>
  <si>
    <t>07415110889</t>
  </si>
  <si>
    <t>20210</t>
  </si>
  <si>
    <t>ROGERIO SILVA</t>
  </si>
  <si>
    <t>00711928754</t>
  </si>
  <si>
    <t>21402</t>
  </si>
  <si>
    <t>ROMARIO FREITAS DE SOUZA</t>
  </si>
  <si>
    <t>14200884755</t>
  </si>
  <si>
    <t>21918</t>
  </si>
  <si>
    <t>ROMENILDO DOS SANTOS</t>
  </si>
  <si>
    <t>05658774454</t>
  </si>
  <si>
    <t>24259</t>
  </si>
  <si>
    <t>RONALDO CEZAR DA SILVA</t>
  </si>
  <si>
    <t>03598192657</t>
  </si>
  <si>
    <t>24775</t>
  </si>
  <si>
    <t>RONALDO DA COSTA MAGALHAES</t>
  </si>
  <si>
    <t>13062519746</t>
  </si>
  <si>
    <t>24280</t>
  </si>
  <si>
    <t>RONALDO MOREIRA DA SILVA</t>
  </si>
  <si>
    <t>15938572762</t>
  </si>
  <si>
    <t>18181</t>
  </si>
  <si>
    <t>RONEY PETERSON COELHO CAPISTRANO</t>
  </si>
  <si>
    <t>02897341777</t>
  </si>
  <si>
    <t>18909</t>
  </si>
  <si>
    <t>ROSANA MACHADO DO CARMO</t>
  </si>
  <si>
    <t>13122442752</t>
  </si>
  <si>
    <t>18041</t>
  </si>
  <si>
    <t>ROSANGELA DA CONCEICAO GARCIA</t>
  </si>
  <si>
    <t>86647440763</t>
  </si>
  <si>
    <t>23929</t>
  </si>
  <si>
    <t>ROSANGELA FERREIRA DA SILVA CUNHA</t>
  </si>
  <si>
    <t>09488549793</t>
  </si>
  <si>
    <t>18058</t>
  </si>
  <si>
    <t>ROSANGELA FRANCISCA DA SILVA SANTA BRIGIDA</t>
  </si>
  <si>
    <t>03042287700</t>
  </si>
  <si>
    <t>18093</t>
  </si>
  <si>
    <t>ROSEANE DOS SANTOS NEPOMUCENO</t>
  </si>
  <si>
    <t>05218892513</t>
  </si>
  <si>
    <t>22820</t>
  </si>
  <si>
    <t>ROSELI NUNES DA CONCEICAO SANTOS</t>
  </si>
  <si>
    <t>01402754795</t>
  </si>
  <si>
    <t>23958</t>
  </si>
  <si>
    <t>ROSEMARA TEREZA MARAVILHA</t>
  </si>
  <si>
    <t>08753896785</t>
  </si>
  <si>
    <t>21906</t>
  </si>
  <si>
    <t>ROSIELEN LINHARES DA ROCHA</t>
  </si>
  <si>
    <t>21017108706</t>
  </si>
  <si>
    <t>18085</t>
  </si>
  <si>
    <t>ROSIL MARINHO DE SOUZA FILHO</t>
  </si>
  <si>
    <t>10076225712</t>
  </si>
  <si>
    <t>17743</t>
  </si>
  <si>
    <t>ROSILENE SOUSA PINHEIRO</t>
  </si>
  <si>
    <t>00225809303</t>
  </si>
  <si>
    <t>20710</t>
  </si>
  <si>
    <t>ROSIMERI BARCELOS</t>
  </si>
  <si>
    <t>97691356749</t>
  </si>
  <si>
    <t>19004</t>
  </si>
  <si>
    <t>ROSIMERI FERREIRA BOCOMPANHE SANDRE DA CRUZ</t>
  </si>
  <si>
    <t>07988449737</t>
  </si>
  <si>
    <t>19531</t>
  </si>
  <si>
    <t>ROSINETE ALVES PARREIRA SEVERO</t>
  </si>
  <si>
    <t>12570421731</t>
  </si>
  <si>
    <t>24371</t>
  </si>
  <si>
    <t>RUAN GOMES RIBEIRO ALVES</t>
  </si>
  <si>
    <t>10590472763</t>
  </si>
  <si>
    <t>18129</t>
  </si>
  <si>
    <t>RUAN LOPES BARCELLOS JUNIOR</t>
  </si>
  <si>
    <t>06530124705</t>
  </si>
  <si>
    <t>18090</t>
  </si>
  <si>
    <t>RUANA BARBOSA GARCIA APOLINARIO</t>
  </si>
  <si>
    <t>40155767801</t>
  </si>
  <si>
    <t>20322</t>
  </si>
  <si>
    <t>RUBEM ALVES DE AZEVEDO FILHO</t>
  </si>
  <si>
    <t>07995905769</t>
  </si>
  <si>
    <t>13868</t>
  </si>
  <si>
    <t>RUBENS MACHADO RICARDO</t>
  </si>
  <si>
    <t>PINTOR II</t>
  </si>
  <si>
    <t>10075564718</t>
  </si>
  <si>
    <t>17760</t>
  </si>
  <si>
    <t>RUDHI RAFAEL DOS SANTOS ROZIM</t>
  </si>
  <si>
    <t>30603479804</t>
  </si>
  <si>
    <t>17761</t>
  </si>
  <si>
    <t>RUIMAR VERISSIMO DOS SANTOS</t>
  </si>
  <si>
    <t>01768610762</t>
  </si>
  <si>
    <t>21088</t>
  </si>
  <si>
    <t>RUTE GOMES DOS SANTOS</t>
  </si>
  <si>
    <t>08912609513</t>
  </si>
  <si>
    <t>16777</t>
  </si>
  <si>
    <t>RUTHE CORREA CIRQUEIRA LEITE</t>
  </si>
  <si>
    <t>16586961742</t>
  </si>
  <si>
    <t>20660</t>
  </si>
  <si>
    <t xml:space="preserve">RYAN WAGNER OLIVEIRA CONCEICAO </t>
  </si>
  <si>
    <t>09343217528</t>
  </si>
  <si>
    <t>23901</t>
  </si>
  <si>
    <t>RYAN WILLARD MELLO DE OLIVEIRA</t>
  </si>
  <si>
    <t>15741179711</t>
  </si>
  <si>
    <t>14109</t>
  </si>
  <si>
    <t>SAMARA APARECIDA DA SILVA</t>
  </si>
  <si>
    <t>16326788706</t>
  </si>
  <si>
    <t>21715</t>
  </si>
  <si>
    <t>SAMILY VENTURINI MUSSI FERNANDES</t>
  </si>
  <si>
    <t>12408648769</t>
  </si>
  <si>
    <t>17637</t>
  </si>
  <si>
    <t>SANDRA DANIELLY RICARDO DA SILVA</t>
  </si>
  <si>
    <t>09746388703</t>
  </si>
  <si>
    <t>18087</t>
  </si>
  <si>
    <t>SANDRA MARIA ROCHA DOS SANTOS</t>
  </si>
  <si>
    <t>95941029500</t>
  </si>
  <si>
    <t>23879</t>
  </si>
  <si>
    <t>SANDRA VELASCO DOS SANTOS</t>
  </si>
  <si>
    <t>11108782736</t>
  </si>
  <si>
    <t>03675</t>
  </si>
  <si>
    <t>SANDRO GOMES VIEIRA</t>
  </si>
  <si>
    <t>09824188762</t>
  </si>
  <si>
    <t>24823</t>
  </si>
  <si>
    <t>SARA BARBOSA DA SILVA MACHADO</t>
  </si>
  <si>
    <t>17016583724</t>
  </si>
  <si>
    <t>19981</t>
  </si>
  <si>
    <t>SARA BAZILIO GONCALVES</t>
  </si>
  <si>
    <t>06584835600</t>
  </si>
  <si>
    <t>21582</t>
  </si>
  <si>
    <t>SAULO MENDONCA DOS SANTOS</t>
  </si>
  <si>
    <t>17667010781</t>
  </si>
  <si>
    <t>15378</t>
  </si>
  <si>
    <t>SAULO PINHEIRO MARTINS</t>
  </si>
  <si>
    <t>13413250752</t>
  </si>
  <si>
    <t>23831</t>
  </si>
  <si>
    <t>SAVIO FAGUNDES LOPES LEMOS</t>
  </si>
  <si>
    <t>18079828741</t>
  </si>
  <si>
    <t>18289</t>
  </si>
  <si>
    <t>SAVIO HENRIQUE DA ROCHA SOUZA</t>
  </si>
  <si>
    <t>19587423763</t>
  </si>
  <si>
    <t>21587</t>
  </si>
  <si>
    <t>SAVIO SAMPAIO DA SILVA</t>
  </si>
  <si>
    <t>15284531744</t>
  </si>
  <si>
    <t>18359</t>
  </si>
  <si>
    <t>SCHINEIDER MOREIRA DA SILVA</t>
  </si>
  <si>
    <t>14390534726</t>
  </si>
  <si>
    <t>24185</t>
  </si>
  <si>
    <t>SCHNEIFFITZ FERREIRA DA CRUZ JUNIOR</t>
  </si>
  <si>
    <t>92179118368</t>
  </si>
  <si>
    <t>10537</t>
  </si>
  <si>
    <t>SERGIO GAMA PEREIRA</t>
  </si>
  <si>
    <t>80595650791</t>
  </si>
  <si>
    <t>19033</t>
  </si>
  <si>
    <t>SERGIO LUIS AGUIAR DA SILVA</t>
  </si>
  <si>
    <t>02479438783</t>
  </si>
  <si>
    <t>20330</t>
  </si>
  <si>
    <t>SERGIO LUIS DA SILVA E SILVA</t>
  </si>
  <si>
    <t>12001502796</t>
  </si>
  <si>
    <t>24719</t>
  </si>
  <si>
    <t>SHEILA DA SILVA COSTA</t>
  </si>
  <si>
    <t>06276666718</t>
  </si>
  <si>
    <t>18073</t>
  </si>
  <si>
    <t>SHEILA DE SOUZA CUNHA MARGARIZO BARBOSA</t>
  </si>
  <si>
    <t>08006930783</t>
  </si>
  <si>
    <t>19764</t>
  </si>
  <si>
    <t>SIDIRLEIA FIALHO RODRIGUES PRACA</t>
  </si>
  <si>
    <t>09819709660</t>
  </si>
  <si>
    <t>07225</t>
  </si>
  <si>
    <t>SIDNEI BASTOS POSES</t>
  </si>
  <si>
    <t>09524688751</t>
  </si>
  <si>
    <t>20181</t>
  </si>
  <si>
    <t>SIDNEI SANTANA FERREIRA</t>
  </si>
  <si>
    <t>86125724522</t>
  </si>
  <si>
    <t>20408</t>
  </si>
  <si>
    <t>SIDNEY LOPES COELHO</t>
  </si>
  <si>
    <t>16649844705</t>
  </si>
  <si>
    <t>22078</t>
  </si>
  <si>
    <t>SILVANA SANTOS FURTADO</t>
  </si>
  <si>
    <t>27768163249</t>
  </si>
  <si>
    <t>19924</t>
  </si>
  <si>
    <t>SILVIO CESAR MENDONCA BARCELLOS</t>
  </si>
  <si>
    <t>06347920751</t>
  </si>
  <si>
    <t>18207</t>
  </si>
  <si>
    <t>SIMONE DIAS DE ANDRADE BARBOSA DA SILVA</t>
  </si>
  <si>
    <t>13345127792</t>
  </si>
  <si>
    <t>17710</t>
  </si>
  <si>
    <t>SIMONE GOMES</t>
  </si>
  <si>
    <t>12263146784</t>
  </si>
  <si>
    <t>15183</t>
  </si>
  <si>
    <t>SIMONE OLIVEIRA DA SILVA</t>
  </si>
  <si>
    <t>07810517708</t>
  </si>
  <si>
    <t>17620</t>
  </si>
  <si>
    <t>SIMONE XAVIER DA SILVA</t>
  </si>
  <si>
    <t>10432156704</t>
  </si>
  <si>
    <t>13723</t>
  </si>
  <si>
    <t>SIRLEY BATISTA BRITO</t>
  </si>
  <si>
    <t>11200645707</t>
  </si>
  <si>
    <t>18175</t>
  </si>
  <si>
    <t>SOLANGE MARTINS</t>
  </si>
  <si>
    <t>01749109751</t>
  </si>
  <si>
    <t>18118</t>
  </si>
  <si>
    <t>SONIA BARBOSA LEITE</t>
  </si>
  <si>
    <t>04196380751</t>
  </si>
  <si>
    <t>17769</t>
  </si>
  <si>
    <t>SONIA MARIA VIANA RIBEIRO</t>
  </si>
  <si>
    <t>09524956780</t>
  </si>
  <si>
    <t>24217</t>
  </si>
  <si>
    <t>STEFANI BATISTA DA SILVA</t>
  </si>
  <si>
    <t>DESENHISTA PROJETISTA I</t>
  </si>
  <si>
    <t>14958608761</t>
  </si>
  <si>
    <t>20460</t>
  </si>
  <si>
    <t>TALES ROSA DOS SANTOS</t>
  </si>
  <si>
    <t>13701492719</t>
  </si>
  <si>
    <t>20195</t>
  </si>
  <si>
    <t>TAMARA SANTOS DA SILVA</t>
  </si>
  <si>
    <t>38165124889</t>
  </si>
  <si>
    <t>22042</t>
  </si>
  <si>
    <t>TAMIRES PIRES DA SILVA RODRIGUES</t>
  </si>
  <si>
    <t>01981832670</t>
  </si>
  <si>
    <t>18043</t>
  </si>
  <si>
    <t>TATIANA DA CONCEICAO SILVA SANTOS</t>
  </si>
  <si>
    <t>10467400750</t>
  </si>
  <si>
    <t>22818</t>
  </si>
  <si>
    <t>TATIANA FELINTO DOS SANTOS</t>
  </si>
  <si>
    <t>10345093739</t>
  </si>
  <si>
    <t>22774</t>
  </si>
  <si>
    <t>TATIANA SENRA CERQUEIRA IGREJA</t>
  </si>
  <si>
    <t>07138719620</t>
  </si>
  <si>
    <t>20463</t>
  </si>
  <si>
    <t>TAUA RIBEIRO MONTEIRO</t>
  </si>
  <si>
    <t>13114436730</t>
  </si>
  <si>
    <t>18847</t>
  </si>
  <si>
    <t>TELMA DA CRUZ SOUZA</t>
  </si>
  <si>
    <t>00131607537</t>
  </si>
  <si>
    <t>20340</t>
  </si>
  <si>
    <t>TELMAR PINTO SANTIAGO</t>
  </si>
  <si>
    <t>00695917765</t>
  </si>
  <si>
    <t>24545</t>
  </si>
  <si>
    <t>TERESA RAQUEL DAS GOMES</t>
  </si>
  <si>
    <t>16168352732</t>
  </si>
  <si>
    <t>22052</t>
  </si>
  <si>
    <t>THAFILLA PORTO DE OLIVEIRA</t>
  </si>
  <si>
    <t>16558552710</t>
  </si>
  <si>
    <t>17746</t>
  </si>
  <si>
    <t>THAINA DA ANUNCIACAO THOMAZ</t>
  </si>
  <si>
    <t>17835214733</t>
  </si>
  <si>
    <t>23954</t>
  </si>
  <si>
    <t>THAIS ALEXANDRE DE SOUZA</t>
  </si>
  <si>
    <t>21017657726</t>
  </si>
  <si>
    <t>19541</t>
  </si>
  <si>
    <t>THAIS BEZERRA PINTO SANTANA</t>
  </si>
  <si>
    <t>14672108708</t>
  </si>
  <si>
    <t>17193</t>
  </si>
  <si>
    <t>THAIS BRUM GARCIA</t>
  </si>
  <si>
    <t>12121747710</t>
  </si>
  <si>
    <t>22058</t>
  </si>
  <si>
    <t>THAIS DAMASCO DIAS</t>
  </si>
  <si>
    <t>16434278730</t>
  </si>
  <si>
    <t>20109</t>
  </si>
  <si>
    <t>THAIS DE ASSIS OLIVEIRA</t>
  </si>
  <si>
    <t>15624108737</t>
  </si>
  <si>
    <t>24799</t>
  </si>
  <si>
    <t>THALES CORDEIRO SILVEIRA</t>
  </si>
  <si>
    <t>16720317709</t>
  </si>
  <si>
    <t>21404</t>
  </si>
  <si>
    <t>THALES PEREIRA TORRES DA CONCEICAO</t>
  </si>
  <si>
    <t>17597619740</t>
  </si>
  <si>
    <t>17489</t>
  </si>
  <si>
    <t>THALYA LIMA VENANCIO</t>
  </si>
  <si>
    <t>17342508799</t>
  </si>
  <si>
    <t>24936</t>
  </si>
  <si>
    <t>THAYNA DE SOUZA BARBOSA</t>
  </si>
  <si>
    <t>18551938762</t>
  </si>
  <si>
    <t>20291</t>
  </si>
  <si>
    <t>THIAGO AMARAL DOS SANTOS</t>
  </si>
  <si>
    <t>14913292706</t>
  </si>
  <si>
    <t>20091</t>
  </si>
  <si>
    <t>THIAGO ANDRE DE OLIVEIRA</t>
  </si>
  <si>
    <t>18869097765</t>
  </si>
  <si>
    <t>02474</t>
  </si>
  <si>
    <t>THIAGO NOGUEIRA DE BARROS</t>
  </si>
  <si>
    <t>10402757700</t>
  </si>
  <si>
    <t>20110</t>
  </si>
  <si>
    <t>THIAGO PORTO CAVALCANTI</t>
  </si>
  <si>
    <t>15017933735</t>
  </si>
  <si>
    <t>20372</t>
  </si>
  <si>
    <t>THIAGO SANTOS DE ANDRADE REIS</t>
  </si>
  <si>
    <t>15526954765</t>
  </si>
  <si>
    <t>12524</t>
  </si>
  <si>
    <t>THIAGO SODRE</t>
  </si>
  <si>
    <t>14813798799</t>
  </si>
  <si>
    <t>13853</t>
  </si>
  <si>
    <t>THIAGO SOUZA DE ALMEIDA CEZAR</t>
  </si>
  <si>
    <t>11785254731</t>
  </si>
  <si>
    <t>20101</t>
  </si>
  <si>
    <t>TIAGO DE ALMEIDA MARAVILHA</t>
  </si>
  <si>
    <t>17030718755</t>
  </si>
  <si>
    <t>18069</t>
  </si>
  <si>
    <t>TIAGO DE OLIVEIRA DIAS</t>
  </si>
  <si>
    <t>12009287762</t>
  </si>
  <si>
    <t>21835</t>
  </si>
  <si>
    <t>TIAGO SUHET DO NASCIMENTO</t>
  </si>
  <si>
    <t>12910339718</t>
  </si>
  <si>
    <t>22240</t>
  </si>
  <si>
    <t>TIAGO TAVARES PESSANHA</t>
  </si>
  <si>
    <t>12951622708</t>
  </si>
  <si>
    <t>22645</t>
  </si>
  <si>
    <t>UELDSON BARRETO DA SILVA</t>
  </si>
  <si>
    <t>12618658710</t>
  </si>
  <si>
    <t>23283</t>
  </si>
  <si>
    <t>UELINGTON XAVIER DA CONCEICAO</t>
  </si>
  <si>
    <t>10880076780</t>
  </si>
  <si>
    <t>17792</t>
  </si>
  <si>
    <t>VALDA MARIA DOS SANTOS NOGUEIRA</t>
  </si>
  <si>
    <t>03064136712</t>
  </si>
  <si>
    <t>21263</t>
  </si>
  <si>
    <t>VALDEMIR DA CONCEICAO OLIVEIRA</t>
  </si>
  <si>
    <t>62351494768</t>
  </si>
  <si>
    <t>18132</t>
  </si>
  <si>
    <t>VALDENIR DE AMORIM</t>
  </si>
  <si>
    <t>77485483749</t>
  </si>
  <si>
    <t>12517</t>
  </si>
  <si>
    <t>VALDENIR PEREIRA</t>
  </si>
  <si>
    <t>85177725715</t>
  </si>
  <si>
    <t>18074</t>
  </si>
  <si>
    <t>VALDEVINO TIL CAETANO</t>
  </si>
  <si>
    <t>00104030780</t>
  </si>
  <si>
    <t>17718</t>
  </si>
  <si>
    <t>VALDINEIA VIEIRA NUNES LOPES</t>
  </si>
  <si>
    <t>01763732762</t>
  </si>
  <si>
    <t>20682</t>
  </si>
  <si>
    <t>VALMIR DA CONCEICAO NETO</t>
  </si>
  <si>
    <t>14811226739</t>
  </si>
  <si>
    <t>21261</t>
  </si>
  <si>
    <t>VALMIR DE OLIVEIRA PEREIRA</t>
  </si>
  <si>
    <t>01644284707</t>
  </si>
  <si>
    <t>17685</t>
  </si>
  <si>
    <t>VALMIR OLIVEIRA BARBOSA</t>
  </si>
  <si>
    <t>04194159713</t>
  </si>
  <si>
    <t>18360</t>
  </si>
  <si>
    <t>VALTECIR TAVARES DO PRADO</t>
  </si>
  <si>
    <t>73913510753</t>
  </si>
  <si>
    <t>14077</t>
  </si>
  <si>
    <t>VANDER JUNIOR MARAVILHA DE ALMEIDA</t>
  </si>
  <si>
    <t>14996451718</t>
  </si>
  <si>
    <t>23921</t>
  </si>
  <si>
    <t>VANESSA GOMES DE MELO PRUDENCIO</t>
  </si>
  <si>
    <t>15291498781</t>
  </si>
  <si>
    <t>17776</t>
  </si>
  <si>
    <t>VANESSA NASCIMENTO RIBEIRO DE ARAUJO</t>
  </si>
  <si>
    <t>12596125706</t>
  </si>
  <si>
    <t>11116</t>
  </si>
  <si>
    <t>VANESSA RAMOS DOS SANTOS CASTRO</t>
  </si>
  <si>
    <t>11687773726</t>
  </si>
  <si>
    <t>23887</t>
  </si>
  <si>
    <t>VANIA CRISTINA DE SOUZA NASCIMENTO</t>
  </si>
  <si>
    <t>05400870767</t>
  </si>
  <si>
    <t>17793</t>
  </si>
  <si>
    <t>VANIA DE JESUS DA COSTA FERNANDES</t>
  </si>
  <si>
    <t>10266981704</t>
  </si>
  <si>
    <t>18071</t>
  </si>
  <si>
    <t>VANIA IARA DE SOUZA BRANDAO EVANGELISTA</t>
  </si>
  <si>
    <t>03361736790</t>
  </si>
  <si>
    <t>18149</t>
  </si>
  <si>
    <t>VANILDO CARDOSO DA SILVA</t>
  </si>
  <si>
    <t>10115043756</t>
  </si>
  <si>
    <t>22008</t>
  </si>
  <si>
    <t>VANUSA DOS SANTOS MENDES GOMES</t>
  </si>
  <si>
    <t>03219922538</t>
  </si>
  <si>
    <t>20078</t>
  </si>
  <si>
    <t>VICTOR DA SILVA SOUZA</t>
  </si>
  <si>
    <t>10626645743</t>
  </si>
  <si>
    <t>07246</t>
  </si>
  <si>
    <t>VICTOR FARIA SIQUEIRA LIMA</t>
  </si>
  <si>
    <t>11207709719</t>
  </si>
  <si>
    <t>23074</t>
  </si>
  <si>
    <t>VICTOR GONCALVES SIMOES FONTANHA</t>
  </si>
  <si>
    <t>11778068782</t>
  </si>
  <si>
    <t>20185</t>
  </si>
  <si>
    <t>VICTOR GUILHERME DOREA DOS REIS</t>
  </si>
  <si>
    <t>21066359741</t>
  </si>
  <si>
    <t>24286</t>
  </si>
  <si>
    <t>VICTOR HUGO DOS SANTOS FERREIRA</t>
  </si>
  <si>
    <t>15138137735</t>
  </si>
  <si>
    <t>24816</t>
  </si>
  <si>
    <t>VICTOR HUGO VALENTIM SILVA</t>
  </si>
  <si>
    <t>14752536722</t>
  </si>
  <si>
    <t>07343</t>
  </si>
  <si>
    <t>VICTOR LAPA MARTINS</t>
  </si>
  <si>
    <t>12114206718</t>
  </si>
  <si>
    <t>18965</t>
  </si>
  <si>
    <t>VICTOR MONTEIRO LOUREIRO PINTO</t>
  </si>
  <si>
    <t>17200657727</t>
  </si>
  <si>
    <t>22795</t>
  </si>
  <si>
    <t>VICTOR OLIVEIRA MIRANDA DE SOUZA</t>
  </si>
  <si>
    <t>18820258730</t>
  </si>
  <si>
    <t>18288</t>
  </si>
  <si>
    <t>VINICIOS DA SILVA SANTOS RABELLO</t>
  </si>
  <si>
    <t>11723964778</t>
  </si>
  <si>
    <t>23857</t>
  </si>
  <si>
    <t>VINICIUS ESTRELLA COLLYER</t>
  </si>
  <si>
    <t>09648982767</t>
  </si>
  <si>
    <t>22479</t>
  </si>
  <si>
    <t>VINICIUS FERNANDES LUIZ</t>
  </si>
  <si>
    <t>18516842711</t>
  </si>
  <si>
    <t>20253</t>
  </si>
  <si>
    <t>VITOR BATISTA FRANCISCO</t>
  </si>
  <si>
    <t>11255288779</t>
  </si>
  <si>
    <t>11336</t>
  </si>
  <si>
    <t>VITOR CALDEIRA BARBOZA</t>
  </si>
  <si>
    <t>16328029705</t>
  </si>
  <si>
    <t>12547</t>
  </si>
  <si>
    <t>VITOR DE SOUZA RODRIGUES</t>
  </si>
  <si>
    <t>18294177709</t>
  </si>
  <si>
    <t>20252</t>
  </si>
  <si>
    <t>VITOR DOS SANTOS BORGES</t>
  </si>
  <si>
    <t>09243850733</t>
  </si>
  <si>
    <t>23985</t>
  </si>
  <si>
    <t>VIVIANE DAS MERCES DA SILVA</t>
  </si>
  <si>
    <t>02858549257</t>
  </si>
  <si>
    <t>17893</t>
  </si>
  <si>
    <t>VIVIANE DE JESUS DIAS SILVA</t>
  </si>
  <si>
    <t>02866576519</t>
  </si>
  <si>
    <t>11181</t>
  </si>
  <si>
    <t>WAGNER DA SILVA SIQUEIRA</t>
  </si>
  <si>
    <t>13377092714</t>
  </si>
  <si>
    <t>23923</t>
  </si>
  <si>
    <t>WAGNER DE PAULA COSTA</t>
  </si>
  <si>
    <t>13460490764</t>
  </si>
  <si>
    <t>12577</t>
  </si>
  <si>
    <t>WALAS LIMA DOS SANTOS</t>
  </si>
  <si>
    <t>17080674778</t>
  </si>
  <si>
    <t>13845</t>
  </si>
  <si>
    <t>WALESKA FERREIRA DA SILVA</t>
  </si>
  <si>
    <t>08875926786</t>
  </si>
  <si>
    <t>20251</t>
  </si>
  <si>
    <t>WALESON DA SILVA ALVES</t>
  </si>
  <si>
    <t>14684663728</t>
  </si>
  <si>
    <t>20287</t>
  </si>
  <si>
    <t>WALLACE EMANOEL SOARES COSTA</t>
  </si>
  <si>
    <t>16175044754</t>
  </si>
  <si>
    <t>03510</t>
  </si>
  <si>
    <t>WALLACE NAVARRO CARVALHO</t>
  </si>
  <si>
    <t>11979341702</t>
  </si>
  <si>
    <t>23932</t>
  </si>
  <si>
    <t>WALLACE RODRIGUES CORREA</t>
  </si>
  <si>
    <t>16481619793</t>
  </si>
  <si>
    <t>18270</t>
  </si>
  <si>
    <t>WALTER RODRIGUES DA SILVA</t>
  </si>
  <si>
    <t>64069389768</t>
  </si>
  <si>
    <t>20702</t>
  </si>
  <si>
    <t>WANDER ALVES MORAES</t>
  </si>
  <si>
    <t>15889336878</t>
  </si>
  <si>
    <t>20218</t>
  </si>
  <si>
    <t>WANDER DE MORAES XAVIER JARDIM</t>
  </si>
  <si>
    <t>16991960799</t>
  </si>
  <si>
    <t>22882</t>
  </si>
  <si>
    <t>WANDERLEY DE OLIVEIRA</t>
  </si>
  <si>
    <t>01279985780</t>
  </si>
  <si>
    <t>15366</t>
  </si>
  <si>
    <t>WANDERSON DA SILVA ALVES</t>
  </si>
  <si>
    <t>18264665764</t>
  </si>
  <si>
    <t>22499</t>
  </si>
  <si>
    <t>WANDERSON GARCIA ROLEMBERG</t>
  </si>
  <si>
    <t>16580155760</t>
  </si>
  <si>
    <t>20310</t>
  </si>
  <si>
    <t>WANESSA RIBEIRO GUIA DA SILVA</t>
  </si>
  <si>
    <t>18594264763</t>
  </si>
  <si>
    <t>23144</t>
  </si>
  <si>
    <t>WASHINGTON TITO FERREIRA</t>
  </si>
  <si>
    <t>15193812716</t>
  </si>
  <si>
    <t>13528</t>
  </si>
  <si>
    <t>WEBSON ADAO BORGES</t>
  </si>
  <si>
    <t>13677880726</t>
  </si>
  <si>
    <t>20344</t>
  </si>
  <si>
    <t>WELDSON CARDOSO MARTINS DE SOUZA</t>
  </si>
  <si>
    <t>20813051789</t>
  </si>
  <si>
    <t>24287</t>
  </si>
  <si>
    <t>WELINGTON ANTONIO NUNES SOARES</t>
  </si>
  <si>
    <t>09845149707</t>
  </si>
  <si>
    <t>21802</t>
  </si>
  <si>
    <t>WELINGTON GERALDO PEIXOTO</t>
  </si>
  <si>
    <t>07286262688</t>
  </si>
  <si>
    <t>20299</t>
  </si>
  <si>
    <t>WELINGTON VITORIO SANTOS</t>
  </si>
  <si>
    <t>44040395816</t>
  </si>
  <si>
    <t>18576</t>
  </si>
  <si>
    <t>WELINTON LUIS CONTAIFER DOS SANTOS</t>
  </si>
  <si>
    <t>09469274725</t>
  </si>
  <si>
    <t>24961</t>
  </si>
  <si>
    <t>WELLINGTON DE OLIVEIRA PEREIRA</t>
  </si>
  <si>
    <t>10400979799</t>
  </si>
  <si>
    <t>14545</t>
  </si>
  <si>
    <t>WELLINGTON DUARTE RIBEIRO</t>
  </si>
  <si>
    <t>14544899796</t>
  </si>
  <si>
    <t>14038</t>
  </si>
  <si>
    <t>WELLINGTON MOTA DA SILVA</t>
  </si>
  <si>
    <t>15560443727</t>
  </si>
  <si>
    <t>20395</t>
  </si>
  <si>
    <t>WELLINGTON SILVA DE SOUZA</t>
  </si>
  <si>
    <t>06086112479</t>
  </si>
  <si>
    <t>21382</t>
  </si>
  <si>
    <t>WELLINTON BEZERRA LEITE</t>
  </si>
  <si>
    <t>05025043409</t>
  </si>
  <si>
    <t>19909</t>
  </si>
  <si>
    <t>WEMERSON FERREIRA SOARES FIALHO</t>
  </si>
  <si>
    <t>09568876782</t>
  </si>
  <si>
    <t>20104</t>
  </si>
  <si>
    <t>WESHELEY FACINO DE LEMOS BARBOSA</t>
  </si>
  <si>
    <t>22137039737</t>
  </si>
  <si>
    <t>22874</t>
  </si>
  <si>
    <t>WESLEY MEIRELES VIEIRA</t>
  </si>
  <si>
    <t>14530677796</t>
  </si>
  <si>
    <t>20387</t>
  </si>
  <si>
    <t>WESLEY PEREIRA DA SILVA</t>
  </si>
  <si>
    <t>18362733713</t>
  </si>
  <si>
    <t>17823</t>
  </si>
  <si>
    <t>WEVESTON CARLOS ANDRADE DOMINGUES SANTOS</t>
  </si>
  <si>
    <t>15270687739</t>
  </si>
  <si>
    <t>17719</t>
  </si>
  <si>
    <t>WILCEMARTON RIBEIRO CORREA</t>
  </si>
  <si>
    <t>03941905724</t>
  </si>
  <si>
    <t>17641</t>
  </si>
  <si>
    <t>WILDE DOS SANTOS MACARIO</t>
  </si>
  <si>
    <t>86631493528</t>
  </si>
  <si>
    <t>15374</t>
  </si>
  <si>
    <t>WILLIAN ALVES DOS SANTOS EMERIK</t>
  </si>
  <si>
    <t>14879820709</t>
  </si>
  <si>
    <t>18517</t>
  </si>
  <si>
    <t>WILLIAN CARVALHO DA SILVA COSTA</t>
  </si>
  <si>
    <t>20389391794</t>
  </si>
  <si>
    <t>23087</t>
  </si>
  <si>
    <t>WILLON GABI MARQUES NUNES GONCALVES</t>
  </si>
  <si>
    <t>15916395736</t>
  </si>
  <si>
    <t>22388</t>
  </si>
  <si>
    <t>WILLYS CABRAL DE SOUZA</t>
  </si>
  <si>
    <t>84741759768</t>
  </si>
  <si>
    <t>24790</t>
  </si>
  <si>
    <t>WINNIS PINTO SANTANA</t>
  </si>
  <si>
    <t>04110096723</t>
  </si>
  <si>
    <t>22817</t>
  </si>
  <si>
    <t>WISLAN BEZERRA LEITE</t>
  </si>
  <si>
    <t>13718524481</t>
  </si>
  <si>
    <t>23609</t>
  </si>
  <si>
    <t>YAN CAMPOS CHAN</t>
  </si>
  <si>
    <t>18955773730</t>
  </si>
  <si>
    <t>24337</t>
  </si>
  <si>
    <t>YASMIN GRAIN CARVALHO</t>
  </si>
  <si>
    <t>14921607761</t>
  </si>
  <si>
    <t>24818</t>
  </si>
  <si>
    <t>YHAGO DE OLIVEIRA DA SILVA</t>
  </si>
  <si>
    <t>18604834702</t>
  </si>
  <si>
    <t>15249</t>
  </si>
  <si>
    <t>YURI ARAUJO FERREIRA DE SIQUEIRA</t>
  </si>
  <si>
    <t>06381468793</t>
  </si>
  <si>
    <t>07223</t>
  </si>
  <si>
    <t>YURI CARVALHO BARBOSA</t>
  </si>
  <si>
    <t>12957150743</t>
  </si>
  <si>
    <t>20302</t>
  </si>
  <si>
    <t>YURI GUARNIERI LUCINDRO DA SILVA</t>
  </si>
  <si>
    <t>20477887732</t>
  </si>
  <si>
    <t>18261</t>
  </si>
  <si>
    <t>YURY FERRAZ RODRIGUES NASCIMENTO DOS SANTOS</t>
  </si>
  <si>
    <t>22930844779</t>
  </si>
  <si>
    <t>17646</t>
  </si>
  <si>
    <t>ZILIAN CAMPOS GOMES</t>
  </si>
  <si>
    <t>34525903805</t>
  </si>
  <si>
    <t>TAILANE</t>
  </si>
  <si>
    <t>Auxiliar de Almoxarife II</t>
  </si>
  <si>
    <t>Engenheiro de Eletrica</t>
  </si>
  <si>
    <t>Supervisor de Refrigeração</t>
  </si>
  <si>
    <t>SUPERVISÃO OPERACIONAL</t>
  </si>
  <si>
    <t>SUPERVISÃO ADMINISTRATIVA</t>
  </si>
  <si>
    <t>GESTÃO DE OCUPACAO</t>
  </si>
  <si>
    <t>KAIO KNUPP</t>
  </si>
  <si>
    <t>APOIO TECNICO</t>
  </si>
  <si>
    <t>Inspetor Predial</t>
  </si>
  <si>
    <t>Tecnico Agronomo</t>
  </si>
  <si>
    <t>Operador</t>
  </si>
  <si>
    <t>Encarregado de Elétrica</t>
  </si>
  <si>
    <t>Encarregado de Eletromecânica</t>
  </si>
  <si>
    <t>OPERAÇÃO - EQUIPE A</t>
  </si>
  <si>
    <t>OPERAÇÃO - EQUIPE B</t>
  </si>
  <si>
    <t>REFRIGERAÇÃO</t>
  </si>
  <si>
    <t>ELETROMECÂNICA</t>
  </si>
  <si>
    <t>Operador - 4x4</t>
  </si>
  <si>
    <t>Técnico de Elétrica</t>
  </si>
  <si>
    <t>Pedreiro (líder)</t>
  </si>
  <si>
    <t>Eletricista - 4x4</t>
  </si>
  <si>
    <t>Mecanico de Refrigeracao</t>
  </si>
  <si>
    <t>Ajudante de Elétrica Predial - 4x4</t>
  </si>
  <si>
    <t>Oficial de Refrigeracao</t>
  </si>
  <si>
    <t>GRAZIELE OSORIO DE CASTRO COUTO DE OLIVEIRA</t>
  </si>
  <si>
    <t>PROMOÇÃO INTERNA</t>
  </si>
  <si>
    <t>CARPINTARIA</t>
  </si>
  <si>
    <t>MOVIMENTAÇÃO DE VOLUMES</t>
  </si>
  <si>
    <t>Oficial de Refrigeracao - 4x4</t>
  </si>
  <si>
    <t>Ajudante de Elétrica Predial</t>
  </si>
  <si>
    <t>Marceneiro</t>
  </si>
  <si>
    <t>Carpinteiro</t>
  </si>
  <si>
    <t>Pintor (líder)</t>
  </si>
  <si>
    <t>Bombeiro Hidraulico</t>
  </si>
  <si>
    <t>Encarregado de Andaime</t>
  </si>
  <si>
    <t>Estivas</t>
  </si>
  <si>
    <t>Ajudante de Refrigeração</t>
  </si>
  <si>
    <t>Pedreiro</t>
  </si>
  <si>
    <t>OPERAÇÃO - EQUIPE C</t>
  </si>
  <si>
    <t>OPERAÇÃO - EQUIPE D</t>
  </si>
  <si>
    <t>Ajudante de Marceneiro</t>
  </si>
  <si>
    <t>Artifice</t>
  </si>
  <si>
    <t>Ajudante de Carpinteiro</t>
  </si>
  <si>
    <t>Ajudante de Bombeiro Predial</t>
  </si>
  <si>
    <t>Ajudante de Caldeiraria Predial</t>
  </si>
  <si>
    <t>Montador de Andaime</t>
  </si>
  <si>
    <t>Auxiliar de Manutenção em Caldeiraria</t>
  </si>
  <si>
    <t>Elétrica</t>
  </si>
  <si>
    <t>Ajudante de Pintura Industrial</t>
  </si>
  <si>
    <t>BARRA DO FURADO</t>
  </si>
  <si>
    <t>AREAS VERDES</t>
  </si>
  <si>
    <t>LIMPEZA</t>
  </si>
  <si>
    <t>Ajudante de Pedreiro</t>
  </si>
  <si>
    <t>FAZENDA SEVERINA</t>
  </si>
  <si>
    <t>Cabiunas</t>
  </si>
  <si>
    <t>Fazenda Severina</t>
  </si>
  <si>
    <t>Barra do Furado</t>
  </si>
  <si>
    <t>Engenheiro Eletricista</t>
  </si>
  <si>
    <t xml:space="preserve">    NORMATEL  •  Análises Projeto 743</t>
  </si>
  <si>
    <t>1. Indicadores do Projeto 743</t>
  </si>
  <si>
    <t>Total de registros vinculados ao 743 (todas situações)</t>
  </si>
  <si>
    <t>Ativos no 743</t>
  </si>
  <si>
    <t>Desligados no 743</t>
  </si>
  <si>
    <t>Afastados no 743 (F+P+T+M)</t>
  </si>
  <si>
    <t>Funções distintas (somente ativos)</t>
  </si>
  <si>
    <t>2. Headcount por Função (Ativos / Desligados / Afastados)</t>
  </si>
  <si>
    <t>Base: coluna ADMISSÃO conta entradas; coluna DEMISSÃO conta saídas. Filtro: PROJETO contém 743.</t>
  </si>
  <si>
    <t xml:space="preserve">    NORMATEL  •  Análises Projeto 736</t>
  </si>
  <si>
    <t>Cálculos dinâmicos sobre EFETIVO 11.05.2026 — Situações (SIT): A=Ativo, D=Desligado, F=Férias, P=INSS, T=Acidente de Trabalho, M=Serviço Militar</t>
  </si>
  <si>
    <t>1. Indicadores do Projeto 736</t>
  </si>
  <si>
    <t>Total de registros (Ativos + Desligados + Afastados)</t>
  </si>
  <si>
    <t>Ativos (A)</t>
  </si>
  <si>
    <t>Desligados (D)</t>
  </si>
  <si>
    <t>% Turnover (D / Total)</t>
  </si>
  <si>
    <t>Afastados (F + P + T + M)</t>
  </si>
  <si>
    <t>Funções distintas com presença</t>
  </si>
  <si>
    <t>3. Funções com Apenas 1 Ativo no 736</t>
  </si>
  <si>
    <t>5. Movimentação Histórica — Admissões e Desligamentos por Ano</t>
  </si>
  <si>
    <t>Base: coluna ADMISSÃO conta entradas; coluna DEMISSÃO conta saídas, filtrando pelo projeto.</t>
  </si>
  <si>
    <t xml:space="preserve">    NORMATEL  •  Análises Projeto 737</t>
  </si>
  <si>
    <t>1. Indicadores do Projeto 737</t>
  </si>
  <si>
    <t>3. Funções com Apenas 1 Ativo no 737</t>
  </si>
  <si>
    <t>TRATAMENTO DE PONTO</t>
  </si>
  <si>
    <t>ADMISSÃO | BENEFÍCIO | SIFAC | PROMOÇÕES</t>
  </si>
  <si>
    <t>DEMISSÃO | FÉRIAS | AFASTAMENTO</t>
  </si>
  <si>
    <t>Analista de Suprimentos</t>
  </si>
  <si>
    <t>Assistente Administrativo II</t>
  </si>
  <si>
    <t>LUCAS DA SILVA NASCIMENTO</t>
  </si>
  <si>
    <t>LARYSSA RAMOS GUIA</t>
  </si>
  <si>
    <t>STEFANNY FARIAS DE OLIVEIRA SERAFIM</t>
  </si>
  <si>
    <t>NATHALIA PEREIRA VIANNA</t>
  </si>
  <si>
    <t>SUPRIMENTOS</t>
  </si>
  <si>
    <t>FINANCEIRO</t>
  </si>
  <si>
    <t>COMUNICAÇÃO VISUAL</t>
  </si>
  <si>
    <t>KAMILLE DA SILVA GOMES JARDIM</t>
  </si>
  <si>
    <t>ANA PAULA DOS SANTOS SANTOS</t>
  </si>
  <si>
    <t>VAGA (Masculino)</t>
  </si>
  <si>
    <t>Operador de Máquinas</t>
  </si>
  <si>
    <t>Assistente Administrativo - Ferista</t>
  </si>
  <si>
    <t>ANA CLARA RANGEL HELEODORO</t>
  </si>
  <si>
    <t>LORENA RANGEL PRAIA ALVES</t>
  </si>
  <si>
    <t>LAURA AVELINO NEVES</t>
  </si>
  <si>
    <t xml:space="preserve">Auxiliar de Serviços Gerais						</t>
  </si>
  <si>
    <t>RH/DP</t>
  </si>
  <si>
    <t xml:space="preserve"> </t>
  </si>
  <si>
    <t>Backoffice</t>
  </si>
  <si>
    <t>CONSERVAÇÃO E LIMPEZA</t>
  </si>
  <si>
    <t>Comprador</t>
  </si>
  <si>
    <t>MILIANE RIBEIRO DOS SANTOS</t>
  </si>
  <si>
    <r>
      <t xml:space="preserve">SISTEMA DE GESTÃO INTEGRADA
</t>
    </r>
    <r>
      <rPr>
        <b/>
        <sz val="12"/>
        <rFont val="Arial"/>
        <family val="2"/>
      </rPr>
      <t>FORMULÁRIO DE GESTÃO</t>
    </r>
    <r>
      <rPr>
        <b/>
        <sz val="12"/>
        <color rgb="FF000000"/>
        <rFont val="Arial"/>
        <family val="2"/>
      </rPr>
      <t xml:space="preserve">
ORGANOGRAMA - 737</t>
    </r>
  </si>
  <si>
    <t>FG-INTEG-001-737
Rev.: 00
Data: 01/08/2025</t>
  </si>
  <si>
    <t>Diego Basset</t>
  </si>
  <si>
    <t>Luciana Andrade</t>
  </si>
  <si>
    <t>RODRIGO CESAR</t>
  </si>
  <si>
    <t xml:space="preserve">Evandro Geronimo </t>
  </si>
  <si>
    <t>Coordenador</t>
  </si>
  <si>
    <t>Ataídes Xavier</t>
  </si>
  <si>
    <t>Nathália Aquino</t>
  </si>
  <si>
    <t xml:space="preserve">Felipe de Alcantra </t>
  </si>
  <si>
    <t xml:space="preserve">ENGENHARIA </t>
  </si>
  <si>
    <t>Operação Base</t>
  </si>
  <si>
    <t>Operação LF</t>
  </si>
  <si>
    <t xml:space="preserve">GESTÃO DE PLANO DE MANUTENÇÃO </t>
  </si>
  <si>
    <t>Supervisor</t>
  </si>
  <si>
    <t xml:space="preserve">SIMONE OLIVEIRA </t>
  </si>
  <si>
    <t xml:space="preserve">Alexandro Correia </t>
  </si>
  <si>
    <t>OP. DE DRONE</t>
  </si>
  <si>
    <t>ANDAIME</t>
  </si>
  <si>
    <t>COMPRAS PETROBRAS</t>
  </si>
  <si>
    <t>COMPRAS NORMATEL</t>
  </si>
  <si>
    <t>Gestor do Projeto</t>
  </si>
  <si>
    <t xml:space="preserve">Danilo Augusto </t>
  </si>
  <si>
    <t xml:space="preserve">SUPERVISÃO </t>
  </si>
  <si>
    <t>Engenheiros e Coordenação</t>
  </si>
  <si>
    <t xml:space="preserve">Engenheiro Elético </t>
  </si>
  <si>
    <t xml:space="preserve">Engenheiro de Eletromecânica </t>
  </si>
  <si>
    <t>Engenheiro de Refrigeração</t>
  </si>
  <si>
    <t xml:space="preserve">Engenheiro de Automação </t>
  </si>
  <si>
    <t>Engenheiro Agrônomo</t>
  </si>
  <si>
    <t>COORDENADOR</t>
  </si>
  <si>
    <t>Mateus Camilo</t>
  </si>
  <si>
    <t>Maurilio Pereira</t>
  </si>
  <si>
    <t>Bruno de Araujo</t>
  </si>
  <si>
    <t>Helen Baldani</t>
  </si>
  <si>
    <t>Janaina Cardoso</t>
  </si>
  <si>
    <t xml:space="preserve">ADRIANO DE JESUS </t>
  </si>
  <si>
    <t xml:space="preserve">VISTORIADOR </t>
  </si>
  <si>
    <t xml:space="preserve">ELÉTRICA </t>
  </si>
  <si>
    <t>AUTOMAÇÃO</t>
  </si>
  <si>
    <t>APOIO OPERACIONAL</t>
  </si>
  <si>
    <t xml:space="preserve">TOTAL: </t>
  </si>
  <si>
    <t>COLABORADORES</t>
  </si>
  <si>
    <t>APOIO SMS</t>
  </si>
  <si>
    <t>ÁREAS VERDES</t>
  </si>
  <si>
    <t xml:space="preserve">APOIO ADMINSITRATIVO </t>
  </si>
  <si>
    <t>CIVIL E ANDAIME</t>
  </si>
  <si>
    <t>COMPRAS E LOGÍSTICA</t>
  </si>
  <si>
    <t>LEGENDA:</t>
  </si>
  <si>
    <t>AA</t>
  </si>
  <si>
    <t>AXM</t>
  </si>
  <si>
    <t xml:space="preserve">E SAÚDE </t>
  </si>
  <si>
    <t>TL</t>
  </si>
  <si>
    <t>AJ</t>
  </si>
  <si>
    <t xml:space="preserve">ENG </t>
  </si>
  <si>
    <t>SUP</t>
  </si>
  <si>
    <t>Ajudante</t>
  </si>
  <si>
    <t>ENC</t>
  </si>
  <si>
    <t>MTM</t>
  </si>
  <si>
    <t>Motorista de Caminhão Munck</t>
  </si>
  <si>
    <t>TE</t>
  </si>
  <si>
    <t>Técnico de Edificações</t>
  </si>
  <si>
    <t>OPD</t>
  </si>
  <si>
    <t xml:space="preserve">Operador de Drone </t>
  </si>
  <si>
    <t>ASA</t>
  </si>
  <si>
    <t xml:space="preserve">AS </t>
  </si>
  <si>
    <t xml:space="preserve">EF </t>
  </si>
  <si>
    <t>AXJ</t>
  </si>
  <si>
    <t>TA</t>
  </si>
  <si>
    <t>AF</t>
  </si>
  <si>
    <t>CO</t>
  </si>
  <si>
    <t>AR</t>
  </si>
  <si>
    <t>MAR</t>
  </si>
  <si>
    <t>AC</t>
  </si>
  <si>
    <t>Encarregado de Jardinagem</t>
  </si>
  <si>
    <t>OFR</t>
  </si>
  <si>
    <t>Oficial de Refrigeração</t>
  </si>
  <si>
    <t>TI</t>
  </si>
  <si>
    <t>Técnico de Instrumentação</t>
  </si>
  <si>
    <t>TAP</t>
  </si>
  <si>
    <t xml:space="preserve">Técnico de Apoio </t>
  </si>
  <si>
    <t>ME</t>
  </si>
  <si>
    <t>ENG/GER</t>
  </si>
  <si>
    <t>AAF</t>
  </si>
  <si>
    <t>GEP</t>
  </si>
  <si>
    <t>SER</t>
  </si>
  <si>
    <t>CPI</t>
  </si>
  <si>
    <t>MT</t>
  </si>
  <si>
    <t>Encarregado de Manutenção</t>
  </si>
  <si>
    <t>OP</t>
  </si>
  <si>
    <t>TM</t>
  </si>
  <si>
    <t>Técnico de Mecânica</t>
  </si>
  <si>
    <t xml:space="preserve">Auxiliar de Compras </t>
  </si>
  <si>
    <t>OPA</t>
  </si>
  <si>
    <t>JR</t>
  </si>
  <si>
    <t>IN</t>
  </si>
  <si>
    <t>BOM</t>
  </si>
  <si>
    <t>Operador de Áudio e Vídeo</t>
  </si>
  <si>
    <t>TQD</t>
  </si>
  <si>
    <t>Técnico de Qualidade</t>
  </si>
  <si>
    <t>EST</t>
  </si>
  <si>
    <t>TMA</t>
  </si>
  <si>
    <t>OPRC</t>
  </si>
  <si>
    <t>VP</t>
  </si>
  <si>
    <t>PD</t>
  </si>
  <si>
    <t>Auxiliar de Almoxarife</t>
  </si>
  <si>
    <t>OPM</t>
  </si>
  <si>
    <t>Operador de Máquina</t>
  </si>
  <si>
    <t>TQ</t>
  </si>
  <si>
    <t>Técnico de Química</t>
  </si>
  <si>
    <t>TS</t>
  </si>
  <si>
    <t>ENG</t>
  </si>
  <si>
    <t>GER</t>
  </si>
  <si>
    <t>PT</t>
  </si>
  <si>
    <t>CPR</t>
  </si>
  <si>
    <t>Técnico de Segurança do Trabalho</t>
  </si>
  <si>
    <t>ASG</t>
  </si>
  <si>
    <t>EL</t>
  </si>
  <si>
    <t>MDA</t>
  </si>
  <si>
    <t>Auxiliar de Manutenção</t>
  </si>
  <si>
    <t>Engenheiro</t>
  </si>
  <si>
    <t>OS</t>
  </si>
  <si>
    <t>Operador de Supervisório</t>
  </si>
  <si>
    <t>Técnico Líder</t>
  </si>
  <si>
    <t>AXP</t>
  </si>
  <si>
    <t>Auxiliar de Pintura</t>
  </si>
  <si>
    <t>Técnico em Automação</t>
  </si>
  <si>
    <t>AS</t>
  </si>
  <si>
    <t>Auxiliar de Segurança do Trabalho</t>
  </si>
  <si>
    <t>Engenheiro de Automação</t>
  </si>
  <si>
    <t>TEL</t>
  </si>
  <si>
    <t>Técnico em Eletrotécnica/ Elétrica</t>
  </si>
  <si>
    <t xml:space="preserve">GESTÃO DE MANUTENÇÃO </t>
  </si>
  <si>
    <t>LIMPEZA E CONSERVAÇÃO</t>
  </si>
  <si>
    <t>OPERAÇÕES</t>
  </si>
  <si>
    <t>REFIGERAÇÃO</t>
  </si>
  <si>
    <t>Engenheiro de SMS</t>
  </si>
  <si>
    <t>PL</t>
  </si>
  <si>
    <t>Vistoriador de Instalações Prediais</t>
  </si>
  <si>
    <t xml:space="preserve">E ENGENHARIA </t>
  </si>
  <si>
    <t xml:space="preserve">Assistente </t>
  </si>
  <si>
    <t>Engenheiro Mecânico – HVAC</t>
  </si>
  <si>
    <t>SL</t>
  </si>
  <si>
    <t>Serralheiro</t>
  </si>
  <si>
    <t>Técnico de Meio Ambiente</t>
  </si>
  <si>
    <t xml:space="preserve">ENC </t>
  </si>
  <si>
    <t xml:space="preserve">Bombeiro </t>
  </si>
  <si>
    <t>Instrumentista</t>
  </si>
  <si>
    <t>SD</t>
  </si>
  <si>
    <t>Soldador</t>
  </si>
  <si>
    <t xml:space="preserve">TH </t>
  </si>
  <si>
    <t>Técnico de Refrigerção</t>
  </si>
  <si>
    <t>TP</t>
  </si>
  <si>
    <t>CD</t>
  </si>
  <si>
    <t>Técnico de Planejamento</t>
  </si>
  <si>
    <t>MC</t>
  </si>
  <si>
    <t>Supervisor de Automação</t>
  </si>
  <si>
    <t>PRO</t>
  </si>
  <si>
    <t xml:space="preserve">Projetista </t>
  </si>
  <si>
    <t>TH</t>
  </si>
  <si>
    <t>OR</t>
  </si>
  <si>
    <t>Mecânico</t>
  </si>
  <si>
    <t>Supervisor de Manutenção</t>
  </si>
  <si>
    <t>DE</t>
  </si>
  <si>
    <t xml:space="preserve">Desenhista </t>
  </si>
  <si>
    <t>DU</t>
  </si>
  <si>
    <t>Mensageiro</t>
  </si>
  <si>
    <t>Operador de Refrigeração</t>
  </si>
  <si>
    <t>Duteiro</t>
  </si>
  <si>
    <t>Supervisor de SMS</t>
  </si>
  <si>
    <t>MEC</t>
  </si>
  <si>
    <t>Eletricista</t>
  </si>
  <si>
    <t>TF</t>
  </si>
  <si>
    <t xml:space="preserve">Técnico de Enfermagem </t>
  </si>
  <si>
    <r>
      <t xml:space="preserve">SISTEMA DE GESTÃO INTEGRADA
</t>
    </r>
    <r>
      <rPr>
        <b/>
        <sz val="20"/>
        <rFont val="Arial"/>
        <family val="2"/>
      </rPr>
      <t>FORMULÁRIO DE GESTÃO</t>
    </r>
    <r>
      <rPr>
        <b/>
        <sz val="20"/>
        <color rgb="FF000000"/>
        <rFont val="Arial"/>
        <family val="2"/>
      </rPr>
      <t xml:space="preserve">
</t>
    </r>
  </si>
  <si>
    <t>DIEGO BASSET</t>
  </si>
  <si>
    <t>Gerente SMS</t>
  </si>
  <si>
    <t>LUCIANA ANDRADE</t>
  </si>
  <si>
    <t xml:space="preserve">RODRIGO CESAR SOARES RODRIGUES </t>
  </si>
  <si>
    <t xml:space="preserve">EVANDRO JERONIMO </t>
  </si>
  <si>
    <t xml:space="preserve">Davi </t>
  </si>
  <si>
    <t>SAÚDE</t>
  </si>
  <si>
    <t>Téc. Enfermagem</t>
  </si>
  <si>
    <t>Coord. de Manutenção</t>
  </si>
  <si>
    <t>Coord de Planejamento</t>
  </si>
  <si>
    <t>ATAIDES XAVIER DE ANDADE FILHO</t>
  </si>
  <si>
    <t xml:space="preserve">NATHALIA AQUINO </t>
  </si>
  <si>
    <t>FELIPE DE ALCANTRA MASCARENHA</t>
  </si>
  <si>
    <t xml:space="preserve">Supervisor administrativo </t>
  </si>
  <si>
    <t xml:space="preserve">Supervisor </t>
  </si>
  <si>
    <t>SUPORTE SMS</t>
  </si>
  <si>
    <t>SUPORTE ADM</t>
  </si>
  <si>
    <t xml:space="preserve">ALEXANDRO CORREIA </t>
  </si>
  <si>
    <t>OPERAÇÃO BASE</t>
  </si>
  <si>
    <t>OPERAÇÃO LF</t>
  </si>
  <si>
    <t>PLANO DE MANUTENÇÃO</t>
  </si>
  <si>
    <t>Sup. Operação</t>
  </si>
  <si>
    <t>Enc. Operação</t>
  </si>
  <si>
    <t>Petrobras</t>
  </si>
  <si>
    <t xml:space="preserve">VICTOR LAPA MARTINS </t>
  </si>
  <si>
    <t xml:space="preserve">PEDRO HENRIQUE DA SILVA BARRETO </t>
  </si>
  <si>
    <t xml:space="preserve">Supervisora </t>
  </si>
  <si>
    <t>OP. DRONE</t>
  </si>
  <si>
    <t xml:space="preserve">GESSICA RAMOS DE ASSIS </t>
  </si>
  <si>
    <t>Téc. Líder</t>
  </si>
  <si>
    <t>Ass. Administrativo</t>
  </si>
  <si>
    <t xml:space="preserve">Motorista </t>
  </si>
  <si>
    <t xml:space="preserve">JAIME PINHEIRO NETTO </t>
  </si>
  <si>
    <t>Supervisor SMS</t>
  </si>
  <si>
    <t>Op. Refrigeração</t>
  </si>
  <si>
    <t>Eletricista Ferista</t>
  </si>
  <si>
    <t xml:space="preserve"> Téc. De Eletrica </t>
  </si>
  <si>
    <t xml:space="preserve">THAIS BRUM GARCIA </t>
  </si>
  <si>
    <t xml:space="preserve">JOÃO VITOR ROCHA SILVA </t>
  </si>
  <si>
    <t xml:space="preserve">ELIZETE RODRIGUES OLIVEIRA </t>
  </si>
  <si>
    <t xml:space="preserve">ANDRIANO DA SILVA FERNANDES </t>
  </si>
  <si>
    <t>Encarregado</t>
  </si>
  <si>
    <t xml:space="preserve">MARIANE DE SOUZA DOS SANTOS </t>
  </si>
  <si>
    <t xml:space="preserve">ROBSON ANTERO DA SILVA </t>
  </si>
  <si>
    <t xml:space="preserve">JULIANO SILVA </t>
  </si>
  <si>
    <t xml:space="preserve">CARLOS FERNANDO AREAS PEIXOTO </t>
  </si>
  <si>
    <t>JOAO PEDRO APARECIDO ROMAO</t>
  </si>
  <si>
    <t xml:space="preserve">ANDREW CORDEIRO DA SILVA </t>
  </si>
  <si>
    <t>Almoxarifado</t>
  </si>
  <si>
    <t xml:space="preserve">Téc. de Refrigeração </t>
  </si>
  <si>
    <t xml:space="preserve">FLAVIO JOSE DA SILVA </t>
  </si>
  <si>
    <t>Auxiliar SMS</t>
  </si>
  <si>
    <t>Téc. Segurança</t>
  </si>
  <si>
    <t>Téc. Meio Ambiente</t>
  </si>
  <si>
    <t xml:space="preserve">SAVIO SAMPAIO DA SILVA </t>
  </si>
  <si>
    <t>ALYSSON DOS SANTOS LINHARES</t>
  </si>
  <si>
    <t xml:space="preserve">ARTHUR PINTO PAIVA </t>
  </si>
  <si>
    <t xml:space="preserve">CAROLINE PEREIRA DE SOUZA </t>
  </si>
  <si>
    <t>Auxilar (Apoio)</t>
  </si>
  <si>
    <t>Téc. Segurança II</t>
  </si>
  <si>
    <t>Téc. Químico</t>
  </si>
  <si>
    <t>Normatel</t>
  </si>
  <si>
    <t xml:space="preserve">MAYCON CORREA </t>
  </si>
  <si>
    <t xml:space="preserve">CAMILA FERREIRA MACHADO </t>
  </si>
  <si>
    <t xml:space="preserve">NAYARA GOIS </t>
  </si>
  <si>
    <t>Desenhista</t>
  </si>
  <si>
    <t>Letra A - 4x4</t>
  </si>
  <si>
    <t>Letra B - 4x4</t>
  </si>
  <si>
    <t xml:space="preserve">FABIANO DE SOUZA NACORT </t>
  </si>
  <si>
    <t xml:space="preserve">DANILO DA SILVA MONTEIRO </t>
  </si>
  <si>
    <t>Op. Supervisório</t>
  </si>
  <si>
    <t xml:space="preserve">TATIANA IGREJA  </t>
  </si>
  <si>
    <t xml:space="preserve">CARLOS ANTONIO SOUZA DE SANTANA </t>
  </si>
  <si>
    <t>Manutenção EQ/SIST.</t>
  </si>
  <si>
    <t>Manutenção Civíl</t>
  </si>
  <si>
    <t>Apoio e Conservação</t>
  </si>
  <si>
    <t xml:space="preserve">Apoio Administrativo </t>
  </si>
  <si>
    <t xml:space="preserve">Software e Processos </t>
  </si>
  <si>
    <t xml:space="preserve">AMANDA BATTISACO LEITAO </t>
  </si>
  <si>
    <t xml:space="preserve">JOCIENE DE SOUZA ALVES DA SILVA </t>
  </si>
  <si>
    <t xml:space="preserve">ALDO JOSE MONERAT GOMES </t>
  </si>
  <si>
    <t xml:space="preserve">JONY CANUTO LIRIO </t>
  </si>
  <si>
    <t>WILLIAN ALVEZ DOS SANTOS EMERIK</t>
  </si>
  <si>
    <t>Téc. Planejamento</t>
  </si>
  <si>
    <t>Planejador (Ferista)</t>
  </si>
  <si>
    <t xml:space="preserve">	
Aux. de Compras</t>
  </si>
  <si>
    <t>Aux. De Almoxarife</t>
  </si>
  <si>
    <t xml:space="preserve">ANDREY DA SILVA RODRIGUES </t>
  </si>
  <si>
    <t xml:space="preserve">MAYLA SOARES XAVIER MACHADO </t>
  </si>
  <si>
    <t xml:space="preserve">HEBERT DA SILVA PEREIRA </t>
  </si>
  <si>
    <t xml:space="preserve">LARISSA MINGUTA FERREIRA </t>
  </si>
  <si>
    <t xml:space="preserve">ADRIANA PINHEIRO DA CONCEICAO </t>
  </si>
  <si>
    <t xml:space="preserve">WALLACE NAVARRO CARVALO </t>
  </si>
  <si>
    <t xml:space="preserve">ROBSON DOS SANTOS VIEIRA </t>
  </si>
  <si>
    <t xml:space="preserve">ALEXANDRE MOURA DA SILVA </t>
  </si>
  <si>
    <t xml:space="preserve">Assistente ADM </t>
  </si>
  <si>
    <t xml:space="preserve">PEDRO GOMES LIMA </t>
  </si>
  <si>
    <t xml:space="preserve">TIAGO SUHET DO NASCIMENTO </t>
  </si>
  <si>
    <t xml:space="preserve">WELINGTON GERALDO PEIXOTO </t>
  </si>
  <si>
    <t xml:space="preserve">LIAMARCIA BOUCAR DE LIMA </t>
  </si>
  <si>
    <t xml:space="preserve">ROBERTO JUNIO MANHAES BARBOSA </t>
  </si>
  <si>
    <t>Téc. Qualidade</t>
  </si>
  <si>
    <t>Letra C - 4x4</t>
  </si>
  <si>
    <t>Letra D - 4x4</t>
  </si>
  <si>
    <t xml:space="preserve">JOÃO MARCELO QUINTANILHA RODRIGUES </t>
  </si>
  <si>
    <t xml:space="preserve">LUCAS GOES TELES </t>
  </si>
  <si>
    <t xml:space="preserve">BEATRIZ VALENTIM CAETANO DE OLIVEIRA </t>
  </si>
  <si>
    <t>KEVEN DIAS MAGALHÃES DA CONCEIÇÃO</t>
  </si>
  <si>
    <t xml:space="preserve">SIRLEY BATISTA BRITO </t>
  </si>
  <si>
    <t xml:space="preserve">MATEUS DE SOUZA DA SILVA </t>
  </si>
  <si>
    <t>Auxiliar ADM</t>
  </si>
  <si>
    <t xml:space="preserve">Aux.de Manutenção </t>
  </si>
  <si>
    <t xml:space="preserve">RAPHAEL SILVA DE SA CASANOVA </t>
  </si>
  <si>
    <t xml:space="preserve">SAULO PINHEIRO MARTINS </t>
  </si>
  <si>
    <t xml:space="preserve">MARCELA BARCELOS REGIS </t>
  </si>
  <si>
    <t xml:space="preserve">LARA ABREU MONZATO </t>
  </si>
  <si>
    <t xml:space="preserve">AGRIMALDO BATISTA NACORT JUNIOR </t>
  </si>
  <si>
    <t xml:space="preserve">CRISTIANO SILVA DE OLIVEIRA </t>
  </si>
  <si>
    <t xml:space="preserve">JOAO LUCAS DA SILVA OLIVEIRO </t>
  </si>
  <si>
    <t xml:space="preserve">BRUNO GOMES DA SILVA </t>
  </si>
  <si>
    <t xml:space="preserve">ANDRE MARCIANO CONCEICAO </t>
  </si>
  <si>
    <t xml:space="preserve">ROBERTO VIEIRA DA SILVA </t>
  </si>
  <si>
    <t xml:space="preserve">HUGO CESAR DOS SANTOS </t>
  </si>
  <si>
    <t xml:space="preserve">PEDRO VAZ CAMINHA DA SILVA PEREIRA </t>
  </si>
  <si>
    <t xml:space="preserve">DANILO AUGUSTO </t>
  </si>
  <si>
    <t>Engenheiro Mecânico</t>
  </si>
  <si>
    <t>Coordenadora</t>
  </si>
  <si>
    <t xml:space="preserve">MATEUS CAMILO DA SILVA </t>
  </si>
  <si>
    <t xml:space="preserve">BRUNO DE ARAUJO OLIVEIRA </t>
  </si>
  <si>
    <t xml:space="preserve">HELEN BALDANI DUTRA GOMES </t>
  </si>
  <si>
    <t>ANDERSON GOMES</t>
  </si>
  <si>
    <t>Supervisor Operacional</t>
  </si>
  <si>
    <t xml:space="preserve">RODRIGO NOVAIS BAHIA </t>
  </si>
  <si>
    <t>APOIO OP</t>
  </si>
  <si>
    <t>RAFAEL SOUZA</t>
  </si>
  <si>
    <t>Roçado</t>
  </si>
  <si>
    <t xml:space="preserve">Jardinagem </t>
  </si>
  <si>
    <t>Hidrojato e máquinas</t>
  </si>
  <si>
    <t>Área 600</t>
  </si>
  <si>
    <t>Bebedouros e canaletas</t>
  </si>
  <si>
    <t>Área 400</t>
  </si>
  <si>
    <t>Área 500</t>
  </si>
  <si>
    <t>Prédio 650</t>
  </si>
  <si>
    <t xml:space="preserve">Encarregado </t>
  </si>
  <si>
    <t>Téc. Lider</t>
  </si>
  <si>
    <t xml:space="preserve">RAFAEL DE ANDRADE KLEIN </t>
  </si>
  <si>
    <t>ANTONIO CARLOS RODRIGUES</t>
  </si>
  <si>
    <t xml:space="preserve">JOAQUIM FLORENTINO DA SILVA </t>
  </si>
  <si>
    <t xml:space="preserve">DIONATHAN DE JESUS TAVARES MARTINS </t>
  </si>
  <si>
    <t xml:space="preserve">ANDRE DAVI SIQUEIRA </t>
  </si>
  <si>
    <t xml:space="preserve">FRANCISLEI QUIRINO </t>
  </si>
  <si>
    <t xml:space="preserve">THIAGO PORTO CAVALCANTI </t>
  </si>
  <si>
    <t xml:space="preserve">Aux. de jardinagem </t>
  </si>
  <si>
    <t xml:space="preserve">Op. de máquina </t>
  </si>
  <si>
    <t>Aux. Serviços Gerais</t>
  </si>
  <si>
    <t>Téc. de apoio</t>
  </si>
  <si>
    <t>CLEYTON DE SOUZA</t>
  </si>
  <si>
    <t>Técnico Lider</t>
  </si>
  <si>
    <t xml:space="preserve">ALEXANDRE PEREIRA SANTOS </t>
  </si>
  <si>
    <t>ADRIANA CRISTINA  PINTO</t>
  </si>
  <si>
    <t>Téc. Elétrica</t>
  </si>
  <si>
    <t>Téc. Eletrotécnica</t>
  </si>
  <si>
    <t>Mec. Refrigeração N1</t>
  </si>
  <si>
    <t>Aux. Serviços Gerais (PRODUTIVO)</t>
  </si>
  <si>
    <t xml:space="preserve">ANTONIO LEANDRO </t>
  </si>
  <si>
    <t xml:space="preserve">CHARLES DO DESTERRO </t>
  </si>
  <si>
    <t>RALPH SILVA DE SA</t>
  </si>
  <si>
    <t xml:space="preserve">CRISTIAN BATISTA PENA </t>
  </si>
  <si>
    <t>Téc. Automação</t>
  </si>
  <si>
    <t xml:space="preserve">EMERSON DA SILVA NOGUEIRA </t>
  </si>
  <si>
    <t>Téc. Refrigeração</t>
  </si>
  <si>
    <t xml:space="preserve">JORGE SILVA SANTOS </t>
  </si>
  <si>
    <t>Op.de roçadeira</t>
  </si>
  <si>
    <t>Readequação de Layout</t>
  </si>
  <si>
    <t>Arranjo Físico</t>
  </si>
  <si>
    <t>Montagem e Desmontagem:</t>
  </si>
  <si>
    <t>Gestão de Ocupação</t>
  </si>
  <si>
    <t>Apoio a Eventos</t>
  </si>
  <si>
    <t>Mensageria</t>
  </si>
  <si>
    <t>Movimentação de Volumes</t>
  </si>
  <si>
    <t xml:space="preserve">Copa e Logística </t>
  </si>
  <si>
    <t xml:space="preserve">DIEGO NOGUEIRA </t>
  </si>
  <si>
    <t xml:space="preserve">RUDHI RAFEL DOS SANTOS </t>
  </si>
  <si>
    <t xml:space="preserve">ROBERTO ADRIANO CRESPO </t>
  </si>
  <si>
    <t>AILTON ROBERTO ARAUJO</t>
  </si>
  <si>
    <t>BRUCE WILLIANS</t>
  </si>
  <si>
    <t>MARCIO VINICIUS MORAIS DA SILVA</t>
  </si>
  <si>
    <t xml:space="preserve">Aux. Manutenção </t>
  </si>
  <si>
    <t xml:space="preserve">FELIPE VINICIUS ANDRADE BENTO </t>
  </si>
  <si>
    <t>ALESSANDRA BARRETO</t>
  </si>
  <si>
    <t xml:space="preserve">Assist. Administrativo </t>
  </si>
  <si>
    <t xml:space="preserve">Mensageiro </t>
  </si>
  <si>
    <t>Estiva</t>
  </si>
  <si>
    <t>hidraulica</t>
  </si>
  <si>
    <t xml:space="preserve">alvenaria </t>
  </si>
  <si>
    <t xml:space="preserve">CARPINTARIA </t>
  </si>
  <si>
    <t>PGIA</t>
  </si>
  <si>
    <t xml:space="preserve">SANDRA MARIA ROCHA DOS SANTOS </t>
  </si>
  <si>
    <t xml:space="preserve">MAYCON EDWIRGES BARRETO </t>
  </si>
  <si>
    <t xml:space="preserve">CENILSO BORGES DA SILVA </t>
  </si>
  <si>
    <t xml:space="preserve">DAVI DOS SANTOS FERREIRA DE SOUZA </t>
  </si>
  <si>
    <t xml:space="preserve">ROBSON MOLINA AVES JUNIOR </t>
  </si>
  <si>
    <t xml:space="preserve">FRANCISCO DE ASSIS RIBEIRO DE MELO </t>
  </si>
  <si>
    <t xml:space="preserve">ANA CAROLINA HONORIO </t>
  </si>
  <si>
    <t xml:space="preserve">JORGE ANTONIO DA CONCEICAO </t>
  </si>
  <si>
    <t>ALEXANDRA  DE ANDRADE</t>
  </si>
  <si>
    <t xml:space="preserve">Aux. Administrativo </t>
  </si>
  <si>
    <t xml:space="preserve">CHARLES DA SILVA MIRANDA </t>
  </si>
  <si>
    <t xml:space="preserve">MARCELO CRUZ BARBOSA </t>
  </si>
  <si>
    <t>Aux. de Manutenção</t>
  </si>
  <si>
    <t>DOUGLAS RIQUEZA</t>
  </si>
  <si>
    <t>SERGIO GAMA</t>
  </si>
  <si>
    <t>Mec. Refrigeração N2</t>
  </si>
  <si>
    <t xml:space="preserve">CHRISTIAN PESSANHA RAMOR JUNIOR </t>
  </si>
  <si>
    <t xml:space="preserve">EZEQUIAS NEVES DOS SANTOS </t>
  </si>
  <si>
    <t xml:space="preserve">MARCUS VINICIUS NOGUEIRA ALVES </t>
  </si>
  <si>
    <t xml:space="preserve">Bombeiro (PLANTÃO NOITE) </t>
  </si>
  <si>
    <t xml:space="preserve">Serralheiro </t>
  </si>
  <si>
    <t xml:space="preserve">Pintor </t>
  </si>
  <si>
    <t>JOAO VITOR DE MORAES</t>
  </si>
  <si>
    <t xml:space="preserve">ALEX SANDRO COSTA BRITO </t>
  </si>
  <si>
    <t xml:space="preserve">Vistoriador </t>
  </si>
  <si>
    <t xml:space="preserve">MILTON PORTO </t>
  </si>
  <si>
    <t xml:space="preserve">AQUILES SANTOS DE SANTANA </t>
  </si>
  <si>
    <t xml:space="preserve">VALDENIR DE AMORIM </t>
  </si>
  <si>
    <t xml:space="preserve">CRISTHIAN PESSANHA RAMOS JUNIOR </t>
  </si>
  <si>
    <t xml:space="preserve">Carpinteiro </t>
  </si>
  <si>
    <t xml:space="preserve">RODRIGO QUINTELA QUEIROZ									</t>
  </si>
  <si>
    <t>EMERSON MASSENA DE SOUZA</t>
  </si>
  <si>
    <t xml:space="preserve">Aux. de manutenção </t>
  </si>
  <si>
    <t xml:space="preserve">Aux. De Manutenção </t>
  </si>
  <si>
    <t xml:space="preserve">JULIANO DE OLIVEIRA FARIA </t>
  </si>
  <si>
    <t>Aux. Manutenção</t>
  </si>
  <si>
    <t>FABIANO FRANÇA DA CRUZ</t>
  </si>
  <si>
    <t xml:space="preserve">JOILSON ANDERSON DUQUE  DA ROSA  </t>
  </si>
  <si>
    <t xml:space="preserve">THAIS DE ASSIS </t>
  </si>
  <si>
    <t>RYAN WAGNER  OLIVEIRA CONCEIÇÃO</t>
  </si>
  <si>
    <t xml:space="preserve">MARLON DOUGLAS CARVALHO </t>
  </si>
  <si>
    <t xml:space="preserve">WELLINGTON SILVA DE SOUZA </t>
  </si>
  <si>
    <t xml:space="preserve">Ajudante </t>
  </si>
  <si>
    <t>EDILANE SANTOS</t>
  </si>
  <si>
    <t xml:space="preserve">LUAN NASCIMENTO DE SOUZA </t>
  </si>
  <si>
    <t xml:space="preserve">ADILSON LIRA </t>
  </si>
  <si>
    <t>DOUGLAS DE ARAUJO  LISTO</t>
  </si>
  <si>
    <t>Aux. Pintura</t>
  </si>
  <si>
    <t xml:space="preserve">PAULO RICARDO DA ROSA DIAS </t>
  </si>
  <si>
    <t xml:space="preserve">KAYAN NERS SANTOS </t>
  </si>
  <si>
    <t>VINICIOS DA SILVA RABELLO</t>
  </si>
  <si>
    <t xml:space="preserve">EVERTON FRANCISO DA SILVA </t>
  </si>
  <si>
    <t xml:space="preserve">MARCIO FILIPE VASCONCELLOS </t>
  </si>
  <si>
    <t xml:space="preserve">WANDERLEY DE OLIVEIRA  </t>
  </si>
  <si>
    <t xml:space="preserve">RAMON NASCIMENTO FRANÇA ALVES </t>
  </si>
  <si>
    <t>DESLIGAR NO RETORNO</t>
  </si>
  <si>
    <t>CARLOS BRANDÃO DE MATTOS</t>
  </si>
  <si>
    <t xml:space="preserve">GABRIEL VINICIUS </t>
  </si>
  <si>
    <t>MAURILIO DE SOUZA VASCONCELOS</t>
  </si>
  <si>
    <t>Vaga</t>
  </si>
  <si>
    <t xml:space="preserve">Caldereiro </t>
  </si>
  <si>
    <t>Téc. Edificações</t>
  </si>
  <si>
    <t>AILTON SANTOS</t>
  </si>
  <si>
    <t xml:space="preserve">ANDERSON CELINO </t>
  </si>
  <si>
    <t xml:space="preserve">Soldador </t>
  </si>
  <si>
    <t>MIDIAN DA SILVA  ALVES</t>
  </si>
  <si>
    <t xml:space="preserve">ALEXANDRE DE CARVALHO CONCEICAO									</t>
  </si>
  <si>
    <t>MATHEUS FRANCO</t>
  </si>
  <si>
    <t xml:space="preserve">ELIVAR EUCILIDES DOS SANTOS </t>
  </si>
  <si>
    <t>CAIQUE FRANCA</t>
  </si>
  <si>
    <t xml:space="preserve">JOSE CARLOS OLIVEIRA DA SILVA </t>
  </si>
  <si>
    <t>Aux. de jardinagem (PRODUTIVO)</t>
  </si>
  <si>
    <t>NILCILEA DE  SILVA</t>
  </si>
  <si>
    <t xml:space="preserve">ALESSANDRO SANTOS SILVA JUNIOR </t>
  </si>
  <si>
    <t>CÁSSIO DA SILVA COSTA MUNIZ</t>
  </si>
  <si>
    <t xml:space="preserve">ANDRE LUIS RANGEL MATHEUS </t>
  </si>
  <si>
    <t xml:space="preserve">ALEX SANDRO DOS SANTOS </t>
  </si>
  <si>
    <t>Aux. de Pintura</t>
  </si>
  <si>
    <t xml:space="preserve">RAUILEN FELICIANO DA SILVA </t>
  </si>
  <si>
    <t>ROSANGELA GARCIA</t>
  </si>
  <si>
    <t xml:space="preserve">JONATAS LAURENO NUNES BILE </t>
  </si>
  <si>
    <t xml:space="preserve"> JOÃO VICTOR MARQUES MANHÃES </t>
  </si>
  <si>
    <t>MARCOS A. BORGES DE ANDRADE</t>
  </si>
  <si>
    <t xml:space="preserve">DAVI RAGEL BRAGANÇA BARBOSA </t>
  </si>
  <si>
    <t xml:space="preserve">ROGERIO SILVA </t>
  </si>
  <si>
    <t>VANIA IARA EVANGELISTA</t>
  </si>
  <si>
    <t>ADAIR JOSÉ BARCELOS FERNANDES</t>
  </si>
  <si>
    <t xml:space="preserve">JEDSON CAETANO DOS SANTOS </t>
  </si>
  <si>
    <t>L</t>
  </si>
  <si>
    <t xml:space="preserve">ROBERTO DOS SANTOS </t>
  </si>
  <si>
    <t xml:space="preserve">EDUARDO LUIS DA SILVA </t>
  </si>
  <si>
    <r>
      <t xml:space="preserve">SISTEMA DE GESTÃO INTEGRADA
</t>
    </r>
    <r>
      <rPr>
        <b/>
        <sz val="12"/>
        <rFont val="Arial"/>
        <family val="2"/>
      </rPr>
      <t>FORMULÁRIO DE GESTÃO</t>
    </r>
    <r>
      <rPr>
        <b/>
        <sz val="12"/>
        <color rgb="FF000000"/>
        <rFont val="Arial"/>
        <family val="2"/>
      </rPr>
      <t xml:space="preserve">
ORGANOGRAMA - 736</t>
    </r>
  </si>
  <si>
    <t>FG-INTEG-001-736
Rev.: 00
Data: 01/08/2025</t>
  </si>
  <si>
    <t>DIEGO BASSETI</t>
  </si>
  <si>
    <t xml:space="preserve">LUCIANA ANDRADE </t>
  </si>
  <si>
    <t xml:space="preserve">EVANDRO GERONIMO </t>
  </si>
  <si>
    <t xml:space="preserve">ATAÍDES XAVIER </t>
  </si>
  <si>
    <t xml:space="preserve">VANESSA RAMOS </t>
  </si>
  <si>
    <t xml:space="preserve">FELIPE DE ALCANTRA </t>
  </si>
  <si>
    <t xml:space="preserve">ALEXANDRO CORREA </t>
  </si>
  <si>
    <t>APOIO ADM</t>
  </si>
  <si>
    <t>Engenheiro de Refirgeração</t>
  </si>
  <si>
    <t xml:space="preserve">EVANILTON SALES </t>
  </si>
  <si>
    <t xml:space="preserve">NAIADE VIEIRA </t>
  </si>
  <si>
    <t xml:space="preserve">GILBERTO LUCAS </t>
  </si>
  <si>
    <t>GIULIANO PAOLO ANDREIOLO</t>
  </si>
  <si>
    <t xml:space="preserve">HELEN BALDANI </t>
  </si>
  <si>
    <t>OPE</t>
  </si>
  <si>
    <t xml:space="preserve">Operador de empilhadeira </t>
  </si>
  <si>
    <t>SOL</t>
  </si>
  <si>
    <t xml:space="preserve">Gerente ADM/ INTEG/ REG </t>
  </si>
  <si>
    <t>ENG/ GER</t>
  </si>
  <si>
    <t>LID</t>
  </si>
  <si>
    <t>ORF</t>
  </si>
  <si>
    <t>Evandro Geronimo</t>
  </si>
  <si>
    <t>Saúde</t>
  </si>
  <si>
    <t>Suporte SMS</t>
  </si>
  <si>
    <t>Suporte ADM</t>
  </si>
  <si>
    <t xml:space="preserve">VANESSA RAMOS DOS SANTOS CASTRO </t>
  </si>
  <si>
    <t xml:space="preserve">FELIPE DE ALCANTARA MASCARENHAS </t>
  </si>
  <si>
    <t>SIMONE OLIVEIRA DAS SILVA</t>
  </si>
  <si>
    <t xml:space="preserve">Téc. Segurança </t>
  </si>
  <si>
    <t xml:space="preserve">Engenharia </t>
  </si>
  <si>
    <t>Plano de Manutenção</t>
  </si>
  <si>
    <t>ANGELICA PES PEREIRA</t>
  </si>
  <si>
    <t xml:space="preserve">Planejamento </t>
  </si>
  <si>
    <t>CAROLINE SOUZA</t>
  </si>
  <si>
    <t xml:space="preserve">ALESSANDRA SILVEIRA ROCHA DOS SANTOS </t>
  </si>
  <si>
    <t>Téc Químico</t>
  </si>
  <si>
    <t xml:space="preserve"> Téc. De Elétrica </t>
  </si>
  <si>
    <t>ROSANGELA FERREIRA DA SILVA CUHA</t>
  </si>
  <si>
    <t xml:space="preserve">JOSENILDO OLIVEIRA DOS SANTOS </t>
  </si>
  <si>
    <t>ANA PAULA IGREJA</t>
  </si>
  <si>
    <t>Téc Qualidade</t>
  </si>
  <si>
    <t xml:space="preserve">téc. de Refrigeração </t>
  </si>
  <si>
    <t xml:space="preserve">CLAUDIO LUIZ FREITAS CUNHA </t>
  </si>
  <si>
    <t xml:space="preserve">ISAIAS DE OLIVEIRA </t>
  </si>
  <si>
    <t>RAFAELLA DA SILVA MESQUEITA REID</t>
  </si>
  <si>
    <t>Assistente ADM</t>
  </si>
  <si>
    <t xml:space="preserve">GELSON JOSE FELIPE </t>
  </si>
  <si>
    <t xml:space="preserve">ARNALDO BRITO DO NASCIMENTO </t>
  </si>
  <si>
    <t xml:space="preserve">Normatel </t>
  </si>
  <si>
    <t xml:space="preserve">REIJANE DE JESUS DOS SANTOS </t>
  </si>
  <si>
    <t xml:space="preserve">JAIR TEIXEIRA FILHO </t>
  </si>
  <si>
    <t xml:space="preserve">CLEIDE VENTURA DE ANDADE </t>
  </si>
  <si>
    <t>Aux. de Almoxarife</t>
  </si>
  <si>
    <t xml:space="preserve">Apoio e Administrativo </t>
  </si>
  <si>
    <t>INGRIDHI ALCANTRA ALVARENGA</t>
  </si>
  <si>
    <t xml:space="preserve">TAUA RIBEIRO MONTEIRO </t>
  </si>
  <si>
    <t xml:space="preserve">CAROLINA DE MENEZES SANTOS </t>
  </si>
  <si>
    <t xml:space="preserve">LUCAS DE SA CEZARIO </t>
  </si>
  <si>
    <t xml:space="preserve">LUCAS GRIJO FARIA </t>
  </si>
  <si>
    <t xml:space="preserve">ROSIELEN LINHARES DA ROCHA </t>
  </si>
  <si>
    <t xml:space="preserve">Engenheiro Eletricista </t>
  </si>
  <si>
    <t xml:space="preserve">Engenheiro Mecânico </t>
  </si>
  <si>
    <t>Supervisor de Conservação e Limpeza</t>
  </si>
  <si>
    <t>Eletromecanica</t>
  </si>
  <si>
    <t>Refrigeração</t>
  </si>
  <si>
    <t>Automação</t>
  </si>
  <si>
    <t>Áreas verdes</t>
  </si>
  <si>
    <t>Apoio OP</t>
  </si>
  <si>
    <t xml:space="preserve">RICARDO SOARES DA COSTA JUNIOR </t>
  </si>
  <si>
    <t xml:space="preserve">EMANUEL LUCAS SILVA </t>
  </si>
  <si>
    <t xml:space="preserve">JOSE AMARO NOGUEIRA PINHEIRO </t>
  </si>
  <si>
    <t>Área 100</t>
  </si>
  <si>
    <t>Área 200</t>
  </si>
  <si>
    <t>Área 300</t>
  </si>
  <si>
    <t xml:space="preserve">Bebedouro  e Varrição </t>
  </si>
  <si>
    <t>Prédio 219</t>
  </si>
  <si>
    <t xml:space="preserve">Líder de limpeza </t>
  </si>
  <si>
    <t xml:space="preserve">Área 300 </t>
  </si>
  <si>
    <t xml:space="preserve">Área 200 </t>
  </si>
  <si>
    <t xml:space="preserve">LEONARDO RIBEIRO DE JESUS </t>
  </si>
  <si>
    <t xml:space="preserve">Op. de roçadeira </t>
  </si>
  <si>
    <t xml:space="preserve">Jardineiro </t>
  </si>
  <si>
    <t xml:space="preserve">Op.de máquinas </t>
  </si>
  <si>
    <t>ANA PAULA DE OLIVEIRA DA SILVA</t>
  </si>
  <si>
    <t xml:space="preserve">Téc. De Eletrotécnica </t>
  </si>
  <si>
    <t xml:space="preserve">Técnico de Mecânica </t>
  </si>
  <si>
    <t xml:space="preserve">FABIO REGES DE JESUS									</t>
  </si>
  <si>
    <t xml:space="preserve">NICOLAS COELHO DO NASCIMENTO	</t>
  </si>
  <si>
    <t>Mec. Refrigeração II</t>
  </si>
  <si>
    <t xml:space="preserve">Mec. Refrigeração </t>
  </si>
  <si>
    <t>JOSÉ DE LIMA LIRA</t>
  </si>
  <si>
    <t>Aux. Serviços Gerais 2X2</t>
  </si>
  <si>
    <t>FABIO JOSE PINHEIRO</t>
  </si>
  <si>
    <t>HUGO LOPES</t>
  </si>
  <si>
    <t>Técnico Automação</t>
  </si>
  <si>
    <t xml:space="preserve">Téc. Mecânica </t>
  </si>
  <si>
    <t xml:space="preserve">Apoio a eventos </t>
  </si>
  <si>
    <t xml:space="preserve">Mensageria </t>
  </si>
  <si>
    <t>Movimentação de volumes</t>
  </si>
  <si>
    <t xml:space="preserve">Gestão de ocupação </t>
  </si>
  <si>
    <t xml:space="preserve">Montagem e desmontagem </t>
  </si>
  <si>
    <t xml:space="preserve">Arranjo Físico e Layout </t>
  </si>
  <si>
    <t>Técnico Eletrotecnica</t>
  </si>
  <si>
    <t xml:space="preserve">Aux. de Manutenção </t>
  </si>
  <si>
    <t xml:space="preserve">Téc. Planejamento Apoio SM </t>
  </si>
  <si>
    <t xml:space="preserve">ALEXANDRE FERREIRA </t>
  </si>
  <si>
    <t xml:space="preserve">Téc. de Eletrotécnica </t>
  </si>
  <si>
    <t xml:space="preserve">Eletricista </t>
  </si>
  <si>
    <t>CLÁUDIO SÉRGIO BARROS DE MELO</t>
  </si>
  <si>
    <t>LEONARDO BISPO DE ARAUJO</t>
  </si>
  <si>
    <t>LEANDRO DUTRA MACIEL</t>
  </si>
  <si>
    <t xml:space="preserve">Mensageira </t>
  </si>
  <si>
    <t xml:space="preserve">Artifice </t>
  </si>
  <si>
    <t xml:space="preserve">JOÃO BERCELOS </t>
  </si>
  <si>
    <t xml:space="preserve">DANIEL SULIVAN GOMES BRAGA </t>
  </si>
  <si>
    <t xml:space="preserve">Caldeiraria </t>
  </si>
  <si>
    <t xml:space="preserve">Hidráulica </t>
  </si>
  <si>
    <t xml:space="preserve">Carpintaria </t>
  </si>
  <si>
    <t xml:space="preserve">Pintura </t>
  </si>
  <si>
    <t xml:space="preserve">Alvenaria </t>
  </si>
  <si>
    <t xml:space="preserve">JOÃO PEDRO </t>
  </si>
  <si>
    <t xml:space="preserve">PEDRO HERIQUE DE LIMA PASSOS SOUZA 									</t>
  </si>
  <si>
    <t xml:space="preserve"> Líder de campo </t>
  </si>
  <si>
    <t>Téc. de Edificações</t>
  </si>
  <si>
    <t xml:space="preserve">CARLOS GILBERTO CARVALHO </t>
  </si>
  <si>
    <t>BENICIO DOS DANTOS JUNIOR</t>
  </si>
  <si>
    <t xml:space="preserve">VICTOR DA SILVA SOUZA </t>
  </si>
  <si>
    <t xml:space="preserve">Marceneiro </t>
  </si>
  <si>
    <t>Vistoriador (TÉC. EDIFICAÇÕES)</t>
  </si>
  <si>
    <t xml:space="preserve">MARCOS RODRIGUES DIAS </t>
  </si>
  <si>
    <t xml:space="preserve">WILLYS CABRAL </t>
  </si>
  <si>
    <t xml:space="preserve">JOSUEL BARCELLOS RODRIGUES									</t>
  </si>
  <si>
    <t>SONIA MARIA VIANA RIBEIRO 2X2</t>
  </si>
  <si>
    <t xml:space="preserve">Aux. Serviços Gerais								</t>
  </si>
  <si>
    <t xml:space="preserve">JEFFERSON TEIXEIRA DOS SANTOS </t>
  </si>
  <si>
    <t xml:space="preserve">RAQUEL MARTINS CELESTINO DA MOTA </t>
  </si>
  <si>
    <t>LUIZ FELIPE EUGENIO</t>
  </si>
  <si>
    <t>JAIR DO AMARAL CAMARGO</t>
  </si>
  <si>
    <t>Caldereiro</t>
  </si>
  <si>
    <t xml:space="preserve">ANDRE LUIZ DE OLIVEIRA  SANTANA </t>
  </si>
  <si>
    <t xml:space="preserve">Op. de empilhadeira </t>
  </si>
  <si>
    <t xml:space="preserve">Artificie </t>
  </si>
  <si>
    <t xml:space="preserve">PEDRO TEIXEIRA BATISTA </t>
  </si>
  <si>
    <t xml:space="preserve">FELIPE CANDIDO DA SILVA </t>
  </si>
  <si>
    <t xml:space="preserve">DANIEL PESSANHA DA SILVA </t>
  </si>
  <si>
    <t xml:space="preserve">JOCELINO MODESTO </t>
  </si>
  <si>
    <t xml:space="preserve">HERALDO DOS SANTOS </t>
  </si>
  <si>
    <t>OPERACAO</t>
  </si>
  <si>
    <t>ELETROMECANICA</t>
  </si>
  <si>
    <t>REFRIGERACAO</t>
  </si>
  <si>
    <t>LOGISTICA</t>
  </si>
  <si>
    <t>GESTAO DA OCUPACAO</t>
  </si>
  <si>
    <t>CONSERVACAO E LIMPEZA</t>
  </si>
  <si>
    <t>ENGENHARIA</t>
  </si>
  <si>
    <t>?</t>
  </si>
  <si>
    <t>Carteira</t>
  </si>
  <si>
    <t>% total</t>
  </si>
  <si>
    <t>3. Colaboradores por Carteira</t>
  </si>
  <si>
    <t>4.1 Carteira × Base (Ativos)</t>
  </si>
  <si>
    <t>Total</t>
  </si>
  <si>
    <t>4. Colaboradores por Carteira</t>
  </si>
  <si>
    <t>3.1 Carteira × Base (Ativos)</t>
  </si>
  <si>
    <t>CLEIDIR FURTUOSO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</si>
</sst>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.25"/>
      <color rgb="FF000000"/>
      <name val="Tahoma"/>
      <family val="2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7030A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color rgb="FF000000"/>
      <name val="Tahoma"/>
      <family val="2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9"/>
      <color rgb="FF3F3F3F"/>
      <name val="Aptos Narrow"/>
      <family val="2"/>
      <scheme val="minor"/>
    </font>
    <font>
      <b/>
      <sz val="8"/>
      <name val="Arial"/>
      <family val="2"/>
    </font>
    <font>
      <b/>
      <sz val="22"/>
      <color rgb="FF3F3F3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3F3F3F"/>
      <name val="Aptos Narrow"/>
      <family val="2"/>
      <scheme val="minor"/>
    </font>
    <font>
      <sz val="8"/>
      <name val="Arial"/>
      <family val="2"/>
    </font>
    <font>
      <b/>
      <sz val="10"/>
      <color rgb="FF3F3F3F"/>
      <name val="Aptos Narrow"/>
      <family val="2"/>
      <scheme val="minor"/>
    </font>
    <font>
      <b/>
      <sz val="10"/>
      <color rgb="FF2E6627"/>
      <name val="Aptos Narrow"/>
      <family val="2"/>
      <scheme val="minor"/>
    </font>
    <font>
      <i/>
      <sz val="10"/>
      <color rgb="FF3F3F3F"/>
      <name val="Aptos Narrow"/>
      <family val="2"/>
      <scheme val="minor"/>
    </font>
    <font>
      <sz val="9"/>
      <color rgb="FF7F7F7F"/>
      <name val="Aptos Narrow"/>
      <family val="2"/>
      <scheme val="minor"/>
    </font>
    <font>
      <b/>
      <sz val="11"/>
      <color rgb="FF7F7F7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8"/>
      <color rgb="FF000000"/>
      <name val="Arial"/>
      <family val="2"/>
    </font>
    <font>
      <b/>
      <sz val="24"/>
      <color rgb="FF3F3F3F"/>
      <name val="Aptos Narrow"/>
      <family val="2"/>
      <scheme val="minor"/>
    </font>
    <font>
      <b/>
      <sz val="8"/>
      <color rgb="FF7030A0"/>
      <name val="Arial"/>
      <family val="2"/>
    </font>
    <font>
      <b/>
      <sz val="8"/>
      <color rgb="FF000000"/>
      <name val="Arial"/>
      <family val="2"/>
    </font>
    <font>
      <b/>
      <sz val="10"/>
      <color rgb="FF3F3F3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3F3F3F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0"/>
      <name val="Arial"/>
      <family val="2"/>
    </font>
    <font>
      <i/>
      <sz val="9"/>
      <color rgb="FF3F3F3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9"/>
      <color indexed="81"/>
      <name val="Segoe UI"/>
      <family val="2"/>
    </font>
    <font>
      <sz val="8.25"/>
      <color rgb="FF000000"/>
      <name val="Tahoma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6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7"/>
      <color theme="1"/>
      <name val="Arial"/>
      <family val="2"/>
    </font>
    <font>
      <sz val="6"/>
      <name val="Arial"/>
      <family val="2"/>
    </font>
    <font>
      <b/>
      <sz val="6"/>
      <color theme="1"/>
      <name val="Arial"/>
      <family val="2"/>
    </font>
    <font>
      <b/>
      <sz val="14"/>
      <color theme="1"/>
      <name val="Arial"/>
      <family val="2"/>
    </font>
    <font>
      <b/>
      <sz val="20"/>
      <color rgb="FF000000"/>
      <name val="Arial"/>
      <family val="2"/>
    </font>
    <font>
      <b/>
      <sz val="20"/>
      <name val="Arial"/>
      <family val="2"/>
    </font>
    <font>
      <sz val="6"/>
      <color theme="1"/>
      <name val="Arial"/>
      <family val="2"/>
    </font>
    <font>
      <b/>
      <sz val="6"/>
      <name val="Arial"/>
      <family val="2"/>
    </font>
    <font>
      <b/>
      <sz val="6"/>
      <color theme="0"/>
      <name val="Arial"/>
      <family val="2"/>
    </font>
    <font>
      <b/>
      <sz val="6"/>
      <color rgb="FFFF0000"/>
      <name val="Arial"/>
      <family val="2"/>
    </font>
    <font>
      <sz val="14"/>
      <name val="Arial"/>
      <family val="2"/>
    </font>
    <font>
      <sz val="26"/>
      <name val="Arial"/>
      <family val="2"/>
    </font>
    <font>
      <sz val="18"/>
      <name val="Arial"/>
      <family val="2"/>
    </font>
    <font>
      <b/>
      <sz val="6"/>
      <color theme="6" tint="-0.499984740745262"/>
      <name val="Arial"/>
      <family val="2"/>
    </font>
    <font>
      <b/>
      <sz val="6"/>
      <color rgb="FF4F6228"/>
      <name val="Arial"/>
      <family val="2"/>
    </font>
    <font>
      <sz val="6"/>
      <color rgb="FF000000"/>
      <name val="Arial"/>
      <family val="2"/>
    </font>
    <font>
      <sz val="14"/>
      <color rgb="FFFF0000"/>
      <name val="Arial"/>
      <family val="2"/>
    </font>
    <font>
      <sz val="6"/>
      <color rgb="FF000000"/>
      <name val="Arial"/>
      <family val="2"/>
    </font>
    <font>
      <b/>
      <sz val="6"/>
      <color rgb="FF00B050"/>
      <name val="Arial"/>
      <family val="2"/>
    </font>
    <font>
      <sz val="6"/>
      <color rgb="FFFF0000"/>
      <name val="Arial"/>
      <family val="2"/>
    </font>
    <font>
      <sz val="6"/>
      <color rgb="FF00B050"/>
      <name val="Arial"/>
      <family val="2"/>
    </font>
    <font>
      <b/>
      <sz val="5"/>
      <color rgb="FFFF0000"/>
      <name val="Arial"/>
      <family val="2"/>
    </font>
    <font>
      <b/>
      <sz val="6"/>
      <color rgb="FF7030A0"/>
      <name val="Arial"/>
      <family val="2"/>
    </font>
    <font>
      <sz val="5"/>
      <color theme="1"/>
      <name val="Arial"/>
      <family val="2"/>
    </font>
    <font>
      <sz val="5"/>
      <color rgb="FF000000"/>
      <name val="Arial"/>
      <family val="2"/>
    </font>
    <font>
      <sz val="4"/>
      <color theme="1"/>
      <name val="Arial"/>
      <family val="2"/>
    </font>
    <font>
      <b/>
      <sz val="8"/>
      <color rgb="FF00B050"/>
      <name val="Arial"/>
      <family val="2"/>
    </font>
    <font>
      <b/>
      <sz val="6"/>
      <color rgb="FFFF0000"/>
      <name val="Arial"/>
      <family val="2"/>
    </font>
    <font>
      <sz val="6"/>
      <color theme="6" tint="-0.499984740745262"/>
      <name val="Arial"/>
      <family val="2"/>
    </font>
    <font>
      <b/>
      <sz val="6"/>
      <color rgb="FFD91E8E"/>
      <name val="Arial"/>
      <family val="2"/>
    </font>
    <font>
      <b/>
      <sz val="6"/>
      <color rgb="FFD91E8E"/>
      <name val="Arial"/>
      <family val="2"/>
    </font>
    <font>
      <sz val="6"/>
      <color rgb="FF000000"/>
      <name val="Arial"/>
      <family val="2"/>
    </font>
    <font>
      <sz val="5"/>
      <name val="Arial"/>
      <family val="2"/>
    </font>
    <font>
      <b/>
      <sz val="9"/>
      <name val="Arial"/>
      <family val="2"/>
    </font>
    <font>
      <b/>
      <sz val="5"/>
      <color theme="0"/>
      <name val="Arial"/>
      <family val="2"/>
    </font>
    <font>
      <sz val="9"/>
      <name val="Arial"/>
      <family val="2"/>
    </font>
    <font>
      <b/>
      <sz val="9"/>
      <color indexed="81"/>
      <name val="Segoe UI"/>
      <family val="2"/>
    </font>
    <font>
      <b/>
      <sz val="16"/>
      <color theme="1"/>
      <name val="Arial"/>
      <family val="2"/>
    </font>
    <font>
      <b/>
      <sz val="9"/>
      <color rgb="FF00B050"/>
      <name val="Arial"/>
      <family val="2"/>
    </font>
    <font>
      <b/>
      <sz val="6"/>
      <color rgb="FF7030A0"/>
      <name val="Arial"/>
      <family val="2"/>
    </font>
    <font>
      <b/>
      <sz val="6"/>
      <color theme="6" tint="-0.499984740745262"/>
      <name val="Arial"/>
      <family val="2"/>
    </font>
    <font>
      <b/>
      <sz val="9"/>
      <color rgb="FFFF0000"/>
      <name val="Arial"/>
      <family val="2"/>
    </font>
    <font>
      <sz val="6"/>
      <color rgb="FF242424"/>
      <name val="Aptos Narrow"/>
      <family val="2"/>
    </font>
    <font>
      <b/>
      <sz val="6"/>
      <color rgb="FF000000"/>
      <name val="Tahoma"/>
      <family val="2"/>
    </font>
    <font>
      <b/>
      <sz val="6"/>
      <color rgb="FF000000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.5"/>
      <name val="Tahoma"/>
      <family val="2"/>
    </font>
    <font>
      <sz val="8.5"/>
      <name val="Tahoma"/>
      <family val="2"/>
    </font>
    <font>
      <b/>
      <sz val="8.5"/>
      <color rgb="FF000000"/>
      <name val="Tahoma"/>
      <family val="2"/>
    </font>
    <font>
      <b/>
      <sz val="12"/>
      <color rgb="FFFFFFFF"/>
      <name val="Aptos Narrow"/>
      <scheme val="minor"/>
    </font>
    <font>
      <sz val="11"/>
      <color theme="1"/>
      <name val="Aptos Narrow"/>
      <scheme val="minor"/>
    </font>
    <font>
      <sz val="10"/>
      <color rgb="FF3F3F3F"/>
      <name val="Aptos Narrow"/>
      <scheme val="minor"/>
    </font>
    <font>
      <b/>
      <sz val="10"/>
      <color rgb="FFFFFFFF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sz val="11"/>
      <color rgb="FFFFFFFF"/>
      <name val="Aptos Narrow"/>
      <family val="2"/>
      <scheme val="minor"/>
    </font>
    <font>
      <b/>
      <sz val="10"/>
      <color rgb="FF3F3F3F"/>
      <name val="Aptos Narrow"/>
      <scheme val="minor"/>
    </font>
    <font>
      <b/>
      <sz val="8"/>
      <name val="Arial"/>
    </font>
    <font>
      <sz val="9"/>
      <color indexed="81"/>
      <name val="Segoe UI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4A9B3E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1F2"/>
        <bgColor indexed="64"/>
      </patternFill>
    </fill>
  </fills>
  <borders count="2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 style="thin">
        <color rgb="FF4A9B3E"/>
      </left>
      <right/>
      <top/>
      <bottom/>
      <diagonal/>
    </border>
    <border>
      <left/>
      <right style="thin">
        <color rgb="FF4A9B3E"/>
      </right>
      <top/>
      <bottom/>
      <diagonal/>
    </border>
    <border>
      <left/>
      <right/>
      <top/>
      <bottom style="medium">
        <color rgb="FF4A9B3E"/>
      </bottom>
      <diagonal/>
    </border>
    <border>
      <left style="thin">
        <color rgb="FF4A9B3E"/>
      </left>
      <right/>
      <top/>
      <bottom style="medium">
        <color rgb="FF4A9B3E"/>
      </bottom>
      <diagonal/>
    </border>
    <border>
      <left/>
      <right style="thin">
        <color rgb="FF4A9B3E"/>
      </right>
      <top/>
      <bottom style="medium">
        <color rgb="FF4A9B3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4A9B3E"/>
      </top>
      <bottom/>
      <diagonal/>
    </border>
    <border>
      <left/>
      <right/>
      <top style="thin">
        <color auto="1"/>
      </top>
      <bottom style="thin">
        <color rgb="FFE8F3E5"/>
      </bottom>
      <diagonal/>
    </border>
    <border>
      <left/>
      <right/>
      <top style="thin">
        <color rgb="FFE8F3E5"/>
      </top>
      <bottom style="thin">
        <color rgb="FFE8F3E5"/>
      </bottom>
      <diagonal/>
    </border>
    <border>
      <left/>
      <right/>
      <top style="thin">
        <color rgb="FFE8F3E5"/>
      </top>
      <bottom style="medium">
        <color rgb="FF4A9B3E"/>
      </bottom>
      <diagonal/>
    </border>
    <border>
      <left/>
      <right/>
      <top style="thin">
        <color rgb="FF4A9B3E"/>
      </top>
      <bottom style="medium">
        <color rgb="FF4A9B3E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 style="thin">
        <color rgb="FFE8F3E5"/>
      </bottom>
      <diagonal/>
    </border>
    <border>
      <left/>
      <right style="thin">
        <color indexed="64"/>
      </right>
      <top style="thin">
        <color rgb="FFE8F3E5"/>
      </top>
      <bottom style="thin">
        <color rgb="FFE8F3E5"/>
      </bottom>
      <diagonal/>
    </border>
    <border>
      <left/>
      <right style="thin">
        <color indexed="64"/>
      </right>
      <top style="thin">
        <color rgb="FFE8F3E5"/>
      </top>
      <bottom style="medium">
        <color rgb="FF4A9B3E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rgb="FF4A9B3E"/>
      </left>
      <right style="thin">
        <color rgb="FF4A9B3E"/>
      </right>
      <top style="thin">
        <color rgb="FF4A9B3E"/>
      </top>
      <bottom style="thin">
        <color rgb="FF4A9B3E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FF0000"/>
      </right>
      <top style="thin">
        <color indexed="64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hair">
        <color rgb="FFFF0000"/>
      </left>
      <right/>
      <top style="hair">
        <color rgb="FFFF0000"/>
      </top>
      <bottom/>
      <diagonal/>
    </border>
    <border>
      <left/>
      <right/>
      <top style="hair">
        <color rgb="FFFF0000"/>
      </top>
      <bottom/>
      <diagonal/>
    </border>
    <border>
      <left/>
      <right/>
      <top style="hair">
        <color rgb="FFFF0000"/>
      </top>
      <bottom style="thin">
        <color indexed="64"/>
      </bottom>
      <diagonal/>
    </border>
    <border>
      <left/>
      <right style="thin">
        <color auto="1"/>
      </right>
      <top style="hair">
        <color rgb="FFFF0000"/>
      </top>
      <bottom style="thin">
        <color auto="1"/>
      </bottom>
      <diagonal/>
    </border>
    <border>
      <left/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/>
      <top/>
      <bottom/>
      <diagonal/>
    </border>
    <border>
      <left/>
      <right style="hair">
        <color rgb="FFFF0000"/>
      </right>
      <top/>
      <bottom/>
      <diagonal/>
    </border>
    <border>
      <left style="hair">
        <color rgb="FFFF0000"/>
      </left>
      <right/>
      <top/>
      <bottom style="hair">
        <color rgb="FFFF0000"/>
      </bottom>
      <diagonal/>
    </border>
    <border>
      <left/>
      <right/>
      <top/>
      <bottom style="hair">
        <color rgb="FFFF0000"/>
      </bottom>
      <diagonal/>
    </border>
    <border>
      <left/>
      <right style="thin">
        <color auto="1"/>
      </right>
      <top/>
      <bottom style="hair">
        <color rgb="FFFF0000"/>
      </bottom>
      <diagonal/>
    </border>
    <border>
      <left/>
      <right style="hair">
        <color rgb="FFFF0000"/>
      </right>
      <top/>
      <bottom style="hair">
        <color rgb="FFFF0000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dotted">
        <color rgb="FF00B0F0"/>
      </left>
      <right/>
      <top style="thin">
        <color indexed="64"/>
      </top>
      <bottom style="dotted">
        <color rgb="FF00B0F0"/>
      </bottom>
      <diagonal/>
    </border>
    <border>
      <left/>
      <right/>
      <top/>
      <bottom style="dotted">
        <color rgb="FF00B0F0"/>
      </bottom>
      <diagonal/>
    </border>
    <border>
      <left/>
      <right/>
      <top/>
      <bottom style="hair">
        <color rgb="FF00B0F0"/>
      </bottom>
      <diagonal/>
    </border>
    <border>
      <left style="dotted">
        <color rgb="FF00B0F0"/>
      </left>
      <right/>
      <top/>
      <bottom/>
      <diagonal/>
    </border>
    <border>
      <left/>
      <right style="hair">
        <color rgb="FF00B0F0"/>
      </right>
      <top style="dotted">
        <color rgb="FF00B0F0"/>
      </top>
      <bottom/>
      <diagonal/>
    </border>
    <border>
      <left style="hair">
        <color rgb="FF00B0F0"/>
      </left>
      <right/>
      <top/>
      <bottom/>
      <diagonal/>
    </border>
    <border>
      <left style="dotted">
        <color rgb="FF00B0F0"/>
      </left>
      <right/>
      <top/>
      <bottom style="thin">
        <color auto="1"/>
      </bottom>
      <diagonal/>
    </border>
    <border>
      <left/>
      <right style="hair">
        <color rgb="FF00B0F0"/>
      </right>
      <top/>
      <bottom style="thin">
        <color auto="1"/>
      </bottom>
      <diagonal/>
    </border>
    <border>
      <left/>
      <right style="dotted">
        <color rgb="FF00B0F0"/>
      </right>
      <top style="thin">
        <color auto="1"/>
      </top>
      <bottom style="dotted">
        <color rgb="FF00B0F0"/>
      </bottom>
      <diagonal/>
    </border>
    <border>
      <left/>
      <right style="hair">
        <color rgb="FF00B0F0"/>
      </right>
      <top/>
      <bottom/>
      <diagonal/>
    </border>
    <border>
      <left/>
      <right style="hair">
        <color rgb="FF00B0F0"/>
      </right>
      <top style="thin">
        <color auto="1"/>
      </top>
      <bottom/>
      <diagonal/>
    </border>
    <border>
      <left/>
      <right style="dotted">
        <color rgb="FF00B0F0"/>
      </right>
      <top/>
      <bottom/>
      <diagonal/>
    </border>
    <border>
      <left/>
      <right style="dotted">
        <color rgb="FF00B0F0"/>
      </right>
      <top style="dotted">
        <color rgb="FF00B0F0"/>
      </top>
      <bottom/>
      <diagonal/>
    </border>
    <border>
      <left/>
      <right style="dashed">
        <color rgb="FF00B0F0"/>
      </right>
      <top/>
      <bottom/>
      <diagonal/>
    </border>
    <border>
      <left style="dashed">
        <color rgb="FFFF0000"/>
      </left>
      <right/>
      <top style="dashed">
        <color rgb="FFFF0000"/>
      </top>
      <bottom/>
      <diagonal/>
    </border>
    <border>
      <left/>
      <right/>
      <top style="dashed">
        <color rgb="FFFF0000"/>
      </top>
      <bottom/>
      <diagonal/>
    </border>
    <border>
      <left/>
      <right style="dotted">
        <color rgb="FF00B0F0"/>
      </right>
      <top style="dashed">
        <color rgb="FFFF0000"/>
      </top>
      <bottom/>
      <diagonal/>
    </border>
    <border>
      <left/>
      <right style="hair">
        <color rgb="FF00B0F0"/>
      </right>
      <top style="dashed">
        <color rgb="FFFF0000"/>
      </top>
      <bottom/>
      <diagonal/>
    </border>
    <border>
      <left/>
      <right style="dashed">
        <color rgb="FFFF0000"/>
      </right>
      <top style="dashed">
        <color rgb="FFFF0000"/>
      </top>
      <bottom/>
      <diagonal/>
    </border>
    <border>
      <left style="dashed">
        <color rgb="FFFF0000"/>
      </left>
      <right/>
      <top/>
      <bottom/>
      <diagonal/>
    </border>
    <border>
      <left/>
      <right style="dashed">
        <color rgb="FFFF0000"/>
      </right>
      <top/>
      <bottom/>
      <diagonal/>
    </border>
    <border>
      <left style="dotted">
        <color rgb="FFFF0000"/>
      </left>
      <right/>
      <top style="dotted">
        <color rgb="FFFF0000"/>
      </top>
      <bottom/>
      <diagonal/>
    </border>
    <border>
      <left/>
      <right/>
      <top style="dotted">
        <color rgb="FFFF0000"/>
      </top>
      <bottom/>
      <diagonal/>
    </border>
    <border>
      <left style="thin">
        <color auto="1"/>
      </left>
      <right/>
      <top style="dashed">
        <color rgb="FFFF0000"/>
      </top>
      <bottom style="thin">
        <color auto="1"/>
      </bottom>
      <diagonal/>
    </border>
    <border>
      <left/>
      <right/>
      <top style="dashed">
        <color rgb="FFFF0000"/>
      </top>
      <bottom style="thin">
        <color indexed="64"/>
      </bottom>
      <diagonal/>
    </border>
    <border>
      <left/>
      <right style="dashed">
        <color rgb="FFFF0000"/>
      </right>
      <top style="dashed">
        <color rgb="FFFF0000"/>
      </top>
      <bottom style="thin">
        <color indexed="64"/>
      </bottom>
      <diagonal/>
    </border>
    <border>
      <left style="dotted">
        <color rgb="FFFF0000"/>
      </left>
      <right/>
      <top/>
      <bottom/>
      <diagonal/>
    </border>
    <border>
      <left/>
      <right style="dotted">
        <color rgb="FFFF0000"/>
      </right>
      <top/>
      <bottom/>
      <diagonal/>
    </border>
    <border>
      <left style="dashed">
        <color rgb="FF00B0F0"/>
      </left>
      <right/>
      <top/>
      <bottom style="dotted">
        <color rgb="FF00B0F0"/>
      </bottom>
      <diagonal/>
    </border>
    <border>
      <left style="dotted">
        <color rgb="FFFF0000"/>
      </left>
      <right style="thin">
        <color auto="1"/>
      </right>
      <top/>
      <bottom style="dotted">
        <color rgb="FF00B0F0"/>
      </bottom>
      <diagonal/>
    </border>
    <border>
      <left style="dotted">
        <color rgb="FFFF0000"/>
      </left>
      <right/>
      <top/>
      <bottom style="dotted">
        <color rgb="FFFF0000"/>
      </bottom>
      <diagonal/>
    </border>
    <border>
      <left/>
      <right/>
      <top/>
      <bottom style="dotted">
        <color rgb="FFFF0000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/>
      <right style="dotted">
        <color rgb="FF00B0F0"/>
      </right>
      <top/>
      <bottom style="thin">
        <color auto="1"/>
      </bottom>
      <diagonal/>
    </border>
    <border>
      <left/>
      <right/>
      <top/>
      <bottom style="dashed">
        <color rgb="FF00B0F0"/>
      </bottom>
      <diagonal/>
    </border>
    <border>
      <left/>
      <right style="dotted">
        <color rgb="FF00B0F0"/>
      </right>
      <top style="thin">
        <color auto="1"/>
      </top>
      <bottom style="thin">
        <color auto="1"/>
      </bottom>
      <diagonal/>
    </border>
    <border>
      <left/>
      <right/>
      <top style="hair">
        <color rgb="FF00B0F0"/>
      </top>
      <bottom/>
      <diagonal/>
    </border>
    <border>
      <left/>
      <right style="dotted">
        <color rgb="FF00B0F0"/>
      </right>
      <top style="thin">
        <color auto="1"/>
      </top>
      <bottom/>
      <diagonal/>
    </border>
    <border>
      <left/>
      <right style="hair">
        <color rgb="FF00B0F0"/>
      </right>
      <top/>
      <bottom style="dashed">
        <color rgb="FF00B0F0"/>
      </bottom>
      <diagonal/>
    </border>
    <border>
      <left style="thin">
        <color indexed="64"/>
      </left>
      <right/>
      <top/>
      <bottom style="dashed">
        <color rgb="FF00B0F0"/>
      </bottom>
      <diagonal/>
    </border>
    <border>
      <left/>
      <right style="dashed">
        <color rgb="FF00B0F0"/>
      </right>
      <top style="dashed">
        <color rgb="FFFF0000"/>
      </top>
      <bottom/>
      <diagonal/>
    </border>
    <border>
      <left style="dashed">
        <color rgb="FF00B0F0"/>
      </left>
      <right/>
      <top style="dashed">
        <color rgb="FF00B0F0"/>
      </top>
      <bottom/>
      <diagonal/>
    </border>
    <border>
      <left/>
      <right/>
      <top style="dashed">
        <color rgb="FF00B0F0"/>
      </top>
      <bottom/>
      <diagonal/>
    </border>
    <border>
      <left/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/>
      <top/>
      <bottom/>
      <diagonal/>
    </border>
    <border>
      <left/>
      <right style="dashed">
        <color rgb="FF00B0F0"/>
      </right>
      <top style="thin">
        <color auto="1"/>
      </top>
      <bottom/>
      <diagonal/>
    </border>
    <border>
      <left style="dashed">
        <color rgb="FF00B0F0"/>
      </left>
      <right/>
      <top style="dashed">
        <color rgb="FFFF0000"/>
      </top>
      <bottom/>
      <diagonal/>
    </border>
    <border>
      <left style="thin">
        <color auto="1"/>
      </left>
      <right/>
      <top style="dashed">
        <color rgb="FFFF0000"/>
      </top>
      <bottom/>
      <diagonal/>
    </border>
    <border>
      <left/>
      <right style="thin">
        <color indexed="64"/>
      </right>
      <top style="dashed">
        <color rgb="FFFF0000"/>
      </top>
      <bottom/>
      <diagonal/>
    </border>
    <border>
      <left/>
      <right/>
      <top style="dashed">
        <color rgb="FFFF0000"/>
      </top>
      <bottom style="dotted">
        <color rgb="FF00B0F0"/>
      </bottom>
      <diagonal/>
    </border>
    <border>
      <left/>
      <right style="hair">
        <color rgb="FF00B0F0"/>
      </right>
      <top style="thin">
        <color auto="1"/>
      </top>
      <bottom style="thin">
        <color auto="1"/>
      </bottom>
      <diagonal/>
    </border>
    <border>
      <left style="dashed">
        <color rgb="FF00B0F0"/>
      </left>
      <right/>
      <top/>
      <bottom style="thin">
        <color indexed="64"/>
      </bottom>
      <diagonal/>
    </border>
    <border>
      <left/>
      <right style="dashed">
        <color rgb="FFFF0000"/>
      </right>
      <top style="thin">
        <color indexed="64"/>
      </top>
      <bottom/>
      <diagonal/>
    </border>
    <border>
      <left style="hair">
        <color rgb="FF00B0F0"/>
      </left>
      <right/>
      <top style="thin">
        <color indexed="64"/>
      </top>
      <bottom/>
      <diagonal/>
    </border>
    <border>
      <left/>
      <right style="dotted">
        <color rgb="FF00B0F0"/>
      </right>
      <top/>
      <bottom style="dotted">
        <color rgb="FF00B0F0"/>
      </bottom>
      <diagonal/>
    </border>
    <border>
      <left style="dashed">
        <color rgb="FF00B0F0"/>
      </left>
      <right/>
      <top/>
      <bottom style="dashed">
        <color rgb="FF00B0F0"/>
      </bottom>
      <diagonal/>
    </border>
    <border>
      <left/>
      <right style="dashed">
        <color rgb="FF00B0F0"/>
      </right>
      <top/>
      <bottom style="thin">
        <color indexed="64"/>
      </bottom>
      <diagonal/>
    </border>
    <border>
      <left/>
      <right/>
      <top/>
      <bottom style="dotted">
        <color theme="8"/>
      </bottom>
      <diagonal/>
    </border>
    <border>
      <left style="hair">
        <color rgb="FF00B0F0"/>
      </left>
      <right/>
      <top/>
      <bottom style="thin">
        <color auto="1"/>
      </bottom>
      <diagonal/>
    </border>
    <border>
      <left/>
      <right style="dotted">
        <color theme="3" tint="0.39994506668294322"/>
      </right>
      <top style="dotted">
        <color theme="3" tint="0.39994506668294322"/>
      </top>
      <bottom/>
      <diagonal/>
    </border>
    <border>
      <left/>
      <right style="thin">
        <color indexed="64"/>
      </right>
      <top style="dashed">
        <color rgb="FF00B0F0"/>
      </top>
      <bottom/>
      <diagonal/>
    </border>
    <border>
      <left style="dotted">
        <color theme="8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rgb="FFFF0000"/>
      </top>
      <bottom style="thin">
        <color indexed="64"/>
      </bottom>
      <diagonal/>
    </border>
    <border>
      <left style="thin">
        <color indexed="64"/>
      </left>
      <right style="dashed">
        <color rgb="FFFF0000"/>
      </right>
      <top style="dashed">
        <color rgb="FFFF0000"/>
      </top>
      <bottom style="thin">
        <color indexed="64"/>
      </bottom>
      <diagonal/>
    </border>
    <border>
      <left style="dashed">
        <color rgb="FF00B0F0"/>
      </left>
      <right/>
      <top style="thin">
        <color indexed="64"/>
      </top>
      <bottom/>
      <diagonal/>
    </border>
    <border>
      <left style="dotted">
        <color theme="8"/>
      </left>
      <right/>
      <top/>
      <bottom style="thin">
        <color indexed="64"/>
      </bottom>
      <diagonal/>
    </border>
    <border>
      <left/>
      <right style="dashed">
        <color rgb="FF00B0F0"/>
      </right>
      <top/>
      <bottom style="dashed">
        <color rgb="FF00B0F0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/>
      <right style="dashed">
        <color rgb="FF00B0F0"/>
      </right>
      <top/>
      <bottom style="dashed">
        <color rgb="FFFF0000"/>
      </bottom>
      <diagonal/>
    </border>
    <border>
      <left/>
      <right style="dashed">
        <color rgb="FF00B0F0"/>
      </right>
      <top style="dashed">
        <color rgb="FF00B0F0"/>
      </top>
      <bottom style="dashed">
        <color rgb="FFFF0000"/>
      </bottom>
      <diagonal/>
    </border>
    <border>
      <left/>
      <right style="dashed">
        <color rgb="FF00B0F0"/>
      </right>
      <top style="thin">
        <color auto="1"/>
      </top>
      <bottom style="dashed">
        <color rgb="FF00B0F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dotted">
        <color rgb="FF00B0F0"/>
      </right>
      <top style="dashed">
        <color rgb="FF00B0F0"/>
      </top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dashed">
        <color rgb="FFFF0000"/>
      </left>
      <right/>
      <top/>
      <bottom style="dashed">
        <color rgb="FFFF0000"/>
      </bottom>
      <diagonal/>
    </border>
    <border>
      <left/>
      <right/>
      <top/>
      <bottom style="dashed">
        <color rgb="FFFF0000"/>
      </bottom>
      <diagonal/>
    </border>
    <border>
      <left/>
      <right style="dashed">
        <color rgb="FFFF0000"/>
      </right>
      <top/>
      <bottom style="dashed">
        <color rgb="FFFF0000"/>
      </bottom>
      <diagonal/>
    </border>
    <border>
      <left style="hair">
        <color rgb="FF00B0F0"/>
      </left>
      <right/>
      <top style="thin">
        <color auto="1"/>
      </top>
      <bottom style="thin">
        <color auto="1"/>
      </bottom>
      <diagonal/>
    </border>
    <border>
      <left style="dashed">
        <color rgb="FFFF0000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dashed">
        <color rgb="FF00B0F0"/>
      </right>
      <top style="thin">
        <color auto="1"/>
      </top>
      <bottom style="thin">
        <color auto="1"/>
      </bottom>
      <diagonal/>
    </border>
    <border>
      <left/>
      <right style="dotted">
        <color rgb="FF00B0F0"/>
      </right>
      <top/>
      <bottom style="dashed">
        <color rgb="FF00B0F0"/>
      </bottom>
      <diagonal/>
    </border>
    <border>
      <left/>
      <right style="dashed">
        <color rgb="FF00B0F0"/>
      </right>
      <top style="dashed">
        <color rgb="FF00B0F0"/>
      </top>
      <bottom style="thin">
        <color indexed="64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dotted">
        <color rgb="FFFF0000"/>
      </right>
      <top/>
      <bottom style="dashed">
        <color rgb="FFFF0000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dashed">
        <color rgb="FF00B0F0"/>
      </top>
      <bottom/>
      <diagonal/>
    </border>
    <border>
      <left/>
      <right style="dotted">
        <color rgb="FF00B0F0"/>
      </right>
      <top/>
      <bottom style="dashed">
        <color rgb="FFFF0000"/>
      </bottom>
      <diagonal/>
    </border>
    <border>
      <left style="dotted">
        <color rgb="FF00B0F0"/>
      </left>
      <right/>
      <top/>
      <bottom style="dotted">
        <color rgb="FF00B0F0"/>
      </bottom>
      <diagonal/>
    </border>
    <border>
      <left/>
      <right style="dashed">
        <color rgb="FF00B0F0"/>
      </right>
      <top style="dotted">
        <color rgb="FF00B0F0"/>
      </top>
      <bottom style="thin">
        <color auto="1"/>
      </bottom>
      <diagonal/>
    </border>
    <border>
      <left/>
      <right/>
      <top style="dotted">
        <color rgb="FF00B0F0"/>
      </top>
      <bottom style="thin">
        <color auto="1"/>
      </bottom>
      <diagonal/>
    </border>
    <border>
      <left/>
      <right/>
      <top style="thin">
        <color indexed="64"/>
      </top>
      <bottom style="dashed">
        <color rgb="FF00B0F0"/>
      </bottom>
      <diagonal/>
    </border>
    <border>
      <left/>
      <right style="dotted">
        <color rgb="FF00B0F0"/>
      </right>
      <top style="thin">
        <color indexed="64"/>
      </top>
      <bottom style="dashed">
        <color rgb="FF00B0F0"/>
      </bottom>
      <diagonal/>
    </border>
    <border>
      <left/>
      <right/>
      <top style="dashed">
        <color rgb="FFFF0000"/>
      </top>
      <bottom style="dashed">
        <color rgb="FF00B0F0"/>
      </bottom>
      <diagonal/>
    </border>
    <border>
      <left/>
      <right style="dashed">
        <color rgb="FF00B0F0"/>
      </right>
      <top style="dashed">
        <color rgb="FFFF0000"/>
      </top>
      <bottom style="dashed">
        <color rgb="FF00B0F0"/>
      </bottom>
      <diagonal/>
    </border>
    <border>
      <left/>
      <right style="thin">
        <color auto="1"/>
      </right>
      <top style="dashed">
        <color rgb="FFFF0000"/>
      </top>
      <bottom style="thin">
        <color auto="1"/>
      </bottom>
      <diagonal/>
    </border>
    <border>
      <left style="thin">
        <color auto="1"/>
      </left>
      <right style="dashed">
        <color rgb="FFFF0000"/>
      </right>
      <top style="dashed">
        <color rgb="FFFF0000"/>
      </top>
      <bottom/>
      <diagonal/>
    </border>
    <border>
      <left/>
      <right style="dashed">
        <color rgb="FF00B0F0"/>
      </right>
      <top style="dashed">
        <color rgb="FFFF0000"/>
      </top>
      <bottom style="thin">
        <color auto="1"/>
      </bottom>
      <diagonal/>
    </border>
    <border>
      <left style="thin">
        <color auto="1"/>
      </left>
      <right/>
      <top style="dotted">
        <color rgb="FFFF0000"/>
      </top>
      <bottom style="thin">
        <color auto="1"/>
      </bottom>
      <diagonal/>
    </border>
    <border>
      <left/>
      <right/>
      <top style="dotted">
        <color rgb="FFFF0000"/>
      </top>
      <bottom style="thin">
        <color indexed="64"/>
      </bottom>
      <diagonal/>
    </border>
    <border>
      <left/>
      <right style="dotted">
        <color rgb="FFFF0000"/>
      </right>
      <top style="dotted">
        <color rgb="FFFF0000"/>
      </top>
      <bottom style="thin">
        <color auto="1"/>
      </bottom>
      <diagonal/>
    </border>
    <border>
      <left style="thin">
        <color indexed="64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tted">
        <color rgb="FF00B0F0"/>
      </bottom>
      <diagonal/>
    </border>
    <border>
      <left/>
      <right/>
      <top style="dashed">
        <color rgb="FF00B0F0"/>
      </top>
      <bottom style="thin">
        <color indexed="64"/>
      </bottom>
      <diagonal/>
    </border>
    <border>
      <left style="dashed">
        <color rgb="FF00B0F0"/>
      </left>
      <right/>
      <top style="dashed">
        <color rgb="FF00B0F0"/>
      </top>
      <bottom style="thin">
        <color indexed="64"/>
      </bottom>
      <diagonal/>
    </border>
    <border>
      <left style="thin">
        <color indexed="64"/>
      </left>
      <right style="dotted">
        <color rgb="FF00B0F0"/>
      </right>
      <top/>
      <bottom/>
      <diagonal/>
    </border>
    <border>
      <left style="medium">
        <color rgb="FF002060"/>
      </left>
      <right/>
      <top/>
      <bottom/>
      <diagonal/>
    </border>
    <border>
      <left/>
      <right style="dotted">
        <color rgb="FF00B0F0"/>
      </right>
      <top style="dotted">
        <color rgb="FF00B0F0"/>
      </top>
      <bottom style="thin">
        <color auto="1"/>
      </bottom>
      <diagonal/>
    </border>
    <border>
      <left/>
      <right/>
      <top style="thin">
        <color indexed="64"/>
      </top>
      <bottom style="dashed">
        <color rgb="FFFF000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hair">
        <color rgb="FF00B0F0"/>
      </right>
      <top style="hair">
        <color rgb="FF00B0F0"/>
      </top>
      <bottom style="thin">
        <color auto="1"/>
      </bottom>
      <diagonal/>
    </border>
    <border>
      <left/>
      <right style="thin">
        <color auto="1"/>
      </right>
      <top/>
      <bottom style="hair">
        <color rgb="FF00B0F0"/>
      </bottom>
      <diagonal/>
    </border>
    <border>
      <left/>
      <right style="hair">
        <color rgb="FF00B0F0"/>
      </right>
      <top/>
      <bottom style="hair">
        <color rgb="FF00B0F0"/>
      </bottom>
      <diagonal/>
    </border>
    <border>
      <left/>
      <right style="thin">
        <color indexed="64"/>
      </right>
      <top/>
      <bottom style="dashed">
        <color rgb="FF00B0F0"/>
      </bottom>
      <diagonal/>
    </border>
    <border>
      <left/>
      <right style="hair">
        <color rgb="FF00B0F0"/>
      </right>
      <top style="hair">
        <color rgb="FF00B0F0"/>
      </top>
      <bottom/>
      <diagonal/>
    </border>
    <border>
      <left/>
      <right style="hair">
        <color rgb="FF00B0F0"/>
      </right>
      <top/>
      <bottom style="dotted">
        <color rgb="FF00B0F0"/>
      </bottom>
      <diagonal/>
    </border>
    <border>
      <left style="hair">
        <color rgb="FF00B0F0"/>
      </left>
      <right/>
      <top/>
      <bottom style="dotted">
        <color rgb="FF00B0F0"/>
      </bottom>
      <diagonal/>
    </border>
    <border>
      <left/>
      <right style="hair">
        <color rgb="FF00B0F0"/>
      </right>
      <top style="dotted">
        <color rgb="FFFF0000"/>
      </top>
      <bottom/>
      <diagonal/>
    </border>
    <border>
      <left/>
      <right style="dashed">
        <color rgb="FF00B0F0"/>
      </right>
      <top style="hair">
        <color rgb="FFFF0000"/>
      </top>
      <bottom/>
      <diagonal/>
    </border>
    <border>
      <left style="thin">
        <color auto="1"/>
      </left>
      <right/>
      <top style="hair">
        <color rgb="FFFF0000"/>
      </top>
      <bottom style="thin">
        <color auto="1"/>
      </bottom>
      <diagonal/>
    </border>
    <border>
      <left/>
      <right style="hair">
        <color rgb="FFFF0000"/>
      </right>
      <top style="hair">
        <color rgb="FFFF0000"/>
      </top>
      <bottom style="thin">
        <color auto="1"/>
      </bottom>
      <diagonal/>
    </border>
    <border>
      <left style="dashed">
        <color rgb="FF00B0F0"/>
      </left>
      <right/>
      <top style="hair">
        <color rgb="FFFF0000"/>
      </top>
      <bottom/>
      <diagonal/>
    </border>
    <border>
      <left style="dotted">
        <color rgb="FF00B0F0"/>
      </left>
      <right/>
      <top style="dotted">
        <color rgb="FF00B0F0"/>
      </top>
      <bottom/>
      <diagonal/>
    </border>
    <border>
      <left/>
      <right style="hair">
        <color rgb="FF00B0F0"/>
      </right>
      <top/>
      <bottom style="dashed">
        <color rgb="FFFF0000"/>
      </bottom>
      <diagonal/>
    </border>
    <border>
      <left/>
      <right style="dotted">
        <color rgb="FFFF0000"/>
      </right>
      <top style="thin">
        <color indexed="64"/>
      </top>
      <bottom/>
      <diagonal/>
    </border>
    <border>
      <left style="dotted">
        <color rgb="FF00B0F0"/>
      </left>
      <right/>
      <top/>
      <bottom style="dotted">
        <color rgb="FFFF0000"/>
      </bottom>
      <diagonal/>
    </border>
    <border>
      <left/>
      <right style="dotted">
        <color rgb="FF00B0F0"/>
      </right>
      <top/>
      <bottom style="dotted">
        <color rgb="FFFF0000"/>
      </bottom>
      <diagonal/>
    </border>
    <border>
      <left style="thin">
        <color indexed="64"/>
      </left>
      <right style="thin">
        <color indexed="64"/>
      </right>
      <top style="dotted">
        <color rgb="FFFF0000"/>
      </top>
      <bottom style="thin">
        <color indexed="64"/>
      </bottom>
      <diagonal/>
    </border>
    <border>
      <left style="thin">
        <color indexed="64"/>
      </left>
      <right style="dotted">
        <color rgb="FFFF0000"/>
      </right>
      <top style="dotted">
        <color rgb="FFFF0000"/>
      </top>
      <bottom style="thin">
        <color indexed="64"/>
      </bottom>
      <diagonal/>
    </border>
    <border>
      <left style="dashed">
        <color rgb="FF00B0F0"/>
      </left>
      <right/>
      <top style="thin">
        <color indexed="64"/>
      </top>
      <bottom style="dashed">
        <color rgb="FF00B0F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dotted">
        <color rgb="FFFF0000"/>
      </top>
      <bottom style="dashed">
        <color rgb="FFFF0000"/>
      </bottom>
      <diagonal/>
    </border>
    <border>
      <left style="hair">
        <color rgb="FF00B0F0"/>
      </left>
      <right/>
      <top/>
      <bottom style="hair">
        <color rgb="FF00B0F0"/>
      </bottom>
      <diagonal/>
    </border>
    <border>
      <left style="dotted">
        <color rgb="FF00B0F0"/>
      </left>
      <right/>
      <top/>
      <bottom style="hair">
        <color rgb="FF00B0F0"/>
      </bottom>
      <diagonal/>
    </border>
    <border>
      <left/>
      <right style="dotted">
        <color rgb="FF00B0F0"/>
      </right>
      <top style="dashed">
        <color rgb="FFFF0000"/>
      </top>
      <bottom style="thin">
        <color auto="1"/>
      </bottom>
      <diagonal/>
    </border>
    <border>
      <left style="dashed">
        <color rgb="FF00B0F0"/>
      </left>
      <right/>
      <top style="dashed">
        <color rgb="FFFF0000"/>
      </top>
      <bottom style="dashed">
        <color rgb="FF00B0F0"/>
      </bottom>
      <diagonal/>
    </border>
    <border>
      <left style="dashed">
        <color rgb="FF00B0F0"/>
      </left>
      <right style="thin">
        <color indexed="64"/>
      </right>
      <top style="dashed">
        <color rgb="FF00B0F0"/>
      </top>
      <bottom/>
      <diagonal/>
    </border>
    <border>
      <left style="dashed">
        <color rgb="FF00B0F0"/>
      </left>
      <right style="thin">
        <color indexed="64"/>
      </right>
      <top/>
      <bottom/>
      <diagonal/>
    </border>
    <border>
      <left style="thin">
        <color indexed="64"/>
      </left>
      <right style="dashed">
        <color rgb="FF00B0F0"/>
      </right>
      <top/>
      <bottom/>
      <diagonal/>
    </border>
    <border>
      <left style="thin">
        <color indexed="64"/>
      </left>
      <right style="dashed">
        <color rgb="FFFF0000"/>
      </right>
      <top/>
      <bottom/>
      <diagonal/>
    </border>
    <border>
      <left/>
      <right/>
      <top style="dotted">
        <color rgb="FF00B0F0"/>
      </top>
      <bottom/>
      <diagonal/>
    </border>
    <border>
      <left style="dotted">
        <color theme="3" tint="0.39994506668294322"/>
      </left>
      <right/>
      <top style="dotted">
        <color theme="3" tint="0.39991454817346722"/>
      </top>
      <bottom/>
      <diagonal/>
    </border>
    <border>
      <left/>
      <right/>
      <top style="dotted">
        <color theme="3" tint="0.39991454817346722"/>
      </top>
      <bottom/>
      <diagonal/>
    </border>
    <border>
      <left/>
      <right style="dotted">
        <color rgb="FF00B0F0"/>
      </right>
      <top style="dotted">
        <color theme="3" tint="0.39991454817346722"/>
      </top>
      <bottom/>
      <diagonal/>
    </border>
    <border>
      <left style="dotted">
        <color theme="3" tint="0.39994506668294322"/>
      </left>
      <right/>
      <top/>
      <bottom/>
      <diagonal/>
    </border>
    <border>
      <left style="dotted">
        <color rgb="FF00B0F0"/>
      </left>
      <right/>
      <top style="thin">
        <color auto="1"/>
      </top>
      <bottom/>
      <diagonal/>
    </border>
    <border>
      <left style="dotted">
        <color theme="3" tint="0.39994506668294322"/>
      </left>
      <right/>
      <top/>
      <bottom style="thin">
        <color indexed="64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/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59" fillId="0" borderId="0"/>
  </cellStyleXfs>
  <cellXfs count="188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0" fontId="5" fillId="2" borderId="6" xfId="0" applyFont="1" applyFill="1" applyBorder="1" applyAlignment="1">
      <alignment vertical="center"/>
    </xf>
    <xf numFmtId="0" fontId="0" fillId="0" borderId="7" xfId="0" applyBorder="1"/>
    <xf numFmtId="0" fontId="0" fillId="0" borderId="15" xfId="0" applyBorder="1"/>
    <xf numFmtId="0" fontId="0" fillId="0" borderId="16" xfId="0" applyBorder="1"/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7" xfId="0" applyBorder="1"/>
    <xf numFmtId="0" fontId="10" fillId="0" borderId="0" xfId="1" applyFont="1"/>
    <xf numFmtId="0" fontId="10" fillId="0" borderId="2" xfId="1" applyFont="1" applyBorder="1"/>
    <xf numFmtId="0" fontId="10" fillId="0" borderId="3" xfId="1" applyFont="1" applyBorder="1"/>
    <xf numFmtId="0" fontId="10" fillId="0" borderId="5" xfId="1" applyFont="1" applyBorder="1"/>
    <xf numFmtId="0" fontId="10" fillId="0" borderId="15" xfId="1" applyFont="1" applyBorder="1"/>
    <xf numFmtId="0" fontId="10" fillId="0" borderId="6" xfId="1" applyFont="1" applyBorder="1"/>
    <xf numFmtId="0" fontId="10" fillId="0" borderId="7" xfId="1" applyFont="1" applyBorder="1"/>
    <xf numFmtId="0" fontId="10" fillId="0" borderId="10" xfId="1" applyFont="1" applyBorder="1"/>
    <xf numFmtId="0" fontId="10" fillId="0" borderId="17" xfId="1" applyFont="1" applyBorder="1"/>
    <xf numFmtId="164" fontId="11" fillId="0" borderId="1" xfId="1" applyNumberFormat="1" applyFont="1" applyBorder="1" applyAlignment="1">
      <alignment vertical="center" wrapText="1"/>
    </xf>
    <xf numFmtId="0" fontId="10" fillId="0" borderId="4" xfId="1" applyFont="1" applyBorder="1"/>
    <xf numFmtId="0" fontId="10" fillId="0" borderId="8" xfId="1" applyFont="1" applyBorder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5" xfId="0" applyFont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4" xfId="0" applyBorder="1"/>
    <xf numFmtId="0" fontId="1" fillId="0" borderId="10" xfId="0" applyFont="1" applyBorder="1"/>
    <xf numFmtId="0" fontId="0" fillId="0" borderId="2" xfId="0" applyBorder="1"/>
    <xf numFmtId="0" fontId="5" fillId="0" borderId="10" xfId="0" applyFont="1" applyBorder="1"/>
    <xf numFmtId="164" fontId="2" fillId="0" borderId="9" xfId="0" applyNumberFormat="1" applyFont="1" applyBorder="1" applyAlignment="1">
      <alignment horizontal="center" vertical="center"/>
    </xf>
    <xf numFmtId="0" fontId="0" fillId="0" borderId="3" xfId="0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2" fillId="0" borderId="6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164" fontId="2" fillId="0" borderId="5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11" fillId="0" borderId="0" xfId="1" applyFont="1" applyAlignment="1">
      <alignment vertical="center" wrapText="1"/>
    </xf>
    <xf numFmtId="164" fontId="11" fillId="0" borderId="0" xfId="1" applyNumberFormat="1" applyFont="1" applyAlignment="1">
      <alignment vertical="center" wrapText="1"/>
    </xf>
    <xf numFmtId="2" fontId="11" fillId="0" borderId="0" xfId="1" applyNumberFormat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11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1" applyFont="1"/>
    <xf numFmtId="0" fontId="11" fillId="0" borderId="0" xfId="1" applyFont="1" applyAlignment="1">
      <alignment horizontal="center" vertical="center"/>
    </xf>
    <xf numFmtId="164" fontId="10" fillId="0" borderId="0" xfId="1" applyNumberFormat="1" applyFont="1"/>
    <xf numFmtId="0" fontId="13" fillId="0" borderId="0" xfId="1" applyFont="1"/>
    <xf numFmtId="164" fontId="13" fillId="0" borderId="0" xfId="1" applyNumberFormat="1" applyFont="1"/>
    <xf numFmtId="0" fontId="11" fillId="0" borderId="0" xfId="1" applyFont="1" applyAlignment="1">
      <alignment vertical="center" textRotation="90" wrapText="1"/>
    </xf>
    <xf numFmtId="1" fontId="11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wrapText="1"/>
    </xf>
    <xf numFmtId="0" fontId="10" fillId="0" borderId="0" xfId="1" applyFont="1" applyAlignment="1">
      <alignment vertical="center" wrapText="1"/>
    </xf>
    <xf numFmtId="2" fontId="11" fillId="0" borderId="0" xfId="1" applyNumberFormat="1" applyFont="1" applyAlignment="1">
      <alignment vertical="center"/>
    </xf>
    <xf numFmtId="0" fontId="10" fillId="0" borderId="0" xfId="1" applyFont="1" applyAlignment="1">
      <alignment wrapText="1"/>
    </xf>
    <xf numFmtId="0" fontId="11" fillId="0" borderId="0" xfId="1" applyFont="1"/>
    <xf numFmtId="0" fontId="10" fillId="0" borderId="0" xfId="1" applyFont="1" applyAlignment="1">
      <alignment vertical="center" textRotation="90"/>
    </xf>
    <xf numFmtId="164" fontId="11" fillId="0" borderId="0" xfId="1" applyNumberFormat="1" applyFont="1" applyAlignment="1">
      <alignment vertical="center"/>
    </xf>
    <xf numFmtId="0" fontId="11" fillId="0" borderId="1" xfId="1" applyFont="1" applyBorder="1" applyAlignment="1">
      <alignment vertical="center" wrapText="1"/>
    </xf>
    <xf numFmtId="0" fontId="11" fillId="0" borderId="6" xfId="1" applyFont="1" applyBorder="1" applyAlignment="1">
      <alignment vertical="center" wrapText="1"/>
    </xf>
    <xf numFmtId="0" fontId="11" fillId="0" borderId="4" xfId="1" applyFont="1" applyBorder="1" applyAlignment="1">
      <alignment vertical="center" textRotation="90" wrapText="1"/>
    </xf>
    <xf numFmtId="0" fontId="11" fillId="0" borderId="4" xfId="1" applyFont="1" applyBorder="1" applyAlignment="1">
      <alignment vertical="center" wrapText="1"/>
    </xf>
    <xf numFmtId="164" fontId="11" fillId="0" borderId="6" xfId="1" applyNumberFormat="1" applyFont="1" applyBorder="1" applyAlignment="1">
      <alignment vertical="center" wrapText="1"/>
    </xf>
    <xf numFmtId="2" fontId="11" fillId="0" borderId="1" xfId="1" applyNumberFormat="1" applyFont="1" applyBorder="1" applyAlignment="1">
      <alignment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 textRotation="90" wrapText="1"/>
    </xf>
    <xf numFmtId="0" fontId="11" fillId="0" borderId="10" xfId="1" applyFont="1" applyBorder="1" applyAlignment="1">
      <alignment wrapText="1"/>
    </xf>
    <xf numFmtId="0" fontId="11" fillId="0" borderId="10" xfId="1" applyFont="1" applyBorder="1" applyAlignment="1">
      <alignment horizontal="center" wrapText="1"/>
    </xf>
    <xf numFmtId="0" fontId="2" fillId="0" borderId="8" xfId="0" applyFont="1" applyBorder="1" applyAlignment="1">
      <alignment vertical="center"/>
    </xf>
    <xf numFmtId="0" fontId="6" fillId="0" borderId="0" xfId="1" applyFont="1"/>
    <xf numFmtId="0" fontId="5" fillId="2" borderId="7" xfId="0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vertical="center"/>
    </xf>
    <xf numFmtId="0" fontId="2" fillId="0" borderId="10" xfId="0" applyFont="1" applyBorder="1"/>
    <xf numFmtId="0" fontId="1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5" xfId="0" applyFont="1" applyBorder="1"/>
    <xf numFmtId="0" fontId="6" fillId="0" borderId="5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19" xfId="0" applyFont="1" applyFill="1" applyBorder="1" applyAlignment="1">
      <alignment readingOrder="1"/>
    </xf>
    <xf numFmtId="0" fontId="7" fillId="4" borderId="18" xfId="0" applyFont="1" applyFill="1" applyBorder="1" applyAlignment="1">
      <alignment horizontal="center" readingOrder="1"/>
    </xf>
    <xf numFmtId="14" fontId="7" fillId="4" borderId="19" xfId="0" applyNumberFormat="1" applyFont="1" applyFill="1" applyBorder="1" applyAlignment="1">
      <alignment horizontal="center" readingOrder="1"/>
    </xf>
    <xf numFmtId="0" fontId="7" fillId="3" borderId="18" xfId="0" applyFont="1" applyFill="1" applyBorder="1" applyAlignment="1">
      <alignment horizontal="center" readingOrder="1"/>
    </xf>
    <xf numFmtId="0" fontId="7" fillId="3" borderId="19" xfId="0" applyFont="1" applyFill="1" applyBorder="1" applyAlignment="1">
      <alignment readingOrder="1"/>
    </xf>
    <xf numFmtId="14" fontId="7" fillId="3" borderId="19" xfId="0" applyNumberFormat="1" applyFont="1" applyFill="1" applyBorder="1" applyAlignment="1">
      <alignment horizontal="center" readingOrder="1"/>
    </xf>
    <xf numFmtId="0" fontId="2" fillId="0" borderId="20" xfId="0" applyFont="1" applyBorder="1" applyAlignment="1">
      <alignment horizontal="center" vertical="center"/>
    </xf>
    <xf numFmtId="0" fontId="12" fillId="2" borderId="21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2" xfId="0" applyBorder="1"/>
    <xf numFmtId="0" fontId="6" fillId="0" borderId="25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6" fillId="0" borderId="0" xfId="0" applyFont="1"/>
    <xf numFmtId="0" fontId="0" fillId="0" borderId="25" xfId="0" applyBorder="1"/>
    <xf numFmtId="0" fontId="0" fillId="0" borderId="31" xfId="0" applyBorder="1"/>
    <xf numFmtId="1" fontId="2" fillId="0" borderId="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6" fillId="0" borderId="25" xfId="0" applyFont="1" applyBorder="1"/>
    <xf numFmtId="164" fontId="6" fillId="0" borderId="20" xfId="0" applyNumberFormat="1" applyFont="1" applyBorder="1" applyAlignment="1">
      <alignment horizontal="center" vertical="center"/>
    </xf>
    <xf numFmtId="0" fontId="4" fillId="2" borderId="25" xfId="0" applyFont="1" applyFill="1" applyBorder="1" applyAlignment="1">
      <alignment vertical="center"/>
    </xf>
    <xf numFmtId="0" fontId="7" fillId="6" borderId="18" xfId="0" applyFont="1" applyFill="1" applyBorder="1" applyAlignment="1">
      <alignment horizontal="center" readingOrder="1"/>
    </xf>
    <xf numFmtId="0" fontId="7" fillId="6" borderId="19" xfId="0" applyFont="1" applyFill="1" applyBorder="1" applyAlignment="1">
      <alignment readingOrder="1"/>
    </xf>
    <xf numFmtId="14" fontId="7" fillId="6" borderId="19" xfId="0" applyNumberFormat="1" applyFont="1" applyFill="1" applyBorder="1" applyAlignment="1">
      <alignment horizontal="center" readingOrder="1"/>
    </xf>
    <xf numFmtId="0" fontId="0" fillId="6" borderId="0" xfId="0" applyFill="1"/>
    <xf numFmtId="0" fontId="7" fillId="7" borderId="18" xfId="0" applyFont="1" applyFill="1" applyBorder="1" applyAlignment="1">
      <alignment horizontal="center" readingOrder="1"/>
    </xf>
    <xf numFmtId="0" fontId="7" fillId="7" borderId="19" xfId="0" applyFont="1" applyFill="1" applyBorder="1" applyAlignment="1">
      <alignment readingOrder="1"/>
    </xf>
    <xf numFmtId="14" fontId="7" fillId="7" borderId="19" xfId="0" applyNumberFormat="1" applyFont="1" applyFill="1" applyBorder="1" applyAlignment="1">
      <alignment horizontal="center" readingOrder="1"/>
    </xf>
    <xf numFmtId="0" fontId="26" fillId="8" borderId="0" xfId="0" applyFont="1" applyFill="1" applyAlignment="1">
      <alignment horizontal="center"/>
    </xf>
    <xf numFmtId="164" fontId="28" fillId="0" borderId="20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35" xfId="0" applyFont="1" applyBorder="1" applyAlignment="1">
      <alignment horizontal="center"/>
    </xf>
    <xf numFmtId="0" fontId="31" fillId="0" borderId="0" xfId="0" applyFont="1" applyAlignment="1">
      <alignment horizontal="left"/>
    </xf>
    <xf numFmtId="0" fontId="31" fillId="0" borderId="35" xfId="0" applyFont="1" applyBorder="1" applyAlignment="1">
      <alignment horizontal="left"/>
    </xf>
    <xf numFmtId="0" fontId="28" fillId="0" borderId="1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1" fillId="0" borderId="25" xfId="0" applyFont="1" applyBorder="1"/>
    <xf numFmtId="0" fontId="0" fillId="0" borderId="39" xfId="0" applyBorder="1"/>
    <xf numFmtId="0" fontId="36" fillId="12" borderId="0" xfId="0" applyFont="1" applyFill="1" applyAlignment="1">
      <alignment horizontal="center"/>
    </xf>
    <xf numFmtId="0" fontId="36" fillId="10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3" fillId="11" borderId="41" xfId="0" applyFont="1" applyFill="1" applyBorder="1"/>
    <xf numFmtId="0" fontId="1" fillId="10" borderId="41" xfId="0" applyFont="1" applyFill="1" applyBorder="1" applyAlignment="1">
      <alignment horizontal="center"/>
    </xf>
    <xf numFmtId="0" fontId="33" fillId="11" borderId="42" xfId="0" applyFont="1" applyFill="1" applyBorder="1"/>
    <xf numFmtId="0" fontId="1" fillId="10" borderId="42" xfId="0" applyFont="1" applyFill="1" applyBorder="1" applyAlignment="1">
      <alignment horizontal="center"/>
    </xf>
    <xf numFmtId="165" fontId="1" fillId="10" borderId="42" xfId="0" applyNumberFormat="1" applyFont="1" applyFill="1" applyBorder="1" applyAlignment="1">
      <alignment horizontal="center"/>
    </xf>
    <xf numFmtId="165" fontId="31" fillId="0" borderId="0" xfId="0" applyNumberFormat="1" applyFont="1" applyAlignment="1">
      <alignment horizontal="center"/>
    </xf>
    <xf numFmtId="0" fontId="1" fillId="11" borderId="44" xfId="0" applyFont="1" applyFill="1" applyBorder="1"/>
    <xf numFmtId="165" fontId="1" fillId="11" borderId="44" xfId="0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31" fillId="0" borderId="0" xfId="0" applyNumberFormat="1" applyFont="1" applyAlignment="1">
      <alignment horizontal="center"/>
    </xf>
    <xf numFmtId="14" fontId="31" fillId="0" borderId="35" xfId="0" applyNumberFormat="1" applyFont="1" applyBorder="1" applyAlignment="1">
      <alignment horizontal="center"/>
    </xf>
    <xf numFmtId="0" fontId="26" fillId="9" borderId="0" xfId="0" applyFont="1" applyFill="1" applyAlignment="1">
      <alignment horizontal="center"/>
    </xf>
    <xf numFmtId="0" fontId="33" fillId="8" borderId="0" xfId="0" applyFont="1" applyFill="1" applyAlignment="1">
      <alignment horizontal="left"/>
    </xf>
    <xf numFmtId="0" fontId="33" fillId="8" borderId="0" xfId="0" applyFont="1" applyFill="1" applyAlignment="1">
      <alignment horizontal="center"/>
    </xf>
    <xf numFmtId="0" fontId="33" fillId="11" borderId="44" xfId="0" applyFont="1" applyFill="1" applyBorder="1" applyAlignment="1">
      <alignment horizontal="left"/>
    </xf>
    <xf numFmtId="0" fontId="33" fillId="11" borderId="44" xfId="0" applyFont="1" applyFill="1" applyBorder="1" applyAlignment="1">
      <alignment horizontal="center"/>
    </xf>
    <xf numFmtId="0" fontId="28" fillId="0" borderId="29" xfId="0" applyFont="1" applyBorder="1" applyAlignment="1">
      <alignment horizontal="center" vertical="center"/>
    </xf>
    <xf numFmtId="0" fontId="0" fillId="0" borderId="45" xfId="0" applyBorder="1"/>
    <xf numFmtId="0" fontId="6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6" fillId="0" borderId="4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18" fillId="0" borderId="25" xfId="0" applyFont="1" applyBorder="1" applyAlignment="1">
      <alignment vertical="center"/>
    </xf>
    <xf numFmtId="164" fontId="28" fillId="0" borderId="0" xfId="0" applyNumberFormat="1" applyFont="1" applyAlignment="1">
      <alignment vertical="center"/>
    </xf>
    <xf numFmtId="0" fontId="20" fillId="2" borderId="0" xfId="0" applyFont="1" applyFill="1" applyAlignment="1">
      <alignment vertical="center"/>
    </xf>
    <xf numFmtId="0" fontId="0" fillId="0" borderId="21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28" fillId="0" borderId="25" xfId="0" applyFont="1" applyBorder="1" applyAlignment="1">
      <alignment vertical="center"/>
    </xf>
    <xf numFmtId="0" fontId="18" fillId="0" borderId="38" xfId="0" applyFont="1" applyBorder="1" applyAlignment="1">
      <alignment horizontal="center" vertical="center"/>
    </xf>
    <xf numFmtId="0" fontId="39" fillId="2" borderId="5" xfId="0" applyFont="1" applyFill="1" applyBorder="1" applyAlignment="1">
      <alignment vertical="center"/>
    </xf>
    <xf numFmtId="0" fontId="39" fillId="2" borderId="17" xfId="0" applyFont="1" applyFill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1" fontId="2" fillId="0" borderId="20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0" fontId="0" fillId="0" borderId="51" xfId="0" applyBorder="1"/>
    <xf numFmtId="0" fontId="6" fillId="0" borderId="10" xfId="0" applyFont="1" applyBorder="1" applyAlignment="1">
      <alignment vertical="center"/>
    </xf>
    <xf numFmtId="0" fontId="42" fillId="0" borderId="20" xfId="0" applyFont="1" applyBorder="1" applyAlignment="1">
      <alignment horizontal="center" vertical="center"/>
    </xf>
    <xf numFmtId="0" fontId="43" fillId="11" borderId="43" xfId="0" applyFont="1" applyFill="1" applyBorder="1"/>
    <xf numFmtId="1" fontId="44" fillId="10" borderId="43" xfId="0" applyNumberFormat="1" applyFont="1" applyFill="1" applyBorder="1" applyAlignment="1">
      <alignment horizontal="center"/>
    </xf>
    <xf numFmtId="0" fontId="43" fillId="11" borderId="0" xfId="0" applyFont="1" applyFill="1"/>
    <xf numFmtId="0" fontId="46" fillId="8" borderId="0" xfId="0" applyFont="1" applyFill="1" applyAlignment="1">
      <alignment horizontal="center"/>
    </xf>
    <xf numFmtId="0" fontId="47" fillId="12" borderId="0" xfId="0" applyFont="1" applyFill="1" applyAlignment="1">
      <alignment horizontal="center"/>
    </xf>
    <xf numFmtId="0" fontId="43" fillId="12" borderId="0" xfId="0" applyFont="1" applyFill="1" applyAlignment="1">
      <alignment horizontal="center"/>
    </xf>
    <xf numFmtId="0" fontId="47" fillId="10" borderId="0" xfId="0" applyFont="1" applyFill="1" applyAlignment="1">
      <alignment horizontal="center"/>
    </xf>
    <xf numFmtId="0" fontId="44" fillId="11" borderId="0" xfId="0" applyFont="1" applyFill="1" applyAlignment="1">
      <alignment horizontal="center"/>
    </xf>
    <xf numFmtId="0" fontId="44" fillId="11" borderId="44" xfId="0" applyFont="1" applyFill="1" applyBorder="1" applyAlignment="1">
      <alignment horizontal="center"/>
    </xf>
    <xf numFmtId="1" fontId="44" fillId="10" borderId="0" xfId="0" applyNumberFormat="1" applyFont="1" applyFill="1" applyAlignment="1">
      <alignment horizontal="center"/>
    </xf>
    <xf numFmtId="0" fontId="31" fillId="10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1" fillId="10" borderId="61" xfId="0" applyFont="1" applyFill="1" applyBorder="1" applyAlignment="1">
      <alignment horizontal="center"/>
    </xf>
    <xf numFmtId="0" fontId="1" fillId="10" borderId="62" xfId="0" applyFont="1" applyFill="1" applyBorder="1" applyAlignment="1">
      <alignment horizontal="center"/>
    </xf>
    <xf numFmtId="165" fontId="1" fillId="10" borderId="62" xfId="0" applyNumberFormat="1" applyFont="1" applyFill="1" applyBorder="1" applyAlignment="1">
      <alignment horizontal="center"/>
    </xf>
    <xf numFmtId="1" fontId="44" fillId="10" borderId="63" xfId="0" applyNumberFormat="1" applyFont="1" applyFill="1" applyBorder="1" applyAlignment="1">
      <alignment horizontal="center"/>
    </xf>
    <xf numFmtId="1" fontId="44" fillId="10" borderId="10" xfId="0" applyNumberFormat="1" applyFont="1" applyFill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7" fillId="0" borderId="0" xfId="0" applyFont="1" applyAlignment="1">
      <alignment readingOrder="1"/>
    </xf>
    <xf numFmtId="0" fontId="17" fillId="0" borderId="0" xfId="0" applyFont="1" applyAlignment="1">
      <alignment horizontal="center"/>
    </xf>
    <xf numFmtId="0" fontId="2" fillId="0" borderId="2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6" fillId="0" borderId="51" xfId="0" applyFont="1" applyBorder="1" applyAlignment="1">
      <alignment horizontal="center" vertical="center"/>
    </xf>
    <xf numFmtId="0" fontId="7" fillId="0" borderId="0" xfId="0" applyFont="1" applyAlignment="1">
      <alignment wrapText="1" readingOrder="1"/>
    </xf>
    <xf numFmtId="0" fontId="3" fillId="2" borderId="21" xfId="0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45" fillId="8" borderId="0" xfId="0" applyFont="1" applyFill="1" applyAlignment="1">
      <alignment horizontal="left"/>
    </xf>
    <xf numFmtId="0" fontId="1" fillId="0" borderId="21" xfId="0" applyFont="1" applyBorder="1"/>
    <xf numFmtId="0" fontId="5" fillId="0" borderId="20" xfId="0" applyFont="1" applyBorder="1" applyAlignment="1">
      <alignment horizontal="center" vertical="center"/>
    </xf>
    <xf numFmtId="0" fontId="4" fillId="2" borderId="22" xfId="0" applyFont="1" applyFill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0" fillId="10" borderId="0" xfId="0" applyFill="1"/>
    <xf numFmtId="0" fontId="0" fillId="12" borderId="0" xfId="0" applyFill="1"/>
    <xf numFmtId="0" fontId="0" fillId="8" borderId="0" xfId="0" applyFill="1"/>
    <xf numFmtId="0" fontId="50" fillId="11" borderId="0" xfId="0" applyFont="1" applyFill="1"/>
    <xf numFmtId="0" fontId="0" fillId="11" borderId="0" xfId="0" applyFill="1"/>
    <xf numFmtId="0" fontId="47" fillId="12" borderId="72" xfId="0" applyFont="1" applyFill="1" applyBorder="1" applyAlignment="1">
      <alignment horizontal="left"/>
    </xf>
    <xf numFmtId="0" fontId="47" fillId="12" borderId="72" xfId="0" applyFont="1" applyFill="1" applyBorder="1" applyAlignment="1">
      <alignment horizontal="center"/>
    </xf>
    <xf numFmtId="0" fontId="47" fillId="10" borderId="72" xfId="0" applyFont="1" applyFill="1" applyBorder="1" applyAlignment="1">
      <alignment horizontal="left"/>
    </xf>
    <xf numFmtId="0" fontId="47" fillId="10" borderId="72" xfId="0" applyFont="1" applyFill="1" applyBorder="1" applyAlignment="1">
      <alignment horizontal="center"/>
    </xf>
    <xf numFmtId="0" fontId="51" fillId="8" borderId="72" xfId="0" applyFont="1" applyFill="1" applyBorder="1" applyAlignment="1">
      <alignment horizontal="left"/>
    </xf>
    <xf numFmtId="0" fontId="51" fillId="8" borderId="72" xfId="0" applyFont="1" applyFill="1" applyBorder="1" applyAlignment="1">
      <alignment horizontal="center"/>
    </xf>
    <xf numFmtId="0" fontId="46" fillId="8" borderId="72" xfId="0" applyFont="1" applyFill="1" applyBorder="1" applyAlignment="1">
      <alignment horizontal="left"/>
    </xf>
    <xf numFmtId="0" fontId="46" fillId="8" borderId="72" xfId="0" applyFont="1" applyFill="1" applyBorder="1" applyAlignment="1">
      <alignment horizontal="center"/>
    </xf>
    <xf numFmtId="164" fontId="28" fillId="0" borderId="9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21" fillId="0" borderId="51" xfId="0" applyFont="1" applyBorder="1" applyAlignment="1">
      <alignment vertical="center"/>
    </xf>
    <xf numFmtId="0" fontId="21" fillId="0" borderId="51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vertical="center"/>
    </xf>
    <xf numFmtId="0" fontId="28" fillId="0" borderId="74" xfId="0" applyFont="1" applyBorder="1" applyAlignment="1">
      <alignment horizontal="center" vertical="center"/>
    </xf>
    <xf numFmtId="0" fontId="52" fillId="16" borderId="0" xfId="0" applyFont="1" applyFill="1" applyAlignment="1">
      <alignment horizontal="left"/>
    </xf>
    <xf numFmtId="0" fontId="53" fillId="0" borderId="0" xfId="0" applyFont="1"/>
    <xf numFmtId="0" fontId="1" fillId="17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0" fontId="1" fillId="12" borderId="0" xfId="0" applyFont="1" applyFill="1"/>
    <xf numFmtId="0" fontId="1" fillId="10" borderId="0" xfId="0" applyFont="1" applyFill="1"/>
    <xf numFmtId="0" fontId="31" fillId="10" borderId="0" xfId="0" applyFont="1" applyFill="1" applyAlignment="1">
      <alignment vertical="top" wrapText="1"/>
    </xf>
    <xf numFmtId="0" fontId="31" fillId="12" borderId="0" xfId="0" applyFont="1" applyFill="1" applyAlignment="1">
      <alignment vertical="top" wrapText="1"/>
    </xf>
    <xf numFmtId="0" fontId="23" fillId="8" borderId="0" xfId="0" applyFont="1" applyFill="1" applyAlignment="1">
      <alignment horizontal="center"/>
    </xf>
    <xf numFmtId="0" fontId="6" fillId="0" borderId="0" xfId="1" applyFont="1" applyAlignment="1">
      <alignment horizontal="center"/>
    </xf>
    <xf numFmtId="0" fontId="34" fillId="12" borderId="0" xfId="0" applyFont="1" applyFill="1"/>
    <xf numFmtId="0" fontId="34" fillId="10" borderId="0" xfId="0" applyFont="1" applyFill="1"/>
    <xf numFmtId="0" fontId="28" fillId="0" borderId="26" xfId="0" applyFont="1" applyBorder="1" applyAlignment="1">
      <alignment horizontal="center" vertical="center"/>
    </xf>
    <xf numFmtId="0" fontId="28" fillId="0" borderId="21" xfId="0" applyFont="1" applyBorder="1" applyAlignment="1">
      <alignment vertical="center"/>
    </xf>
    <xf numFmtId="0" fontId="28" fillId="0" borderId="5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22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164" fontId="28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2" fillId="0" borderId="21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8" fillId="0" borderId="10" xfId="0" applyFont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32" fillId="0" borderId="8" xfId="0" applyFont="1" applyBorder="1" applyAlignment="1">
      <alignment vertical="center"/>
    </xf>
    <xf numFmtId="0" fontId="32" fillId="0" borderId="15" xfId="0" applyFont="1" applyBorder="1" applyAlignment="1">
      <alignment vertical="center"/>
    </xf>
    <xf numFmtId="164" fontId="17" fillId="0" borderId="1" xfId="0" applyNumberFormat="1" applyFont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164" fontId="48" fillId="0" borderId="20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readingOrder="1"/>
    </xf>
    <xf numFmtId="0" fontId="42" fillId="0" borderId="24" xfId="0" applyFont="1" applyBorder="1" applyAlignment="1">
      <alignment vertical="center"/>
    </xf>
    <xf numFmtId="0" fontId="1" fillId="0" borderId="24" xfId="0" applyFont="1" applyBorder="1"/>
    <xf numFmtId="0" fontId="7" fillId="0" borderId="21" xfId="0" applyFont="1" applyBorder="1" applyAlignment="1">
      <alignment readingOrder="1"/>
    </xf>
    <xf numFmtId="164" fontId="17" fillId="0" borderId="80" xfId="0" applyNumberFormat="1" applyFont="1" applyBorder="1" applyAlignment="1">
      <alignment horizontal="center" vertical="center"/>
    </xf>
    <xf numFmtId="0" fontId="0" fillId="0" borderId="60" xfId="0" applyBorder="1"/>
    <xf numFmtId="164" fontId="28" fillId="0" borderId="38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0" fillId="0" borderId="46" xfId="0" applyBorder="1"/>
    <xf numFmtId="0" fontId="0" fillId="0" borderId="81" xfId="0" applyBorder="1"/>
    <xf numFmtId="164" fontId="28" fillId="0" borderId="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1" fontId="28" fillId="0" borderId="29" xfId="0" applyNumberFormat="1" applyFont="1" applyBorder="1" applyAlignment="1">
      <alignment horizontal="center" vertical="center"/>
    </xf>
    <xf numFmtId="164" fontId="28" fillId="0" borderId="2" xfId="0" applyNumberFormat="1" applyFont="1" applyBorder="1" applyAlignment="1">
      <alignment horizontal="center" vertical="center"/>
    </xf>
    <xf numFmtId="164" fontId="28" fillId="0" borderId="29" xfId="0" applyNumberFormat="1" applyFont="1" applyBorder="1" applyAlignment="1">
      <alignment horizontal="center" vertical="center"/>
    </xf>
    <xf numFmtId="164" fontId="28" fillId="0" borderId="48" xfId="0" applyNumberFormat="1" applyFont="1" applyBorder="1" applyAlignment="1">
      <alignment horizontal="center" vertical="center"/>
    </xf>
    <xf numFmtId="164" fontId="28" fillId="0" borderId="26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64" fontId="28" fillId="0" borderId="30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15" xfId="0" applyFont="1" applyBorder="1" applyAlignment="1">
      <alignment vertical="center"/>
    </xf>
    <xf numFmtId="164" fontId="42" fillId="0" borderId="20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readingOrder="1"/>
    </xf>
    <xf numFmtId="1" fontId="28" fillId="0" borderId="0" xfId="0" applyNumberFormat="1" applyFont="1" applyAlignment="1">
      <alignment vertical="center"/>
    </xf>
    <xf numFmtId="0" fontId="7" fillId="0" borderId="10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0" fillId="0" borderId="21" xfId="1" applyFont="1" applyBorder="1"/>
    <xf numFmtId="0" fontId="11" fillId="0" borderId="0" xfId="1" applyFont="1" applyAlignment="1">
      <alignment vertical="center" textRotation="90"/>
    </xf>
    <xf numFmtId="0" fontId="17" fillId="0" borderId="0" xfId="1" applyFont="1"/>
    <xf numFmtId="0" fontId="28" fillId="0" borderId="8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1" fontId="21" fillId="0" borderId="1" xfId="0" applyNumberFormat="1" applyFont="1" applyBorder="1" applyAlignment="1">
      <alignment horizontal="center" vertical="center"/>
    </xf>
    <xf numFmtId="1" fontId="21" fillId="0" borderId="51" xfId="0" applyNumberFormat="1" applyFont="1" applyBorder="1" applyAlignment="1">
      <alignment horizontal="center" vertical="center"/>
    </xf>
    <xf numFmtId="0" fontId="10" fillId="0" borderId="51" xfId="1" applyFont="1" applyBorder="1"/>
    <xf numFmtId="0" fontId="10" fillId="0" borderId="25" xfId="1" applyFont="1" applyBorder="1"/>
    <xf numFmtId="0" fontId="10" fillId="0" borderId="83" xfId="1" applyFont="1" applyBorder="1"/>
    <xf numFmtId="0" fontId="10" fillId="0" borderId="84" xfId="1" applyFont="1" applyBorder="1"/>
    <xf numFmtId="0" fontId="48" fillId="0" borderId="0" xfId="1" applyFont="1" applyAlignment="1">
      <alignment wrapText="1"/>
    </xf>
    <xf numFmtId="0" fontId="3" fillId="0" borderId="0" xfId="2" applyFont="1"/>
    <xf numFmtId="0" fontId="11" fillId="0" borderId="85" xfId="1" applyFont="1" applyBorder="1" applyAlignment="1">
      <alignment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6" xfId="1" applyFont="1" applyBorder="1"/>
    <xf numFmtId="2" fontId="11" fillId="0" borderId="2" xfId="1" applyNumberFormat="1" applyFont="1" applyBorder="1" applyAlignment="1">
      <alignment vertical="center" wrapText="1"/>
    </xf>
    <xf numFmtId="164" fontId="11" fillId="0" borderId="2" xfId="1" applyNumberFormat="1" applyFont="1" applyBorder="1" applyAlignment="1">
      <alignment vertical="center" wrapText="1"/>
    </xf>
    <xf numFmtId="0" fontId="11" fillId="0" borderId="2" xfId="1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89" xfId="1" applyFont="1" applyBorder="1"/>
    <xf numFmtId="0" fontId="11" fillId="0" borderId="8" xfId="1" applyFont="1" applyBorder="1" applyAlignment="1">
      <alignment horizontal="center" wrapText="1"/>
    </xf>
    <xf numFmtId="0" fontId="11" fillId="0" borderId="5" xfId="1" applyFont="1" applyBorder="1" applyAlignment="1">
      <alignment horizontal="center"/>
    </xf>
    <xf numFmtId="0" fontId="10" fillId="0" borderId="90" xfId="1" applyFont="1" applyBorder="1"/>
    <xf numFmtId="0" fontId="10" fillId="0" borderId="91" xfId="1" applyFont="1" applyBorder="1"/>
    <xf numFmtId="0" fontId="10" fillId="0" borderId="92" xfId="1" applyFont="1" applyBorder="1"/>
    <xf numFmtId="0" fontId="10" fillId="0" borderId="93" xfId="1" applyFont="1" applyBorder="1"/>
    <xf numFmtId="0" fontId="10" fillId="0" borderId="94" xfId="1" applyFont="1" applyBorder="1"/>
    <xf numFmtId="0" fontId="10" fillId="0" borderId="95" xfId="1" applyFont="1" applyBorder="1"/>
    <xf numFmtId="0" fontId="10" fillId="0" borderId="96" xfId="1" applyFont="1" applyBorder="1"/>
    <xf numFmtId="0" fontId="10" fillId="0" borderId="97" xfId="1" applyFont="1" applyBorder="1"/>
    <xf numFmtId="0" fontId="10" fillId="0" borderId="98" xfId="1" applyFont="1" applyBorder="1"/>
    <xf numFmtId="0" fontId="10" fillId="0" borderId="99" xfId="1" applyFont="1" applyBorder="1"/>
    <xf numFmtId="0" fontId="10" fillId="0" borderId="100" xfId="1" applyFont="1" applyBorder="1"/>
    <xf numFmtId="0" fontId="11" fillId="0" borderId="6" xfId="1" applyFont="1" applyBorder="1" applyAlignment="1">
      <alignment horizontal="center" wrapText="1"/>
    </xf>
    <xf numFmtId="0" fontId="11" fillId="0" borderId="101" xfId="1" applyFont="1" applyBorder="1" applyAlignment="1">
      <alignment horizontal="center" wrapText="1"/>
    </xf>
    <xf numFmtId="0" fontId="2" fillId="0" borderId="1" xfId="2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7" xfId="2" applyFont="1" applyBorder="1" applyAlignment="1">
      <alignment vertical="center"/>
    </xf>
    <xf numFmtId="2" fontId="60" fillId="0" borderId="0" xfId="1" applyNumberFormat="1" applyFont="1"/>
    <xf numFmtId="164" fontId="10" fillId="0" borderId="5" xfId="1" applyNumberFormat="1" applyFont="1" applyBorder="1"/>
    <xf numFmtId="0" fontId="10" fillId="0" borderId="102" xfId="1" applyFont="1" applyBorder="1"/>
    <xf numFmtId="0" fontId="12" fillId="0" borderId="8" xfId="1" applyFont="1" applyBorder="1"/>
    <xf numFmtId="0" fontId="12" fillId="0" borderId="6" xfId="1" applyFont="1" applyBorder="1"/>
    <xf numFmtId="0" fontId="12" fillId="0" borderId="7" xfId="1" applyFont="1" applyBorder="1"/>
    <xf numFmtId="0" fontId="11" fillId="0" borderId="84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6" fillId="0" borderId="1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12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10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0" fillId="0" borderId="10" xfId="1" applyFont="1" applyBorder="1" applyAlignment="1">
      <alignment horizontal="left"/>
    </xf>
    <xf numFmtId="49" fontId="4" fillId="0" borderId="0" xfId="1" applyNumberFormat="1" applyFont="1" applyAlignment="1">
      <alignment horizontal="left"/>
    </xf>
    <xf numFmtId="0" fontId="6" fillId="0" borderId="10" xfId="1" applyFont="1" applyBorder="1"/>
    <xf numFmtId="0" fontId="3" fillId="0" borderId="0" xfId="2" applyFont="1" applyAlignment="1">
      <alignment horizontal="left"/>
    </xf>
    <xf numFmtId="0" fontId="5" fillId="0" borderId="0" xfId="1" applyFont="1" applyAlignment="1">
      <alignment horizontal="left" vertical="center"/>
    </xf>
    <xf numFmtId="0" fontId="61" fillId="0" borderId="0" xfId="1" applyFont="1" applyAlignment="1">
      <alignment horizontal="left"/>
    </xf>
    <xf numFmtId="0" fontId="62" fillId="0" borderId="0" xfId="1" applyFont="1" applyAlignment="1">
      <alignment horizontal="left" vertical="center"/>
    </xf>
    <xf numFmtId="0" fontId="12" fillId="0" borderId="15" xfId="1" applyFont="1" applyBorder="1" applyAlignment="1">
      <alignment horizontal="left"/>
    </xf>
    <xf numFmtId="0" fontId="12" fillId="0" borderId="10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2" fillId="0" borderId="0" xfId="2" applyFont="1" applyAlignment="1">
      <alignment horizontal="left"/>
    </xf>
    <xf numFmtId="49" fontId="5" fillId="0" borderId="0" xfId="1" applyNumberFormat="1" applyFont="1" applyAlignment="1">
      <alignment horizontal="left"/>
    </xf>
    <xf numFmtId="0" fontId="6" fillId="0" borderId="16" xfId="1" applyFont="1" applyBorder="1"/>
    <xf numFmtId="0" fontId="6" fillId="0" borderId="5" xfId="1" applyFont="1" applyBorder="1"/>
    <xf numFmtId="0" fontId="6" fillId="0" borderId="17" xfId="1" applyFont="1" applyBorder="1"/>
    <xf numFmtId="49" fontId="6" fillId="0" borderId="0" xfId="1" applyNumberFormat="1" applyFont="1"/>
    <xf numFmtId="0" fontId="12" fillId="0" borderId="16" xfId="1" applyFont="1" applyBorder="1" applyAlignment="1">
      <alignment horizontal="left"/>
    </xf>
    <xf numFmtId="0" fontId="12" fillId="0" borderId="5" xfId="1" applyFont="1" applyBorder="1" applyAlignment="1">
      <alignment horizontal="left"/>
    </xf>
    <xf numFmtId="0" fontId="12" fillId="0" borderId="17" xfId="1" applyFont="1" applyBorder="1" applyAlignment="1">
      <alignment horizontal="left"/>
    </xf>
    <xf numFmtId="0" fontId="6" fillId="0" borderId="15" xfId="1" applyFont="1" applyBorder="1"/>
    <xf numFmtId="0" fontId="6" fillId="0" borderId="89" xfId="1" applyFont="1" applyBorder="1"/>
    <xf numFmtId="0" fontId="5" fillId="0" borderId="15" xfId="1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0" fontId="12" fillId="0" borderId="15" xfId="1" applyFont="1" applyBorder="1"/>
    <xf numFmtId="0" fontId="12" fillId="0" borderId="89" xfId="1" applyFont="1" applyBorder="1"/>
    <xf numFmtId="0" fontId="12" fillId="0" borderId="5" xfId="1" applyFont="1" applyBorder="1"/>
    <xf numFmtId="0" fontId="12" fillId="0" borderId="17" xfId="1" applyFont="1" applyBorder="1"/>
    <xf numFmtId="0" fontId="12" fillId="0" borderId="16" xfId="1" applyFont="1" applyBorder="1"/>
    <xf numFmtId="0" fontId="12" fillId="0" borderId="102" xfId="1" applyFont="1" applyBorder="1"/>
    <xf numFmtId="0" fontId="12" fillId="0" borderId="103" xfId="1" applyFont="1" applyBorder="1"/>
    <xf numFmtId="0" fontId="11" fillId="0" borderId="5" xfId="1" applyFont="1" applyBorder="1" applyAlignment="1">
      <alignment horizontal="center" vertical="center"/>
    </xf>
    <xf numFmtId="0" fontId="3" fillId="0" borderId="5" xfId="2" applyFont="1" applyBorder="1"/>
    <xf numFmtId="0" fontId="10" fillId="0" borderId="103" xfId="1" applyFont="1" applyBorder="1"/>
    <xf numFmtId="0" fontId="4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63" fillId="0" borderId="0" xfId="2" applyFont="1" applyAlignment="1">
      <alignment vertical="center"/>
    </xf>
    <xf numFmtId="0" fontId="64" fillId="0" borderId="0" xfId="2" applyFont="1" applyAlignment="1">
      <alignment vertical="center"/>
    </xf>
    <xf numFmtId="0" fontId="64" fillId="0" borderId="104" xfId="2" applyFont="1" applyBorder="1" applyAlignment="1">
      <alignment vertical="center"/>
    </xf>
    <xf numFmtId="0" fontId="63" fillId="0" borderId="104" xfId="2" applyFont="1" applyBorder="1" applyAlignment="1">
      <alignment vertical="center"/>
    </xf>
    <xf numFmtId="0" fontId="64" fillId="0" borderId="105" xfId="2" applyFont="1" applyBorder="1" applyAlignment="1">
      <alignment vertical="center"/>
    </xf>
    <xf numFmtId="0" fontId="63" fillId="0" borderId="105" xfId="2" applyFont="1" applyBorder="1" applyAlignment="1">
      <alignment vertical="center"/>
    </xf>
    <xf numFmtId="0" fontId="68" fillId="0" borderId="0" xfId="2" applyFont="1" applyAlignment="1">
      <alignment vertical="center"/>
    </xf>
    <xf numFmtId="0" fontId="68" fillId="0" borderId="105" xfId="2" applyFont="1" applyBorder="1" applyAlignment="1">
      <alignment vertical="center"/>
    </xf>
    <xf numFmtId="0" fontId="69" fillId="0" borderId="0" xfId="2" applyFont="1" applyAlignment="1">
      <alignment vertical="center"/>
    </xf>
    <xf numFmtId="0" fontId="69" fillId="0" borderId="105" xfId="2" applyFont="1" applyBorder="1" applyAlignment="1">
      <alignment vertical="center"/>
    </xf>
    <xf numFmtId="0" fontId="69" fillId="0" borderId="1" xfId="2" applyFont="1" applyBorder="1" applyAlignment="1">
      <alignment horizontal="center" vertical="center"/>
    </xf>
    <xf numFmtId="2" fontId="63" fillId="2" borderId="0" xfId="2" applyNumberFormat="1" applyFont="1" applyFill="1" applyAlignment="1">
      <alignment vertical="center"/>
    </xf>
    <xf numFmtId="0" fontId="70" fillId="0" borderId="0" xfId="2" applyFont="1" applyAlignment="1">
      <alignment vertical="center"/>
    </xf>
    <xf numFmtId="0" fontId="70" fillId="0" borderId="105" xfId="2" applyFont="1" applyBorder="1" applyAlignment="1">
      <alignment vertical="center"/>
    </xf>
    <xf numFmtId="0" fontId="63" fillId="2" borderId="0" xfId="2" applyFont="1" applyFill="1" applyAlignment="1">
      <alignment vertical="center"/>
    </xf>
    <xf numFmtId="0" fontId="63" fillId="2" borderId="0" xfId="2" applyFont="1" applyFill="1" applyAlignment="1">
      <alignment vertical="center" textRotation="90"/>
    </xf>
    <xf numFmtId="0" fontId="63" fillId="2" borderId="108" xfId="2" applyFont="1" applyFill="1" applyBorder="1" applyAlignment="1">
      <alignment vertical="center"/>
    </xf>
    <xf numFmtId="0" fontId="63" fillId="2" borderId="109" xfId="2" applyFont="1" applyFill="1" applyBorder="1" applyAlignment="1">
      <alignment vertical="center"/>
    </xf>
    <xf numFmtId="0" fontId="68" fillId="2" borderId="109" xfId="2" applyFont="1" applyFill="1" applyBorder="1" applyAlignment="1">
      <alignment vertical="center"/>
    </xf>
    <xf numFmtId="0" fontId="64" fillId="2" borderId="109" xfId="2" applyFont="1" applyFill="1" applyBorder="1" applyAlignment="1">
      <alignment vertical="center"/>
    </xf>
    <xf numFmtId="0" fontId="63" fillId="2" borderId="110" xfId="2" applyFont="1" applyFill="1" applyBorder="1" applyAlignment="1">
      <alignment vertical="center"/>
    </xf>
    <xf numFmtId="0" fontId="68" fillId="2" borderId="0" xfId="2" applyFont="1" applyFill="1" applyAlignment="1">
      <alignment vertical="center"/>
    </xf>
    <xf numFmtId="0" fontId="63" fillId="2" borderId="111" xfId="2" applyFont="1" applyFill="1" applyBorder="1" applyAlignment="1">
      <alignment vertical="center"/>
    </xf>
    <xf numFmtId="0" fontId="71" fillId="2" borderId="0" xfId="2" applyFont="1" applyFill="1" applyAlignment="1">
      <alignment vertical="center"/>
    </xf>
    <xf numFmtId="0" fontId="64" fillId="2" borderId="0" xfId="2" applyFont="1" applyFill="1" applyAlignment="1">
      <alignment vertical="center"/>
    </xf>
    <xf numFmtId="0" fontId="63" fillId="2" borderId="112" xfId="2" applyFont="1" applyFill="1" applyBorder="1" applyAlignment="1">
      <alignment vertical="center"/>
    </xf>
    <xf numFmtId="0" fontId="63" fillId="2" borderId="113" xfId="2" applyFont="1" applyFill="1" applyBorder="1" applyAlignment="1">
      <alignment vertical="center"/>
    </xf>
    <xf numFmtId="0" fontId="69" fillId="2" borderId="0" xfId="2" applyFont="1" applyFill="1" applyAlignment="1">
      <alignment vertical="center"/>
    </xf>
    <xf numFmtId="0" fontId="63" fillId="2" borderId="114" xfId="2" applyFont="1" applyFill="1" applyBorder="1" applyAlignment="1">
      <alignment vertical="center"/>
    </xf>
    <xf numFmtId="0" fontId="63" fillId="2" borderId="5" xfId="2" applyFont="1" applyFill="1" applyBorder="1" applyAlignment="1">
      <alignment vertical="center"/>
    </xf>
    <xf numFmtId="0" fontId="69" fillId="2" borderId="0" xfId="2" applyFont="1" applyFill="1" applyAlignment="1">
      <alignment horizontal="center" vertical="center"/>
    </xf>
    <xf numFmtId="0" fontId="71" fillId="2" borderId="0" xfId="2" applyFont="1" applyFill="1" applyAlignment="1">
      <alignment horizontal="center" vertical="center"/>
    </xf>
    <xf numFmtId="0" fontId="63" fillId="2" borderId="115" xfId="2" applyFont="1" applyFill="1" applyBorder="1" applyAlignment="1">
      <alignment vertical="center"/>
    </xf>
    <xf numFmtId="164" fontId="63" fillId="2" borderId="0" xfId="2" applyNumberFormat="1" applyFont="1" applyFill="1" applyAlignment="1">
      <alignment vertical="center"/>
    </xf>
    <xf numFmtId="0" fontId="70" fillId="2" borderId="0" xfId="2" applyFont="1" applyFill="1" applyAlignment="1">
      <alignment vertical="center"/>
    </xf>
    <xf numFmtId="2" fontId="69" fillId="2" borderId="1" xfId="2" applyNumberFormat="1" applyFont="1" applyFill="1" applyBorder="1" applyAlignment="1">
      <alignment horizontal="center" vertical="center"/>
    </xf>
    <xf numFmtId="0" fontId="69" fillId="2" borderId="1" xfId="2" applyFont="1" applyFill="1" applyBorder="1" applyAlignment="1">
      <alignment horizontal="center" vertical="center"/>
    </xf>
    <xf numFmtId="0" fontId="63" fillId="2" borderId="15" xfId="2" applyFont="1" applyFill="1" applyBorder="1" applyAlignment="1">
      <alignment vertical="center"/>
    </xf>
    <xf numFmtId="0" fontId="70" fillId="2" borderId="0" xfId="2" applyFont="1" applyFill="1" applyAlignment="1">
      <alignment horizontal="center" vertical="center"/>
    </xf>
    <xf numFmtId="164" fontId="69" fillId="13" borderId="1" xfId="2" applyNumberFormat="1" applyFont="1" applyFill="1" applyBorder="1" applyAlignment="1">
      <alignment horizontal="center" vertical="center"/>
    </xf>
    <xf numFmtId="0" fontId="69" fillId="2" borderId="4" xfId="2" applyFont="1" applyFill="1" applyBorder="1" applyAlignment="1">
      <alignment horizontal="center" vertical="center"/>
    </xf>
    <xf numFmtId="164" fontId="69" fillId="2" borderId="1" xfId="2" applyNumberFormat="1" applyFont="1" applyFill="1" applyBorder="1" applyAlignment="1">
      <alignment horizontal="center" vertical="center"/>
    </xf>
    <xf numFmtId="0" fontId="63" fillId="2" borderId="10" xfId="2" applyFont="1" applyFill="1" applyBorder="1" applyAlignment="1">
      <alignment vertical="center"/>
    </xf>
    <xf numFmtId="0" fontId="63" fillId="2" borderId="89" xfId="2" applyFont="1" applyFill="1" applyBorder="1" applyAlignment="1">
      <alignment vertical="center"/>
    </xf>
    <xf numFmtId="0" fontId="63" fillId="2" borderId="116" xfId="2" applyFont="1" applyFill="1" applyBorder="1" applyAlignment="1">
      <alignment vertical="center"/>
    </xf>
    <xf numFmtId="0" fontId="70" fillId="2" borderId="109" xfId="2" applyFont="1" applyFill="1" applyBorder="1" applyAlignment="1">
      <alignment horizontal="center" vertical="center"/>
    </xf>
    <xf numFmtId="0" fontId="70" fillId="2" borderId="110" xfId="2" applyFont="1" applyFill="1" applyBorder="1" applyAlignment="1">
      <alignment horizontal="center" vertical="center"/>
    </xf>
    <xf numFmtId="0" fontId="63" fillId="2" borderId="117" xfId="2" applyFont="1" applyFill="1" applyBorder="1" applyAlignment="1">
      <alignment vertical="center"/>
    </xf>
    <xf numFmtId="0" fontId="63" fillId="2" borderId="118" xfId="2" applyFont="1" applyFill="1" applyBorder="1" applyAlignment="1">
      <alignment vertical="center"/>
    </xf>
    <xf numFmtId="0" fontId="63" fillId="2" borderId="119" xfId="2" applyFont="1" applyFill="1" applyBorder="1" applyAlignment="1">
      <alignment vertical="center"/>
    </xf>
    <xf numFmtId="0" fontId="63" fillId="2" borderId="120" xfId="2" applyFont="1" applyFill="1" applyBorder="1" applyAlignment="1">
      <alignment vertical="center"/>
    </xf>
    <xf numFmtId="0" fontId="70" fillId="2" borderId="120" xfId="2" applyFont="1" applyFill="1" applyBorder="1" applyAlignment="1">
      <alignment horizontal="center" vertical="center"/>
    </xf>
    <xf numFmtId="0" fontId="63" fillId="2" borderId="121" xfId="2" applyFont="1" applyFill="1" applyBorder="1" applyAlignment="1">
      <alignment vertical="center"/>
    </xf>
    <xf numFmtId="0" fontId="70" fillId="2" borderId="119" xfId="2" applyFont="1" applyFill="1" applyBorder="1" applyAlignment="1">
      <alignment horizontal="center" vertical="center"/>
    </xf>
    <xf numFmtId="0" fontId="63" fillId="0" borderId="122" xfId="2" applyFont="1" applyBorder="1" applyAlignment="1">
      <alignment vertical="center"/>
    </xf>
    <xf numFmtId="0" fontId="63" fillId="0" borderId="123" xfId="2" applyFont="1" applyBorder="1" applyAlignment="1">
      <alignment vertical="center"/>
    </xf>
    <xf numFmtId="0" fontId="63" fillId="2" borderId="123" xfId="2" applyFont="1" applyFill="1" applyBorder="1" applyAlignment="1">
      <alignment vertical="center"/>
    </xf>
    <xf numFmtId="0" fontId="63" fillId="2" borderId="123" xfId="2" applyFont="1" applyFill="1" applyBorder="1" applyAlignment="1">
      <alignment vertical="center" textRotation="90"/>
    </xf>
    <xf numFmtId="0" fontId="70" fillId="2" borderId="123" xfId="2" applyFont="1" applyFill="1" applyBorder="1" applyAlignment="1">
      <alignment vertical="center"/>
    </xf>
    <xf numFmtId="0" fontId="63" fillId="2" borderId="124" xfId="2" applyFont="1" applyFill="1" applyBorder="1" applyAlignment="1">
      <alignment vertical="center"/>
    </xf>
    <xf numFmtId="0" fontId="70" fillId="2" borderId="123" xfId="2" applyFont="1" applyFill="1" applyBorder="1" applyAlignment="1">
      <alignment horizontal="center" vertical="center"/>
    </xf>
    <xf numFmtId="0" fontId="70" fillId="2" borderId="124" xfId="2" applyFont="1" applyFill="1" applyBorder="1" applyAlignment="1">
      <alignment horizontal="center" vertical="center"/>
    </xf>
    <xf numFmtId="0" fontId="70" fillId="2" borderId="125" xfId="2" applyFont="1" applyFill="1" applyBorder="1" applyAlignment="1">
      <alignment horizontal="center" vertical="center"/>
    </xf>
    <xf numFmtId="0" fontId="70" fillId="2" borderId="126" xfId="2" applyFont="1" applyFill="1" applyBorder="1" applyAlignment="1">
      <alignment horizontal="center" vertical="center"/>
    </xf>
    <xf numFmtId="0" fontId="63" fillId="0" borderId="127" xfId="2" applyFont="1" applyBorder="1" applyAlignment="1">
      <alignment vertical="center"/>
    </xf>
    <xf numFmtId="0" fontId="70" fillId="2" borderId="117" xfId="2" applyFont="1" applyFill="1" applyBorder="1" applyAlignment="1">
      <alignment horizontal="center" vertical="center"/>
    </xf>
    <xf numFmtId="0" fontId="70" fillId="2" borderId="128" xfId="2" applyFont="1" applyFill="1" applyBorder="1" applyAlignment="1">
      <alignment horizontal="center" vertical="center"/>
    </xf>
    <xf numFmtId="0" fontId="63" fillId="2" borderId="129" xfId="2" applyFont="1" applyFill="1" applyBorder="1" applyAlignment="1">
      <alignment vertical="center"/>
    </xf>
    <xf numFmtId="0" fontId="63" fillId="2" borderId="130" xfId="2" applyFont="1" applyFill="1" applyBorder="1" applyAlignment="1">
      <alignment vertical="center"/>
    </xf>
    <xf numFmtId="0" fontId="63" fillId="2" borderId="134" xfId="2" applyFont="1" applyFill="1" applyBorder="1" applyAlignment="1">
      <alignment vertical="center"/>
    </xf>
    <xf numFmtId="0" fontId="63" fillId="2" borderId="135" xfId="2" applyFont="1" applyFill="1" applyBorder="1" applyAlignment="1">
      <alignment vertical="center"/>
    </xf>
    <xf numFmtId="0" fontId="63" fillId="2" borderId="136" xfId="2" applyFont="1" applyFill="1" applyBorder="1" applyAlignment="1">
      <alignment vertical="center"/>
    </xf>
    <xf numFmtId="0" fontId="63" fillId="2" borderId="137" xfId="2" applyFont="1" applyFill="1" applyBorder="1" applyAlignment="1">
      <alignment vertical="center"/>
    </xf>
    <xf numFmtId="0" fontId="63" fillId="2" borderId="138" xfId="2" applyFont="1" applyFill="1" applyBorder="1" applyAlignment="1">
      <alignment vertical="center"/>
    </xf>
    <xf numFmtId="0" fontId="63" fillId="2" borderId="139" xfId="2" applyFont="1" applyFill="1" applyBorder="1" applyAlignment="1">
      <alignment vertical="center"/>
    </xf>
    <xf numFmtId="0" fontId="63" fillId="2" borderId="140" xfId="2" applyFont="1" applyFill="1" applyBorder="1" applyAlignment="1">
      <alignment vertical="center"/>
    </xf>
    <xf numFmtId="0" fontId="63" fillId="2" borderId="141" xfId="2" applyFont="1" applyFill="1" applyBorder="1" applyAlignment="1">
      <alignment vertical="center"/>
    </xf>
    <xf numFmtId="0" fontId="70" fillId="2" borderId="115" xfId="2" applyFont="1" applyFill="1" applyBorder="1" applyAlignment="1">
      <alignment horizontal="center" vertical="center"/>
    </xf>
    <xf numFmtId="164" fontId="69" fillId="2" borderId="0" xfId="2" applyNumberFormat="1" applyFont="1" applyFill="1" applyAlignment="1">
      <alignment horizontal="center" vertical="center"/>
    </xf>
    <xf numFmtId="0" fontId="63" fillId="2" borderId="142" xfId="2" applyFont="1" applyFill="1" applyBorder="1" applyAlignment="1">
      <alignment vertical="center"/>
    </xf>
    <xf numFmtId="2" fontId="69" fillId="13" borderId="1" xfId="2" applyNumberFormat="1" applyFont="1" applyFill="1" applyBorder="1" applyAlignment="1">
      <alignment horizontal="center" vertical="center"/>
    </xf>
    <xf numFmtId="0" fontId="69" fillId="13" borderId="1" xfId="2" applyFont="1" applyFill="1" applyBorder="1" applyAlignment="1">
      <alignment horizontal="center" vertical="center"/>
    </xf>
    <xf numFmtId="0" fontId="69" fillId="2" borderId="2" xfId="2" applyFont="1" applyFill="1" applyBorder="1" applyAlignment="1">
      <alignment vertical="center"/>
    </xf>
    <xf numFmtId="0" fontId="69" fillId="2" borderId="3" xfId="2" applyFont="1" applyFill="1" applyBorder="1" applyAlignment="1">
      <alignment vertical="center"/>
    </xf>
    <xf numFmtId="0" fontId="71" fillId="2" borderId="3" xfId="2" applyFont="1" applyFill="1" applyBorder="1" applyAlignment="1">
      <alignment vertical="center"/>
    </xf>
    <xf numFmtId="0" fontId="71" fillId="2" borderId="143" xfId="2" applyFont="1" applyFill="1" applyBorder="1" applyAlignment="1">
      <alignment vertical="center"/>
    </xf>
    <xf numFmtId="0" fontId="71" fillId="2" borderId="4" xfId="2" applyFont="1" applyFill="1" applyBorder="1" applyAlignment="1">
      <alignment vertical="center"/>
    </xf>
    <xf numFmtId="0" fontId="63" fillId="2" borderId="128" xfId="2" applyFont="1" applyFill="1" applyBorder="1" applyAlignment="1">
      <alignment vertical="center"/>
    </xf>
    <xf numFmtId="0" fontId="63" fillId="2" borderId="144" xfId="2" applyFont="1" applyFill="1" applyBorder="1" applyAlignment="1">
      <alignment vertical="center"/>
    </xf>
    <xf numFmtId="0" fontId="71" fillId="2" borderId="145" xfId="2" applyFont="1" applyFill="1" applyBorder="1" applyAlignment="1">
      <alignment vertical="center"/>
    </xf>
    <xf numFmtId="164" fontId="69" fillId="13" borderId="0" xfId="2" applyNumberFormat="1" applyFont="1" applyFill="1" applyAlignment="1">
      <alignment vertical="center"/>
    </xf>
    <xf numFmtId="0" fontId="70" fillId="2" borderId="110" xfId="2" applyFont="1" applyFill="1" applyBorder="1" applyAlignment="1">
      <alignment vertical="center"/>
    </xf>
    <xf numFmtId="0" fontId="63" fillId="2" borderId="146" xfId="2" applyFont="1" applyFill="1" applyBorder="1" applyAlignment="1">
      <alignment vertical="center"/>
    </xf>
    <xf numFmtId="0" fontId="63" fillId="2" borderId="147" xfId="2" applyFont="1" applyFill="1" applyBorder="1" applyAlignment="1">
      <alignment vertical="center"/>
    </xf>
    <xf numFmtId="0" fontId="63" fillId="2" borderId="122" xfId="2" applyFont="1" applyFill="1" applyBorder="1" applyAlignment="1">
      <alignment vertical="center"/>
    </xf>
    <xf numFmtId="0" fontId="63" fillId="2" borderId="148" xfId="2" applyFont="1" applyFill="1" applyBorder="1" applyAlignment="1">
      <alignment vertical="center"/>
    </xf>
    <xf numFmtId="0" fontId="63" fillId="2" borderId="125" xfId="2" applyFont="1" applyFill="1" applyBorder="1" applyAlignment="1">
      <alignment vertical="center"/>
    </xf>
    <xf numFmtId="0" fontId="70" fillId="2" borderId="149" xfId="2" applyFont="1" applyFill="1" applyBorder="1" applyAlignment="1">
      <alignment vertical="center"/>
    </xf>
    <xf numFmtId="0" fontId="70" fillId="2" borderId="150" xfId="2" applyFont="1" applyFill="1" applyBorder="1" applyAlignment="1">
      <alignment vertical="center"/>
    </xf>
    <xf numFmtId="0" fontId="63" fillId="2" borderId="150" xfId="2" applyFont="1" applyFill="1" applyBorder="1" applyAlignment="1">
      <alignment vertical="center"/>
    </xf>
    <xf numFmtId="0" fontId="63" fillId="2" borderId="151" xfId="2" applyFont="1" applyFill="1" applyBorder="1" applyAlignment="1">
      <alignment vertical="center"/>
    </xf>
    <xf numFmtId="0" fontId="63" fillId="2" borderId="127" xfId="2" applyFont="1" applyFill="1" applyBorder="1" applyAlignment="1">
      <alignment vertical="center"/>
    </xf>
    <xf numFmtId="0" fontId="70" fillId="2" borderId="152" xfId="2" applyFont="1" applyFill="1" applyBorder="1" applyAlignment="1">
      <alignment vertical="center"/>
    </xf>
    <xf numFmtId="0" fontId="63" fillId="2" borderId="153" xfId="2" applyFont="1" applyFill="1" applyBorder="1" applyAlignment="1">
      <alignment vertical="center"/>
    </xf>
    <xf numFmtId="0" fontId="63" fillId="0" borderId="98" xfId="2" applyFont="1" applyBorder="1" applyAlignment="1">
      <alignment vertical="center"/>
    </xf>
    <xf numFmtId="0" fontId="69" fillId="13" borderId="0" xfId="2" applyFont="1" applyFill="1" applyAlignment="1">
      <alignment vertical="center"/>
    </xf>
    <xf numFmtId="1" fontId="69" fillId="13" borderId="0" xfId="2" applyNumberFormat="1" applyFont="1" applyFill="1" applyAlignment="1">
      <alignment vertical="center"/>
    </xf>
    <xf numFmtId="0" fontId="63" fillId="2" borderId="154" xfId="2" applyFont="1" applyFill="1" applyBorder="1" applyAlignment="1">
      <alignment vertical="center"/>
    </xf>
    <xf numFmtId="0" fontId="63" fillId="2" borderId="123" xfId="2" applyFont="1" applyFill="1" applyBorder="1" applyAlignment="1">
      <alignment horizontal="center" vertical="center"/>
    </xf>
    <xf numFmtId="0" fontId="69" fillId="2" borderId="123" xfId="2" applyFont="1" applyFill="1" applyBorder="1" applyAlignment="1">
      <alignment vertical="center"/>
    </xf>
    <xf numFmtId="0" fontId="69" fillId="2" borderId="156" xfId="2" applyFont="1" applyFill="1" applyBorder="1" applyAlignment="1">
      <alignment vertical="center"/>
    </xf>
    <xf numFmtId="0" fontId="63" fillId="2" borderId="157" xfId="2" applyFont="1" applyFill="1" applyBorder="1" applyAlignment="1">
      <alignment vertical="center"/>
    </xf>
    <xf numFmtId="0" fontId="70" fillId="2" borderId="154" xfId="2" applyFont="1" applyFill="1" applyBorder="1" applyAlignment="1">
      <alignment vertical="center"/>
    </xf>
    <xf numFmtId="0" fontId="63" fillId="2" borderId="131" xfId="2" applyFont="1" applyFill="1" applyBorder="1" applyAlignment="1">
      <alignment vertical="center"/>
    </xf>
    <xf numFmtId="0" fontId="69" fillId="2" borderId="132" xfId="2" applyFont="1" applyFill="1" applyBorder="1" applyAlignment="1">
      <alignment vertical="center"/>
    </xf>
    <xf numFmtId="0" fontId="68" fillId="2" borderId="121" xfId="2" applyFont="1" applyFill="1" applyBorder="1" applyAlignment="1">
      <alignment vertical="center"/>
    </xf>
    <xf numFmtId="0" fontId="63" fillId="2" borderId="158" xfId="2" applyFont="1" applyFill="1" applyBorder="1" applyAlignment="1">
      <alignment vertical="center"/>
    </xf>
    <xf numFmtId="0" fontId="68" fillId="2" borderId="5" xfId="2" applyFont="1" applyFill="1" applyBorder="1" applyAlignment="1">
      <alignment vertical="center"/>
    </xf>
    <xf numFmtId="0" fontId="68" fillId="2" borderId="159" xfId="2" applyFont="1" applyFill="1" applyBorder="1" applyAlignment="1">
      <alignment vertical="center"/>
    </xf>
    <xf numFmtId="0" fontId="68" fillId="2" borderId="3" xfId="2" applyFont="1" applyFill="1" applyBorder="1" applyAlignment="1">
      <alignment vertical="center"/>
    </xf>
    <xf numFmtId="0" fontId="63" fillId="2" borderId="6" xfId="2" applyFont="1" applyFill="1" applyBorder="1" applyAlignment="1">
      <alignment vertical="center"/>
    </xf>
    <xf numFmtId="0" fontId="63" fillId="2" borderId="160" xfId="2" applyFont="1" applyFill="1" applyBorder="1" applyAlignment="1">
      <alignment vertical="center"/>
    </xf>
    <xf numFmtId="0" fontId="63" fillId="2" borderId="161" xfId="2" applyFont="1" applyFill="1" applyBorder="1" applyAlignment="1">
      <alignment vertical="center"/>
    </xf>
    <xf numFmtId="0" fontId="63" fillId="2" borderId="162" xfId="2" applyFont="1" applyFill="1" applyBorder="1" applyAlignment="1">
      <alignment vertical="center"/>
    </xf>
    <xf numFmtId="0" fontId="70" fillId="2" borderId="163" xfId="2" applyFont="1" applyFill="1" applyBorder="1" applyAlignment="1">
      <alignment vertical="center"/>
    </xf>
    <xf numFmtId="0" fontId="63" fillId="2" borderId="164" xfId="2" applyFont="1" applyFill="1" applyBorder="1" applyAlignment="1">
      <alignment vertical="center"/>
    </xf>
    <xf numFmtId="0" fontId="74" fillId="0" borderId="0" xfId="2" applyFont="1" applyAlignment="1">
      <alignment vertical="center"/>
    </xf>
    <xf numFmtId="0" fontId="63" fillId="2" borderId="165" xfId="2" applyFont="1" applyFill="1" applyBorder="1" applyAlignment="1">
      <alignment vertical="center"/>
    </xf>
    <xf numFmtId="0" fontId="63" fillId="2" borderId="166" xfId="2" applyFont="1" applyFill="1" applyBorder="1" applyAlignment="1">
      <alignment vertical="center"/>
    </xf>
    <xf numFmtId="0" fontId="63" fillId="2" borderId="167" xfId="2" applyFont="1" applyFill="1" applyBorder="1" applyAlignment="1">
      <alignment vertical="center"/>
    </xf>
    <xf numFmtId="0" fontId="63" fillId="2" borderId="149" xfId="2" applyFont="1" applyFill="1" applyBorder="1" applyAlignment="1">
      <alignment vertical="center"/>
    </xf>
    <xf numFmtId="0" fontId="63" fillId="2" borderId="168" xfId="2" applyFont="1" applyFill="1" applyBorder="1" applyAlignment="1">
      <alignment vertical="center"/>
    </xf>
    <xf numFmtId="0" fontId="63" fillId="2" borderId="169" xfId="2" applyFont="1" applyFill="1" applyBorder="1" applyAlignment="1">
      <alignment vertical="center"/>
    </xf>
    <xf numFmtId="0" fontId="72" fillId="2" borderId="0" xfId="2" applyFont="1" applyFill="1" applyAlignment="1">
      <alignment vertical="center"/>
    </xf>
    <xf numFmtId="0" fontId="63" fillId="2" borderId="152" xfId="2" applyFont="1" applyFill="1" applyBorder="1" applyAlignment="1">
      <alignment vertical="center"/>
    </xf>
    <xf numFmtId="0" fontId="63" fillId="2" borderId="172" xfId="2" applyFont="1" applyFill="1" applyBorder="1" applyAlignment="1">
      <alignment vertical="center"/>
    </xf>
    <xf numFmtId="0" fontId="63" fillId="2" borderId="173" xfId="2" applyFont="1" applyFill="1" applyBorder="1" applyAlignment="1">
      <alignment vertical="center"/>
    </xf>
    <xf numFmtId="0" fontId="63" fillId="2" borderId="3" xfId="2" applyFont="1" applyFill="1" applyBorder="1" applyAlignment="1">
      <alignment vertical="center"/>
    </xf>
    <xf numFmtId="0" fontId="69" fillId="2" borderId="9" xfId="2" applyFont="1" applyFill="1" applyBorder="1" applyAlignment="1">
      <alignment horizontal="center" vertical="center"/>
    </xf>
    <xf numFmtId="0" fontId="69" fillId="2" borderId="6" xfId="2" applyFont="1" applyFill="1" applyBorder="1" applyAlignment="1">
      <alignment horizontal="center" vertical="center"/>
    </xf>
    <xf numFmtId="0" fontId="69" fillId="0" borderId="2" xfId="2" applyFont="1" applyBorder="1" applyAlignment="1">
      <alignment horizontal="center" vertical="center" wrapText="1"/>
    </xf>
    <xf numFmtId="0" fontId="69" fillId="0" borderId="4" xfId="2" applyFont="1" applyBorder="1" applyAlignment="1">
      <alignment horizontal="center" vertical="center" wrapText="1"/>
    </xf>
    <xf numFmtId="0" fontId="63" fillId="2" borderId="174" xfId="2" applyFont="1" applyFill="1" applyBorder="1" applyAlignment="1">
      <alignment vertical="center"/>
    </xf>
    <xf numFmtId="0" fontId="63" fillId="2" borderId="178" xfId="2" applyFont="1" applyFill="1" applyBorder="1" applyAlignment="1">
      <alignment vertical="center"/>
    </xf>
    <xf numFmtId="0" fontId="63" fillId="2" borderId="179" xfId="2" applyFont="1" applyFill="1" applyBorder="1" applyAlignment="1">
      <alignment vertical="center"/>
    </xf>
    <xf numFmtId="0" fontId="63" fillId="2" borderId="163" xfId="2" applyFont="1" applyFill="1" applyBorder="1" applyAlignment="1">
      <alignment vertical="center"/>
    </xf>
    <xf numFmtId="0" fontId="70" fillId="2" borderId="142" xfId="2" applyFont="1" applyFill="1" applyBorder="1" applyAlignment="1">
      <alignment vertical="center"/>
    </xf>
    <xf numFmtId="0" fontId="63" fillId="2" borderId="180" xfId="2" applyFont="1" applyFill="1" applyBorder="1" applyAlignment="1">
      <alignment vertical="center"/>
    </xf>
    <xf numFmtId="0" fontId="69" fillId="2" borderId="181" xfId="2" applyFont="1" applyFill="1" applyBorder="1" applyAlignment="1">
      <alignment horizontal="center" vertical="center"/>
    </xf>
    <xf numFmtId="0" fontId="63" fillId="2" borderId="184" xfId="2" applyFont="1" applyFill="1" applyBorder="1" applyAlignment="1">
      <alignment vertical="center"/>
    </xf>
    <xf numFmtId="0" fontId="63" fillId="2" borderId="188" xfId="2" applyFont="1" applyFill="1" applyBorder="1" applyAlignment="1">
      <alignment vertical="center"/>
    </xf>
    <xf numFmtId="0" fontId="63" fillId="2" borderId="189" xfId="2" applyFont="1" applyFill="1" applyBorder="1" applyAlignment="1">
      <alignment vertical="center"/>
    </xf>
    <xf numFmtId="0" fontId="63" fillId="2" borderId="190" xfId="2" applyFont="1" applyFill="1" applyBorder="1" applyAlignment="1">
      <alignment vertical="center"/>
    </xf>
    <xf numFmtId="0" fontId="63" fillId="2" borderId="191" xfId="2" applyFont="1" applyFill="1" applyBorder="1" applyAlignment="1">
      <alignment vertical="center"/>
    </xf>
    <xf numFmtId="0" fontId="63" fillId="2" borderId="152" xfId="2" applyFont="1" applyFill="1" applyBorder="1" applyAlignment="1">
      <alignment horizontal="center" vertical="center"/>
    </xf>
    <xf numFmtId="0" fontId="63" fillId="2" borderId="0" xfId="2" applyFont="1" applyFill="1" applyAlignment="1">
      <alignment horizontal="center" vertical="center"/>
    </xf>
    <xf numFmtId="0" fontId="63" fillId="2" borderId="192" xfId="2" applyFont="1" applyFill="1" applyBorder="1" applyAlignment="1">
      <alignment vertical="center"/>
    </xf>
    <xf numFmtId="0" fontId="69" fillId="13" borderId="4" xfId="2" applyFont="1" applyFill="1" applyBorder="1" applyAlignment="1">
      <alignment horizontal="center" vertical="center"/>
    </xf>
    <xf numFmtId="0" fontId="80" fillId="2" borderId="0" xfId="2" applyFont="1" applyFill="1" applyAlignment="1">
      <alignment vertical="center"/>
    </xf>
    <xf numFmtId="0" fontId="63" fillId="2" borderId="194" xfId="2" applyFont="1" applyFill="1" applyBorder="1" applyAlignment="1">
      <alignment vertical="center"/>
    </xf>
    <xf numFmtId="0" fontId="63" fillId="2" borderId="195" xfId="2" applyFont="1" applyFill="1" applyBorder="1" applyAlignment="1">
      <alignment vertical="center"/>
    </xf>
    <xf numFmtId="0" fontId="81" fillId="2" borderId="128" xfId="2" applyFont="1" applyFill="1" applyBorder="1" applyAlignment="1">
      <alignment vertical="center"/>
    </xf>
    <xf numFmtId="0" fontId="69" fillId="2" borderId="20" xfId="2" applyFont="1" applyFill="1" applyBorder="1" applyAlignment="1">
      <alignment horizontal="center" vertical="center"/>
    </xf>
    <xf numFmtId="1" fontId="69" fillId="2" borderId="1" xfId="2" applyNumberFormat="1" applyFont="1" applyFill="1" applyBorder="1" applyAlignment="1">
      <alignment horizontal="center" vertical="center"/>
    </xf>
    <xf numFmtId="0" fontId="81" fillId="2" borderId="0" xfId="2" applyFont="1" applyFill="1" applyAlignment="1">
      <alignment vertical="center"/>
    </xf>
    <xf numFmtId="0" fontId="69" fillId="2" borderId="6" xfId="2" applyFont="1" applyFill="1" applyBorder="1" applyAlignment="1">
      <alignment vertical="center"/>
    </xf>
    <xf numFmtId="0" fontId="68" fillId="2" borderId="0" xfId="2" applyFont="1" applyFill="1" applyAlignment="1">
      <alignment horizontal="center" vertical="center"/>
    </xf>
    <xf numFmtId="0" fontId="70" fillId="2" borderId="189" xfId="2" applyFont="1" applyFill="1" applyBorder="1" applyAlignment="1">
      <alignment vertical="center"/>
    </xf>
    <xf numFmtId="0" fontId="63" fillId="2" borderId="196" xfId="2" applyFont="1" applyFill="1" applyBorder="1" applyAlignment="1">
      <alignment vertical="center"/>
    </xf>
    <xf numFmtId="0" fontId="69" fillId="0" borderId="0" xfId="2" applyFont="1" applyAlignment="1">
      <alignment horizontal="center" vertical="center" wrapText="1"/>
    </xf>
    <xf numFmtId="0" fontId="71" fillId="0" borderId="0" xfId="2" applyFont="1" applyAlignment="1">
      <alignment horizontal="center" vertical="center" wrapText="1"/>
    </xf>
    <xf numFmtId="0" fontId="69" fillId="0" borderId="1" xfId="2" applyFont="1" applyBorder="1" applyAlignment="1">
      <alignment horizontal="center" vertical="center" wrapText="1"/>
    </xf>
    <xf numFmtId="0" fontId="68" fillId="2" borderId="135" xfId="2" applyFont="1" applyFill="1" applyBorder="1" applyAlignment="1">
      <alignment vertical="center"/>
    </xf>
    <xf numFmtId="0" fontId="69" fillId="2" borderId="135" xfId="2" applyFont="1" applyFill="1" applyBorder="1" applyAlignment="1">
      <alignment vertical="center"/>
    </xf>
    <xf numFmtId="0" fontId="63" fillId="2" borderId="189" xfId="2" applyFont="1" applyFill="1" applyBorder="1" applyAlignment="1">
      <alignment vertical="center" textRotation="90"/>
    </xf>
    <xf numFmtId="0" fontId="63" fillId="2" borderId="198" xfId="2" applyFont="1" applyFill="1" applyBorder="1" applyAlignment="1">
      <alignment vertical="center"/>
    </xf>
    <xf numFmtId="0" fontId="70" fillId="2" borderId="128" xfId="2" applyFont="1" applyFill="1" applyBorder="1" applyAlignment="1">
      <alignment vertical="center"/>
    </xf>
    <xf numFmtId="0" fontId="71" fillId="2" borderId="189" xfId="2" applyFont="1" applyFill="1" applyBorder="1" applyAlignment="1">
      <alignment vertical="center"/>
    </xf>
    <xf numFmtId="0" fontId="63" fillId="0" borderId="199" xfId="2" applyFont="1" applyBorder="1" applyAlignment="1">
      <alignment vertical="center"/>
    </xf>
    <xf numFmtId="0" fontId="68" fillId="2" borderId="128" xfId="2" applyFont="1" applyFill="1" applyBorder="1" applyAlignment="1">
      <alignment vertical="center"/>
    </xf>
    <xf numFmtId="0" fontId="64" fillId="2" borderId="0" xfId="2" applyFont="1" applyFill="1" applyAlignment="1">
      <alignment horizontal="center" vertical="center"/>
    </xf>
    <xf numFmtId="0" fontId="64" fillId="2" borderId="128" xfId="2" applyFont="1" applyFill="1" applyBorder="1" applyAlignment="1">
      <alignment vertical="center"/>
    </xf>
    <xf numFmtId="0" fontId="68" fillId="2" borderId="152" xfId="2" applyFont="1" applyFill="1" applyBorder="1" applyAlignment="1">
      <alignment vertical="center"/>
    </xf>
    <xf numFmtId="0" fontId="64" fillId="2" borderId="200" xfId="2" applyFont="1" applyFill="1" applyBorder="1" applyAlignment="1">
      <alignment vertical="center"/>
    </xf>
    <xf numFmtId="0" fontId="69" fillId="2" borderId="128" xfId="2" applyFont="1" applyFill="1" applyBorder="1" applyAlignment="1">
      <alignment vertical="center"/>
    </xf>
    <xf numFmtId="0" fontId="82" fillId="2" borderId="0" xfId="2" applyFont="1" applyFill="1" applyAlignment="1">
      <alignment vertical="center"/>
    </xf>
    <xf numFmtId="0" fontId="63" fillId="0" borderId="188" xfId="2" applyFont="1" applyBorder="1" applyAlignment="1">
      <alignment vertical="center"/>
    </xf>
    <xf numFmtId="0" fontId="63" fillId="0" borderId="189" xfId="2" applyFont="1" applyBorder="1" applyAlignment="1">
      <alignment vertical="center"/>
    </xf>
    <xf numFmtId="0" fontId="63" fillId="2" borderId="201" xfId="2" applyFont="1" applyFill="1" applyBorder="1" applyAlignment="1">
      <alignment vertical="center"/>
    </xf>
    <xf numFmtId="0" fontId="63" fillId="0" borderId="119" xfId="2" applyFont="1" applyBorder="1" applyAlignment="1">
      <alignment vertical="center"/>
    </xf>
    <xf numFmtId="0" fontId="63" fillId="0" borderId="202" xfId="2" applyFont="1" applyBorder="1" applyAlignment="1">
      <alignment vertical="center"/>
    </xf>
    <xf numFmtId="0" fontId="63" fillId="0" borderId="109" xfId="2" applyFont="1" applyBorder="1" applyAlignment="1">
      <alignment vertical="center"/>
    </xf>
    <xf numFmtId="0" fontId="63" fillId="0" borderId="120" xfId="2" applyFont="1" applyBorder="1" applyAlignment="1">
      <alignment vertical="center"/>
    </xf>
    <xf numFmtId="0" fontId="63" fillId="0" borderId="141" xfId="2" applyFont="1" applyBorder="1" applyAlignment="1">
      <alignment vertical="center"/>
    </xf>
    <xf numFmtId="0" fontId="63" fillId="0" borderId="145" xfId="2" applyFont="1" applyBorder="1" applyAlignment="1">
      <alignment vertical="center"/>
    </xf>
    <xf numFmtId="0" fontId="63" fillId="0" borderId="162" xfId="2" applyFont="1" applyBorder="1" applyAlignment="1">
      <alignment vertical="center"/>
    </xf>
    <xf numFmtId="0" fontId="63" fillId="0" borderId="203" xfId="2" applyFont="1" applyBorder="1" applyAlignment="1">
      <alignment vertical="center"/>
    </xf>
    <xf numFmtId="0" fontId="63" fillId="0" borderId="204" xfId="2" applyFont="1" applyBorder="1" applyAlignment="1">
      <alignment vertical="center"/>
    </xf>
    <xf numFmtId="0" fontId="63" fillId="0" borderId="114" xfId="2" applyFont="1" applyBorder="1" applyAlignment="1">
      <alignment vertical="center"/>
    </xf>
    <xf numFmtId="0" fontId="81" fillId="0" borderId="0" xfId="2" applyFont="1" applyAlignment="1">
      <alignment vertical="center"/>
    </xf>
    <xf numFmtId="0" fontId="68" fillId="0" borderId="0" xfId="2" applyFont="1" applyAlignment="1">
      <alignment horizontal="center" vertical="center"/>
    </xf>
    <xf numFmtId="0" fontId="69" fillId="0" borderId="0" xfId="2" applyFont="1" applyAlignment="1">
      <alignment horizontal="center" vertical="center"/>
    </xf>
    <xf numFmtId="0" fontId="71" fillId="0" borderId="0" xfId="2" applyFont="1" applyAlignment="1">
      <alignment vertical="center"/>
    </xf>
    <xf numFmtId="0" fontId="63" fillId="0" borderId="6" xfId="2" applyFont="1" applyBorder="1" applyAlignment="1">
      <alignment vertical="center"/>
    </xf>
    <xf numFmtId="0" fontId="63" fillId="0" borderId="153" xfId="2" applyFont="1" applyBorder="1" applyAlignment="1">
      <alignment vertical="center"/>
    </xf>
    <xf numFmtId="0" fontId="63" fillId="0" borderId="121" xfId="2" applyFont="1" applyBorder="1" applyAlignment="1">
      <alignment vertical="center"/>
    </xf>
    <xf numFmtId="0" fontId="70" fillId="0" borderId="152" xfId="2" applyFont="1" applyBorder="1" applyAlignment="1">
      <alignment vertical="center"/>
    </xf>
    <xf numFmtId="0" fontId="70" fillId="0" borderId="0" xfId="2" applyFont="1" applyAlignment="1">
      <alignment horizontal="center" vertical="center"/>
    </xf>
    <xf numFmtId="0" fontId="63" fillId="0" borderId="152" xfId="2" applyFont="1" applyBorder="1" applyAlignment="1">
      <alignment vertical="center"/>
    </xf>
    <xf numFmtId="0" fontId="63" fillId="0" borderId="142" xfId="2" applyFont="1" applyBorder="1" applyAlignment="1">
      <alignment vertical="center"/>
    </xf>
    <xf numFmtId="0" fontId="63" fillId="0" borderId="205" xfId="2" applyFont="1" applyBorder="1" applyAlignment="1">
      <alignment vertical="center"/>
    </xf>
    <xf numFmtId="0" fontId="63" fillId="0" borderId="206" xfId="2" applyFont="1" applyBorder="1" applyAlignment="1">
      <alignment vertical="center"/>
    </xf>
    <xf numFmtId="0" fontId="63" fillId="0" borderId="0" xfId="2" applyFont="1" applyAlignment="1">
      <alignment vertical="center" textRotation="90"/>
    </xf>
    <xf numFmtId="0" fontId="63" fillId="0" borderId="150" xfId="2" applyFont="1" applyBorder="1" applyAlignment="1">
      <alignment vertical="center"/>
    </xf>
    <xf numFmtId="0" fontId="63" fillId="0" borderId="151" xfId="2" applyFont="1" applyBorder="1" applyAlignment="1">
      <alignment vertical="center"/>
    </xf>
    <xf numFmtId="0" fontId="63" fillId="0" borderId="178" xfId="2" applyFont="1" applyBorder="1" applyAlignment="1">
      <alignment vertical="center"/>
    </xf>
    <xf numFmtId="0" fontId="63" fillId="2" borderId="156" xfId="2" applyFont="1" applyFill="1" applyBorder="1" applyAlignment="1">
      <alignment vertical="center"/>
    </xf>
    <xf numFmtId="0" fontId="63" fillId="2" borderId="207" xfId="2" applyFont="1" applyFill="1" applyBorder="1" applyAlignment="1">
      <alignment vertical="center"/>
    </xf>
    <xf numFmtId="0" fontId="63" fillId="2" borderId="208" xfId="2" applyFont="1" applyFill="1" applyBorder="1" applyAlignment="1">
      <alignment vertical="center"/>
    </xf>
    <xf numFmtId="0" fontId="63" fillId="2" borderId="210" xfId="2" applyFont="1" applyFill="1" applyBorder="1" applyAlignment="1">
      <alignment vertical="center"/>
    </xf>
    <xf numFmtId="0" fontId="63" fillId="2" borderId="211" xfId="2" applyFont="1" applyFill="1" applyBorder="1" applyAlignment="1">
      <alignment vertical="center"/>
    </xf>
    <xf numFmtId="0" fontId="68" fillId="2" borderId="164" xfId="2" applyFont="1" applyFill="1" applyBorder="1" applyAlignment="1">
      <alignment vertical="center"/>
    </xf>
    <xf numFmtId="0" fontId="68" fillId="2" borderId="128" xfId="2" applyFont="1" applyFill="1" applyBorder="1" applyAlignment="1">
      <alignment horizontal="center" vertical="center"/>
    </xf>
    <xf numFmtId="0" fontId="63" fillId="2" borderId="159" xfId="2" applyFont="1" applyFill="1" applyBorder="1" applyAlignment="1">
      <alignment vertical="center"/>
    </xf>
    <xf numFmtId="0" fontId="63" fillId="2" borderId="215" xfId="2" applyFont="1" applyFill="1" applyBorder="1" applyAlignment="1">
      <alignment vertical="center"/>
    </xf>
    <xf numFmtId="0" fontId="64" fillId="2" borderId="149" xfId="2" applyFont="1" applyFill="1" applyBorder="1" applyAlignment="1">
      <alignment vertical="center"/>
    </xf>
    <xf numFmtId="0" fontId="64" fillId="2" borderId="150" xfId="2" applyFont="1" applyFill="1" applyBorder="1" applyAlignment="1">
      <alignment vertical="center"/>
    </xf>
    <xf numFmtId="0" fontId="63" fillId="2" borderId="0" xfId="2" applyFont="1" applyFill="1" applyAlignment="1">
      <alignment vertical="center" wrapText="1"/>
    </xf>
    <xf numFmtId="0" fontId="63" fillId="2" borderId="15" xfId="2" applyFont="1" applyFill="1" applyBorder="1" applyAlignment="1">
      <alignment vertical="center" wrapText="1"/>
    </xf>
    <xf numFmtId="0" fontId="63" fillId="2" borderId="10" xfId="2" applyFont="1" applyFill="1" applyBorder="1" applyAlignment="1">
      <alignment vertical="center" wrapText="1"/>
    </xf>
    <xf numFmtId="0" fontId="63" fillId="2" borderId="145" xfId="2" applyFont="1" applyFill="1" applyBorder="1" applyAlignment="1">
      <alignment vertical="center"/>
    </xf>
    <xf numFmtId="0" fontId="63" fillId="0" borderId="128" xfId="2" applyFont="1" applyBorder="1" applyAlignment="1">
      <alignment vertical="center"/>
    </xf>
    <xf numFmtId="0" fontId="63" fillId="2" borderId="216" xfId="2" applyFont="1" applyFill="1" applyBorder="1" applyAlignment="1">
      <alignment vertical="center"/>
    </xf>
    <xf numFmtId="0" fontId="69" fillId="2" borderId="1" xfId="2" applyFont="1" applyFill="1" applyBorder="1" applyAlignment="1">
      <alignment horizontal="center" vertical="center" wrapText="1"/>
    </xf>
    <xf numFmtId="0" fontId="69" fillId="2" borderId="29" xfId="2" applyFont="1" applyFill="1" applyBorder="1" applyAlignment="1">
      <alignment horizontal="center" vertical="center"/>
    </xf>
    <xf numFmtId="0" fontId="63" fillId="2" borderId="217" xfId="2" applyFont="1" applyFill="1" applyBorder="1" applyAlignment="1">
      <alignment vertical="center"/>
    </xf>
    <xf numFmtId="0" fontId="63" fillId="2" borderId="218" xfId="2" applyFont="1" applyFill="1" applyBorder="1" applyAlignment="1">
      <alignment vertical="center"/>
    </xf>
    <xf numFmtId="0" fontId="63" fillId="2" borderId="219" xfId="2" applyFont="1" applyFill="1" applyBorder="1" applyAlignment="1">
      <alignment vertical="center"/>
    </xf>
    <xf numFmtId="0" fontId="63" fillId="2" borderId="0" xfId="2" applyFont="1" applyFill="1"/>
    <xf numFmtId="0" fontId="63" fillId="2" borderId="73" xfId="2" applyFont="1" applyFill="1" applyBorder="1" applyAlignment="1">
      <alignment vertical="center"/>
    </xf>
    <xf numFmtId="0" fontId="63" fillId="2" borderId="205" xfId="2" applyFont="1" applyFill="1" applyBorder="1" applyAlignment="1">
      <alignment vertical="center"/>
    </xf>
    <xf numFmtId="0" fontId="69" fillId="2" borderId="1" xfId="2" applyFont="1" applyFill="1" applyBorder="1" applyAlignment="1">
      <alignment vertical="center" wrapText="1"/>
    </xf>
    <xf numFmtId="0" fontId="63" fillId="2" borderId="220" xfId="2" applyFont="1" applyFill="1" applyBorder="1" applyAlignment="1">
      <alignment vertical="center"/>
    </xf>
    <xf numFmtId="0" fontId="69" fillId="2" borderId="1" xfId="2" applyFont="1" applyFill="1" applyBorder="1" applyAlignment="1">
      <alignment vertical="center"/>
    </xf>
    <xf numFmtId="0" fontId="63" fillId="0" borderId="221" xfId="2" applyFont="1" applyBorder="1" applyAlignment="1">
      <alignment vertical="center"/>
    </xf>
    <xf numFmtId="0" fontId="64" fillId="0" borderId="0" xfId="2" applyFont="1" applyAlignment="1">
      <alignment horizontal="center" vertical="center"/>
    </xf>
    <xf numFmtId="0" fontId="71" fillId="2" borderId="128" xfId="2" applyFont="1" applyFill="1" applyBorder="1" applyAlignment="1">
      <alignment vertical="center"/>
    </xf>
    <xf numFmtId="0" fontId="64" fillId="2" borderId="127" xfId="2" applyFont="1" applyFill="1" applyBorder="1" applyAlignment="1">
      <alignment horizontal="center" vertical="center"/>
    </xf>
    <xf numFmtId="0" fontId="63" fillId="2" borderId="1" xfId="2" applyFont="1" applyFill="1" applyBorder="1" applyAlignment="1">
      <alignment vertical="center"/>
    </xf>
    <xf numFmtId="0" fontId="64" fillId="2" borderId="127" xfId="2" applyFont="1" applyFill="1" applyBorder="1" applyAlignment="1">
      <alignment vertical="center"/>
    </xf>
    <xf numFmtId="0" fontId="69" fillId="2" borderId="189" xfId="2" applyFont="1" applyFill="1" applyBorder="1" applyAlignment="1">
      <alignment horizontal="center" vertical="center"/>
    </xf>
    <xf numFmtId="0" fontId="69" fillId="2" borderId="189" xfId="2" applyFont="1" applyFill="1" applyBorder="1" applyAlignment="1">
      <alignment vertical="center"/>
    </xf>
    <xf numFmtId="0" fontId="64" fillId="2" borderId="189" xfId="2" applyFont="1" applyFill="1" applyBorder="1" applyAlignment="1">
      <alignment vertical="center"/>
    </xf>
    <xf numFmtId="0" fontId="88" fillId="2" borderId="0" xfId="2" applyFont="1" applyFill="1" applyAlignment="1">
      <alignment vertical="center"/>
    </xf>
    <xf numFmtId="0" fontId="70" fillId="2" borderId="188" xfId="2" applyFont="1" applyFill="1" applyBorder="1" applyAlignment="1">
      <alignment vertical="center"/>
    </xf>
    <xf numFmtId="0" fontId="63" fillId="2" borderId="0" xfId="2" applyFont="1" applyFill="1" applyAlignment="1">
      <alignment horizontal="center"/>
    </xf>
    <xf numFmtId="0" fontId="63" fillId="2" borderId="222" xfId="2" applyFont="1" applyFill="1" applyBorder="1" applyAlignment="1">
      <alignment vertical="center"/>
    </xf>
    <xf numFmtId="0" fontId="5" fillId="2" borderId="0" xfId="2" applyFont="1" applyFill="1" applyAlignment="1">
      <alignment vertical="center"/>
    </xf>
    <xf numFmtId="0" fontId="68" fillId="2" borderId="127" xfId="2" applyFont="1" applyFill="1" applyBorder="1" applyAlignment="1">
      <alignment vertical="center"/>
    </xf>
    <xf numFmtId="0" fontId="63" fillId="2" borderId="223" xfId="2" applyFont="1" applyFill="1" applyBorder="1" applyAlignment="1">
      <alignment vertical="center"/>
    </xf>
    <xf numFmtId="0" fontId="95" fillId="0" borderId="0" xfId="2" applyFont="1" applyAlignment="1">
      <alignment vertical="center"/>
    </xf>
    <xf numFmtId="0" fontId="55" fillId="4" borderId="0" xfId="2" applyFont="1" applyFill="1" applyAlignment="1">
      <alignment readingOrder="1"/>
    </xf>
    <xf numFmtId="0" fontId="97" fillId="2" borderId="0" xfId="2" applyFont="1" applyFill="1" applyAlignment="1">
      <alignment vertical="center"/>
    </xf>
    <xf numFmtId="0" fontId="63" fillId="0" borderId="224" xfId="2" applyFont="1" applyBorder="1" applyAlignment="1">
      <alignment vertical="center"/>
    </xf>
    <xf numFmtId="0" fontId="63" fillId="0" borderId="225" xfId="2" applyFont="1" applyBorder="1" applyAlignment="1">
      <alignment vertical="center"/>
    </xf>
    <xf numFmtId="0" fontId="10" fillId="0" borderId="226" xfId="1" applyFont="1" applyBorder="1"/>
    <xf numFmtId="0" fontId="10" fillId="0" borderId="29" xfId="1" applyFont="1" applyBorder="1"/>
    <xf numFmtId="0" fontId="2" fillId="0" borderId="2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1" fillId="0" borderId="84" xfId="1" applyFont="1" applyBorder="1" applyAlignment="1">
      <alignment horizontal="left" vertical="center"/>
    </xf>
    <xf numFmtId="0" fontId="64" fillId="0" borderId="0" xfId="1" applyFont="1" applyAlignment="1">
      <alignment horizontal="left"/>
    </xf>
    <xf numFmtId="0" fontId="2" fillId="0" borderId="0" xfId="2" applyFont="1"/>
    <xf numFmtId="0" fontId="63" fillId="0" borderId="0" xfId="2" applyFont="1" applyAlignment="1">
      <alignment vertical="center" wrapText="1"/>
    </xf>
    <xf numFmtId="0" fontId="64" fillId="0" borderId="0" xfId="2" applyFont="1" applyAlignment="1">
      <alignment vertical="center" wrapText="1"/>
    </xf>
    <xf numFmtId="0" fontId="63" fillId="0" borderId="104" xfId="2" applyFont="1" applyBorder="1" applyAlignment="1">
      <alignment vertical="center" wrapText="1"/>
    </xf>
    <xf numFmtId="0" fontId="64" fillId="0" borderId="104" xfId="2" applyFont="1" applyBorder="1" applyAlignment="1">
      <alignment vertical="center" wrapText="1"/>
    </xf>
    <xf numFmtId="0" fontId="63" fillId="0" borderId="105" xfId="2" applyFont="1" applyBorder="1" applyAlignment="1">
      <alignment vertical="center" wrapText="1"/>
    </xf>
    <xf numFmtId="0" fontId="68" fillId="0" borderId="0" xfId="2" applyFont="1" applyAlignment="1">
      <alignment vertical="center" wrapText="1"/>
    </xf>
    <xf numFmtId="0" fontId="69" fillId="0" borderId="0" xfId="2" applyFont="1" applyAlignment="1">
      <alignment vertical="center" wrapText="1"/>
    </xf>
    <xf numFmtId="0" fontId="70" fillId="0" borderId="0" xfId="2" applyFont="1" applyAlignment="1">
      <alignment vertical="center" wrapText="1"/>
    </xf>
    <xf numFmtId="2" fontId="63" fillId="2" borderId="0" xfId="2" applyNumberFormat="1" applyFont="1" applyFill="1" applyAlignment="1">
      <alignment vertical="center" wrapText="1"/>
    </xf>
    <xf numFmtId="0" fontId="63" fillId="0" borderId="0" xfId="2" applyFont="1" applyAlignment="1">
      <alignment vertical="center" textRotation="90" wrapText="1"/>
    </xf>
    <xf numFmtId="0" fontId="63" fillId="0" borderId="172" xfId="2" applyFont="1" applyBorder="1" applyAlignment="1">
      <alignment vertical="center" wrapText="1"/>
    </xf>
    <xf numFmtId="0" fontId="63" fillId="0" borderId="136" xfId="2" applyFont="1" applyBorder="1" applyAlignment="1">
      <alignment vertical="center" wrapText="1"/>
    </xf>
    <xf numFmtId="0" fontId="63" fillId="0" borderId="109" xfId="2" applyFont="1" applyBorder="1" applyAlignment="1">
      <alignment vertical="center" wrapText="1"/>
    </xf>
    <xf numFmtId="0" fontId="71" fillId="0" borderId="109" xfId="2" applyFont="1" applyBorder="1" applyAlignment="1">
      <alignment vertical="center" wrapText="1"/>
    </xf>
    <xf numFmtId="0" fontId="64" fillId="0" borderId="109" xfId="2" applyFont="1" applyBorder="1" applyAlignment="1">
      <alignment vertical="center" wrapText="1"/>
    </xf>
    <xf numFmtId="0" fontId="63" fillId="0" borderId="110" xfId="2" applyFont="1" applyBorder="1" applyAlignment="1">
      <alignment vertical="center" wrapText="1"/>
    </xf>
    <xf numFmtId="0" fontId="63" fillId="0" borderId="152" xfId="2" applyFont="1" applyBorder="1" applyAlignment="1">
      <alignment vertical="center" wrapText="1"/>
    </xf>
    <xf numFmtId="0" fontId="71" fillId="0" borderId="0" xfId="2" applyFont="1" applyAlignment="1">
      <alignment vertical="center" wrapText="1"/>
    </xf>
    <xf numFmtId="0" fontId="63" fillId="0" borderId="166" xfId="2" applyFont="1" applyBorder="1" applyAlignment="1">
      <alignment vertical="center" wrapText="1"/>
    </xf>
    <xf numFmtId="164" fontId="63" fillId="2" borderId="0" xfId="2" applyNumberFormat="1" applyFont="1" applyFill="1" applyAlignment="1">
      <alignment vertical="center" wrapText="1"/>
    </xf>
    <xf numFmtId="0" fontId="63" fillId="0" borderId="227" xfId="2" applyFont="1" applyBorder="1" applyAlignment="1">
      <alignment vertical="center" wrapText="1"/>
    </xf>
    <xf numFmtId="0" fontId="63" fillId="0" borderId="15" xfId="2" applyFont="1" applyBorder="1" applyAlignment="1">
      <alignment vertical="center" wrapText="1"/>
    </xf>
    <xf numFmtId="0" fontId="70" fillId="0" borderId="0" xfId="2" applyFont="1" applyAlignment="1">
      <alignment horizontal="center" vertical="center" wrapText="1"/>
    </xf>
    <xf numFmtId="0" fontId="69" fillId="13" borderId="1" xfId="2" applyFont="1" applyFill="1" applyBorder="1" applyAlignment="1">
      <alignment horizontal="center" vertical="center" wrapText="1"/>
    </xf>
    <xf numFmtId="0" fontId="63" fillId="0" borderId="10" xfId="2" applyFont="1" applyBorder="1" applyAlignment="1">
      <alignment vertical="center" wrapText="1"/>
    </xf>
    <xf numFmtId="0" fontId="63" fillId="0" borderId="89" xfId="2" applyFont="1" applyBorder="1" applyAlignment="1">
      <alignment vertical="center" wrapText="1"/>
    </xf>
    <xf numFmtId="0" fontId="63" fillId="0" borderId="116" xfId="2" applyFont="1" applyBorder="1" applyAlignment="1">
      <alignment vertical="center" wrapText="1"/>
    </xf>
    <xf numFmtId="0" fontId="70" fillId="0" borderId="109" xfId="2" applyFont="1" applyBorder="1" applyAlignment="1">
      <alignment horizontal="center" vertical="center" wrapText="1"/>
    </xf>
    <xf numFmtId="0" fontId="70" fillId="0" borderId="110" xfId="2" applyFont="1" applyBorder="1" applyAlignment="1">
      <alignment horizontal="center" vertical="center" wrapText="1"/>
    </xf>
    <xf numFmtId="0" fontId="63" fillId="0" borderId="6" xfId="2" applyFont="1" applyBorder="1" applyAlignment="1">
      <alignment vertical="center" wrapText="1"/>
    </xf>
    <xf numFmtId="0" fontId="63" fillId="0" borderId="153" xfId="2" applyFont="1" applyBorder="1" applyAlignment="1">
      <alignment vertical="center" wrapText="1"/>
    </xf>
    <xf numFmtId="0" fontId="63" fillId="0" borderId="118" xfId="2" applyFont="1" applyBorder="1" applyAlignment="1">
      <alignment vertical="center" wrapText="1"/>
    </xf>
    <xf numFmtId="0" fontId="63" fillId="0" borderId="119" xfId="2" applyFont="1" applyBorder="1" applyAlignment="1">
      <alignment vertical="center" wrapText="1"/>
    </xf>
    <xf numFmtId="0" fontId="63" fillId="0" borderId="120" xfId="2" applyFont="1" applyBorder="1" applyAlignment="1">
      <alignment vertical="center" wrapText="1"/>
    </xf>
    <xf numFmtId="0" fontId="70" fillId="0" borderId="120" xfId="2" applyFont="1" applyBorder="1" applyAlignment="1">
      <alignment horizontal="center" vertical="center" wrapText="1"/>
    </xf>
    <xf numFmtId="0" fontId="70" fillId="0" borderId="117" xfId="2" applyFont="1" applyBorder="1" applyAlignment="1">
      <alignment horizontal="center" vertical="center" wrapText="1"/>
    </xf>
    <xf numFmtId="0" fontId="63" fillId="0" borderId="121" xfId="2" applyFont="1" applyBorder="1" applyAlignment="1">
      <alignment vertical="center" wrapText="1"/>
    </xf>
    <xf numFmtId="0" fontId="63" fillId="0" borderId="117" xfId="2" applyFont="1" applyBorder="1" applyAlignment="1">
      <alignment vertical="center" wrapText="1"/>
    </xf>
    <xf numFmtId="0" fontId="70" fillId="0" borderId="119" xfId="2" applyFont="1" applyBorder="1" applyAlignment="1">
      <alignment horizontal="center" vertical="center" wrapText="1"/>
    </xf>
    <xf numFmtId="0" fontId="63" fillId="0" borderId="129" xfId="2" applyFont="1" applyBorder="1" applyAlignment="1">
      <alignment vertical="center" wrapText="1"/>
    </xf>
    <xf numFmtId="0" fontId="63" fillId="0" borderId="130" xfId="2" applyFont="1" applyBorder="1" applyAlignment="1">
      <alignment vertical="center" wrapText="1"/>
    </xf>
    <xf numFmtId="0" fontId="63" fillId="0" borderId="134" xfId="2" applyFont="1" applyBorder="1" applyAlignment="1">
      <alignment vertical="center" wrapText="1"/>
    </xf>
    <xf numFmtId="0" fontId="63" fillId="0" borderId="135" xfId="2" applyFont="1" applyBorder="1" applyAlignment="1">
      <alignment vertical="center" wrapText="1"/>
    </xf>
    <xf numFmtId="0" fontId="70" fillId="0" borderId="189" xfId="2" applyFont="1" applyBorder="1" applyAlignment="1">
      <alignment horizontal="center" vertical="center" wrapText="1"/>
    </xf>
    <xf numFmtId="0" fontId="63" fillId="0" borderId="189" xfId="2" applyFont="1" applyBorder="1" applyAlignment="1">
      <alignment vertical="center" wrapText="1"/>
    </xf>
    <xf numFmtId="0" fontId="63" fillId="0" borderId="137" xfId="2" applyFont="1" applyBorder="1" applyAlignment="1">
      <alignment vertical="center" wrapText="1"/>
    </xf>
    <xf numFmtId="164" fontId="69" fillId="13" borderId="1" xfId="2" applyNumberFormat="1" applyFont="1" applyFill="1" applyBorder="1" applyAlignment="1">
      <alignment horizontal="center" vertical="center" wrapText="1"/>
    </xf>
    <xf numFmtId="0" fontId="63" fillId="0" borderId="122" xfId="2" applyFont="1" applyBorder="1" applyAlignment="1">
      <alignment vertical="center" wrapText="1"/>
    </xf>
    <xf numFmtId="0" fontId="63" fillId="0" borderId="123" xfId="2" applyFont="1" applyBorder="1" applyAlignment="1">
      <alignment vertical="center" wrapText="1"/>
    </xf>
    <xf numFmtId="0" fontId="63" fillId="0" borderId="123" xfId="2" applyFont="1" applyBorder="1" applyAlignment="1">
      <alignment vertical="center" textRotation="90" wrapText="1"/>
    </xf>
    <xf numFmtId="0" fontId="70" fillId="0" borderId="123" xfId="2" applyFont="1" applyBorder="1" applyAlignment="1">
      <alignment vertical="center" wrapText="1"/>
    </xf>
    <xf numFmtId="0" fontId="63" fillId="0" borderId="124" xfId="2" applyFont="1" applyBorder="1" applyAlignment="1">
      <alignment vertical="center" wrapText="1"/>
    </xf>
    <xf numFmtId="0" fontId="70" fillId="0" borderId="123" xfId="2" applyFont="1" applyBorder="1" applyAlignment="1">
      <alignment horizontal="center" vertical="center" wrapText="1"/>
    </xf>
    <xf numFmtId="0" fontId="70" fillId="0" borderId="124" xfId="2" applyFont="1" applyBorder="1" applyAlignment="1">
      <alignment horizontal="center" vertical="center" wrapText="1"/>
    </xf>
    <xf numFmtId="0" fontId="70" fillId="0" borderId="125" xfId="2" applyFont="1" applyBorder="1" applyAlignment="1">
      <alignment horizontal="center" vertical="center" wrapText="1"/>
    </xf>
    <xf numFmtId="0" fontId="63" fillId="0" borderId="126" xfId="2" applyFont="1" applyBorder="1" applyAlignment="1">
      <alignment vertical="center" wrapText="1"/>
    </xf>
    <xf numFmtId="0" fontId="63" fillId="0" borderId="127" xfId="2" applyFont="1" applyBorder="1" applyAlignment="1">
      <alignment vertical="center" wrapText="1"/>
    </xf>
    <xf numFmtId="0" fontId="63" fillId="0" borderId="128" xfId="2" applyFont="1" applyBorder="1" applyAlignment="1">
      <alignment vertical="center" wrapText="1"/>
    </xf>
    <xf numFmtId="0" fontId="63" fillId="0" borderId="138" xfId="2" applyFont="1" applyBorder="1" applyAlignment="1">
      <alignment vertical="center" wrapText="1"/>
    </xf>
    <xf numFmtId="0" fontId="63" fillId="0" borderId="139" xfId="2" applyFont="1" applyBorder="1" applyAlignment="1">
      <alignment vertical="center" wrapText="1"/>
    </xf>
    <xf numFmtId="0" fontId="63" fillId="0" borderId="140" xfId="2" applyFont="1" applyBorder="1" applyAlignment="1">
      <alignment vertical="center" wrapText="1"/>
    </xf>
    <xf numFmtId="164" fontId="69" fillId="13" borderId="0" xfId="2" applyNumberFormat="1" applyFont="1" applyFill="1" applyAlignment="1">
      <alignment vertical="center" wrapText="1"/>
    </xf>
    <xf numFmtId="0" fontId="63" fillId="0" borderId="141" xfId="2" applyFont="1" applyBorder="1" applyAlignment="1">
      <alignment vertical="center" wrapText="1"/>
    </xf>
    <xf numFmtId="2" fontId="63" fillId="0" borderId="0" xfId="2" applyNumberFormat="1" applyFont="1" applyAlignment="1">
      <alignment vertical="center" wrapText="1"/>
    </xf>
    <xf numFmtId="0" fontId="70" fillId="0" borderId="115" xfId="2" applyFont="1" applyBorder="1" applyAlignment="1">
      <alignment horizontal="center" vertical="center" wrapText="1"/>
    </xf>
    <xf numFmtId="164" fontId="69" fillId="0" borderId="5" xfId="2" applyNumberFormat="1" applyFont="1" applyBorder="1" applyAlignment="1">
      <alignment horizontal="center" vertical="center" wrapText="1"/>
    </xf>
    <xf numFmtId="0" fontId="63" fillId="0" borderId="148" xfId="2" applyFont="1" applyBorder="1" applyAlignment="1">
      <alignment vertical="center" wrapText="1"/>
    </xf>
    <xf numFmtId="0" fontId="63" fillId="0" borderId="125" xfId="2" applyFont="1" applyBorder="1" applyAlignment="1">
      <alignment vertical="center" wrapText="1"/>
    </xf>
    <xf numFmtId="0" fontId="63" fillId="0" borderId="228" xfId="2" applyFont="1" applyBorder="1" applyAlignment="1">
      <alignment vertical="center" wrapText="1"/>
    </xf>
    <xf numFmtId="0" fontId="63" fillId="0" borderId="113" xfId="2" applyFont="1" applyBorder="1" applyAlignment="1">
      <alignment vertical="center" wrapText="1"/>
    </xf>
    <xf numFmtId="0" fontId="63" fillId="0" borderId="144" xfId="2" applyFont="1" applyBorder="1" applyAlignment="1">
      <alignment vertical="center" wrapText="1"/>
    </xf>
    <xf numFmtId="164" fontId="63" fillId="0" borderId="0" xfId="2" applyNumberFormat="1" applyFont="1" applyAlignment="1">
      <alignment vertical="center" wrapText="1"/>
    </xf>
    <xf numFmtId="0" fontId="68" fillId="0" borderId="5" xfId="2" applyFont="1" applyBorder="1" applyAlignment="1">
      <alignment vertical="center" wrapText="1"/>
    </xf>
    <xf numFmtId="0" fontId="68" fillId="0" borderId="164" xfId="2" applyFont="1" applyBorder="1" applyAlignment="1">
      <alignment vertical="center" wrapText="1"/>
    </xf>
    <xf numFmtId="0" fontId="70" fillId="0" borderId="110" xfId="2" applyFont="1" applyBorder="1" applyAlignment="1">
      <alignment vertical="center" wrapText="1"/>
    </xf>
    <xf numFmtId="0" fontId="63" fillId="0" borderId="229" xfId="2" applyFont="1" applyBorder="1" applyAlignment="1">
      <alignment vertical="center" wrapText="1"/>
    </xf>
    <xf numFmtId="0" fontId="63" fillId="0" borderId="147" xfId="2" applyFont="1" applyBorder="1" applyAlignment="1">
      <alignment vertical="center" wrapText="1"/>
    </xf>
    <xf numFmtId="0" fontId="63" fillId="0" borderId="142" xfId="2" applyFont="1" applyBorder="1" applyAlignment="1">
      <alignment vertical="center" wrapText="1"/>
    </xf>
    <xf numFmtId="0" fontId="63" fillId="0" borderId="230" xfId="2" applyFont="1" applyBorder="1" applyAlignment="1">
      <alignment vertical="center" wrapText="1"/>
    </xf>
    <xf numFmtId="164" fontId="69" fillId="0" borderId="1" xfId="2" applyNumberFormat="1" applyFont="1" applyBorder="1" applyAlignment="1">
      <alignment horizontal="center" vertical="center" wrapText="1"/>
    </xf>
    <xf numFmtId="0" fontId="63" fillId="0" borderId="231" xfId="2" applyFont="1" applyBorder="1" applyAlignment="1">
      <alignment vertical="center" wrapText="1"/>
    </xf>
    <xf numFmtId="0" fontId="63" fillId="0" borderId="151" xfId="2" applyFont="1" applyBorder="1" applyAlignment="1">
      <alignment vertical="center" wrapText="1"/>
    </xf>
    <xf numFmtId="1" fontId="69" fillId="13" borderId="0" xfId="2" applyNumberFormat="1" applyFont="1" applyFill="1" applyAlignment="1">
      <alignment vertical="center" wrapText="1"/>
    </xf>
    <xf numFmtId="0" fontId="63" fillId="0" borderId="232" xfId="2" applyFont="1" applyBorder="1" applyAlignment="1">
      <alignment vertical="center" wrapText="1"/>
    </xf>
    <xf numFmtId="0" fontId="63" fillId="0" borderId="233" xfId="2" applyFont="1" applyBorder="1" applyAlignment="1">
      <alignment vertical="center" wrapText="1"/>
    </xf>
    <xf numFmtId="2" fontId="72" fillId="2" borderId="0" xfId="2" applyNumberFormat="1" applyFont="1" applyFill="1" applyAlignment="1">
      <alignment vertical="center" wrapText="1"/>
    </xf>
    <xf numFmtId="0" fontId="63" fillId="0" borderId="234" xfId="2" applyFont="1" applyBorder="1" applyAlignment="1">
      <alignment vertical="center" wrapText="1"/>
    </xf>
    <xf numFmtId="0" fontId="63" fillId="0" borderId="90" xfId="2" applyFont="1" applyBorder="1" applyAlignment="1">
      <alignment vertical="center" wrapText="1"/>
    </xf>
    <xf numFmtId="0" fontId="63" fillId="0" borderId="91" xfId="2" applyFont="1" applyBorder="1" applyAlignment="1">
      <alignment vertical="center" wrapText="1"/>
    </xf>
    <xf numFmtId="0" fontId="63" fillId="0" borderId="235" xfId="2" applyFont="1" applyBorder="1" applyAlignment="1">
      <alignment vertical="center" wrapText="1"/>
    </xf>
    <xf numFmtId="0" fontId="70" fillId="0" borderId="238" xfId="2" applyFont="1" applyBorder="1" applyAlignment="1">
      <alignment vertical="center" wrapText="1"/>
    </xf>
    <xf numFmtId="0" fontId="63" fillId="0" borderId="239" xfId="2" applyFont="1" applyBorder="1" applyAlignment="1">
      <alignment vertical="center" wrapText="1"/>
    </xf>
    <xf numFmtId="0" fontId="63" fillId="0" borderId="240" xfId="2" applyFont="1" applyBorder="1" applyAlignment="1">
      <alignment vertical="center" wrapText="1"/>
    </xf>
    <xf numFmtId="0" fontId="63" fillId="0" borderId="158" xfId="2" applyFont="1" applyBorder="1" applyAlignment="1">
      <alignment vertical="center" wrapText="1"/>
    </xf>
    <xf numFmtId="0" fontId="68" fillId="0" borderId="115" xfId="2" applyFont="1" applyBorder="1" applyAlignment="1">
      <alignment vertical="center" wrapText="1"/>
    </xf>
    <xf numFmtId="0" fontId="63" fillId="0" borderId="241" xfId="2" applyFont="1" applyBorder="1" applyAlignment="1">
      <alignment vertical="center" wrapText="1"/>
    </xf>
    <xf numFmtId="0" fontId="63" fillId="0" borderId="95" xfId="2" applyFont="1" applyBorder="1" applyAlignment="1">
      <alignment vertical="center" wrapText="1"/>
    </xf>
    <xf numFmtId="0" fontId="63" fillId="0" borderId="174" xfId="2" applyFont="1" applyBorder="1" applyAlignment="1">
      <alignment vertical="center" wrapText="1"/>
    </xf>
    <xf numFmtId="0" fontId="63" fillId="0" borderId="96" xfId="2" applyFont="1" applyBorder="1" applyAlignment="1">
      <alignment vertical="center" wrapText="1"/>
    </xf>
    <xf numFmtId="0" fontId="70" fillId="0" borderId="163" xfId="2" applyFont="1" applyBorder="1" applyAlignment="1">
      <alignment vertical="center" wrapText="1"/>
    </xf>
    <xf numFmtId="0" fontId="63" fillId="0" borderId="164" xfId="2" applyFont="1" applyBorder="1" applyAlignment="1">
      <alignment vertical="center" wrapText="1"/>
    </xf>
    <xf numFmtId="2" fontId="69" fillId="0" borderId="1" xfId="2" applyNumberFormat="1" applyFont="1" applyBorder="1" applyAlignment="1">
      <alignment horizontal="center" vertical="center" wrapText="1"/>
    </xf>
    <xf numFmtId="0" fontId="63" fillId="0" borderId="165" xfId="2" applyFont="1" applyBorder="1" applyAlignment="1">
      <alignment vertical="center" wrapText="1"/>
    </xf>
    <xf numFmtId="0" fontId="63" fillId="0" borderId="115" xfId="2" applyFont="1" applyBorder="1" applyAlignment="1">
      <alignment vertical="center" wrapText="1"/>
    </xf>
    <xf numFmtId="0" fontId="63" fillId="0" borderId="242" xfId="2" applyFont="1" applyBorder="1" applyAlignment="1">
      <alignment vertical="center" wrapText="1"/>
    </xf>
    <xf numFmtId="0" fontId="63" fillId="0" borderId="243" xfId="2" applyFont="1" applyBorder="1" applyAlignment="1">
      <alignment vertical="center" wrapText="1"/>
    </xf>
    <xf numFmtId="0" fontId="63" fillId="0" borderId="191" xfId="2" applyFont="1" applyBorder="1" applyAlignment="1">
      <alignment vertical="center" wrapText="1"/>
    </xf>
    <xf numFmtId="0" fontId="63" fillId="0" borderId="5" xfId="2" applyFont="1" applyBorder="1" applyAlignment="1">
      <alignment vertical="center" wrapText="1"/>
    </xf>
    <xf numFmtId="0" fontId="70" fillId="0" borderId="158" xfId="2" applyFont="1" applyBorder="1" applyAlignment="1">
      <alignment vertical="center" wrapText="1"/>
    </xf>
    <xf numFmtId="0" fontId="63" fillId="0" borderId="149" xfId="2" applyFont="1" applyBorder="1" applyAlignment="1">
      <alignment vertical="center" wrapText="1"/>
    </xf>
    <xf numFmtId="0" fontId="63" fillId="0" borderId="168" xfId="2" applyFont="1" applyBorder="1" applyAlignment="1">
      <alignment vertical="center" wrapText="1"/>
    </xf>
    <xf numFmtId="0" fontId="63" fillId="0" borderId="169" xfId="2" applyFont="1" applyBorder="1" applyAlignment="1">
      <alignment vertical="center" wrapText="1"/>
    </xf>
    <xf numFmtId="0" fontId="63" fillId="0" borderId="192" xfId="2" applyFont="1" applyBorder="1" applyAlignment="1">
      <alignment vertical="center" wrapText="1"/>
    </xf>
    <xf numFmtId="2" fontId="78" fillId="2" borderId="0" xfId="2" applyNumberFormat="1" applyFont="1" applyFill="1" applyAlignment="1">
      <alignment vertical="center" wrapText="1"/>
    </xf>
    <xf numFmtId="0" fontId="63" fillId="0" borderId="173" xfId="2" applyFont="1" applyBorder="1" applyAlignment="1">
      <alignment vertical="center" wrapText="1"/>
    </xf>
    <xf numFmtId="0" fontId="69" fillId="0" borderId="9" xfId="2" applyFont="1" applyBorder="1" applyAlignment="1">
      <alignment horizontal="center" vertical="center" wrapText="1"/>
    </xf>
    <xf numFmtId="0" fontId="63" fillId="0" borderId="188" xfId="2" applyFont="1" applyBorder="1" applyAlignment="1">
      <alignment vertical="center" wrapText="1"/>
    </xf>
    <xf numFmtId="0" fontId="63" fillId="0" borderId="190" xfId="2" applyFont="1" applyBorder="1" applyAlignment="1">
      <alignment vertical="center" wrapText="1"/>
    </xf>
    <xf numFmtId="0" fontId="63" fillId="0" borderId="194" xfId="2" applyFont="1" applyBorder="1" applyAlignment="1">
      <alignment vertical="center" wrapText="1"/>
    </xf>
    <xf numFmtId="0" fontId="63" fillId="0" borderId="246" xfId="2" applyFont="1" applyBorder="1" applyAlignment="1">
      <alignment vertical="center" wrapText="1"/>
    </xf>
    <xf numFmtId="0" fontId="63" fillId="0" borderId="205" xfId="2" applyFont="1" applyBorder="1" applyAlignment="1">
      <alignment vertical="center" wrapText="1"/>
    </xf>
    <xf numFmtId="0" fontId="63" fillId="0" borderId="180" xfId="2" applyFont="1" applyBorder="1" applyAlignment="1">
      <alignment vertical="center" wrapText="1"/>
    </xf>
    <xf numFmtId="2" fontId="95" fillId="2" borderId="0" xfId="2" applyNumberFormat="1" applyFont="1" applyFill="1" applyAlignment="1">
      <alignment vertical="center" wrapText="1"/>
    </xf>
    <xf numFmtId="0" fontId="95" fillId="2" borderId="0" xfId="2" applyFont="1" applyFill="1" applyAlignment="1">
      <alignment vertical="center" wrapText="1"/>
    </xf>
    <xf numFmtId="0" fontId="100" fillId="2" borderId="0" xfId="2" applyFont="1" applyFill="1" applyAlignment="1">
      <alignment vertical="center" wrapText="1"/>
    </xf>
    <xf numFmtId="0" fontId="71" fillId="0" borderId="247" xfId="2" applyFont="1" applyBorder="1" applyAlignment="1">
      <alignment horizontal="center" vertical="center" wrapText="1"/>
    </xf>
    <xf numFmtId="0" fontId="63" fillId="0" borderId="163" xfId="2" applyFont="1" applyBorder="1" applyAlignment="1">
      <alignment vertical="center" wrapText="1"/>
    </xf>
    <xf numFmtId="0" fontId="63" fillId="0" borderId="150" xfId="2" applyFont="1" applyBorder="1" applyAlignment="1">
      <alignment vertical="center" wrapText="1"/>
    </xf>
    <xf numFmtId="0" fontId="81" fillId="0" borderId="135" xfId="2" applyFont="1" applyBorder="1" applyAlignment="1">
      <alignment vertical="center" wrapText="1"/>
    </xf>
    <xf numFmtId="0" fontId="69" fillId="0" borderId="38" xfId="2" applyFont="1" applyBorder="1" applyAlignment="1">
      <alignment horizontal="center" vertical="center" wrapText="1"/>
    </xf>
    <xf numFmtId="0" fontId="63" fillId="0" borderId="97" xfId="2" applyFont="1" applyBorder="1" applyAlignment="1">
      <alignment vertical="center" wrapText="1"/>
    </xf>
    <xf numFmtId="0" fontId="63" fillId="0" borderId="98" xfId="2" applyFont="1" applyBorder="1" applyAlignment="1">
      <alignment vertical="center" wrapText="1"/>
    </xf>
    <xf numFmtId="0" fontId="63" fillId="0" borderId="100" xfId="2" applyFont="1" applyBorder="1" applyAlignment="1">
      <alignment vertical="center" wrapText="1"/>
    </xf>
    <xf numFmtId="0" fontId="69" fillId="0" borderId="20" xfId="2" applyFont="1" applyBorder="1" applyAlignment="1">
      <alignment horizontal="center" vertical="center" wrapText="1"/>
    </xf>
    <xf numFmtId="2" fontId="103" fillId="2" borderId="0" xfId="2" applyNumberFormat="1" applyFont="1" applyFill="1" applyAlignment="1">
      <alignment vertical="center" wrapText="1"/>
    </xf>
    <xf numFmtId="0" fontId="103" fillId="2" borderId="0" xfId="2" applyFont="1" applyFill="1" applyAlignment="1">
      <alignment vertical="center" wrapText="1"/>
    </xf>
    <xf numFmtId="0" fontId="69" fillId="0" borderId="30" xfId="2" applyFont="1" applyBorder="1" applyAlignment="1">
      <alignment horizontal="center" vertical="center" wrapText="1"/>
    </xf>
    <xf numFmtId="0" fontId="70" fillId="0" borderId="139" xfId="2" applyFont="1" applyBorder="1" applyAlignment="1">
      <alignment vertical="center" wrapText="1"/>
    </xf>
    <xf numFmtId="0" fontId="69" fillId="0" borderId="29" xfId="2" applyFont="1" applyBorder="1" applyAlignment="1">
      <alignment horizontal="center" vertical="center" wrapText="1"/>
    </xf>
    <xf numFmtId="2" fontId="100" fillId="2" borderId="0" xfId="2" applyNumberFormat="1" applyFont="1" applyFill="1" applyAlignment="1">
      <alignment vertical="center" wrapText="1"/>
    </xf>
    <xf numFmtId="0" fontId="63" fillId="0" borderId="196" xfId="2" applyFont="1" applyBorder="1" applyAlignment="1">
      <alignment vertical="center" wrapText="1"/>
    </xf>
    <xf numFmtId="0" fontId="63" fillId="0" borderId="98" xfId="2" applyFont="1" applyBorder="1" applyAlignment="1">
      <alignment vertical="center" textRotation="90" wrapText="1"/>
    </xf>
    <xf numFmtId="0" fontId="70" fillId="0" borderId="98" xfId="2" applyFont="1" applyBorder="1" applyAlignment="1">
      <alignment vertical="center" wrapText="1"/>
    </xf>
    <xf numFmtId="0" fontId="70" fillId="0" borderId="127" xfId="2" applyFont="1" applyBorder="1" applyAlignment="1">
      <alignment vertical="center" wrapText="1"/>
    </xf>
    <xf numFmtId="14" fontId="63" fillId="0" borderId="0" xfId="2" applyNumberFormat="1" applyFont="1" applyAlignment="1">
      <alignment vertical="center" wrapText="1"/>
    </xf>
    <xf numFmtId="0" fontId="81" fillId="0" borderId="0" xfId="2" applyFont="1" applyAlignment="1">
      <alignment vertical="center" wrapText="1"/>
    </xf>
    <xf numFmtId="0" fontId="68" fillId="0" borderId="135" xfId="2" applyFont="1" applyBorder="1" applyAlignment="1">
      <alignment vertical="center" wrapText="1"/>
    </xf>
    <xf numFmtId="0" fontId="64" fillId="0" borderId="135" xfId="2" applyFont="1" applyBorder="1" applyAlignment="1">
      <alignment vertical="center" wrapText="1"/>
    </xf>
    <xf numFmtId="0" fontId="68" fillId="0" borderId="152" xfId="2" applyFont="1" applyBorder="1" applyAlignment="1">
      <alignment vertical="center" wrapText="1"/>
    </xf>
    <xf numFmtId="0" fontId="64" fillId="0" borderId="200" xfId="2" applyFont="1" applyBorder="1" applyAlignment="1">
      <alignment vertical="center" wrapText="1"/>
    </xf>
    <xf numFmtId="0" fontId="69" fillId="0" borderId="135" xfId="2" applyFont="1" applyBorder="1" applyAlignment="1">
      <alignment vertical="center" wrapText="1"/>
    </xf>
    <xf numFmtId="0" fontId="100" fillId="2" borderId="189" xfId="2" applyFont="1" applyFill="1" applyBorder="1" applyAlignment="1">
      <alignment vertical="center" wrapText="1"/>
    </xf>
    <xf numFmtId="0" fontId="63" fillId="0" borderId="201" xfId="2" applyFont="1" applyBorder="1" applyAlignment="1">
      <alignment vertical="center" wrapText="1"/>
    </xf>
    <xf numFmtId="0" fontId="63" fillId="0" borderId="255" xfId="2" applyFont="1" applyBorder="1" applyAlignment="1">
      <alignment vertical="center" wrapText="1"/>
    </xf>
    <xf numFmtId="0" fontId="63" fillId="0" borderId="145" xfId="2" applyFont="1" applyBorder="1" applyAlignment="1">
      <alignment vertical="center" wrapText="1"/>
    </xf>
    <xf numFmtId="0" fontId="63" fillId="0" borderId="256" xfId="2" applyFont="1" applyBorder="1" applyAlignment="1">
      <alignment vertical="center" wrapText="1"/>
    </xf>
    <xf numFmtId="0" fontId="63" fillId="0" borderId="162" xfId="2" applyFont="1" applyBorder="1" applyAlignment="1">
      <alignment vertical="center" wrapText="1"/>
    </xf>
    <xf numFmtId="0" fontId="63" fillId="0" borderId="204" xfId="2" applyFont="1" applyBorder="1" applyAlignment="1">
      <alignment vertical="center" wrapText="1"/>
    </xf>
    <xf numFmtId="0" fontId="63" fillId="0" borderId="114" xfId="2" applyFont="1" applyBorder="1" applyAlignment="1">
      <alignment vertical="center" wrapText="1"/>
    </xf>
    <xf numFmtId="0" fontId="68" fillId="0" borderId="0" xfId="2" applyFont="1" applyAlignment="1">
      <alignment horizontal="center" vertical="center" wrapText="1"/>
    </xf>
    <xf numFmtId="2" fontId="69" fillId="13" borderId="1" xfId="2" applyNumberFormat="1" applyFont="1" applyFill="1" applyBorder="1" applyAlignment="1">
      <alignment horizontal="center" vertical="center" wrapText="1"/>
    </xf>
    <xf numFmtId="0" fontId="63" fillId="0" borderId="206" xfId="2" applyFont="1" applyBorder="1" applyAlignment="1">
      <alignment vertical="center" wrapText="1"/>
    </xf>
    <xf numFmtId="0" fontId="63" fillId="0" borderId="257" xfId="2" applyFont="1" applyBorder="1" applyAlignment="1">
      <alignment vertical="center" wrapText="1"/>
    </xf>
    <xf numFmtId="0" fontId="63" fillId="0" borderId="123" xfId="2" applyFont="1" applyBorder="1" applyAlignment="1">
      <alignment horizontal="center" vertical="center" wrapText="1"/>
    </xf>
    <xf numFmtId="0" fontId="69" fillId="0" borderId="123" xfId="2" applyFont="1" applyBorder="1" applyAlignment="1">
      <alignment vertical="center" wrapText="1"/>
    </xf>
    <xf numFmtId="0" fontId="63" fillId="0" borderId="156" xfId="2" applyFont="1" applyBorder="1" applyAlignment="1">
      <alignment vertical="center" wrapText="1"/>
    </xf>
    <xf numFmtId="0" fontId="63" fillId="0" borderId="154" xfId="2" applyFont="1" applyBorder="1" applyAlignment="1">
      <alignment vertical="center" wrapText="1"/>
    </xf>
    <xf numFmtId="0" fontId="69" fillId="0" borderId="156" xfId="2" applyFont="1" applyBorder="1" applyAlignment="1">
      <alignment vertical="center" wrapText="1"/>
    </xf>
    <xf numFmtId="0" fontId="63" fillId="0" borderId="207" xfId="2" applyFont="1" applyBorder="1" applyAlignment="1">
      <alignment vertical="center" wrapText="1"/>
    </xf>
    <xf numFmtId="0" fontId="63" fillId="0" borderId="208" xfId="2" applyFont="1" applyBorder="1" applyAlignment="1">
      <alignment vertical="center" wrapText="1"/>
    </xf>
    <xf numFmtId="0" fontId="63" fillId="0" borderId="258" xfId="2" applyFont="1" applyBorder="1" applyAlignment="1">
      <alignment vertical="center" wrapText="1"/>
    </xf>
    <xf numFmtId="0" fontId="68" fillId="0" borderId="159" xfId="2" applyFont="1" applyBorder="1" applyAlignment="1">
      <alignment vertical="center" wrapText="1"/>
    </xf>
    <xf numFmtId="0" fontId="63" fillId="0" borderId="159" xfId="2" applyFont="1" applyBorder="1" applyAlignment="1">
      <alignment vertical="center" wrapText="1"/>
    </xf>
    <xf numFmtId="0" fontId="68" fillId="0" borderId="128" xfId="2" applyFont="1" applyBorder="1" applyAlignment="1">
      <alignment horizontal="center" vertical="center" wrapText="1"/>
    </xf>
    <xf numFmtId="0" fontId="70" fillId="0" borderId="142" xfId="2" applyFont="1" applyBorder="1" applyAlignment="1">
      <alignment vertical="center" wrapText="1"/>
    </xf>
    <xf numFmtId="0" fontId="63" fillId="0" borderId="259" xfId="2" applyFont="1" applyBorder="1" applyAlignment="1">
      <alignment vertical="center" wrapText="1"/>
    </xf>
    <xf numFmtId="0" fontId="63" fillId="0" borderId="215" xfId="2" applyFont="1" applyBorder="1" applyAlignment="1">
      <alignment vertical="center" wrapText="1"/>
    </xf>
    <xf numFmtId="0" fontId="64" fillId="0" borderId="149" xfId="2" applyFont="1" applyBorder="1" applyAlignment="1">
      <alignment vertical="center" wrapText="1"/>
    </xf>
    <xf numFmtId="0" fontId="64" fillId="0" borderId="150" xfId="2" applyFont="1" applyBorder="1" applyAlignment="1">
      <alignment vertical="center" wrapText="1"/>
    </xf>
    <xf numFmtId="0" fontId="68" fillId="0" borderId="128" xfId="2" applyFont="1" applyBorder="1" applyAlignment="1">
      <alignment vertical="center" wrapText="1"/>
    </xf>
    <xf numFmtId="0" fontId="71" fillId="0" borderId="1" xfId="2" applyFont="1" applyBorder="1" applyAlignment="1">
      <alignment horizontal="center" vertical="center" wrapText="1"/>
    </xf>
    <xf numFmtId="0" fontId="63" fillId="0" borderId="260" xfId="2" applyFont="1" applyBorder="1" applyAlignment="1">
      <alignment vertical="center" wrapText="1"/>
    </xf>
    <xf numFmtId="0" fontId="63" fillId="0" borderId="216" xfId="2" applyFont="1" applyBorder="1" applyAlignment="1">
      <alignment vertical="center" wrapText="1"/>
    </xf>
    <xf numFmtId="0" fontId="63" fillId="0" borderId="202" xfId="2" applyFont="1" applyBorder="1" applyAlignment="1">
      <alignment vertical="center" wrapText="1"/>
    </xf>
    <xf numFmtId="0" fontId="63" fillId="0" borderId="261" xfId="2" applyFont="1" applyBorder="1" applyAlignment="1">
      <alignment vertical="center" wrapText="1"/>
    </xf>
    <xf numFmtId="0" fontId="63" fillId="0" borderId="0" xfId="2" applyFont="1" applyAlignment="1">
      <alignment horizontal="center" vertical="center" wrapText="1"/>
    </xf>
    <xf numFmtId="0" fontId="69" fillId="0" borderId="1" xfId="2" applyFont="1" applyBorder="1" applyAlignment="1">
      <alignment vertical="center" wrapText="1"/>
    </xf>
    <xf numFmtId="0" fontId="70" fillId="2" borderId="0" xfId="2" applyFont="1" applyFill="1" applyAlignment="1">
      <alignment vertical="center" wrapText="1"/>
    </xf>
    <xf numFmtId="0" fontId="68" fillId="2" borderId="0" xfId="2" applyFont="1" applyFill="1" applyAlignment="1">
      <alignment vertical="center" wrapText="1"/>
    </xf>
    <xf numFmtId="0" fontId="64" fillId="2" borderId="0" xfId="2" applyFont="1" applyFill="1" applyAlignment="1">
      <alignment vertical="center" wrapText="1"/>
    </xf>
    <xf numFmtId="0" fontId="63" fillId="0" borderId="262" xfId="2" applyFont="1" applyBorder="1" applyAlignment="1">
      <alignment vertical="center" wrapText="1"/>
    </xf>
    <xf numFmtId="0" fontId="64" fillId="0" borderId="0" xfId="2" applyFont="1" applyAlignment="1">
      <alignment horizontal="center" vertical="center" wrapText="1"/>
    </xf>
    <xf numFmtId="0" fontId="64" fillId="0" borderId="127" xfId="2" applyFont="1" applyBorder="1" applyAlignment="1">
      <alignment horizontal="center" vertical="center" wrapText="1"/>
    </xf>
    <xf numFmtId="0" fontId="68" fillId="0" borderId="109" xfId="2" applyFont="1" applyBorder="1" applyAlignment="1">
      <alignment horizontal="center" vertical="center" wrapText="1"/>
    </xf>
    <xf numFmtId="0" fontId="68" fillId="0" borderId="232" xfId="2" applyFont="1" applyBorder="1" applyAlignment="1">
      <alignment horizontal="center" vertical="center" wrapText="1"/>
    </xf>
    <xf numFmtId="0" fontId="71" fillId="0" borderId="128" xfId="2" applyFont="1" applyBorder="1" applyAlignment="1">
      <alignment vertical="center" wrapText="1"/>
    </xf>
    <xf numFmtId="0" fontId="68" fillId="0" borderId="127" xfId="2" applyFont="1" applyBorder="1" applyAlignment="1">
      <alignment vertical="center" wrapText="1"/>
    </xf>
    <xf numFmtId="0" fontId="63" fillId="0" borderId="20" xfId="2" applyFont="1" applyBorder="1" applyAlignment="1">
      <alignment horizontal="center" vertical="center" wrapText="1"/>
    </xf>
    <xf numFmtId="0" fontId="63" fillId="0" borderId="222" xfId="2" applyFont="1" applyBorder="1" applyAlignment="1">
      <alignment vertical="center" wrapText="1"/>
    </xf>
    <xf numFmtId="0" fontId="68" fillId="0" borderId="141" xfId="2" applyFont="1" applyBorder="1" applyAlignment="1">
      <alignment horizontal="center" vertical="center" wrapText="1"/>
    </xf>
    <xf numFmtId="0" fontId="68" fillId="0" borderId="114" xfId="2" applyFont="1" applyBorder="1" applyAlignment="1">
      <alignment horizontal="center" vertical="center" wrapText="1"/>
    </xf>
    <xf numFmtId="0" fontId="68" fillId="0" borderId="5" xfId="2" applyFont="1" applyBorder="1" applyAlignment="1">
      <alignment horizontal="center" vertical="center" wrapText="1"/>
    </xf>
    <xf numFmtId="0" fontId="63" fillId="0" borderId="263" xfId="2" applyFont="1" applyBorder="1" applyAlignment="1">
      <alignment vertical="center" wrapText="1"/>
    </xf>
    <xf numFmtId="0" fontId="63" fillId="0" borderId="111" xfId="2" applyFont="1" applyBorder="1" applyAlignment="1">
      <alignment vertical="center" wrapText="1"/>
    </xf>
    <xf numFmtId="0" fontId="63" fillId="0" borderId="264" xfId="2" applyFont="1" applyBorder="1" applyAlignment="1">
      <alignment vertical="center" wrapText="1"/>
    </xf>
    <xf numFmtId="0" fontId="63" fillId="0" borderId="265" xfId="2" applyFont="1" applyBorder="1" applyAlignment="1">
      <alignment vertical="center" wrapText="1"/>
    </xf>
    <xf numFmtId="0" fontId="63" fillId="0" borderId="266" xfId="2" applyFont="1" applyBorder="1" applyAlignment="1">
      <alignment vertical="center" wrapText="1"/>
    </xf>
    <xf numFmtId="0" fontId="64" fillId="0" borderId="127" xfId="2" applyFont="1" applyBorder="1" applyAlignment="1">
      <alignment vertical="center" wrapText="1"/>
    </xf>
    <xf numFmtId="0" fontId="63" fillId="0" borderId="267" xfId="2" applyFont="1" applyBorder="1" applyAlignment="1">
      <alignment vertical="center" wrapText="1"/>
    </xf>
    <xf numFmtId="0" fontId="63" fillId="0" borderId="268" xfId="2" applyFont="1" applyBorder="1" applyAlignment="1">
      <alignment vertical="center" wrapText="1"/>
    </xf>
    <xf numFmtId="0" fontId="63" fillId="0" borderId="269" xfId="2" applyFont="1" applyBorder="1" applyAlignment="1">
      <alignment vertical="center" wrapText="1"/>
    </xf>
    <xf numFmtId="0" fontId="63" fillId="0" borderId="219" xfId="2" applyFont="1" applyBorder="1" applyAlignment="1">
      <alignment vertical="center" wrapText="1"/>
    </xf>
    <xf numFmtId="0" fontId="69" fillId="0" borderId="119" xfId="2" applyFont="1" applyBorder="1" applyAlignment="1">
      <alignment horizontal="center" vertical="center" wrapText="1"/>
    </xf>
    <xf numFmtId="0" fontId="69" fillId="0" borderId="111" xfId="2" applyFont="1" applyBorder="1" applyAlignment="1">
      <alignment horizontal="center" vertical="center" wrapText="1"/>
    </xf>
    <xf numFmtId="0" fontId="68" fillId="0" borderId="189" xfId="2" applyFont="1" applyBorder="1" applyAlignment="1">
      <alignment vertical="center" wrapText="1"/>
    </xf>
    <xf numFmtId="0" fontId="64" fillId="0" borderId="128" xfId="2" applyFont="1" applyBorder="1" applyAlignment="1">
      <alignment vertical="center" wrapText="1"/>
    </xf>
    <xf numFmtId="0" fontId="64" fillId="0" borderId="188" xfId="2" applyFont="1" applyBorder="1" applyAlignment="1">
      <alignment vertical="center" wrapText="1"/>
    </xf>
    <xf numFmtId="0" fontId="64" fillId="0" borderId="189" xfId="2" applyFont="1" applyBorder="1" applyAlignment="1">
      <alignment vertical="center" wrapText="1"/>
    </xf>
    <xf numFmtId="0" fontId="64" fillId="0" borderId="190" xfId="2" applyFont="1" applyBorder="1" applyAlignment="1">
      <alignment vertical="center" wrapText="1"/>
    </xf>
    <xf numFmtId="0" fontId="69" fillId="0" borderId="276" xfId="2" applyFont="1" applyBorder="1" applyAlignment="1">
      <alignment horizontal="center" vertical="center" wrapText="1"/>
    </xf>
    <xf numFmtId="0" fontId="69" fillId="2" borderId="20" xfId="2" applyFont="1" applyFill="1" applyBorder="1" applyAlignment="1">
      <alignment horizontal="center" vertical="center" wrapText="1"/>
    </xf>
    <xf numFmtId="0" fontId="63" fillId="0" borderId="225" xfId="2" applyFont="1" applyBorder="1" applyAlignment="1">
      <alignment vertical="center" wrapText="1"/>
    </xf>
    <xf numFmtId="0" fontId="109" fillId="0" borderId="0" xfId="0" applyFont="1"/>
    <xf numFmtId="3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109" fillId="0" borderId="277" xfId="0" applyFont="1" applyBorder="1"/>
    <xf numFmtId="3" fontId="1" fillId="0" borderId="277" xfId="0" applyNumberFormat="1" applyFont="1" applyBorder="1" applyAlignment="1">
      <alignment horizontal="right"/>
    </xf>
    <xf numFmtId="0" fontId="110" fillId="12" borderId="0" xfId="0" applyFont="1" applyFill="1"/>
    <xf numFmtId="3" fontId="110" fillId="12" borderId="0" xfId="0" applyNumberFormat="1" applyFont="1" applyFill="1" applyAlignment="1">
      <alignment horizontal="right"/>
    </xf>
    <xf numFmtId="165" fontId="110" fillId="12" borderId="0" xfId="0" applyNumberFormat="1" applyFont="1" applyFill="1" applyAlignment="1">
      <alignment horizontal="right"/>
    </xf>
    <xf numFmtId="0" fontId="110" fillId="10" borderId="0" xfId="0" applyFont="1" applyFill="1"/>
    <xf numFmtId="3" fontId="110" fillId="10" borderId="0" xfId="0" applyNumberFormat="1" applyFont="1" applyFill="1" applyAlignment="1">
      <alignment horizontal="right"/>
    </xf>
    <xf numFmtId="165" fontId="110" fillId="10" borderId="0" xfId="0" applyNumberFormat="1" applyFont="1" applyFill="1" applyAlignment="1">
      <alignment horizontal="right"/>
    </xf>
    <xf numFmtId="0" fontId="26" fillId="8" borderId="0" xfId="0" applyFont="1" applyFill="1"/>
    <xf numFmtId="3" fontId="26" fillId="8" borderId="0" xfId="0" applyNumberFormat="1" applyFont="1" applyFill="1" applyAlignment="1">
      <alignment horizontal="right"/>
    </xf>
    <xf numFmtId="165" fontId="26" fillId="8" borderId="0" xfId="0" applyNumberFormat="1" applyFont="1" applyFill="1" applyAlignment="1">
      <alignment horizontal="right"/>
    </xf>
    <xf numFmtId="0" fontId="0" fillId="1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10" fillId="12" borderId="0" xfId="0" applyFont="1" applyFill="1" applyAlignment="1">
      <alignment horizontal="center"/>
    </xf>
    <xf numFmtId="0" fontId="110" fillId="10" borderId="0" xfId="0" applyFont="1" applyFill="1" applyAlignment="1">
      <alignment horizontal="center"/>
    </xf>
    <xf numFmtId="3" fontId="0" fillId="12" borderId="0" xfId="0" applyNumberFormat="1" applyFill="1" applyAlignment="1">
      <alignment horizontal="right"/>
    </xf>
    <xf numFmtId="3" fontId="0" fillId="10" borderId="0" xfId="0" applyNumberFormat="1" applyFill="1" applyAlignment="1">
      <alignment horizontal="right"/>
    </xf>
    <xf numFmtId="3" fontId="23" fillId="8" borderId="0" xfId="0" applyNumberFormat="1" applyFont="1" applyFill="1" applyAlignment="1">
      <alignment horizontal="right"/>
    </xf>
    <xf numFmtId="0" fontId="0" fillId="0" borderId="277" xfId="0" applyBorder="1"/>
    <xf numFmtId="0" fontId="38" fillId="8" borderId="0" xfId="0" applyFont="1" applyFill="1" applyAlignment="1">
      <alignment horizontal="center"/>
    </xf>
    <xf numFmtId="0" fontId="29" fillId="10" borderId="33" xfId="0" applyFont="1" applyFill="1" applyBorder="1" applyAlignment="1">
      <alignment horizontal="center"/>
    </xf>
    <xf numFmtId="0" fontId="29" fillId="10" borderId="0" xfId="0" applyFont="1" applyFill="1" applyAlignment="1">
      <alignment horizontal="center"/>
    </xf>
    <xf numFmtId="0" fontId="29" fillId="10" borderId="34" xfId="0" applyFont="1" applyFill="1" applyBorder="1" applyAlignment="1">
      <alignment horizontal="center"/>
    </xf>
    <xf numFmtId="0" fontId="24" fillId="8" borderId="0" xfId="0" applyFont="1" applyFill="1" applyAlignment="1">
      <alignment horizontal="left" vertical="center"/>
    </xf>
    <xf numFmtId="0" fontId="25" fillId="9" borderId="0" xfId="0" applyFont="1" applyFill="1"/>
    <xf numFmtId="0" fontId="30" fillId="8" borderId="0" xfId="0" applyFont="1" applyFill="1"/>
    <xf numFmtId="0" fontId="31" fillId="10" borderId="0" xfId="0" applyFont="1" applyFill="1" applyAlignment="1">
      <alignment vertical="top" wrapText="1"/>
    </xf>
    <xf numFmtId="0" fontId="23" fillId="8" borderId="0" xfId="0" applyFont="1" applyFill="1" applyAlignment="1">
      <alignment horizontal="center"/>
    </xf>
    <xf numFmtId="0" fontId="40" fillId="10" borderId="33" xfId="0" applyFont="1" applyFill="1" applyBorder="1" applyAlignment="1">
      <alignment horizontal="center"/>
    </xf>
    <xf numFmtId="0" fontId="34" fillId="12" borderId="0" xfId="0" applyFont="1" applyFill="1"/>
    <xf numFmtId="0" fontId="0" fillId="12" borderId="0" xfId="0" applyFill="1"/>
    <xf numFmtId="0" fontId="31" fillId="12" borderId="0" xfId="0" applyFont="1" applyFill="1" applyAlignment="1">
      <alignment vertical="top" wrapText="1"/>
    </xf>
    <xf numFmtId="0" fontId="30" fillId="8" borderId="0" xfId="0" applyFont="1" applyFill="1" applyAlignment="1">
      <alignment horizontal="left"/>
    </xf>
    <xf numFmtId="0" fontId="34" fillId="10" borderId="0" xfId="0" applyFont="1" applyFill="1"/>
    <xf numFmtId="0" fontId="0" fillId="10" borderId="0" xfId="0" applyFill="1"/>
    <xf numFmtId="0" fontId="0" fillId="11" borderId="36" xfId="0" applyFill="1" applyBorder="1"/>
    <xf numFmtId="0" fontId="0" fillId="11" borderId="35" xfId="0" applyFill="1" applyBorder="1"/>
    <xf numFmtId="0" fontId="0" fillId="11" borderId="37" xfId="0" applyFill="1" applyBorder="1"/>
    <xf numFmtId="0" fontId="23" fillId="8" borderId="40" xfId="0" applyFont="1" applyFill="1" applyBorder="1" applyAlignment="1">
      <alignment horizontal="center"/>
    </xf>
    <xf numFmtId="0" fontId="38" fillId="8" borderId="40" xfId="0" applyFont="1" applyFill="1" applyBorder="1" applyAlignment="1">
      <alignment horizontal="center"/>
    </xf>
    <xf numFmtId="0" fontId="27" fillId="0" borderId="0" xfId="0" applyFont="1" applyAlignment="1">
      <alignment vertical="top" wrapText="1"/>
    </xf>
    <xf numFmtId="0" fontId="0" fillId="0" borderId="0" xfId="0"/>
    <xf numFmtId="0" fontId="40" fillId="10" borderId="15" xfId="0" applyFont="1" applyFill="1" applyBorder="1" applyAlignment="1">
      <alignment horizontal="center"/>
    </xf>
    <xf numFmtId="0" fontId="40" fillId="10" borderId="0" xfId="0" applyFont="1" applyFill="1" applyAlignment="1">
      <alignment horizontal="center"/>
    </xf>
    <xf numFmtId="0" fontId="40" fillId="10" borderId="10" xfId="0" applyFont="1" applyFill="1" applyBorder="1" applyAlignment="1">
      <alignment horizontal="center"/>
    </xf>
    <xf numFmtId="0" fontId="30" fillId="9" borderId="0" xfId="0" applyFont="1" applyFill="1" applyAlignment="1">
      <alignment horizontal="left"/>
    </xf>
    <xf numFmtId="0" fontId="3" fillId="2" borderId="2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0" borderId="58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6" fillId="2" borderId="70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71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39" fillId="2" borderId="26" xfId="0" applyFont="1" applyFill="1" applyBorder="1" applyAlignment="1">
      <alignment horizontal="center" vertical="center"/>
    </xf>
    <xf numFmtId="0" fontId="39" fillId="2" borderId="27" xfId="0" applyFont="1" applyFill="1" applyBorder="1" applyAlignment="1">
      <alignment horizontal="center" vertical="center"/>
    </xf>
    <xf numFmtId="0" fontId="39" fillId="2" borderId="28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9" fillId="2" borderId="26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32" fillId="2" borderId="45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28" fillId="2" borderId="26" xfId="0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2" borderId="3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2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41" fillId="2" borderId="26" xfId="0" applyFont="1" applyFill="1" applyBorder="1" applyAlignment="1">
      <alignment horizontal="center" vertical="center"/>
    </xf>
    <xf numFmtId="0" fontId="41" fillId="2" borderId="27" xfId="0" applyFont="1" applyFill="1" applyBorder="1" applyAlignment="1">
      <alignment horizontal="center" vertical="center"/>
    </xf>
    <xf numFmtId="0" fontId="41" fillId="2" borderId="28" xfId="0" applyFont="1" applyFill="1" applyBorder="1" applyAlignment="1">
      <alignment horizontal="center" vertical="center"/>
    </xf>
    <xf numFmtId="0" fontId="17" fillId="0" borderId="58" xfId="0" applyFont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5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49" fillId="14" borderId="20" xfId="0" applyFont="1" applyFill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1" fillId="2" borderId="55" xfId="0" applyFont="1" applyFill="1" applyBorder="1" applyAlignment="1">
      <alignment horizontal="center" vertical="center"/>
    </xf>
    <xf numFmtId="0" fontId="42" fillId="0" borderId="26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2" fontId="11" fillId="0" borderId="8" xfId="1" applyNumberFormat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wrapText="1"/>
    </xf>
    <xf numFmtId="0" fontId="11" fillId="0" borderId="8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/>
    </xf>
    <xf numFmtId="0" fontId="11" fillId="0" borderId="8" xfId="1" applyFont="1" applyBorder="1" applyAlignment="1">
      <alignment horizontal="center" vertical="center" textRotation="90" wrapText="1"/>
    </xf>
    <xf numFmtId="0" fontId="11" fillId="0" borderId="7" xfId="1" applyFont="1" applyBorder="1" applyAlignment="1">
      <alignment horizontal="center" vertical="center" textRotation="90" wrapText="1"/>
    </xf>
    <xf numFmtId="0" fontId="11" fillId="0" borderId="15" xfId="1" applyFont="1" applyBorder="1" applyAlignment="1">
      <alignment horizontal="center" vertical="center" textRotation="90" wrapText="1"/>
    </xf>
    <xf numFmtId="0" fontId="11" fillId="0" borderId="10" xfId="1" applyFont="1" applyBorder="1" applyAlignment="1">
      <alignment horizontal="center" vertical="center" textRotation="90" wrapText="1"/>
    </xf>
    <xf numFmtId="0" fontId="11" fillId="0" borderId="16" xfId="1" applyFont="1" applyBorder="1" applyAlignment="1">
      <alignment horizontal="center" vertical="center" textRotation="90" wrapText="1"/>
    </xf>
    <xf numFmtId="0" fontId="11" fillId="0" borderId="17" xfId="1" applyFont="1" applyBorder="1" applyAlignment="1">
      <alignment horizontal="center" vertical="center" textRotation="90" wrapText="1"/>
    </xf>
    <xf numFmtId="0" fontId="6" fillId="3" borderId="2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32" fillId="2" borderId="20" xfId="0" applyFont="1" applyFill="1" applyBorder="1" applyAlignment="1">
      <alignment horizontal="center" vertical="center"/>
    </xf>
    <xf numFmtId="164" fontId="11" fillId="0" borderId="8" xfId="1" applyNumberFormat="1" applyFont="1" applyBorder="1" applyAlignment="1">
      <alignment horizontal="center" vertical="center"/>
    </xf>
    <xf numFmtId="164" fontId="11" fillId="0" borderId="7" xfId="1" applyNumberFormat="1" applyFont="1" applyBorder="1" applyAlignment="1">
      <alignment horizontal="center" vertical="center"/>
    </xf>
    <xf numFmtId="164" fontId="11" fillId="0" borderId="16" xfId="1" applyNumberFormat="1" applyFont="1" applyBorder="1" applyAlignment="1">
      <alignment horizontal="center" vertical="center"/>
    </xf>
    <xf numFmtId="164" fontId="11" fillId="0" borderId="17" xfId="1" applyNumberFormat="1" applyFont="1" applyBorder="1" applyAlignment="1">
      <alignment horizontal="center" vertical="center"/>
    </xf>
    <xf numFmtId="2" fontId="15" fillId="0" borderId="21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1" fillId="0" borderId="8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textRotation="90" wrapText="1"/>
    </xf>
    <xf numFmtId="0" fontId="27" fillId="11" borderId="0" xfId="0" applyFont="1" applyFill="1"/>
    <xf numFmtId="0" fontId="35" fillId="11" borderId="0" xfId="0" applyFont="1" applyFill="1" applyAlignment="1">
      <alignment wrapText="1"/>
    </xf>
    <xf numFmtId="0" fontId="45" fillId="8" borderId="0" xfId="0" applyFont="1" applyFill="1" applyAlignment="1">
      <alignment horizontal="left"/>
    </xf>
    <xf numFmtId="0" fontId="28" fillId="0" borderId="29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3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6" fillId="0" borderId="7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0" fontId="17" fillId="0" borderId="66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17" fillId="0" borderId="4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17" fillId="0" borderId="5" xfId="1" applyFont="1" applyBorder="1" applyAlignment="1">
      <alignment horizontal="center"/>
    </xf>
    <xf numFmtId="0" fontId="33" fillId="8" borderId="0" xfId="0" applyFont="1" applyFill="1" applyAlignment="1">
      <alignment horizontal="left"/>
    </xf>
    <xf numFmtId="0" fontId="33" fillId="8" borderId="0" xfId="0" applyFont="1" applyFill="1" applyAlignment="1">
      <alignment horizontal="center"/>
    </xf>
    <xf numFmtId="0" fontId="33" fillId="10" borderId="0" xfId="0" applyFont="1" applyFill="1" applyAlignment="1">
      <alignment horizontal="center"/>
    </xf>
    <xf numFmtId="0" fontId="35" fillId="11" borderId="0" xfId="0" applyFont="1" applyFill="1" applyAlignment="1">
      <alignment horizontal="left"/>
    </xf>
    <xf numFmtId="0" fontId="35" fillId="11" borderId="0" xfId="0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0" fontId="111" fillId="0" borderId="0" xfId="0" applyFont="1"/>
    <xf numFmtId="0" fontId="52" fillId="8" borderId="0" xfId="0" applyFont="1" applyFill="1"/>
    <xf numFmtId="0" fontId="17" fillId="15" borderId="20" xfId="0" applyFont="1" applyFill="1" applyBorder="1" applyAlignment="1">
      <alignment horizontal="center" vertical="center"/>
    </xf>
    <xf numFmtId="0" fontId="28" fillId="0" borderId="75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32" fillId="2" borderId="77" xfId="0" applyFont="1" applyFill="1" applyBorder="1" applyAlignment="1">
      <alignment horizontal="center" vertical="center"/>
    </xf>
    <xf numFmtId="0" fontId="32" fillId="2" borderId="78" xfId="0" applyFont="1" applyFill="1" applyBorder="1" applyAlignment="1">
      <alignment horizontal="center" vertical="center"/>
    </xf>
    <xf numFmtId="0" fontId="32" fillId="2" borderId="7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0" fillId="0" borderId="0" xfId="1" applyFont="1" applyAlignment="1">
      <alignment horizontal="center"/>
    </xf>
    <xf numFmtId="0" fontId="56" fillId="0" borderId="0" xfId="1" applyFont="1" applyAlignment="1">
      <alignment horizontal="center" wrapText="1"/>
    </xf>
    <xf numFmtId="0" fontId="58" fillId="0" borderId="0" xfId="1" applyFont="1" applyAlignment="1">
      <alignment horizontal="center" vertical="center" wrapText="1"/>
    </xf>
    <xf numFmtId="0" fontId="11" fillId="0" borderId="86" xfId="1" applyFont="1" applyBorder="1" applyAlignment="1">
      <alignment horizontal="center" vertical="center" wrapText="1"/>
    </xf>
    <xf numFmtId="0" fontId="11" fillId="0" borderId="87" xfId="1" applyFont="1" applyBorder="1" applyAlignment="1">
      <alignment horizontal="center" vertical="center" wrapText="1"/>
    </xf>
    <xf numFmtId="0" fontId="11" fillId="0" borderId="88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/>
    </xf>
    <xf numFmtId="0" fontId="11" fillId="0" borderId="10" xfId="1" applyFont="1" applyBorder="1" applyAlignment="1">
      <alignment horizontal="center"/>
    </xf>
    <xf numFmtId="0" fontId="10" fillId="0" borderId="1" xfId="1" applyFont="1" applyBorder="1" applyAlignment="1">
      <alignment horizontal="center" wrapText="1"/>
    </xf>
    <xf numFmtId="0" fontId="10" fillId="0" borderId="2" xfId="1" applyFont="1" applyBorder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0" fillId="0" borderId="4" xfId="1" applyFont="1" applyBorder="1" applyAlignment="1">
      <alignment horizontal="center" wrapText="1"/>
    </xf>
    <xf numFmtId="0" fontId="11" fillId="0" borderId="2" xfId="1" applyFont="1" applyBorder="1" applyAlignment="1">
      <alignment horizontal="center" wrapText="1"/>
    </xf>
    <xf numFmtId="0" fontId="11" fillId="0" borderId="3" xfId="1" applyFont="1" applyBorder="1" applyAlignment="1">
      <alignment horizontal="center" wrapText="1"/>
    </xf>
    <xf numFmtId="0" fontId="11" fillId="0" borderId="4" xfId="1" applyFont="1" applyBorder="1" applyAlignment="1">
      <alignment horizontal="center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0" borderId="15" xfId="1" applyFont="1" applyBorder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0" fontId="13" fillId="0" borderId="10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3" fillId="2" borderId="2" xfId="2" applyFont="1" applyFill="1" applyBorder="1" applyAlignment="1">
      <alignment horizontal="center" vertical="center"/>
    </xf>
    <xf numFmtId="0" fontId="63" fillId="2" borderId="3" xfId="2" applyFont="1" applyFill="1" applyBorder="1" applyAlignment="1">
      <alignment horizontal="center" vertical="center"/>
    </xf>
    <xf numFmtId="0" fontId="63" fillId="2" borderId="4" xfId="2" applyFont="1" applyFill="1" applyBorder="1" applyAlignment="1">
      <alignment horizontal="center" vertical="center"/>
    </xf>
    <xf numFmtId="0" fontId="63" fillId="2" borderId="2" xfId="2" applyFont="1" applyFill="1" applyBorder="1" applyAlignment="1">
      <alignment horizontal="center" vertical="center" wrapText="1"/>
    </xf>
    <xf numFmtId="0" fontId="63" fillId="2" borderId="3" xfId="2" applyFont="1" applyFill="1" applyBorder="1" applyAlignment="1">
      <alignment horizontal="center" vertical="center" wrapText="1"/>
    </xf>
    <xf numFmtId="0" fontId="63" fillId="2" borderId="4" xfId="2" applyFont="1" applyFill="1" applyBorder="1" applyAlignment="1">
      <alignment horizontal="center" vertical="center" wrapText="1"/>
    </xf>
    <xf numFmtId="0" fontId="63" fillId="2" borderId="131" xfId="2" applyFont="1" applyFill="1" applyBorder="1" applyAlignment="1">
      <alignment horizontal="center" vertical="center"/>
    </xf>
    <xf numFmtId="0" fontId="63" fillId="2" borderId="132" xfId="2" applyFont="1" applyFill="1" applyBorder="1" applyAlignment="1">
      <alignment horizontal="center" vertical="center"/>
    </xf>
    <xf numFmtId="0" fontId="63" fillId="2" borderId="133" xfId="2" applyFont="1" applyFill="1" applyBorder="1" applyAlignment="1">
      <alignment horizontal="center" vertical="center"/>
    </xf>
    <xf numFmtId="0" fontId="69" fillId="2" borderId="2" xfId="2" applyFont="1" applyFill="1" applyBorder="1" applyAlignment="1">
      <alignment horizontal="center" vertical="center"/>
    </xf>
    <xf numFmtId="0" fontId="69" fillId="2" borderId="3" xfId="2" applyFont="1" applyFill="1" applyBorder="1" applyAlignment="1">
      <alignment horizontal="center" vertical="center"/>
    </xf>
    <xf numFmtId="0" fontId="69" fillId="2" borderId="4" xfId="2" applyFont="1" applyFill="1" applyBorder="1" applyAlignment="1">
      <alignment horizontal="center" vertical="center"/>
    </xf>
    <xf numFmtId="49" fontId="63" fillId="2" borderId="2" xfId="2" applyNumberFormat="1" applyFont="1" applyFill="1" applyBorder="1" applyAlignment="1">
      <alignment horizontal="center" vertical="center"/>
    </xf>
    <xf numFmtId="0" fontId="63" fillId="0" borderId="0" xfId="2" applyFont="1" applyAlignment="1">
      <alignment horizontal="left" vertical="center"/>
    </xf>
    <xf numFmtId="0" fontId="65" fillId="0" borderId="106" xfId="1" applyFont="1" applyBorder="1" applyAlignment="1">
      <alignment horizontal="center" vertical="center" wrapText="1"/>
    </xf>
    <xf numFmtId="0" fontId="65" fillId="0" borderId="107" xfId="1" applyFont="1" applyBorder="1" applyAlignment="1">
      <alignment horizontal="center" vertical="center" wrapText="1"/>
    </xf>
    <xf numFmtId="0" fontId="65" fillId="0" borderId="0" xfId="1" applyFont="1" applyAlignment="1">
      <alignment horizontal="center" vertical="center" wrapText="1"/>
    </xf>
    <xf numFmtId="0" fontId="65" fillId="0" borderId="105" xfId="1" applyFont="1" applyBorder="1" applyAlignment="1">
      <alignment horizontal="center" vertical="center" wrapText="1"/>
    </xf>
    <xf numFmtId="0" fontId="66" fillId="0" borderId="0" xfId="1" applyFont="1" applyAlignment="1">
      <alignment horizontal="center" vertical="top" wrapText="1"/>
    </xf>
    <xf numFmtId="0" fontId="69" fillId="0" borderId="2" xfId="2" applyFont="1" applyBorder="1" applyAlignment="1">
      <alignment horizontal="center" vertical="center"/>
    </xf>
    <xf numFmtId="0" fontId="69" fillId="0" borderId="3" xfId="2" applyFont="1" applyBorder="1" applyAlignment="1">
      <alignment horizontal="center" vertical="center"/>
    </xf>
    <xf numFmtId="0" fontId="69" fillId="0" borderId="4" xfId="2" applyFont="1" applyBorder="1" applyAlignment="1">
      <alignment horizontal="center" vertical="center"/>
    </xf>
    <xf numFmtId="0" fontId="69" fillId="2" borderId="1" xfId="2" applyFont="1" applyFill="1" applyBorder="1" applyAlignment="1">
      <alignment horizontal="center" vertical="center"/>
    </xf>
    <xf numFmtId="0" fontId="72" fillId="2" borderId="0" xfId="2" applyFont="1" applyFill="1" applyAlignment="1">
      <alignment horizontal="center" vertical="center"/>
    </xf>
    <xf numFmtId="0" fontId="73" fillId="2" borderId="0" xfId="2" applyFont="1" applyFill="1" applyAlignment="1">
      <alignment horizontal="center" vertical="center"/>
    </xf>
    <xf numFmtId="0" fontId="63" fillId="2" borderId="1" xfId="2" applyFont="1" applyFill="1" applyBorder="1" applyAlignment="1">
      <alignment horizontal="center" vertical="center"/>
    </xf>
    <xf numFmtId="0" fontId="63" fillId="2" borderId="155" xfId="2" applyFont="1" applyFill="1" applyBorder="1" applyAlignment="1">
      <alignment horizontal="center" vertical="center"/>
    </xf>
    <xf numFmtId="0" fontId="63" fillId="2" borderId="123" xfId="2" applyFont="1" applyFill="1" applyBorder="1" applyAlignment="1">
      <alignment horizontal="center" vertical="center"/>
    </xf>
    <xf numFmtId="0" fontId="63" fillId="2" borderId="126" xfId="2" applyFont="1" applyFill="1" applyBorder="1" applyAlignment="1">
      <alignment horizontal="center" vertical="center"/>
    </xf>
    <xf numFmtId="0" fontId="68" fillId="2" borderId="1" xfId="2" applyFont="1" applyFill="1" applyBorder="1" applyAlignment="1">
      <alignment horizontal="center" vertical="center" wrapText="1"/>
    </xf>
    <xf numFmtId="0" fontId="63" fillId="2" borderId="170" xfId="2" applyFont="1" applyFill="1" applyBorder="1" applyAlignment="1">
      <alignment horizontal="center" vertical="center"/>
    </xf>
    <xf numFmtId="0" fontId="63" fillId="2" borderId="171" xfId="2" applyFont="1" applyFill="1" applyBorder="1" applyAlignment="1">
      <alignment horizontal="center" vertical="center"/>
    </xf>
    <xf numFmtId="0" fontId="69" fillId="2" borderId="8" xfId="2" applyFont="1" applyFill="1" applyBorder="1" applyAlignment="1">
      <alignment horizontal="center" vertical="center"/>
    </xf>
    <xf numFmtId="0" fontId="69" fillId="2" borderId="6" xfId="2" applyFont="1" applyFill="1" applyBorder="1" applyAlignment="1">
      <alignment horizontal="center" vertical="center"/>
    </xf>
    <xf numFmtId="0" fontId="69" fillId="2" borderId="7" xfId="2" applyFont="1" applyFill="1" applyBorder="1" applyAlignment="1">
      <alignment horizontal="center" vertical="center"/>
    </xf>
    <xf numFmtId="49" fontId="63" fillId="0" borderId="2" xfId="2" applyNumberFormat="1" applyFont="1" applyBorder="1" applyAlignment="1">
      <alignment horizontal="center" vertical="center" wrapText="1"/>
    </xf>
    <xf numFmtId="49" fontId="63" fillId="0" borderId="3" xfId="2" applyNumberFormat="1" applyFont="1" applyBorder="1" applyAlignment="1">
      <alignment horizontal="center" vertical="center" wrapText="1"/>
    </xf>
    <xf numFmtId="49" fontId="63" fillId="0" borderId="4" xfId="2" applyNumberFormat="1" applyFont="1" applyBorder="1" applyAlignment="1">
      <alignment horizontal="center" vertical="center" wrapText="1"/>
    </xf>
    <xf numFmtId="0" fontId="75" fillId="2" borderId="2" xfId="2" applyFont="1" applyFill="1" applyBorder="1" applyAlignment="1">
      <alignment horizontal="center" vertical="center"/>
    </xf>
    <xf numFmtId="0" fontId="75" fillId="2" borderId="3" xfId="2" applyFont="1" applyFill="1" applyBorder="1" applyAlignment="1">
      <alignment horizontal="center" vertical="center"/>
    </xf>
    <xf numFmtId="0" fontId="75" fillId="2" borderId="4" xfId="2" applyFont="1" applyFill="1" applyBorder="1" applyAlignment="1">
      <alignment horizontal="center" vertical="center"/>
    </xf>
    <xf numFmtId="0" fontId="69" fillId="0" borderId="2" xfId="2" applyFont="1" applyBorder="1" applyAlignment="1">
      <alignment horizontal="center" vertical="center" wrapText="1"/>
    </xf>
    <xf numFmtId="0" fontId="69" fillId="0" borderId="3" xfId="2" applyFont="1" applyBorder="1" applyAlignment="1">
      <alignment horizontal="center" vertical="center" wrapText="1"/>
    </xf>
    <xf numFmtId="0" fontId="69" fillId="0" borderId="4" xfId="2" applyFont="1" applyBorder="1" applyAlignment="1">
      <alignment horizontal="center" vertical="center" wrapText="1"/>
    </xf>
    <xf numFmtId="2" fontId="72" fillId="2" borderId="0" xfId="2" applyNumberFormat="1" applyFont="1" applyFill="1" applyAlignment="1">
      <alignment horizontal="center" vertical="center"/>
    </xf>
    <xf numFmtId="0" fontId="63" fillId="2" borderId="175" xfId="2" applyFont="1" applyFill="1" applyBorder="1" applyAlignment="1">
      <alignment horizontal="center" vertical="center" wrapText="1"/>
    </xf>
    <xf numFmtId="0" fontId="63" fillId="2" borderId="176" xfId="2" applyFont="1" applyFill="1" applyBorder="1" applyAlignment="1">
      <alignment horizontal="center" vertical="center" wrapText="1"/>
    </xf>
    <xf numFmtId="0" fontId="63" fillId="2" borderId="177" xfId="2" applyFont="1" applyFill="1" applyBorder="1" applyAlignment="1">
      <alignment horizontal="center" vertical="center" wrapText="1"/>
    </xf>
    <xf numFmtId="2" fontId="78" fillId="2" borderId="0" xfId="2" applyNumberFormat="1" applyFont="1" applyFill="1" applyAlignment="1">
      <alignment horizontal="center" vertical="center"/>
    </xf>
    <xf numFmtId="0" fontId="78" fillId="2" borderId="0" xfId="2" applyFont="1" applyFill="1" applyAlignment="1">
      <alignment horizontal="center" vertical="center"/>
    </xf>
    <xf numFmtId="0" fontId="76" fillId="2" borderId="185" xfId="2" applyFont="1" applyFill="1" applyBorder="1" applyAlignment="1">
      <alignment horizontal="center" vertical="center" wrapText="1"/>
    </xf>
    <xf numFmtId="0" fontId="63" fillId="2" borderId="186" xfId="2" applyFont="1" applyFill="1" applyBorder="1" applyAlignment="1">
      <alignment horizontal="center" vertical="center" wrapText="1"/>
    </xf>
    <xf numFmtId="0" fontId="63" fillId="2" borderId="187" xfId="2" applyFont="1" applyFill="1" applyBorder="1" applyAlignment="1">
      <alignment horizontal="center" vertical="center" wrapText="1"/>
    </xf>
    <xf numFmtId="0" fontId="76" fillId="2" borderId="182" xfId="2" applyFont="1" applyFill="1" applyBorder="1" applyAlignment="1">
      <alignment horizontal="center" vertical="center"/>
    </xf>
    <xf numFmtId="0" fontId="69" fillId="2" borderId="182" xfId="2" applyFont="1" applyFill="1" applyBorder="1" applyAlignment="1">
      <alignment horizontal="center" vertical="center"/>
    </xf>
    <xf numFmtId="0" fontId="69" fillId="2" borderId="183" xfId="2" applyFont="1" applyFill="1" applyBorder="1" applyAlignment="1">
      <alignment horizontal="center" vertical="center"/>
    </xf>
    <xf numFmtId="0" fontId="77" fillId="2" borderId="2" xfId="2" applyFont="1" applyFill="1" applyBorder="1" applyAlignment="1">
      <alignment horizontal="center" vertical="center"/>
    </xf>
    <xf numFmtId="0" fontId="77" fillId="2" borderId="3" xfId="2" applyFont="1" applyFill="1" applyBorder="1" applyAlignment="1">
      <alignment horizontal="center" vertical="center"/>
    </xf>
    <xf numFmtId="0" fontId="77" fillId="2" borderId="4" xfId="2" applyFont="1" applyFill="1" applyBorder="1" applyAlignment="1">
      <alignment horizontal="center" vertical="center"/>
    </xf>
    <xf numFmtId="49" fontId="63" fillId="2" borderId="2" xfId="2" applyNumberFormat="1" applyFont="1" applyFill="1" applyBorder="1" applyAlignment="1">
      <alignment horizontal="center" vertical="center" wrapText="1"/>
    </xf>
    <xf numFmtId="49" fontId="63" fillId="2" borderId="3" xfId="2" applyNumberFormat="1" applyFont="1" applyFill="1" applyBorder="1" applyAlignment="1">
      <alignment horizontal="center" vertical="center" wrapText="1"/>
    </xf>
    <xf numFmtId="49" fontId="63" fillId="2" borderId="4" xfId="2" applyNumberFormat="1" applyFont="1" applyFill="1" applyBorder="1" applyAlignment="1">
      <alignment horizontal="center" vertical="center" wrapText="1"/>
    </xf>
    <xf numFmtId="0" fontId="79" fillId="2" borderId="193" xfId="2" applyFont="1" applyFill="1" applyBorder="1" applyAlignment="1">
      <alignment horizontal="center" vertical="center"/>
    </xf>
    <xf numFmtId="0" fontId="63" fillId="0" borderId="3" xfId="2" applyFont="1" applyBorder="1" applyAlignment="1">
      <alignment horizontal="center" vertical="center" wrapText="1"/>
    </xf>
    <xf numFmtId="0" fontId="63" fillId="0" borderId="4" xfId="2" applyFont="1" applyBorder="1" applyAlignment="1">
      <alignment horizontal="center" vertical="center" wrapText="1"/>
    </xf>
    <xf numFmtId="0" fontId="75" fillId="2" borderId="2" xfId="2" applyFont="1" applyFill="1" applyBorder="1" applyAlignment="1">
      <alignment horizontal="center" vertical="center" wrapText="1"/>
    </xf>
    <xf numFmtId="0" fontId="75" fillId="2" borderId="3" xfId="2" applyFont="1" applyFill="1" applyBorder="1" applyAlignment="1">
      <alignment horizontal="center" vertical="center" wrapText="1"/>
    </xf>
    <xf numFmtId="0" fontId="75" fillId="2" borderId="4" xfId="2" applyFont="1" applyFill="1" applyBorder="1" applyAlignment="1">
      <alignment horizontal="center" vertical="center" wrapText="1"/>
    </xf>
    <xf numFmtId="49" fontId="77" fillId="2" borderId="2" xfId="2" applyNumberFormat="1" applyFont="1" applyFill="1" applyBorder="1" applyAlignment="1">
      <alignment horizontal="center" vertical="center" wrapText="1"/>
    </xf>
    <xf numFmtId="0" fontId="77" fillId="2" borderId="3" xfId="2" applyFont="1" applyFill="1" applyBorder="1" applyAlignment="1">
      <alignment horizontal="center" vertical="center" wrapText="1"/>
    </xf>
    <xf numFmtId="0" fontId="77" fillId="2" borderId="4" xfId="2" applyFont="1" applyFill="1" applyBorder="1" applyAlignment="1">
      <alignment horizontal="center" vertical="center" wrapText="1"/>
    </xf>
    <xf numFmtId="0" fontId="71" fillId="2" borderId="1" xfId="2" applyFont="1" applyFill="1" applyBorder="1" applyAlignment="1">
      <alignment horizontal="center" vertical="center"/>
    </xf>
    <xf numFmtId="0" fontId="69" fillId="2" borderId="20" xfId="2" applyFont="1" applyFill="1" applyBorder="1" applyAlignment="1">
      <alignment horizontal="center" vertical="center"/>
    </xf>
    <xf numFmtId="0" fontId="69" fillId="2" borderId="0" xfId="2" applyFont="1" applyFill="1" applyAlignment="1">
      <alignment horizontal="center" vertical="center"/>
    </xf>
    <xf numFmtId="0" fontId="68" fillId="2" borderId="20" xfId="2" applyFont="1" applyFill="1" applyBorder="1" applyAlignment="1">
      <alignment horizontal="center" vertical="center" wrapText="1"/>
    </xf>
    <xf numFmtId="0" fontId="77" fillId="2" borderId="2" xfId="2" applyFont="1" applyFill="1" applyBorder="1" applyAlignment="1">
      <alignment horizontal="center" vertical="center" wrapText="1"/>
    </xf>
    <xf numFmtId="0" fontId="77" fillId="2" borderId="1" xfId="2" applyFont="1" applyFill="1" applyBorder="1" applyAlignment="1">
      <alignment horizontal="center" vertical="center"/>
    </xf>
    <xf numFmtId="0" fontId="68" fillId="2" borderId="2" xfId="2" applyFont="1" applyFill="1" applyBorder="1" applyAlignment="1">
      <alignment horizontal="center" vertical="center" wrapText="1"/>
    </xf>
    <xf numFmtId="0" fontId="68" fillId="2" borderId="3" xfId="2" applyFont="1" applyFill="1" applyBorder="1" applyAlignment="1">
      <alignment horizontal="center" vertical="center" wrapText="1"/>
    </xf>
    <xf numFmtId="0" fontId="68" fillId="2" borderId="4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center" vertical="center" wrapText="1"/>
    </xf>
    <xf numFmtId="0" fontId="79" fillId="2" borderId="2" xfId="2" applyFont="1" applyFill="1" applyBorder="1" applyAlignment="1">
      <alignment horizontal="center" vertical="center" wrapText="1"/>
    </xf>
    <xf numFmtId="0" fontId="68" fillId="2" borderId="0" xfId="2" applyFont="1" applyFill="1" applyAlignment="1">
      <alignment horizontal="center" vertical="center"/>
    </xf>
    <xf numFmtId="0" fontId="63" fillId="2" borderId="8" xfId="2" applyFont="1" applyFill="1" applyBorder="1" applyAlignment="1">
      <alignment horizontal="center" vertical="center"/>
    </xf>
    <xf numFmtId="0" fontId="63" fillId="2" borderId="6" xfId="2" applyFont="1" applyFill="1" applyBorder="1" applyAlignment="1">
      <alignment horizontal="center" vertical="center"/>
    </xf>
    <xf numFmtId="0" fontId="63" fillId="2" borderId="7" xfId="2" applyFont="1" applyFill="1" applyBorder="1" applyAlignment="1">
      <alignment horizontal="center" vertical="center"/>
    </xf>
    <xf numFmtId="49" fontId="71" fillId="0" borderId="0" xfId="2" applyNumberFormat="1" applyFont="1" applyAlignment="1">
      <alignment horizontal="center" vertical="center" wrapText="1"/>
    </xf>
    <xf numFmtId="0" fontId="71" fillId="0" borderId="0" xfId="2" applyFont="1" applyAlignment="1">
      <alignment horizontal="center" vertical="center" wrapText="1"/>
    </xf>
    <xf numFmtId="0" fontId="75" fillId="2" borderId="197" xfId="2" applyFont="1" applyFill="1" applyBorder="1" applyAlignment="1">
      <alignment horizontal="center" vertical="center"/>
    </xf>
    <xf numFmtId="0" fontId="63" fillId="2" borderId="0" xfId="2" applyFont="1" applyFill="1" applyAlignment="1">
      <alignment horizontal="center" vertical="center" wrapText="1"/>
    </xf>
    <xf numFmtId="0" fontId="63" fillId="2" borderId="2" xfId="2" applyFont="1" applyFill="1" applyBorder="1" applyAlignment="1">
      <alignment horizontal="center"/>
    </xf>
    <xf numFmtId="0" fontId="63" fillId="2" borderId="3" xfId="2" applyFont="1" applyFill="1" applyBorder="1" applyAlignment="1">
      <alignment horizontal="center"/>
    </xf>
    <xf numFmtId="0" fontId="63" fillId="2" borderId="4" xfId="2" applyFont="1" applyFill="1" applyBorder="1" applyAlignment="1">
      <alignment horizontal="center"/>
    </xf>
    <xf numFmtId="0" fontId="75" fillId="2" borderId="20" xfId="2" applyFont="1" applyFill="1" applyBorder="1" applyAlignment="1">
      <alignment horizontal="center" vertical="center" wrapText="1"/>
    </xf>
    <xf numFmtId="0" fontId="63" fillId="2" borderId="20" xfId="2" applyFont="1" applyFill="1" applyBorder="1" applyAlignment="1">
      <alignment horizontal="center" vertical="center" wrapText="1"/>
    </xf>
    <xf numFmtId="0" fontId="63" fillId="2" borderId="197" xfId="2" applyFont="1" applyFill="1" applyBorder="1" applyAlignment="1">
      <alignment horizontal="center" vertical="center"/>
    </xf>
    <xf numFmtId="49" fontId="75" fillId="0" borderId="2" xfId="2" applyNumberFormat="1" applyFont="1" applyBorder="1" applyAlignment="1">
      <alignment horizontal="center" vertical="center" wrapText="1"/>
    </xf>
    <xf numFmtId="0" fontId="75" fillId="0" borderId="3" xfId="2" applyFont="1" applyBorder="1" applyAlignment="1">
      <alignment horizontal="center" vertical="center" wrapText="1"/>
    </xf>
    <xf numFmtId="0" fontId="75" fillId="0" borderId="4" xfId="2" applyFont="1" applyBorder="1" applyAlignment="1">
      <alignment horizontal="center" vertical="center" wrapText="1"/>
    </xf>
    <xf numFmtId="0" fontId="68" fillId="2" borderId="0" xfId="2" applyFont="1" applyFill="1" applyAlignment="1">
      <alignment horizontal="center" vertical="center" wrapText="1"/>
    </xf>
    <xf numFmtId="0" fontId="68" fillId="2" borderId="2" xfId="2" applyFont="1" applyFill="1" applyBorder="1" applyAlignment="1">
      <alignment horizontal="center" vertical="center"/>
    </xf>
    <xf numFmtId="0" fontId="68" fillId="2" borderId="3" xfId="2" applyFont="1" applyFill="1" applyBorder="1" applyAlignment="1">
      <alignment horizontal="center" vertical="center"/>
    </xf>
    <xf numFmtId="0" fontId="68" fillId="2" borderId="4" xfId="2" applyFont="1" applyFill="1" applyBorder="1" applyAlignment="1">
      <alignment horizontal="center" vertical="center"/>
    </xf>
    <xf numFmtId="0" fontId="69" fillId="0" borderId="1" xfId="2" applyFont="1" applyBorder="1" applyAlignment="1">
      <alignment horizontal="center" vertical="center"/>
    </xf>
    <xf numFmtId="0" fontId="63" fillId="0" borderId="2" xfId="2" applyFont="1" applyBorder="1" applyAlignment="1">
      <alignment horizontal="center" vertical="center"/>
    </xf>
    <xf numFmtId="0" fontId="63" fillId="0" borderId="3" xfId="2" applyFont="1" applyBorder="1" applyAlignment="1">
      <alignment horizontal="center" vertical="center"/>
    </xf>
    <xf numFmtId="0" fontId="63" fillId="0" borderId="4" xfId="2" applyFont="1" applyBorder="1" applyAlignment="1">
      <alignment horizontal="center" vertical="center"/>
    </xf>
    <xf numFmtId="0" fontId="75" fillId="0" borderId="2" xfId="2" applyFont="1" applyBorder="1" applyAlignment="1">
      <alignment horizontal="center" vertical="center"/>
    </xf>
    <xf numFmtId="0" fontId="75" fillId="0" borderId="3" xfId="2" applyFont="1" applyBorder="1" applyAlignment="1">
      <alignment horizontal="center" vertical="center"/>
    </xf>
    <xf numFmtId="0" fontId="75" fillId="0" borderId="4" xfId="2" applyFont="1" applyBorder="1" applyAlignment="1">
      <alignment horizontal="center" vertical="center"/>
    </xf>
    <xf numFmtId="0" fontId="68" fillId="0" borderId="1" xfId="2" applyFont="1" applyBorder="1" applyAlignment="1">
      <alignment horizontal="center" vertical="center"/>
    </xf>
    <xf numFmtId="0" fontId="63" fillId="2" borderId="212" xfId="2" applyFont="1" applyFill="1" applyBorder="1" applyAlignment="1">
      <alignment horizontal="center" vertical="center"/>
    </xf>
    <xf numFmtId="0" fontId="63" fillId="2" borderId="213" xfId="2" applyFont="1" applyFill="1" applyBorder="1" applyAlignment="1">
      <alignment horizontal="center" vertical="center"/>
    </xf>
    <xf numFmtId="0" fontId="63" fillId="2" borderId="214" xfId="2" applyFont="1" applyFill="1" applyBorder="1" applyAlignment="1">
      <alignment horizontal="center" vertical="center"/>
    </xf>
    <xf numFmtId="0" fontId="68" fillId="2" borderId="1" xfId="2" applyFont="1" applyFill="1" applyBorder="1" applyAlignment="1">
      <alignment horizontal="center" vertical="center"/>
    </xf>
    <xf numFmtId="0" fontId="63" fillId="2" borderId="209" xfId="2" applyFont="1" applyFill="1" applyBorder="1" applyAlignment="1">
      <alignment horizontal="center" vertical="center"/>
    </xf>
    <xf numFmtId="0" fontId="69" fillId="2" borderId="197" xfId="2" applyFont="1" applyFill="1" applyBorder="1" applyAlignment="1">
      <alignment horizontal="center" vertical="center"/>
    </xf>
    <xf numFmtId="0" fontId="63" fillId="2" borderId="15" xfId="2" applyFont="1" applyFill="1" applyBorder="1" applyAlignment="1">
      <alignment vertical="center" wrapText="1"/>
    </xf>
    <xf numFmtId="0" fontId="63" fillId="2" borderId="0" xfId="2" applyFont="1" applyFill="1" applyAlignment="1">
      <alignment vertical="center" wrapText="1"/>
    </xf>
    <xf numFmtId="0" fontId="63" fillId="2" borderId="10" xfId="2" applyFont="1" applyFill="1" applyBorder="1" applyAlignment="1">
      <alignment vertical="center" wrapText="1"/>
    </xf>
    <xf numFmtId="0" fontId="69" fillId="2" borderId="2" xfId="2" applyFont="1" applyFill="1" applyBorder="1" applyAlignment="1">
      <alignment horizontal="center" vertical="center" wrapText="1"/>
    </xf>
    <xf numFmtId="0" fontId="69" fillId="2" borderId="3" xfId="2" applyFont="1" applyFill="1" applyBorder="1" applyAlignment="1">
      <alignment horizontal="center" vertical="center" wrapText="1"/>
    </xf>
    <xf numFmtId="0" fontId="69" fillId="2" borderId="4" xfId="2" applyFont="1" applyFill="1" applyBorder="1" applyAlignment="1">
      <alignment horizontal="center" vertical="center" wrapText="1"/>
    </xf>
    <xf numFmtId="0" fontId="75" fillId="2" borderId="1" xfId="2" applyFont="1" applyFill="1" applyBorder="1" applyAlignment="1">
      <alignment horizontal="center" vertical="center"/>
    </xf>
    <xf numFmtId="0" fontId="71" fillId="2" borderId="2" xfId="2" applyFont="1" applyFill="1" applyBorder="1" applyAlignment="1">
      <alignment horizontal="center" vertical="center" wrapText="1"/>
    </xf>
    <xf numFmtId="0" fontId="71" fillId="2" borderId="3" xfId="2" applyFont="1" applyFill="1" applyBorder="1" applyAlignment="1">
      <alignment horizontal="center" vertical="center" wrapText="1"/>
    </xf>
    <xf numFmtId="0" fontId="71" fillId="2" borderId="4" xfId="2" applyFont="1" applyFill="1" applyBorder="1" applyAlignment="1">
      <alignment horizontal="center" vertical="center" wrapText="1"/>
    </xf>
    <xf numFmtId="0" fontId="83" fillId="2" borderId="1" xfId="2" applyFont="1" applyFill="1" applyBorder="1" applyAlignment="1">
      <alignment horizontal="center" vertical="center"/>
    </xf>
    <xf numFmtId="0" fontId="75" fillId="0" borderId="2" xfId="2" applyFont="1" applyBorder="1" applyAlignment="1">
      <alignment horizontal="center" vertical="center" wrapText="1"/>
    </xf>
    <xf numFmtId="0" fontId="69" fillId="2" borderId="2" xfId="2" applyFont="1" applyFill="1" applyBorder="1" applyAlignment="1">
      <alignment horizontal="center"/>
    </xf>
    <xf numFmtId="0" fontId="69" fillId="2" borderId="3" xfId="2" applyFont="1" applyFill="1" applyBorder="1" applyAlignment="1">
      <alignment horizontal="center"/>
    </xf>
    <xf numFmtId="0" fontId="69" fillId="2" borderId="4" xfId="2" applyFont="1" applyFill="1" applyBorder="1" applyAlignment="1">
      <alignment horizontal="center"/>
    </xf>
    <xf numFmtId="0" fontId="69" fillId="2" borderId="16" xfId="2" applyFont="1" applyFill="1" applyBorder="1" applyAlignment="1">
      <alignment horizontal="center" vertical="center"/>
    </xf>
    <xf numFmtId="0" fontId="69" fillId="2" borderId="5" xfId="2" applyFont="1" applyFill="1" applyBorder="1" applyAlignment="1">
      <alignment horizontal="center" vertical="center"/>
    </xf>
    <xf numFmtId="0" fontId="69" fillId="2" borderId="17" xfId="2" applyFont="1" applyFill="1" applyBorder="1" applyAlignment="1">
      <alignment horizontal="center" vertical="center"/>
    </xf>
    <xf numFmtId="0" fontId="68" fillId="2" borderId="20" xfId="2" applyFont="1" applyFill="1" applyBorder="1" applyAlignment="1">
      <alignment horizontal="center" vertical="center"/>
    </xf>
    <xf numFmtId="0" fontId="71" fillId="2" borderId="2" xfId="2" applyFont="1" applyFill="1" applyBorder="1" applyAlignment="1">
      <alignment horizontal="center" vertical="center"/>
    </xf>
    <xf numFmtId="0" fontId="71" fillId="2" borderId="3" xfId="2" applyFont="1" applyFill="1" applyBorder="1" applyAlignment="1">
      <alignment horizontal="center" vertical="center"/>
    </xf>
    <xf numFmtId="0" fontId="71" fillId="2" borderId="4" xfId="2" applyFont="1" applyFill="1" applyBorder="1" applyAlignment="1">
      <alignment horizontal="center" vertical="center"/>
    </xf>
    <xf numFmtId="0" fontId="76" fillId="2" borderId="1" xfId="2" applyFont="1" applyFill="1" applyBorder="1" applyAlignment="1">
      <alignment horizontal="center" vertical="center"/>
    </xf>
    <xf numFmtId="0" fontId="77" fillId="0" borderId="2" xfId="2" applyFont="1" applyBorder="1" applyAlignment="1">
      <alignment horizontal="center" vertical="center"/>
    </xf>
    <xf numFmtId="0" fontId="77" fillId="0" borderId="3" xfId="2" applyFont="1" applyBorder="1" applyAlignment="1">
      <alignment horizontal="center" vertical="center"/>
    </xf>
    <xf numFmtId="0" fontId="77" fillId="0" borderId="4" xfId="2" applyFont="1" applyBorder="1" applyAlignment="1">
      <alignment horizontal="center" vertical="center"/>
    </xf>
    <xf numFmtId="0" fontId="84" fillId="2" borderId="2" xfId="2" applyFont="1" applyFill="1" applyBorder="1" applyAlignment="1">
      <alignment horizontal="center" vertical="center"/>
    </xf>
    <xf numFmtId="0" fontId="84" fillId="2" borderId="3" xfId="2" applyFont="1" applyFill="1" applyBorder="1" applyAlignment="1">
      <alignment horizontal="center" vertical="center"/>
    </xf>
    <xf numFmtId="0" fontId="84" fillId="2" borderId="4" xfId="2" applyFont="1" applyFill="1" applyBorder="1" applyAlignment="1">
      <alignment horizontal="center" vertical="center"/>
    </xf>
    <xf numFmtId="0" fontId="79" fillId="2" borderId="2" xfId="2" applyFont="1" applyFill="1" applyBorder="1" applyAlignment="1">
      <alignment horizontal="center" vertical="center"/>
    </xf>
    <xf numFmtId="0" fontId="85" fillId="2" borderId="1" xfId="2" applyFont="1" applyFill="1" applyBorder="1" applyAlignment="1">
      <alignment horizontal="center" vertical="center"/>
    </xf>
    <xf numFmtId="0" fontId="68" fillId="2" borderId="29" xfId="2" applyFont="1" applyFill="1" applyBorder="1" applyAlignment="1">
      <alignment horizontal="center" vertical="center"/>
    </xf>
    <xf numFmtId="0" fontId="77" fillId="2" borderId="20" xfId="2" applyFont="1" applyFill="1" applyBorder="1" applyAlignment="1">
      <alignment horizontal="center" vertical="center"/>
    </xf>
    <xf numFmtId="0" fontId="63" fillId="2" borderId="20" xfId="2" applyFont="1" applyFill="1" applyBorder="1" applyAlignment="1">
      <alignment horizontal="center" vertical="center"/>
    </xf>
    <xf numFmtId="0" fontId="70" fillId="14" borderId="2" xfId="2" applyFont="1" applyFill="1" applyBorder="1" applyAlignment="1">
      <alignment horizontal="center" vertical="center"/>
    </xf>
    <xf numFmtId="0" fontId="70" fillId="14" borderId="3" xfId="2" applyFont="1" applyFill="1" applyBorder="1" applyAlignment="1">
      <alignment horizontal="center" vertical="center"/>
    </xf>
    <xf numFmtId="0" fontId="70" fillId="14" borderId="4" xfId="2" applyFont="1" applyFill="1" applyBorder="1" applyAlignment="1">
      <alignment horizontal="center" vertical="center"/>
    </xf>
    <xf numFmtId="0" fontId="87" fillId="2" borderId="1" xfId="2" applyFont="1" applyFill="1" applyBorder="1" applyAlignment="1">
      <alignment horizontal="center" vertical="center"/>
    </xf>
    <xf numFmtId="0" fontId="86" fillId="2" borderId="1" xfId="2" applyFont="1" applyFill="1" applyBorder="1" applyAlignment="1">
      <alignment horizontal="center" vertical="center"/>
    </xf>
    <xf numFmtId="0" fontId="84" fillId="2" borderId="1" xfId="2" applyFont="1" applyFill="1" applyBorder="1" applyAlignment="1">
      <alignment horizontal="center" vertical="center"/>
    </xf>
    <xf numFmtId="0" fontId="71" fillId="2" borderId="0" xfId="2" applyFont="1" applyFill="1" applyAlignment="1">
      <alignment horizontal="center" vertical="center"/>
    </xf>
    <xf numFmtId="0" fontId="75" fillId="2" borderId="20" xfId="2" applyFont="1" applyFill="1" applyBorder="1" applyAlignment="1">
      <alignment horizontal="center" vertical="center"/>
    </xf>
    <xf numFmtId="0" fontId="71" fillId="2" borderId="9" xfId="2" applyFont="1" applyFill="1" applyBorder="1" applyAlignment="1">
      <alignment horizontal="center" vertical="center"/>
    </xf>
    <xf numFmtId="0" fontId="69" fillId="2" borderId="1" xfId="2" applyFont="1" applyFill="1" applyBorder="1" applyAlignment="1">
      <alignment horizontal="center" vertical="center" wrapText="1"/>
    </xf>
    <xf numFmtId="0" fontId="89" fillId="2" borderId="1" xfId="2" applyFont="1" applyFill="1" applyBorder="1" applyAlignment="1">
      <alignment horizontal="center" vertical="center"/>
    </xf>
    <xf numFmtId="0" fontId="71" fillId="0" borderId="1" xfId="2" applyFont="1" applyBorder="1" applyAlignment="1">
      <alignment horizontal="center" vertical="center"/>
    </xf>
    <xf numFmtId="0" fontId="70" fillId="14" borderId="9" xfId="2" applyFont="1" applyFill="1" applyBorder="1" applyAlignment="1">
      <alignment horizontal="center" vertical="center"/>
    </xf>
    <xf numFmtId="0" fontId="85" fillId="2" borderId="2" xfId="2" applyFont="1" applyFill="1" applyBorder="1" applyAlignment="1">
      <alignment horizontal="center" vertical="center"/>
    </xf>
    <xf numFmtId="0" fontId="85" fillId="2" borderId="3" xfId="2" applyFont="1" applyFill="1" applyBorder="1" applyAlignment="1">
      <alignment horizontal="center" vertical="center"/>
    </xf>
    <xf numFmtId="0" fontId="85" fillId="2" borderId="4" xfId="2" applyFont="1" applyFill="1" applyBorder="1" applyAlignment="1">
      <alignment horizontal="center" vertical="center"/>
    </xf>
    <xf numFmtId="0" fontId="85" fillId="2" borderId="0" xfId="2" applyFont="1" applyFill="1" applyAlignment="1">
      <alignment horizontal="center" vertical="center"/>
    </xf>
    <xf numFmtId="0" fontId="79" fillId="2" borderId="1" xfId="2" applyFont="1" applyFill="1" applyBorder="1" applyAlignment="1">
      <alignment horizontal="center" vertical="center"/>
    </xf>
    <xf numFmtId="0" fontId="90" fillId="2" borderId="1" xfId="2" applyFont="1" applyFill="1" applyBorder="1" applyAlignment="1">
      <alignment horizontal="center" vertical="center"/>
    </xf>
    <xf numFmtId="0" fontId="91" fillId="0" borderId="1" xfId="2" applyFont="1" applyBorder="1" applyAlignment="1">
      <alignment horizontal="center" vertical="center"/>
    </xf>
    <xf numFmtId="0" fontId="92" fillId="0" borderId="1" xfId="2" applyFont="1" applyBorder="1" applyAlignment="1">
      <alignment horizontal="center" vertical="center"/>
    </xf>
    <xf numFmtId="0" fontId="84" fillId="2" borderId="2" xfId="2" applyFont="1" applyFill="1" applyBorder="1" applyAlignment="1">
      <alignment horizontal="center" vertical="center" wrapText="1"/>
    </xf>
    <xf numFmtId="0" fontId="84" fillId="2" borderId="3" xfId="2" applyFont="1" applyFill="1" applyBorder="1" applyAlignment="1">
      <alignment horizontal="center" vertical="center" wrapText="1"/>
    </xf>
    <xf numFmtId="0" fontId="84" fillId="2" borderId="4" xfId="2" applyFont="1" applyFill="1" applyBorder="1" applyAlignment="1">
      <alignment horizontal="center" vertical="center" wrapText="1"/>
    </xf>
    <xf numFmtId="0" fontId="69" fillId="2" borderId="8" xfId="2" applyFont="1" applyFill="1" applyBorder="1" applyAlignment="1">
      <alignment horizontal="center" vertical="center" wrapText="1"/>
    </xf>
    <xf numFmtId="0" fontId="69" fillId="2" borderId="6" xfId="2" applyFont="1" applyFill="1" applyBorder="1" applyAlignment="1">
      <alignment horizontal="center" vertical="center" wrapText="1"/>
    </xf>
    <xf numFmtId="0" fontId="69" fillId="2" borderId="7" xfId="2" applyFont="1" applyFill="1" applyBorder="1" applyAlignment="1">
      <alignment horizontal="center" vertical="center" wrapText="1"/>
    </xf>
    <xf numFmtId="0" fontId="93" fillId="2" borderId="1" xfId="2" applyFont="1" applyFill="1" applyBorder="1" applyAlignment="1">
      <alignment horizontal="center" vertical="center"/>
    </xf>
    <xf numFmtId="0" fontId="94" fillId="2" borderId="2" xfId="2" applyFont="1" applyFill="1" applyBorder="1" applyAlignment="1">
      <alignment horizontal="center" vertical="center" wrapText="1"/>
    </xf>
    <xf numFmtId="0" fontId="94" fillId="2" borderId="3" xfId="2" applyFont="1" applyFill="1" applyBorder="1" applyAlignment="1">
      <alignment horizontal="center" vertical="center" wrapText="1"/>
    </xf>
    <xf numFmtId="0" fontId="94" fillId="2" borderId="4" xfId="2" applyFont="1" applyFill="1" applyBorder="1" applyAlignment="1">
      <alignment horizontal="center" vertical="center" wrapText="1"/>
    </xf>
    <xf numFmtId="0" fontId="69" fillId="2" borderId="29" xfId="2" applyFont="1" applyFill="1" applyBorder="1" applyAlignment="1">
      <alignment horizontal="center" vertical="center"/>
    </xf>
    <xf numFmtId="0" fontId="68" fillId="2" borderId="9" xfId="2" applyFont="1" applyFill="1" applyBorder="1" applyAlignment="1">
      <alignment horizontal="center" vertical="center"/>
    </xf>
    <xf numFmtId="0" fontId="70" fillId="14" borderId="1" xfId="2" applyFont="1" applyFill="1" applyBorder="1" applyAlignment="1">
      <alignment horizontal="center" vertical="center"/>
    </xf>
    <xf numFmtId="0" fontId="94" fillId="2" borderId="2" xfId="2" applyFont="1" applyFill="1" applyBorder="1" applyAlignment="1">
      <alignment horizontal="center" vertical="center"/>
    </xf>
    <xf numFmtId="0" fontId="94" fillId="2" borderId="3" xfId="2" applyFont="1" applyFill="1" applyBorder="1" applyAlignment="1">
      <alignment horizontal="center" vertical="center"/>
    </xf>
    <xf numFmtId="0" fontId="94" fillId="2" borderId="4" xfId="2" applyFont="1" applyFill="1" applyBorder="1" applyAlignment="1">
      <alignment horizontal="center" vertical="center"/>
    </xf>
    <xf numFmtId="0" fontId="96" fillId="14" borderId="1" xfId="2" applyFont="1" applyFill="1" applyBorder="1" applyAlignment="1">
      <alignment horizontal="center" vertical="center"/>
    </xf>
    <xf numFmtId="0" fontId="76" fillId="2" borderId="2" xfId="2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textRotation="90"/>
    </xf>
    <xf numFmtId="0" fontId="10" fillId="0" borderId="8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164" fontId="13" fillId="0" borderId="0" xfId="1" applyNumberFormat="1" applyFont="1" applyAlignment="1">
      <alignment horizontal="center"/>
    </xf>
    <xf numFmtId="0" fontId="63" fillId="0" borderId="0" xfId="2" applyFont="1" applyAlignment="1">
      <alignment horizontal="left" vertical="center" wrapText="1"/>
    </xf>
    <xf numFmtId="0" fontId="99" fillId="0" borderId="106" xfId="1" applyFont="1" applyBorder="1" applyAlignment="1">
      <alignment horizontal="center" vertical="center" wrapText="1"/>
    </xf>
    <xf numFmtId="0" fontId="99" fillId="0" borderId="107" xfId="1" applyFont="1" applyBorder="1" applyAlignment="1">
      <alignment horizontal="center" vertical="center" wrapText="1"/>
    </xf>
    <xf numFmtId="0" fontId="99" fillId="0" borderId="0" xfId="1" applyFont="1" applyAlignment="1">
      <alignment horizontal="center" vertical="center" wrapText="1"/>
    </xf>
    <xf numFmtId="0" fontId="99" fillId="0" borderId="105" xfId="1" applyFont="1" applyBorder="1" applyAlignment="1">
      <alignment horizontal="center" vertical="center" wrapText="1"/>
    </xf>
    <xf numFmtId="0" fontId="66" fillId="0" borderId="0" xfId="1" applyFont="1" applyAlignment="1">
      <alignment horizontal="center" vertical="center" wrapText="1"/>
    </xf>
    <xf numFmtId="0" fontId="63" fillId="0" borderId="2" xfId="2" applyFont="1" applyBorder="1" applyAlignment="1">
      <alignment horizontal="center" vertical="center" wrapText="1"/>
    </xf>
    <xf numFmtId="0" fontId="69" fillId="0" borderId="1" xfId="2" applyFont="1" applyBorder="1" applyAlignment="1">
      <alignment horizontal="center" vertical="center" wrapText="1"/>
    </xf>
    <xf numFmtId="49" fontId="63" fillId="0" borderId="1" xfId="2" applyNumberFormat="1" applyFont="1" applyBorder="1" applyAlignment="1">
      <alignment horizontal="center" vertical="center" wrapText="1"/>
    </xf>
    <xf numFmtId="0" fontId="63" fillId="0" borderId="1" xfId="2" applyFont="1" applyBorder="1" applyAlignment="1">
      <alignment horizontal="center" vertical="center" wrapText="1"/>
    </xf>
    <xf numFmtId="0" fontId="63" fillId="0" borderId="131" xfId="2" applyFont="1" applyBorder="1" applyAlignment="1">
      <alignment horizontal="center" vertical="center" wrapText="1"/>
    </xf>
    <xf numFmtId="0" fontId="63" fillId="0" borderId="132" xfId="2" applyFont="1" applyBorder="1" applyAlignment="1">
      <alignment horizontal="center" vertical="center" wrapText="1"/>
    </xf>
    <xf numFmtId="0" fontId="63" fillId="0" borderId="133" xfId="2" applyFont="1" applyBorder="1" applyAlignment="1">
      <alignment horizontal="center" vertical="center" wrapText="1"/>
    </xf>
    <xf numFmtId="49" fontId="68" fillId="0" borderId="1" xfId="2" applyNumberFormat="1" applyFont="1" applyBorder="1" applyAlignment="1">
      <alignment horizontal="center" vertical="center" wrapText="1"/>
    </xf>
    <xf numFmtId="0" fontId="68" fillId="0" borderId="1" xfId="2" applyFont="1" applyBorder="1" applyAlignment="1">
      <alignment horizontal="center" vertical="center" wrapText="1"/>
    </xf>
    <xf numFmtId="0" fontId="63" fillId="0" borderId="193" xfId="2" applyFont="1" applyBorder="1" applyAlignment="1">
      <alignment horizontal="center" vertical="center" wrapText="1"/>
    </xf>
    <xf numFmtId="2" fontId="69" fillId="0" borderId="2" xfId="2" applyNumberFormat="1" applyFont="1" applyBorder="1" applyAlignment="1">
      <alignment horizontal="center" vertical="center" wrapText="1"/>
    </xf>
    <xf numFmtId="2" fontId="69" fillId="0" borderId="3" xfId="2" applyNumberFormat="1" applyFont="1" applyBorder="1" applyAlignment="1">
      <alignment horizontal="center" vertical="center" wrapText="1"/>
    </xf>
    <xf numFmtId="2" fontId="69" fillId="0" borderId="4" xfId="2" applyNumberFormat="1" applyFont="1" applyBorder="1" applyAlignment="1">
      <alignment horizontal="center" vertical="center" wrapText="1"/>
    </xf>
    <xf numFmtId="0" fontId="95" fillId="2" borderId="0" xfId="2" applyFont="1" applyFill="1" applyAlignment="1">
      <alignment horizontal="center" vertical="center" wrapText="1"/>
    </xf>
    <xf numFmtId="49" fontId="77" fillId="0" borderId="2" xfId="2" applyNumberFormat="1" applyFont="1" applyBorder="1" applyAlignment="1">
      <alignment horizontal="center" vertical="center" wrapText="1"/>
    </xf>
    <xf numFmtId="49" fontId="77" fillId="0" borderId="3" xfId="2" applyNumberFormat="1" applyFont="1" applyBorder="1" applyAlignment="1">
      <alignment horizontal="center" vertical="center" wrapText="1"/>
    </xf>
    <xf numFmtId="49" fontId="77" fillId="0" borderId="4" xfId="2" applyNumberFormat="1" applyFont="1" applyBorder="1" applyAlignment="1">
      <alignment horizontal="center" vertical="center" wrapText="1"/>
    </xf>
    <xf numFmtId="0" fontId="63" fillId="0" borderId="212" xfId="2" applyFont="1" applyBorder="1" applyAlignment="1">
      <alignment horizontal="center" vertical="center" wrapText="1"/>
    </xf>
    <xf numFmtId="0" fontId="63" fillId="0" borderId="213" xfId="2" applyFont="1" applyBorder="1" applyAlignment="1">
      <alignment horizontal="center" vertical="center" wrapText="1"/>
    </xf>
    <xf numFmtId="0" fontId="63" fillId="0" borderId="214" xfId="2" applyFont="1" applyBorder="1" applyAlignment="1">
      <alignment horizontal="center" vertical="center" wrapText="1"/>
    </xf>
    <xf numFmtId="0" fontId="63" fillId="0" borderId="236" xfId="2" applyFont="1" applyBorder="1" applyAlignment="1">
      <alignment horizontal="center" vertical="center" wrapText="1"/>
    </xf>
    <xf numFmtId="0" fontId="63" fillId="0" borderId="92" xfId="2" applyFont="1" applyBorder="1" applyAlignment="1">
      <alignment horizontal="center" vertical="center" wrapText="1"/>
    </xf>
    <xf numFmtId="0" fontId="63" fillId="0" borderId="237" xfId="2" applyFont="1" applyBorder="1" applyAlignment="1">
      <alignment horizontal="center" vertical="center" wrapText="1"/>
    </xf>
    <xf numFmtId="49" fontId="77" fillId="0" borderId="193" xfId="2" applyNumberFormat="1" applyFont="1" applyBorder="1" applyAlignment="1">
      <alignment horizontal="center" vertical="center" wrapText="1"/>
    </xf>
    <xf numFmtId="49" fontId="68" fillId="0" borderId="45" xfId="2" applyNumberFormat="1" applyFont="1" applyBorder="1" applyAlignment="1">
      <alignment horizontal="center" vertical="center" wrapText="1"/>
    </xf>
    <xf numFmtId="0" fontId="68" fillId="0" borderId="56" xfId="2" applyFont="1" applyBorder="1" applyAlignment="1">
      <alignment horizontal="center" vertical="center" wrapText="1"/>
    </xf>
    <xf numFmtId="0" fontId="68" fillId="0" borderId="57" xfId="2" applyFont="1" applyBorder="1" applyAlignment="1">
      <alignment horizontal="center" vertical="center" wrapText="1"/>
    </xf>
    <xf numFmtId="49" fontId="77" fillId="0" borderId="20" xfId="2" applyNumberFormat="1" applyFont="1" applyBorder="1" applyAlignment="1">
      <alignment horizontal="center" vertical="center" wrapText="1"/>
    </xf>
    <xf numFmtId="0" fontId="69" fillId="0" borderId="5" xfId="2" applyFont="1" applyBorder="1" applyAlignment="1">
      <alignment horizontal="center" vertical="center" wrapText="1"/>
    </xf>
    <xf numFmtId="2" fontId="63" fillId="0" borderId="2" xfId="2" applyNumberFormat="1" applyFont="1" applyBorder="1" applyAlignment="1">
      <alignment horizontal="center" vertical="center" wrapText="1"/>
    </xf>
    <xf numFmtId="2" fontId="63" fillId="0" borderId="3" xfId="2" applyNumberFormat="1" applyFont="1" applyBorder="1" applyAlignment="1">
      <alignment horizontal="center" vertical="center" wrapText="1"/>
    </xf>
    <xf numFmtId="2" fontId="63" fillId="0" borderId="4" xfId="2" applyNumberFormat="1" applyFont="1" applyBorder="1" applyAlignment="1">
      <alignment horizontal="center" vertical="center" wrapText="1"/>
    </xf>
    <xf numFmtId="0" fontId="69" fillId="0" borderId="8" xfId="2" applyFont="1" applyBorder="1" applyAlignment="1">
      <alignment horizontal="center" vertical="center" wrapText="1"/>
    </xf>
    <xf numFmtId="0" fontId="69" fillId="0" borderId="6" xfId="2" applyFont="1" applyBorder="1" applyAlignment="1">
      <alignment horizontal="center" vertical="center" wrapText="1"/>
    </xf>
    <xf numFmtId="0" fontId="69" fillId="0" borderId="7" xfId="2" applyFont="1" applyBorder="1" applyAlignment="1">
      <alignment horizontal="center" vertical="center" wrapText="1"/>
    </xf>
    <xf numFmtId="0" fontId="63" fillId="0" borderId="244" xfId="2" applyFont="1" applyBorder="1" applyAlignment="1">
      <alignment horizontal="center" vertical="center" wrapText="1"/>
    </xf>
    <xf numFmtId="0" fontId="63" fillId="0" borderId="245" xfId="2" applyFont="1" applyBorder="1" applyAlignment="1">
      <alignment horizontal="center" vertical="center" wrapText="1"/>
    </xf>
    <xf numFmtId="49" fontId="71" fillId="0" borderId="2" xfId="2" applyNumberFormat="1" applyFont="1" applyBorder="1" applyAlignment="1">
      <alignment horizontal="center" vertical="center" wrapText="1"/>
    </xf>
    <xf numFmtId="49" fontId="71" fillId="0" borderId="3" xfId="2" applyNumberFormat="1" applyFont="1" applyBorder="1" applyAlignment="1">
      <alignment horizontal="center" vertical="center" wrapText="1"/>
    </xf>
    <xf numFmtId="49" fontId="71" fillId="0" borderId="4" xfId="2" applyNumberFormat="1" applyFont="1" applyBorder="1" applyAlignment="1">
      <alignment horizontal="center" vertical="center" wrapText="1"/>
    </xf>
    <xf numFmtId="49" fontId="89" fillId="0" borderId="2" xfId="2" applyNumberFormat="1" applyFont="1" applyBorder="1" applyAlignment="1">
      <alignment horizontal="center" vertical="center" wrapText="1"/>
    </xf>
    <xf numFmtId="0" fontId="77" fillId="0" borderId="3" xfId="2" applyFont="1" applyBorder="1" applyAlignment="1">
      <alignment horizontal="center" vertical="center" wrapText="1"/>
    </xf>
    <xf numFmtId="0" fontId="77" fillId="0" borderId="4" xfId="2" applyFont="1" applyBorder="1" applyAlignment="1">
      <alignment horizontal="center" vertical="center" wrapText="1"/>
    </xf>
    <xf numFmtId="0" fontId="100" fillId="2" borderId="130" xfId="2" applyFont="1" applyFill="1" applyBorder="1" applyAlignment="1">
      <alignment horizontal="center" vertical="center" wrapText="1"/>
    </xf>
    <xf numFmtId="0" fontId="71" fillId="0" borderId="248" xfId="2" applyFont="1" applyBorder="1" applyAlignment="1">
      <alignment horizontal="center" vertical="center" wrapText="1"/>
    </xf>
    <xf numFmtId="0" fontId="71" fillId="0" borderId="249" xfId="2" applyFont="1" applyBorder="1" applyAlignment="1">
      <alignment horizontal="center" vertical="center" wrapText="1"/>
    </xf>
    <xf numFmtId="0" fontId="71" fillId="0" borderId="250" xfId="2" applyFont="1" applyBorder="1" applyAlignment="1">
      <alignment horizontal="center" vertical="center" wrapText="1"/>
    </xf>
    <xf numFmtId="0" fontId="95" fillId="2" borderId="130" xfId="2" applyFont="1" applyFill="1" applyBorder="1" applyAlignment="1">
      <alignment horizontal="center" vertical="center" wrapText="1"/>
    </xf>
    <xf numFmtId="49" fontId="79" fillId="0" borderId="8" xfId="2" applyNumberFormat="1" applyFont="1" applyBorder="1" applyAlignment="1">
      <alignment horizontal="center" vertical="center" wrapText="1"/>
    </xf>
    <xf numFmtId="49" fontId="77" fillId="0" borderId="6" xfId="2" applyNumberFormat="1" applyFont="1" applyBorder="1" applyAlignment="1">
      <alignment horizontal="center" vertical="center" wrapText="1"/>
    </xf>
    <xf numFmtId="49" fontId="77" fillId="0" borderId="7" xfId="2" applyNumberFormat="1" applyFont="1" applyBorder="1" applyAlignment="1">
      <alignment horizontal="center" vertical="center" wrapText="1"/>
    </xf>
    <xf numFmtId="0" fontId="79" fillId="0" borderId="20" xfId="2" applyFont="1" applyBorder="1" applyAlignment="1">
      <alignment horizontal="center" vertical="center" wrapText="1"/>
    </xf>
    <xf numFmtId="0" fontId="84" fillId="0" borderId="20" xfId="2" applyFont="1" applyBorder="1" applyAlignment="1">
      <alignment horizontal="center" vertical="center" wrapText="1"/>
    </xf>
    <xf numFmtId="49" fontId="93" fillId="0" borderId="1" xfId="2" applyNumberFormat="1" applyFont="1" applyBorder="1" applyAlignment="1">
      <alignment horizontal="center" vertical="center" wrapText="1"/>
    </xf>
    <xf numFmtId="0" fontId="77" fillId="0" borderId="1" xfId="2" applyFont="1" applyBorder="1" applyAlignment="1">
      <alignment horizontal="center" vertical="center" wrapText="1"/>
    </xf>
    <xf numFmtId="49" fontId="102" fillId="0" borderId="248" xfId="2" applyNumberFormat="1" applyFont="1" applyBorder="1" applyAlignment="1">
      <alignment horizontal="center" vertical="center" wrapText="1"/>
    </xf>
    <xf numFmtId="0" fontId="75" fillId="0" borderId="251" xfId="2" applyFont="1" applyBorder="1" applyAlignment="1">
      <alignment horizontal="center" vertical="center" wrapText="1"/>
    </xf>
    <xf numFmtId="0" fontId="75" fillId="0" borderId="252" xfId="2" applyFont="1" applyBorder="1" applyAlignment="1">
      <alignment horizontal="center" vertical="center" wrapText="1"/>
    </xf>
    <xf numFmtId="49" fontId="79" fillId="0" borderId="2" xfId="2" applyNumberFormat="1" applyFont="1" applyBorder="1" applyAlignment="1">
      <alignment horizontal="center" vertical="center" wrapText="1"/>
    </xf>
    <xf numFmtId="0" fontId="76" fillId="0" borderId="2" xfId="2" applyFont="1" applyBorder="1" applyAlignment="1">
      <alignment horizontal="center" vertical="center" wrapText="1"/>
    </xf>
    <xf numFmtId="0" fontId="71" fillId="0" borderId="3" xfId="2" applyFont="1" applyBorder="1" applyAlignment="1">
      <alignment horizontal="center" vertical="center" wrapText="1"/>
    </xf>
    <xf numFmtId="0" fontId="71" fillId="0" borderId="4" xfId="2" applyFont="1" applyBorder="1" applyAlignment="1">
      <alignment horizontal="center" vertical="center" wrapText="1"/>
    </xf>
    <xf numFmtId="0" fontId="71" fillId="0" borderId="253" xfId="2" applyFont="1" applyBorder="1" applyAlignment="1">
      <alignment horizontal="center" vertical="center" wrapText="1"/>
    </xf>
    <xf numFmtId="49" fontId="101" fillId="0" borderId="1" xfId="2" applyNumberFormat="1" applyFont="1" applyBorder="1" applyAlignment="1">
      <alignment horizontal="center" vertical="center" wrapText="1"/>
    </xf>
    <xf numFmtId="0" fontId="84" fillId="0" borderId="1" xfId="2" applyFont="1" applyBorder="1" applyAlignment="1">
      <alignment horizontal="center" vertical="center" wrapText="1"/>
    </xf>
    <xf numFmtId="49" fontId="63" fillId="0" borderId="248" xfId="2" applyNumberFormat="1" applyFont="1" applyBorder="1" applyAlignment="1">
      <alignment horizontal="center" vertical="center" wrapText="1"/>
    </xf>
    <xf numFmtId="49" fontId="63" fillId="0" borderId="251" xfId="2" applyNumberFormat="1" applyFont="1" applyBorder="1" applyAlignment="1">
      <alignment horizontal="center" vertical="center" wrapText="1"/>
    </xf>
    <xf numFmtId="49" fontId="63" fillId="0" borderId="252" xfId="2" applyNumberFormat="1" applyFont="1" applyBorder="1" applyAlignment="1">
      <alignment horizontal="center" vertical="center" wrapText="1"/>
    </xf>
    <xf numFmtId="0" fontId="103" fillId="2" borderId="123" xfId="2" applyFont="1" applyFill="1" applyBorder="1" applyAlignment="1">
      <alignment horizontal="center" vertical="center" wrapText="1"/>
    </xf>
    <xf numFmtId="0" fontId="103" fillId="2" borderId="91" xfId="2" applyFont="1" applyFill="1" applyBorder="1" applyAlignment="1">
      <alignment horizontal="center" vertical="center" wrapText="1"/>
    </xf>
    <xf numFmtId="49" fontId="75" fillId="0" borderId="1" xfId="2" applyNumberFormat="1" applyFont="1" applyBorder="1" applyAlignment="1">
      <alignment horizontal="center" vertical="center" wrapText="1"/>
    </xf>
    <xf numFmtId="0" fontId="75" fillId="0" borderId="1" xfId="2" applyFont="1" applyBorder="1" applyAlignment="1">
      <alignment horizontal="center" vertical="center" wrapText="1"/>
    </xf>
    <xf numFmtId="0" fontId="69" fillId="0" borderId="38" xfId="2" applyFont="1" applyBorder="1" applyAlignment="1">
      <alignment horizontal="center" vertical="center" wrapText="1"/>
    </xf>
    <xf numFmtId="49" fontId="75" fillId="0" borderId="20" xfId="2" applyNumberFormat="1" applyFont="1" applyBorder="1" applyAlignment="1">
      <alignment horizontal="center" vertical="center" wrapText="1"/>
    </xf>
    <xf numFmtId="0" fontId="75" fillId="0" borderId="20" xfId="2" applyFont="1" applyBorder="1" applyAlignment="1">
      <alignment horizontal="center" vertical="center" wrapText="1"/>
    </xf>
    <xf numFmtId="0" fontId="69" fillId="0" borderId="30" xfId="2" applyFont="1" applyBorder="1" applyAlignment="1">
      <alignment horizontal="center" vertical="center" wrapText="1"/>
    </xf>
    <xf numFmtId="49" fontId="71" fillId="0" borderId="20" xfId="2" applyNumberFormat="1" applyFont="1" applyBorder="1" applyAlignment="1">
      <alignment horizontal="center" vertical="center" wrapText="1"/>
    </xf>
    <xf numFmtId="49" fontId="75" fillId="0" borderId="3" xfId="2" applyNumberFormat="1" applyFont="1" applyBorder="1" applyAlignment="1">
      <alignment horizontal="center" vertical="center" wrapText="1"/>
    </xf>
    <xf numFmtId="49" fontId="75" fillId="0" borderId="4" xfId="2" applyNumberFormat="1" applyFont="1" applyBorder="1" applyAlignment="1">
      <alignment horizontal="center" vertical="center" wrapText="1"/>
    </xf>
    <xf numFmtId="0" fontId="103" fillId="2" borderId="6" xfId="2" applyFont="1" applyFill="1" applyBorder="1" applyAlignment="1">
      <alignment horizontal="center" vertical="center" wrapText="1"/>
    </xf>
    <xf numFmtId="49" fontId="68" fillId="0" borderId="8" xfId="2" applyNumberFormat="1" applyFont="1" applyBorder="1" applyAlignment="1">
      <alignment horizontal="center" vertical="center" wrapText="1"/>
    </xf>
    <xf numFmtId="0" fontId="68" fillId="0" borderId="6" xfId="2" applyFont="1" applyBorder="1" applyAlignment="1">
      <alignment horizontal="center" vertical="center" wrapText="1"/>
    </xf>
    <xf numFmtId="0" fontId="68" fillId="0" borderId="7" xfId="2" applyFont="1" applyBorder="1" applyAlignment="1">
      <alignment horizontal="center" vertical="center" wrapText="1"/>
    </xf>
    <xf numFmtId="49" fontId="68" fillId="0" borderId="2" xfId="2" applyNumberFormat="1" applyFont="1" applyBorder="1" applyAlignment="1">
      <alignment horizontal="center" vertical="center" wrapText="1"/>
    </xf>
    <xf numFmtId="0" fontId="68" fillId="0" borderId="3" xfId="2" applyFont="1" applyBorder="1" applyAlignment="1">
      <alignment horizontal="center" vertical="center" wrapText="1"/>
    </xf>
    <xf numFmtId="0" fontId="68" fillId="0" borderId="4" xfId="2" applyFont="1" applyBorder="1" applyAlignment="1">
      <alignment horizontal="center" vertical="center" wrapText="1"/>
    </xf>
    <xf numFmtId="0" fontId="63" fillId="0" borderId="197" xfId="2" applyFont="1" applyBorder="1" applyAlignment="1">
      <alignment horizontal="center" vertical="center" wrapText="1"/>
    </xf>
    <xf numFmtId="0" fontId="69" fillId="0" borderId="16" xfId="2" applyFont="1" applyBorder="1" applyAlignment="1">
      <alignment horizontal="center" vertical="center" wrapText="1"/>
    </xf>
    <xf numFmtId="0" fontId="69" fillId="0" borderId="17" xfId="2" applyFont="1" applyBorder="1" applyAlignment="1">
      <alignment horizontal="center" vertical="center" wrapText="1"/>
    </xf>
    <xf numFmtId="0" fontId="103" fillId="2" borderId="130" xfId="2" applyFont="1" applyFill="1" applyBorder="1" applyAlignment="1">
      <alignment horizontal="center" vertical="center" wrapText="1"/>
    </xf>
    <xf numFmtId="49" fontId="92" fillId="0" borderId="2" xfId="2" applyNumberFormat="1" applyFont="1" applyBorder="1" applyAlignment="1">
      <alignment horizontal="center" vertical="center" wrapText="1"/>
    </xf>
    <xf numFmtId="0" fontId="92" fillId="0" borderId="3" xfId="2" applyFont="1" applyBorder="1" applyAlignment="1">
      <alignment horizontal="center" vertical="center" wrapText="1"/>
    </xf>
    <xf numFmtId="0" fontId="92" fillId="0" borderId="4" xfId="2" applyFont="1" applyBorder="1" applyAlignment="1">
      <alignment horizontal="center" vertical="center" wrapText="1"/>
    </xf>
    <xf numFmtId="0" fontId="100" fillId="2" borderId="254" xfId="2" applyFont="1" applyFill="1" applyBorder="1" applyAlignment="1">
      <alignment horizontal="center" vertical="center" wrapText="1"/>
    </xf>
    <xf numFmtId="49" fontId="84" fillId="0" borderId="2" xfId="2" applyNumberFormat="1" applyFont="1" applyBorder="1" applyAlignment="1">
      <alignment horizontal="center" vertical="center" wrapText="1"/>
    </xf>
    <xf numFmtId="0" fontId="84" fillId="0" borderId="3" xfId="2" applyFont="1" applyBorder="1" applyAlignment="1">
      <alignment horizontal="center" vertical="center" wrapText="1"/>
    </xf>
    <xf numFmtId="0" fontId="84" fillId="0" borderId="4" xfId="2" applyFont="1" applyBorder="1" applyAlignment="1">
      <alignment horizontal="center" vertical="center" wrapText="1"/>
    </xf>
    <xf numFmtId="49" fontId="63" fillId="0" borderId="2" xfId="2" applyNumberFormat="1" applyFont="1" applyBorder="1" applyAlignment="1">
      <alignment wrapText="1"/>
    </xf>
    <xf numFmtId="0" fontId="63" fillId="0" borderId="3" xfId="2" applyFont="1" applyBorder="1" applyAlignment="1">
      <alignment wrapText="1"/>
    </xf>
    <xf numFmtId="0" fontId="63" fillId="0" borderId="4" xfId="2" applyFont="1" applyBorder="1" applyAlignment="1">
      <alignment wrapText="1"/>
    </xf>
    <xf numFmtId="0" fontId="79" fillId="0" borderId="2" xfId="2" applyFont="1" applyBorder="1" applyAlignment="1">
      <alignment horizontal="center" vertical="center" wrapText="1"/>
    </xf>
    <xf numFmtId="0" fontId="71" fillId="0" borderId="2" xfId="2" applyFont="1" applyBorder="1" applyAlignment="1">
      <alignment horizontal="center" vertical="center" wrapText="1"/>
    </xf>
    <xf numFmtId="49" fontId="104" fillId="0" borderId="1" xfId="2" applyNumberFormat="1" applyFont="1" applyBorder="1" applyAlignment="1">
      <alignment horizontal="center" vertical="center" wrapText="1"/>
    </xf>
    <xf numFmtId="0" fontId="104" fillId="0" borderId="1" xfId="2" applyFont="1" applyBorder="1" applyAlignment="1">
      <alignment horizontal="center" vertical="center" wrapText="1"/>
    </xf>
    <xf numFmtId="49" fontId="63" fillId="0" borderId="8" xfId="2" applyNumberFormat="1" applyFont="1" applyBorder="1" applyAlignment="1">
      <alignment horizontal="center" vertical="center" wrapText="1"/>
    </xf>
    <xf numFmtId="49" fontId="63" fillId="0" borderId="6" xfId="2" applyNumberFormat="1" applyFont="1" applyBorder="1" applyAlignment="1">
      <alignment horizontal="center" vertical="center" wrapText="1"/>
    </xf>
    <xf numFmtId="49" fontId="63" fillId="0" borderId="7" xfId="2" applyNumberFormat="1" applyFont="1" applyBorder="1" applyAlignment="1">
      <alignment horizontal="center" vertical="center" wrapText="1"/>
    </xf>
    <xf numFmtId="49" fontId="105" fillId="0" borderId="2" xfId="2" applyNumberFormat="1" applyFont="1" applyBorder="1" applyAlignment="1">
      <alignment horizontal="center" vertical="center" wrapText="1" readingOrder="1"/>
    </xf>
    <xf numFmtId="49" fontId="105" fillId="0" borderId="3" xfId="2" applyNumberFormat="1" applyFont="1" applyBorder="1" applyAlignment="1">
      <alignment horizontal="center" vertical="center" wrapText="1" readingOrder="1"/>
    </xf>
    <xf numFmtId="49" fontId="105" fillId="0" borderId="4" xfId="2" applyNumberFormat="1" applyFont="1" applyBorder="1" applyAlignment="1">
      <alignment horizontal="center" vertical="center" wrapText="1" readingOrder="1"/>
    </xf>
    <xf numFmtId="0" fontId="63" fillId="0" borderId="0" xfId="2" applyFont="1" applyAlignment="1">
      <alignment horizontal="center" vertical="center" wrapText="1"/>
    </xf>
    <xf numFmtId="49" fontId="106" fillId="0" borderId="2" xfId="2" applyNumberFormat="1" applyFont="1" applyBorder="1" applyAlignment="1">
      <alignment horizontal="center" vertical="center" wrapText="1"/>
    </xf>
    <xf numFmtId="0" fontId="106" fillId="0" borderId="3" xfId="2" applyFont="1" applyBorder="1" applyAlignment="1">
      <alignment horizontal="center" vertical="center" wrapText="1"/>
    </xf>
    <xf numFmtId="0" fontId="106" fillId="0" borderId="4" xfId="2" applyFont="1" applyBorder="1" applyAlignment="1">
      <alignment horizontal="center" vertical="center" wrapText="1"/>
    </xf>
    <xf numFmtId="49" fontId="63" fillId="0" borderId="0" xfId="2" applyNumberFormat="1" applyFont="1" applyAlignment="1">
      <alignment horizontal="center" vertical="center" wrapText="1"/>
    </xf>
    <xf numFmtId="0" fontId="69" fillId="0" borderId="9" xfId="2" applyFont="1" applyBorder="1" applyAlignment="1">
      <alignment horizontal="center" vertical="center" wrapText="1"/>
    </xf>
    <xf numFmtId="49" fontId="101" fillId="0" borderId="2" xfId="2" applyNumberFormat="1" applyFont="1" applyBorder="1" applyAlignment="1">
      <alignment horizontal="center" vertical="center" wrapText="1"/>
    </xf>
    <xf numFmtId="0" fontId="69" fillId="0" borderId="20" xfId="2" applyFont="1" applyBorder="1" applyAlignment="1">
      <alignment horizontal="center" vertical="center" wrapText="1"/>
    </xf>
    <xf numFmtId="0" fontId="63" fillId="0" borderId="9" xfId="2" applyFont="1" applyBorder="1" applyAlignment="1">
      <alignment horizontal="center" vertical="center" wrapText="1"/>
    </xf>
    <xf numFmtId="0" fontId="63" fillId="0" borderId="38" xfId="2" applyFont="1" applyBorder="1" applyAlignment="1">
      <alignment horizontal="center" vertical="center" wrapText="1"/>
    </xf>
    <xf numFmtId="49" fontId="77" fillId="0" borderId="1" xfId="2" applyNumberFormat="1" applyFont="1" applyBorder="1" applyAlignment="1">
      <alignment horizontal="center" vertical="center" wrapText="1"/>
    </xf>
    <xf numFmtId="0" fontId="84" fillId="0" borderId="2" xfId="2" applyFont="1" applyBorder="1" applyAlignment="1">
      <alignment horizontal="center" vertical="center" wrapText="1"/>
    </xf>
    <xf numFmtId="49" fontId="107" fillId="0" borderId="2" xfId="2" applyNumberFormat="1" applyFont="1" applyBorder="1" applyAlignment="1">
      <alignment horizontal="center" vertical="center" wrapText="1"/>
    </xf>
    <xf numFmtId="49" fontId="68" fillId="0" borderId="3" xfId="2" applyNumberFormat="1" applyFont="1" applyBorder="1" applyAlignment="1">
      <alignment horizontal="center" vertical="center" wrapText="1"/>
    </xf>
    <xf numFmtId="49" fontId="68" fillId="0" borderId="4" xfId="2" applyNumberFormat="1" applyFont="1" applyBorder="1" applyAlignment="1">
      <alignment horizontal="center" vertical="center" wrapText="1"/>
    </xf>
    <xf numFmtId="49" fontId="71" fillId="0" borderId="1" xfId="2" applyNumberFormat="1" applyFont="1" applyBorder="1" applyAlignment="1">
      <alignment horizontal="center" vertical="center" wrapText="1"/>
    </xf>
    <xf numFmtId="0" fontId="71" fillId="0" borderId="1" xfId="2" applyFont="1" applyBorder="1" applyAlignment="1">
      <alignment horizontal="center" vertical="center" wrapText="1"/>
    </xf>
    <xf numFmtId="49" fontId="108" fillId="0" borderId="2" xfId="2" applyNumberFormat="1" applyFont="1" applyBorder="1" applyAlignment="1">
      <alignment horizontal="center" vertical="center" wrapText="1"/>
    </xf>
    <xf numFmtId="0" fontId="108" fillId="0" borderId="3" xfId="2" applyFont="1" applyBorder="1" applyAlignment="1">
      <alignment horizontal="center" vertical="center" wrapText="1"/>
    </xf>
    <xf numFmtId="0" fontId="108" fillId="0" borderId="4" xfId="2" applyFont="1" applyBorder="1" applyAlignment="1">
      <alignment horizontal="center" vertical="center" wrapText="1"/>
    </xf>
    <xf numFmtId="49" fontId="84" fillId="0" borderId="3" xfId="2" applyNumberFormat="1" applyFont="1" applyBorder="1" applyAlignment="1">
      <alignment horizontal="center" vertical="center" wrapText="1"/>
    </xf>
    <xf numFmtId="49" fontId="84" fillId="0" borderId="4" xfId="2" applyNumberFormat="1" applyFont="1" applyBorder="1" applyAlignment="1">
      <alignment horizontal="center" vertical="center" wrapText="1"/>
    </xf>
    <xf numFmtId="49" fontId="84" fillId="0" borderId="1" xfId="2" applyNumberFormat="1" applyFont="1" applyBorder="1" applyAlignment="1">
      <alignment horizontal="center" vertical="center" wrapText="1"/>
    </xf>
    <xf numFmtId="0" fontId="77" fillId="0" borderId="2" xfId="2" applyFont="1" applyBorder="1" applyAlignment="1">
      <alignment horizontal="center" vertical="center" wrapText="1"/>
    </xf>
    <xf numFmtId="0" fontId="63" fillId="0" borderId="20" xfId="2" applyFont="1" applyBorder="1" applyAlignment="1">
      <alignment horizontal="center" vertical="center" wrapText="1"/>
    </xf>
    <xf numFmtId="0" fontId="64" fillId="0" borderId="1" xfId="2" applyFont="1" applyBorder="1" applyAlignment="1">
      <alignment horizontal="center" vertical="center" wrapText="1"/>
    </xf>
    <xf numFmtId="49" fontId="76" fillId="0" borderId="2" xfId="2" applyNumberFormat="1" applyFont="1" applyBorder="1" applyAlignment="1">
      <alignment horizontal="center" vertical="center" wrapText="1"/>
    </xf>
    <xf numFmtId="0" fontId="63" fillId="2" borderId="1" xfId="2" applyFont="1" applyFill="1" applyBorder="1" applyAlignment="1">
      <alignment horizontal="center" vertical="center" wrapText="1"/>
    </xf>
    <xf numFmtId="0" fontId="100" fillId="2" borderId="123" xfId="2" applyFont="1" applyFill="1" applyBorder="1" applyAlignment="1">
      <alignment horizontal="center" vertical="center" wrapText="1"/>
    </xf>
    <xf numFmtId="0" fontId="71" fillId="0" borderId="20" xfId="2" applyFont="1" applyBorder="1" applyAlignment="1">
      <alignment horizontal="center" vertical="center" wrapText="1"/>
    </xf>
    <xf numFmtId="0" fontId="68" fillId="0" borderId="48" xfId="2" applyFont="1" applyBorder="1" applyAlignment="1">
      <alignment horizontal="center" vertical="center" wrapText="1"/>
    </xf>
    <xf numFmtId="0" fontId="68" fillId="0" borderId="21" xfId="2" applyFont="1" applyBorder="1" applyAlignment="1">
      <alignment horizontal="center" vertical="center" wrapText="1"/>
    </xf>
    <xf numFmtId="0" fontId="68" fillId="0" borderId="51" xfId="2" applyFont="1" applyBorder="1" applyAlignment="1">
      <alignment horizontal="center" vertical="center" wrapText="1"/>
    </xf>
    <xf numFmtId="0" fontId="69" fillId="0" borderId="270" xfId="2" applyFont="1" applyBorder="1" applyAlignment="1">
      <alignment horizontal="center" vertical="center" wrapText="1"/>
    </xf>
    <xf numFmtId="0" fontId="69" fillId="0" borderId="271" xfId="2" applyFont="1" applyBorder="1" applyAlignment="1">
      <alignment horizontal="center" vertical="center" wrapText="1"/>
    </xf>
    <xf numFmtId="0" fontId="69" fillId="0" borderId="272" xfId="2" applyFont="1" applyBorder="1" applyAlignment="1">
      <alignment horizontal="center" vertical="center" wrapText="1"/>
    </xf>
    <xf numFmtId="49" fontId="77" fillId="0" borderId="15" xfId="2" applyNumberFormat="1" applyFont="1" applyBorder="1" applyAlignment="1">
      <alignment horizontal="center" vertical="center" wrapText="1" readingOrder="1"/>
    </xf>
    <xf numFmtId="49" fontId="77" fillId="0" borderId="0" xfId="2" applyNumberFormat="1" applyFont="1" applyAlignment="1">
      <alignment horizontal="center" vertical="center" wrapText="1" readingOrder="1"/>
    </xf>
    <xf numFmtId="49" fontId="77" fillId="0" borderId="10" xfId="2" applyNumberFormat="1" applyFont="1" applyBorder="1" applyAlignment="1">
      <alignment horizontal="center" vertical="center" wrapText="1" readingOrder="1"/>
    </xf>
    <xf numFmtId="0" fontId="71" fillId="0" borderId="273" xfId="2" applyFont="1" applyBorder="1" applyAlignment="1">
      <alignment horizontal="center" vertical="center" wrapText="1"/>
    </xf>
    <xf numFmtId="0" fontId="71" fillId="0" borderId="274" xfId="2" applyFont="1" applyBorder="1" applyAlignment="1">
      <alignment horizontal="center" vertical="center" wrapText="1"/>
    </xf>
    <xf numFmtId="0" fontId="71" fillId="0" borderId="275" xfId="2" applyFont="1" applyBorder="1" applyAlignment="1">
      <alignment horizontal="center" vertical="center" wrapText="1"/>
    </xf>
    <xf numFmtId="0" fontId="68" fillId="0" borderId="2" xfId="2" applyFont="1" applyBorder="1" applyAlignment="1">
      <alignment horizontal="center" vertical="center" wrapText="1"/>
    </xf>
    <xf numFmtId="0" fontId="69" fillId="2" borderId="9" xfId="2" applyFont="1" applyFill="1" applyBorder="1" applyAlignment="1">
      <alignment horizontal="center" vertical="center"/>
    </xf>
    <xf numFmtId="0" fontId="69" fillId="0" borderId="60" xfId="2" applyFont="1" applyBorder="1" applyAlignment="1">
      <alignment horizontal="center" vertical="center" wrapText="1"/>
    </xf>
    <xf numFmtId="0" fontId="69" fillId="0" borderId="27" xfId="2" applyFont="1" applyBorder="1" applyAlignment="1">
      <alignment horizontal="center" vertical="center" wrapText="1"/>
    </xf>
    <xf numFmtId="0" fontId="69" fillId="0" borderId="28" xfId="2" applyFont="1" applyBorder="1" applyAlignment="1">
      <alignment horizontal="center" vertical="center" wrapText="1"/>
    </xf>
    <xf numFmtId="0" fontId="77" fillId="0" borderId="0" xfId="2" applyFont="1" applyAlignment="1">
      <alignment horizontal="center" vertical="center" wrapText="1"/>
    </xf>
    <xf numFmtId="0" fontId="68" fillId="0" borderId="20" xfId="2" applyFont="1" applyBorder="1" applyAlignment="1">
      <alignment horizontal="center" vertical="center" wrapText="1"/>
    </xf>
    <xf numFmtId="0" fontId="68" fillId="0" borderId="9" xfId="2" applyFont="1" applyBorder="1" applyAlignment="1">
      <alignment horizontal="center" vertical="center" wrapText="1"/>
    </xf>
    <xf numFmtId="0" fontId="68" fillId="0" borderId="29" xfId="2" applyFont="1" applyBorder="1" applyAlignment="1">
      <alignment horizontal="center" vertical="center" wrapText="1"/>
    </xf>
    <xf numFmtId="49" fontId="79" fillId="0" borderId="1" xfId="2" applyNumberFormat="1" applyFont="1" applyBorder="1" applyAlignment="1">
      <alignment horizontal="center" vertical="center" wrapText="1"/>
    </xf>
    <xf numFmtId="0" fontId="76" fillId="0" borderId="1" xfId="2" applyFont="1" applyBorder="1" applyAlignment="1">
      <alignment horizontal="center" vertical="center" wrapText="1"/>
    </xf>
    <xf numFmtId="0" fontId="77" fillId="0" borderId="20" xfId="2" applyFont="1" applyBorder="1" applyAlignment="1">
      <alignment horizontal="center" vertical="center" wrapText="1"/>
    </xf>
    <xf numFmtId="0" fontId="71" fillId="2" borderId="20" xfId="2" applyFont="1" applyFill="1" applyBorder="1" applyAlignment="1">
      <alignment horizontal="center" vertical="center" wrapText="1"/>
    </xf>
    <xf numFmtId="0" fontId="69" fillId="2" borderId="20" xfId="2" applyFont="1" applyFill="1" applyBorder="1" applyAlignment="1">
      <alignment horizontal="center" vertical="center" wrapText="1"/>
    </xf>
    <xf numFmtId="0" fontId="71" fillId="0" borderId="9" xfId="2" applyFont="1" applyBorder="1" applyAlignment="1">
      <alignment horizontal="center" vertical="center" wrapText="1"/>
    </xf>
    <xf numFmtId="0" fontId="75" fillId="0" borderId="9" xfId="2" applyFont="1" applyBorder="1" applyAlignment="1">
      <alignment horizontal="center" vertical="center" wrapText="1"/>
    </xf>
    <xf numFmtId="0" fontId="68" fillId="0" borderId="0" xfId="2" applyFont="1" applyAlignment="1">
      <alignment horizontal="center" vertical="center" wrapText="1"/>
    </xf>
    <xf numFmtId="0" fontId="84" fillId="0" borderId="0" xfId="2" applyFont="1" applyAlignment="1">
      <alignment horizontal="center" vertical="center" wrapText="1"/>
    </xf>
    <xf numFmtId="0" fontId="112" fillId="0" borderId="0" xfId="0" applyFont="1"/>
    <xf numFmtId="0" fontId="0" fillId="0" borderId="1" xfId="0" applyBorder="1"/>
    <xf numFmtId="0" fontId="1" fillId="18" borderId="1" xfId="0" applyFont="1" applyFill="1" applyBorder="1"/>
    <xf numFmtId="165" fontId="0" fillId="0" borderId="1" xfId="0" applyNumberFormat="1" applyBorder="1"/>
    <xf numFmtId="165" fontId="1" fillId="18" borderId="1" xfId="0" applyNumberFormat="1" applyFont="1" applyFill="1" applyBorder="1"/>
    <xf numFmtId="0" fontId="31" fillId="0" borderId="0" xfId="0" applyFont="1" applyAlignment="1"/>
    <xf numFmtId="0" fontId="35" fillId="11" borderId="0" xfId="0" applyFont="1" applyFill="1" applyAlignment="1"/>
    <xf numFmtId="0" fontId="0" fillId="0" borderId="0" xfId="0" applyFill="1"/>
    <xf numFmtId="0" fontId="113" fillId="5" borderId="1" xfId="0" applyFont="1" applyFill="1" applyBorder="1" applyAlignment="1">
      <alignment horizontal="center" readingOrder="1"/>
    </xf>
    <xf numFmtId="0" fontId="114" fillId="0" borderId="1" xfId="0" applyFont="1" applyFill="1" applyBorder="1" applyAlignment="1">
      <alignment horizontal="center"/>
    </xf>
    <xf numFmtId="0" fontId="114" fillId="0" borderId="1" xfId="0" applyFont="1" applyFill="1" applyBorder="1" applyAlignment="1">
      <alignment horizontal="center" readingOrder="1"/>
    </xf>
    <xf numFmtId="0" fontId="114" fillId="0" borderId="0" xfId="0" applyFont="1" applyAlignment="1">
      <alignment horizontal="center"/>
    </xf>
    <xf numFmtId="0" fontId="115" fillId="5" borderId="1" xfId="0" applyFont="1" applyFill="1" applyBorder="1" applyAlignment="1">
      <alignment horizontal="center" readingOrder="1"/>
    </xf>
    <xf numFmtId="0" fontId="115" fillId="5" borderId="1" xfId="0" applyFont="1" applyFill="1" applyBorder="1" applyAlignment="1">
      <alignment readingOrder="1"/>
    </xf>
    <xf numFmtId="14" fontId="115" fillId="5" borderId="1" xfId="0" applyNumberFormat="1" applyFont="1" applyFill="1" applyBorder="1" applyAlignment="1">
      <alignment horizontal="center" readingOrder="1"/>
    </xf>
    <xf numFmtId="0" fontId="114" fillId="0" borderId="1" xfId="0" applyFont="1" applyFill="1" applyBorder="1" applyAlignment="1">
      <alignment readingOrder="1"/>
    </xf>
    <xf numFmtId="14" fontId="114" fillId="0" borderId="1" xfId="0" applyNumberFormat="1" applyFont="1" applyFill="1" applyBorder="1" applyAlignment="1">
      <alignment horizontal="center" readingOrder="1"/>
    </xf>
    <xf numFmtId="0" fontId="114" fillId="0" borderId="1" xfId="0" applyFont="1" applyFill="1" applyBorder="1"/>
    <xf numFmtId="14" fontId="114" fillId="0" borderId="1" xfId="0" applyNumberFormat="1" applyFont="1" applyFill="1" applyBorder="1" applyAlignment="1">
      <alignment horizontal="center"/>
    </xf>
    <xf numFmtId="0" fontId="117" fillId="0" borderId="0" xfId="0" applyFont="1"/>
    <xf numFmtId="0" fontId="118" fillId="0" borderId="0" xfId="0" applyFont="1" applyAlignment="1">
      <alignment horizontal="center"/>
    </xf>
    <xf numFmtId="0" fontId="118" fillId="0" borderId="0" xfId="0" applyFont="1" applyAlignment="1">
      <alignment horizontal="left"/>
    </xf>
    <xf numFmtId="14" fontId="118" fillId="0" borderId="0" xfId="0" applyNumberFormat="1" applyFont="1" applyAlignment="1">
      <alignment horizontal="center"/>
    </xf>
    <xf numFmtId="0" fontId="120" fillId="0" borderId="0" xfId="0" applyFont="1"/>
    <xf numFmtId="0" fontId="121" fillId="10" borderId="20" xfId="0" applyFont="1" applyFill="1" applyBorder="1" applyAlignment="1">
      <alignment horizontal="left"/>
    </xf>
    <xf numFmtId="0" fontId="121" fillId="10" borderId="20" xfId="0" applyFont="1" applyFill="1" applyBorder="1" applyAlignment="1">
      <alignment horizontal="center"/>
    </xf>
    <xf numFmtId="165" fontId="121" fillId="10" borderId="20" xfId="0" applyNumberFormat="1" applyFont="1" applyFill="1" applyBorder="1" applyAlignment="1">
      <alignment horizontal="center"/>
    </xf>
    <xf numFmtId="0" fontId="116" fillId="8" borderId="0" xfId="0" applyFont="1" applyFill="1" applyAlignment="1">
      <alignment horizontal="left"/>
    </xf>
    <xf numFmtId="0" fontId="119" fillId="8" borderId="20" xfId="0" applyFont="1" applyFill="1" applyBorder="1" applyAlignment="1">
      <alignment horizontal="center"/>
    </xf>
    <xf numFmtId="0" fontId="122" fillId="11" borderId="20" xfId="0" applyFont="1" applyFill="1" applyBorder="1" applyAlignment="1">
      <alignment horizontal="left"/>
    </xf>
    <xf numFmtId="0" fontId="122" fillId="11" borderId="20" xfId="0" applyFont="1" applyFill="1" applyBorder="1" applyAlignment="1">
      <alignment horizontal="center"/>
    </xf>
    <xf numFmtId="165" fontId="122" fillId="11" borderId="20" xfId="0" applyNumberFormat="1" applyFont="1" applyFill="1" applyBorder="1" applyAlignment="1">
      <alignment horizontal="center"/>
    </xf>
    <xf numFmtId="0" fontId="119" fillId="8" borderId="0" xfId="0" applyFont="1" applyFill="1" applyAlignment="1">
      <alignment horizontal="left"/>
    </xf>
    <xf numFmtId="0" fontId="23" fillId="8" borderId="1" xfId="0" applyFont="1" applyFill="1" applyBorder="1" applyAlignment="1">
      <alignment horizontal="center"/>
    </xf>
    <xf numFmtId="0" fontId="123" fillId="8" borderId="1" xfId="0" applyFont="1" applyFill="1" applyBorder="1"/>
    <xf numFmtId="165" fontId="123" fillId="8" borderId="1" xfId="0" applyNumberFormat="1" applyFont="1" applyFill="1" applyBorder="1"/>
    <xf numFmtId="0" fontId="124" fillId="11" borderId="20" xfId="0" applyFont="1" applyFill="1" applyBorder="1" applyAlignment="1">
      <alignment horizontal="left"/>
    </xf>
    <xf numFmtId="0" fontId="124" fillId="11" borderId="20" xfId="0" applyFont="1" applyFill="1" applyBorder="1" applyAlignment="1">
      <alignment horizontal="center"/>
    </xf>
    <xf numFmtId="0" fontId="29" fillId="10" borderId="8" xfId="0" applyFont="1" applyFill="1" applyBorder="1" applyAlignment="1">
      <alignment horizontal="center"/>
    </xf>
    <xf numFmtId="0" fontId="29" fillId="10" borderId="6" xfId="0" applyFont="1" applyFill="1" applyBorder="1" applyAlignment="1">
      <alignment horizontal="center"/>
    </xf>
    <xf numFmtId="0" fontId="0" fillId="11" borderId="15" xfId="0" applyFill="1" applyBorder="1"/>
    <xf numFmtId="0" fontId="0" fillId="11" borderId="0" xfId="0" applyFill="1" applyBorder="1"/>
    <xf numFmtId="0" fontId="38" fillId="8" borderId="15" xfId="0" applyFont="1" applyFill="1" applyBorder="1" applyAlignment="1">
      <alignment horizontal="center"/>
    </xf>
    <xf numFmtId="0" fontId="38" fillId="8" borderId="0" xfId="0" applyFont="1" applyFill="1" applyBorder="1" applyAlignment="1">
      <alignment horizontal="center"/>
    </xf>
    <xf numFmtId="0" fontId="38" fillId="8" borderId="10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center"/>
    </xf>
    <xf numFmtId="0" fontId="29" fillId="10" borderId="0" xfId="0" applyFont="1" applyFill="1" applyBorder="1" applyAlignment="1">
      <alignment horizontal="center"/>
    </xf>
    <xf numFmtId="0" fontId="29" fillId="10" borderId="10" xfId="0" applyFont="1" applyFill="1" applyBorder="1" applyAlignment="1">
      <alignment horizontal="center"/>
    </xf>
    <xf numFmtId="0" fontId="0" fillId="11" borderId="16" xfId="0" applyFill="1" applyBorder="1"/>
    <xf numFmtId="0" fontId="0" fillId="11" borderId="5" xfId="0" applyFill="1" applyBorder="1"/>
    <xf numFmtId="0" fontId="0" fillId="11" borderId="17" xfId="0" applyFill="1" applyBorder="1"/>
    <xf numFmtId="0" fontId="0" fillId="0" borderId="278" xfId="0" applyBorder="1"/>
    <xf numFmtId="0" fontId="0" fillId="11" borderId="279" xfId="0" applyFill="1" applyBorder="1"/>
    <xf numFmtId="0" fontId="29" fillId="10" borderId="280" xfId="0" applyFont="1" applyFill="1" applyBorder="1" applyAlignment="1">
      <alignment horizontal="center"/>
    </xf>
    <xf numFmtId="164" fontId="125" fillId="0" borderId="20" xfId="0" applyNumberFormat="1" applyFont="1" applyBorder="1" applyAlignment="1">
      <alignment horizontal="center" vertical="center"/>
    </xf>
    <xf numFmtId="0" fontId="125" fillId="0" borderId="26" xfId="0" applyFont="1" applyBorder="1" applyAlignment="1">
      <alignment horizontal="center" vertical="center"/>
    </xf>
    <xf numFmtId="0" fontId="125" fillId="0" borderId="27" xfId="0" applyFont="1" applyBorder="1" applyAlignment="1">
      <alignment horizontal="center" vertical="center"/>
    </xf>
    <xf numFmtId="0" fontId="125" fillId="0" borderId="28" xfId="0" applyFont="1" applyBorder="1" applyAlignment="1">
      <alignment horizontal="center" vertical="center"/>
    </xf>
  </cellXfs>
  <cellStyles count="3">
    <cellStyle name="Normal" xfId="0" builtinId="0"/>
    <cellStyle name="Normal 2" xfId="2" xr:uid="{2E726AD9-AEE3-42B9-B6F3-2AA3376D459B}"/>
    <cellStyle name="Normal 4" xfId="1" xr:uid="{BF497ECB-790E-4580-A7EE-8F20A9144089}"/>
  </cellStyles>
  <dxfs count="17"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ont>
        <b/>
        <i val="0"/>
        <color rgb="FFC00000"/>
      </font>
    </dxf>
    <dxf>
      <fill>
        <patternFill patternType="solid">
          <fgColor indexed="64"/>
          <bgColor rgb="FFF2F2F2"/>
        </patternFill>
      </fill>
    </dxf>
    <dxf>
      <font>
        <b/>
        <i val="0"/>
        <color rgb="FFC00000"/>
      </font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.5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m/d/yyyy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704850</xdr:colOff>
      <xdr:row>0</xdr:row>
      <xdr:rowOff>25400</xdr:rowOff>
    </xdr:from>
    <xdr:to>
      <xdr:col>12</xdr:col>
      <xdr:colOff>0</xdr:colOff>
      <xdr:row>0</xdr:row>
      <xdr:rowOff>463550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46E331-638B-E5BC-D7F0-FE95AE3B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6350" y="25400"/>
          <a:ext cx="444500" cy="444500"/>
        </a:xfrm>
        <a:prstGeom prst="rect">
          <a:avLst/>
        </a:prstGeom>
      </xdr:spPr>
    </xdr:pic>
    <xdr:clientData/>
  </xdr:twoCellAnchor>
  <xdr:twoCellAnchor>
    <xdr:from>
      <xdr:col>5</xdr:col>
      <xdr:colOff>53975</xdr:colOff>
      <xdr:row>52</xdr:row>
      <xdr:rowOff>57150</xdr:rowOff>
    </xdr:from>
    <xdr:to>
      <xdr:col>6</xdr:col>
      <xdr:colOff>139700</xdr:colOff>
      <xdr:row>53</xdr:row>
      <xdr:rowOff>6350</xdr:rowOff>
    </xdr:to>
    <xdr:sp macro="" textlink="">
      <xdr:nvSpPr>
        <xdr:cNvPr id="3" name="btn_AbrirOrganograma741">
          <a:extLst>
            <a:ext uri="{FF2B5EF4-FFF2-40B4-BE49-F238E27FC236}">
              <a16:creationId xmlns:a16="http://schemas.microsoft.com/office/drawing/2014/main" id="{22D654D7-EDB6-4CC8-A821-0D98473D45B6}"/>
            </a:ext>
          </a:extLst>
        </xdr:cNvPr>
        <xdr:cNvSpPr/>
      </xdr:nvSpPr>
      <xdr:spPr>
        <a:xfrm>
          <a:off x="1758950" y="1234440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5</xdr:col>
      <xdr:colOff>53975</xdr:colOff>
      <xdr:row>52</xdr:row>
      <xdr:rowOff>57150</xdr:rowOff>
    </xdr:from>
    <xdr:to>
      <xdr:col>6</xdr:col>
      <xdr:colOff>139700</xdr:colOff>
      <xdr:row>53</xdr:row>
      <xdr:rowOff>6350</xdr:rowOff>
    </xdr:to>
    <xdr:sp macro="[0]!AbrirGrupo741" textlink="">
      <xdr:nvSpPr>
        <xdr:cNvPr id="14" name="btn_AbrirOrganograma741">
          <a:extLst>
            <a:ext uri="{FF2B5EF4-FFF2-40B4-BE49-F238E27FC236}">
              <a16:creationId xmlns:a16="http://schemas.microsoft.com/office/drawing/2014/main" id="{FFEC2238-4C89-40A6-B804-1B88C2A77BC5}"/>
            </a:ext>
          </a:extLst>
        </xdr:cNvPr>
        <xdr:cNvSpPr/>
      </xdr:nvSpPr>
      <xdr:spPr>
        <a:xfrm>
          <a:off x="1758950" y="1234440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53</xdr:row>
      <xdr:rowOff>63500</xdr:rowOff>
    </xdr:from>
    <xdr:to>
      <xdr:col>6</xdr:col>
      <xdr:colOff>139700</xdr:colOff>
      <xdr:row>54</xdr:row>
      <xdr:rowOff>19050</xdr:rowOff>
    </xdr:to>
    <xdr:sp macro="[0]!AbrirGrupo743" textlink="">
      <xdr:nvSpPr>
        <xdr:cNvPr id="15" name="btn_AbrirOrganograma743">
          <a:extLst>
            <a:ext uri="{FF2B5EF4-FFF2-40B4-BE49-F238E27FC236}">
              <a16:creationId xmlns:a16="http://schemas.microsoft.com/office/drawing/2014/main" id="{3AD88FFD-039F-4B69-9418-FFAAC7934837}"/>
            </a:ext>
          </a:extLst>
        </xdr:cNvPr>
        <xdr:cNvSpPr/>
      </xdr:nvSpPr>
      <xdr:spPr>
        <a:xfrm>
          <a:off x="1758950" y="1253490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57</xdr:row>
      <xdr:rowOff>63500</xdr:rowOff>
    </xdr:from>
    <xdr:to>
      <xdr:col>6</xdr:col>
      <xdr:colOff>139700</xdr:colOff>
      <xdr:row>58</xdr:row>
      <xdr:rowOff>19050</xdr:rowOff>
    </xdr:to>
    <xdr:sp macro="[0]!AbrirGrupo741" textlink="">
      <xdr:nvSpPr>
        <xdr:cNvPr id="7" name="btn_AbrirAnalises741">
          <a:extLst>
            <a:ext uri="{FF2B5EF4-FFF2-40B4-BE49-F238E27FC236}">
              <a16:creationId xmlns:a16="http://schemas.microsoft.com/office/drawing/2014/main" id="{9B816C15-97BA-4D8E-BF44-576FFDFFA45A}"/>
            </a:ext>
          </a:extLst>
        </xdr:cNvPr>
        <xdr:cNvSpPr/>
      </xdr:nvSpPr>
      <xdr:spPr>
        <a:xfrm>
          <a:off x="1758950" y="1289685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58</xdr:row>
      <xdr:rowOff>66675</xdr:rowOff>
    </xdr:from>
    <xdr:to>
      <xdr:col>6</xdr:col>
      <xdr:colOff>139700</xdr:colOff>
      <xdr:row>59</xdr:row>
      <xdr:rowOff>0</xdr:rowOff>
    </xdr:to>
    <xdr:sp macro="[0]!AbrirGrupo743" textlink="">
      <xdr:nvSpPr>
        <xdr:cNvPr id="8" name="btn_AbrirAnalises743">
          <a:extLst>
            <a:ext uri="{FF2B5EF4-FFF2-40B4-BE49-F238E27FC236}">
              <a16:creationId xmlns:a16="http://schemas.microsoft.com/office/drawing/2014/main" id="{54EEA572-ED4E-427B-B017-F9D83B0B2340}"/>
            </a:ext>
          </a:extLst>
        </xdr:cNvPr>
        <xdr:cNvSpPr/>
      </xdr:nvSpPr>
      <xdr:spPr>
        <a:xfrm>
          <a:off x="1758950" y="1307465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59</xdr:row>
      <xdr:rowOff>76200</xdr:rowOff>
    </xdr:from>
    <xdr:to>
      <xdr:col>6</xdr:col>
      <xdr:colOff>139700</xdr:colOff>
      <xdr:row>60</xdr:row>
      <xdr:rowOff>25400</xdr:rowOff>
    </xdr:to>
    <xdr:sp macro="[0]!AbrirEfetivo2026" textlink="">
      <xdr:nvSpPr>
        <xdr:cNvPr id="10" name="btn_AbrirEfetivo2026">
          <a:extLst>
            <a:ext uri="{FF2B5EF4-FFF2-40B4-BE49-F238E27FC236}">
              <a16:creationId xmlns:a16="http://schemas.microsoft.com/office/drawing/2014/main" id="{E2622805-86F0-44D0-882B-CB4502832498}"/>
            </a:ext>
          </a:extLst>
        </xdr:cNvPr>
        <xdr:cNvSpPr/>
      </xdr:nvSpPr>
      <xdr:spPr>
        <a:xfrm>
          <a:off x="1758950" y="13449300"/>
          <a:ext cx="260350" cy="1333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50</xdr:row>
      <xdr:rowOff>57150</xdr:rowOff>
    </xdr:from>
    <xdr:to>
      <xdr:col>6</xdr:col>
      <xdr:colOff>139700</xdr:colOff>
      <xdr:row>51</xdr:row>
      <xdr:rowOff>6350</xdr:rowOff>
    </xdr:to>
    <xdr:sp macro="" textlink="">
      <xdr:nvSpPr>
        <xdr:cNvPr id="11" name="btn_AbrirOrganograma741">
          <a:extLst>
            <a:ext uri="{FF2B5EF4-FFF2-40B4-BE49-F238E27FC236}">
              <a16:creationId xmlns:a16="http://schemas.microsoft.com/office/drawing/2014/main" id="{DBBA611B-97ED-4079-9515-E2B4F9963268}"/>
            </a:ext>
          </a:extLst>
        </xdr:cNvPr>
        <xdr:cNvSpPr/>
      </xdr:nvSpPr>
      <xdr:spPr>
        <a:xfrm>
          <a:off x="4772025" y="12744450"/>
          <a:ext cx="403225" cy="31750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  <xdr:twoCellAnchor>
    <xdr:from>
      <xdr:col>5</xdr:col>
      <xdr:colOff>53975</xdr:colOff>
      <xdr:row>50</xdr:row>
      <xdr:rowOff>57150</xdr:rowOff>
    </xdr:from>
    <xdr:to>
      <xdr:col>6</xdr:col>
      <xdr:colOff>139700</xdr:colOff>
      <xdr:row>51</xdr:row>
      <xdr:rowOff>6350</xdr:rowOff>
    </xdr:to>
    <xdr:sp macro="[0]!AbrirGrupo736" textlink="">
      <xdr:nvSpPr>
        <xdr:cNvPr id="6" name="btn_AbrirOrganograma741">
          <a:extLst>
            <a:ext uri="{FF2B5EF4-FFF2-40B4-BE49-F238E27FC236}">
              <a16:creationId xmlns:a16="http://schemas.microsoft.com/office/drawing/2014/main" id="{1FA8F38E-D2F8-4F1C-B2D8-5B119435F870}"/>
            </a:ext>
          </a:extLst>
        </xdr:cNvPr>
        <xdr:cNvSpPr/>
      </xdr:nvSpPr>
      <xdr:spPr>
        <a:xfrm>
          <a:off x="4772025" y="12744450"/>
          <a:ext cx="403225" cy="31750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53975</xdr:colOff>
      <xdr:row>51</xdr:row>
      <xdr:rowOff>63500</xdr:rowOff>
    </xdr:from>
    <xdr:to>
      <xdr:col>6</xdr:col>
      <xdr:colOff>139700</xdr:colOff>
      <xdr:row>52</xdr:row>
      <xdr:rowOff>19050</xdr:rowOff>
    </xdr:to>
    <xdr:sp macro="[0]!AbrirGrupo737" textlink="">
      <xdr:nvSpPr>
        <xdr:cNvPr id="9" name="btn_AbrirOrganograma743">
          <a:extLst>
            <a:ext uri="{FF2B5EF4-FFF2-40B4-BE49-F238E27FC236}">
              <a16:creationId xmlns:a16="http://schemas.microsoft.com/office/drawing/2014/main" id="{C7B9E19D-FECB-447B-A904-7D39749F9AD0}"/>
            </a:ext>
            <a:ext uri="{147F2762-F138-4A5C-976F-8EAC2B608ADB}">
              <a16:predDERef xmlns:a16="http://schemas.microsoft.com/office/drawing/2014/main" pred="{1FA8F38E-D2F8-4F1C-B2D8-5B119435F870}"/>
            </a:ext>
          </a:extLst>
        </xdr:cNvPr>
        <xdr:cNvSpPr/>
      </xdr:nvSpPr>
      <xdr:spPr>
        <a:xfrm>
          <a:off x="4549775" y="14370050"/>
          <a:ext cx="390525" cy="3365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57150</xdr:colOff>
      <xdr:row>54</xdr:row>
      <xdr:rowOff>63500</xdr:rowOff>
    </xdr:from>
    <xdr:to>
      <xdr:col>6</xdr:col>
      <xdr:colOff>142875</xdr:colOff>
      <xdr:row>54</xdr:row>
      <xdr:rowOff>342900</xdr:rowOff>
    </xdr:to>
    <xdr:sp macro="[0]!AbrirApoioMacae" textlink="">
      <xdr:nvSpPr>
        <xdr:cNvPr id="16" name="btn_AbrirOrganograma743">
          <a:extLst>
            <a:ext uri="{FF2B5EF4-FFF2-40B4-BE49-F238E27FC236}">
              <a16:creationId xmlns:a16="http://schemas.microsoft.com/office/drawing/2014/main" id="{7055CD28-511D-475A-8EE9-1FD8B6B5B12D}"/>
            </a:ext>
          </a:extLst>
        </xdr:cNvPr>
        <xdr:cNvSpPr/>
      </xdr:nvSpPr>
      <xdr:spPr>
        <a:xfrm>
          <a:off x="4775200" y="15659100"/>
          <a:ext cx="403225" cy="27940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50800</xdr:colOff>
      <xdr:row>55</xdr:row>
      <xdr:rowOff>12700</xdr:rowOff>
    </xdr:from>
    <xdr:to>
      <xdr:col>6</xdr:col>
      <xdr:colOff>136525</xdr:colOff>
      <xdr:row>55</xdr:row>
      <xdr:rowOff>336550</xdr:rowOff>
    </xdr:to>
    <xdr:sp macro="[0]!AbrirGrupo736" textlink="">
      <xdr:nvSpPr>
        <xdr:cNvPr id="18" name="btn_AbrirOrganograma743">
          <a:extLst>
            <a:ext uri="{FF2B5EF4-FFF2-40B4-BE49-F238E27FC236}">
              <a16:creationId xmlns:a16="http://schemas.microsoft.com/office/drawing/2014/main" id="{2132933E-915E-4A1C-9420-CD0410FE379F}"/>
            </a:ext>
          </a:extLst>
        </xdr:cNvPr>
        <xdr:cNvSpPr/>
      </xdr:nvSpPr>
      <xdr:spPr>
        <a:xfrm>
          <a:off x="4768850" y="15976600"/>
          <a:ext cx="403225" cy="3238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  <xdr:twoCellAnchor>
    <xdr:from>
      <xdr:col>5</xdr:col>
      <xdr:colOff>57150</xdr:colOff>
      <xdr:row>56</xdr:row>
      <xdr:rowOff>31750</xdr:rowOff>
    </xdr:from>
    <xdr:to>
      <xdr:col>6</xdr:col>
      <xdr:colOff>142875</xdr:colOff>
      <xdr:row>56</xdr:row>
      <xdr:rowOff>355600</xdr:rowOff>
    </xdr:to>
    <xdr:sp macro="[0]!AbrirGrupo737" textlink="">
      <xdr:nvSpPr>
        <xdr:cNvPr id="19" name="btn_AbrirOrganograma743">
          <a:extLst>
            <a:ext uri="{FF2B5EF4-FFF2-40B4-BE49-F238E27FC236}">
              <a16:creationId xmlns:a16="http://schemas.microsoft.com/office/drawing/2014/main" id="{AD2F93C1-53C9-4D5D-BCB9-B2CCF907614E}"/>
            </a:ext>
          </a:extLst>
        </xdr:cNvPr>
        <xdr:cNvSpPr/>
      </xdr:nvSpPr>
      <xdr:spPr>
        <a:xfrm>
          <a:off x="4775200" y="16363950"/>
          <a:ext cx="403225" cy="323850"/>
        </a:xfrm>
        <a:prstGeom prst="roundRect">
          <a:avLst/>
        </a:prstGeom>
        <a:solidFill>
          <a:srgbClr val="2E75B6"/>
        </a:solidFill>
        <a:ln w="19050" cap="flat" cmpd="sng" algn="ctr">
          <a:solidFill>
            <a:srgbClr val="1F4E7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🔓 Abrir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1066800</xdr:colOff>
      <xdr:row>0</xdr:row>
      <xdr:rowOff>12700</xdr:rowOff>
    </xdr:from>
    <xdr:to>
      <xdr:col>2</xdr:col>
      <xdr:colOff>1511300</xdr:colOff>
      <xdr:row>0</xdr:row>
      <xdr:rowOff>457200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B97CC7-BC08-1AB2-5056-0D26981A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6800" y="12700"/>
          <a:ext cx="444500" cy="444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1066800</xdr:colOff>
      <xdr:row>0</xdr:row>
      <xdr:rowOff>12700</xdr:rowOff>
    </xdr:from>
    <xdr:to>
      <xdr:col>2</xdr:col>
      <xdr:colOff>1511300</xdr:colOff>
      <xdr:row>0</xdr:row>
      <xdr:rowOff>457200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04526C-EB91-4ACA-B5B9-E48446C92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6800" y="12700"/>
          <a:ext cx="444500" cy="444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35722</xdr:colOff>
      <xdr:row>3</xdr:row>
      <xdr:rowOff>8780</xdr:rowOff>
    </xdr:from>
    <xdr:to>
      <xdr:col>23</xdr:col>
      <xdr:colOff>769</xdr:colOff>
      <xdr:row>10</xdr:row>
      <xdr:rowOff>2903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E6D2DC-D00F-416F-9C93-46A775D9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972" y="459630"/>
          <a:ext cx="3540097" cy="10799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84978</xdr:colOff>
      <xdr:row>8</xdr:row>
      <xdr:rowOff>80341</xdr:rowOff>
    </xdr:from>
    <xdr:to>
      <xdr:col>69</xdr:col>
      <xdr:colOff>19506</xdr:colOff>
      <xdr:row>20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0AD20A-7D68-4EDD-9EDC-9781D288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778" y="1350341"/>
          <a:ext cx="7745028" cy="18246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76633</xdr:colOff>
      <xdr:row>2</xdr:row>
      <xdr:rowOff>171605</xdr:rowOff>
    </xdr:from>
    <xdr:to>
      <xdr:col>27</xdr:col>
      <xdr:colOff>6493</xdr:colOff>
      <xdr:row>12</xdr:row>
      <xdr:rowOff>21431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63F801-8970-436F-8DA4-2F97A4C3C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433" y="438305"/>
          <a:ext cx="3733510" cy="14881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39444</xdr:colOff>
      <xdr:row>5</xdr:row>
      <xdr:rowOff>35178</xdr:rowOff>
    </xdr:from>
    <xdr:to>
      <xdr:col>107</xdr:col>
      <xdr:colOff>103107</xdr:colOff>
      <xdr:row>19</xdr:row>
      <xdr:rowOff>136231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323B2E-C945-4004-B136-FF8E03790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94" y="828928"/>
          <a:ext cx="9601363" cy="23235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matelce-my.sharepoint.com/personal/stefanny_serafim_normatel_com_br/Documents/Documentos/0.%20PROCEDIMENTOS%20NORMATEL/5.%20ORGANOGRAMA/FG-INTEG-001-%20ORGANOGRAMA%20NORMATEL%20(version%206)%20Definitivo%20(3).xlsx" TargetMode="External"/><Relationship Id="rId1" Type="http://schemas.openxmlformats.org/officeDocument/2006/relationships/externalLinkPath" Target="https://normatelce-my.sharepoint.com/personal/stefanny_serafim_normatel_com_br/Documents/Documentos/0.%20PROCEDIMENTOS%20NORMATEL/5.%20ORGANOGRAMA/FG-INTEG-001-%20ORGANOGRAMA%20NORMATEL%20(version%206)%20Definitivo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zeS55oFvUCqcZYykQmTD8Kbzwz2EddNkcb_CZ0q-ygFpe1ozq7eS6HdbkfouTej" itemId="01UDWDWX7A53N3VNKTYZFYPXC2WMOXS6VE">
      <xxl21:absoluteUrl r:id="rId2"/>
    </xxl21:alternateUrls>
    <sheetNames>
      <sheetName val="Plan1"/>
      <sheetName val="Organograma 681"/>
      <sheetName val="Planilha2"/>
      <sheetName val="01 - EFETIVO 737"/>
      <sheetName val="02 - ORGANOGRAMA RESUMIDO -737 "/>
      <sheetName val="03 - FG-INTEG-001-737"/>
      <sheetName val="04 - EFETIVO 736"/>
      <sheetName val="Organograma (2)"/>
      <sheetName val="05 - ORGANOGRAMA RESUMIDO -736"/>
      <sheetName val="06 - FG-INTEG-001-736"/>
      <sheetName val="Resumo"/>
    </sheetNames>
    <sheetDataSet>
      <sheetData sheetId="0"/>
      <sheetData sheetId="1"/>
      <sheetData sheetId="2"/>
      <sheetData sheetId="3"/>
      <sheetData sheetId="4"/>
      <sheetData sheetId="5">
        <row r="39">
          <cell r="LX39">
            <v>0.5</v>
          </cell>
        </row>
        <row r="43">
          <cell r="JW43">
            <v>0.5</v>
          </cell>
        </row>
        <row r="46">
          <cell r="JQ46">
            <v>0.5</v>
          </cell>
          <cell r="MG46">
            <v>11</v>
          </cell>
        </row>
        <row r="50">
          <cell r="BL50">
            <v>3</v>
          </cell>
          <cell r="CM50">
            <v>28</v>
          </cell>
          <cell r="DN50">
            <v>14</v>
          </cell>
          <cell r="EC50">
            <v>1.5</v>
          </cell>
          <cell r="GK50">
            <v>17</v>
          </cell>
          <cell r="IL50">
            <v>5</v>
          </cell>
          <cell r="JA50">
            <v>3</v>
          </cell>
        </row>
        <row r="53">
          <cell r="KA53">
            <v>0.5</v>
          </cell>
          <cell r="KO53">
            <v>6</v>
          </cell>
        </row>
        <row r="56">
          <cell r="NS56">
            <v>6.5</v>
          </cell>
        </row>
        <row r="59">
          <cell r="MP59">
            <v>1</v>
          </cell>
        </row>
        <row r="60">
          <cell r="JA60">
            <v>3</v>
          </cell>
        </row>
        <row r="115">
          <cell r="AZ115">
            <v>26</v>
          </cell>
          <cell r="CA115">
            <v>23</v>
          </cell>
          <cell r="DN115">
            <v>29</v>
          </cell>
          <cell r="EO115">
            <v>11</v>
          </cell>
          <cell r="FW115">
            <v>23</v>
          </cell>
          <cell r="IV115">
            <v>102</v>
          </cell>
          <cell r="MJ115">
            <v>37</v>
          </cell>
          <cell r="PN115">
            <v>84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briel Serafim da Cruz" id="{979EBF73-40DD-4CEB-8CF8-363279F78F5F}" userId="S::gabriel.cruz@normatel.com.br::b2311ed2-3700-4565-860a-23f2bedb1fc5" providerId="AD"/>
  <person displayName="Renata Moreira Tavares" id="{0AD26835-E74A-4A84-A9C5-43B304D5F5E0}" userId="S::renata.tavares@normatel.com.br::59e13713-9489-4a4a-9fa3-657444ca2360" providerId="AD"/>
  <person displayName="Stefanny Farias de Oliveira Serafim" id="{D244C915-14E6-4A5D-B745-FB3EFE209052}" userId="S::stefanny.serafim@normatel.com.br::c7667fea-329e-438c-9a2f-3da977ab32ea" providerId="AD"/>
  <person displayName="Lucas Goes Teles - PrestServ" id="{44FAC235-FB7C-4955-9528-4109A1E2ACC0}" userId="S::lucas.goes.prestserv@petrobras.com.br::ba4dce77-0753-4289-9e0f-26e4985e7d6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7C1D7-59E2-4218-BB97-1341FD4A81F6}" name="Tabela1" displayName="Tabela1" ref="A1:J1919" totalsRowShown="0" headerRowDxfId="13" headerRowBorderDxfId="12">
  <autoFilter ref="A1:J1919" xr:uid="{AF17C1D7-59E2-4218-BB97-1341FD4A81F6}">
    <filterColumn colId="1">
      <filters>
        <filter val="ERICK VINICIUS SAO PEDRO DOS SANTOS"/>
        <filter val="FELIPE VINICIUS ANDRADE BENTO"/>
        <filter val="GABRIEL VINICIUS FREITAS VELASCO"/>
        <filter val="JOAO VINICIUS PACHECO DE PAULA"/>
        <filter val="MARCIO VINICIUS MORAES DA SILVA"/>
        <filter val="MARCOS VINICIUS ANDRE DA SILVA CRUZ"/>
        <filter val="MARCOS VINICIUS SILVA"/>
        <filter val="MARCOS VINICIUS SOUZA DOS SANTOS"/>
        <filter val="MARCUS VINICIUS NOGUEIRA ALVES"/>
        <filter val="MARCUS VINICIUS ROCHA DA SILVA"/>
        <filter val="MARCUS VINICIUS TAVARES CHAGAS"/>
        <filter val="PAULO VINICIUS RODRIGUES MEIRELES"/>
        <filter val="VINICIUS ESTRELLA COLLYER"/>
        <filter val="VINICIUS FERNANDES LUIZ"/>
        <filter val="VINICIUS VIEIRA DUVIRGENS"/>
      </filters>
    </filterColumn>
    <filterColumn colId="6">
      <filters>
        <filter val="A"/>
        <filter val="C"/>
        <filter val="E"/>
        <filter val="F"/>
        <filter val="M"/>
      </filters>
    </filterColumn>
  </autoFilter>
  <sortState xmlns:xlrd2="http://schemas.microsoft.com/office/spreadsheetml/2017/richdata2" ref="A5:J710">
    <sortCondition ref="C5:C1919"/>
  </sortState>
  <tableColumns count="10">
    <tableColumn id="1" xr3:uid="{468F03ED-B1A9-4E4B-B0FE-4A7F56C02CCA}" name="CHAPA" dataDxfId="16"/>
    <tableColumn id="2" xr3:uid="{9007E3FD-DC57-42A7-8CDF-4826F1561EA0}" name="NOME"/>
    <tableColumn id="3" xr3:uid="{6E27BFEC-2A47-41B7-855E-3B6D6F9CDE4A}" name="FUNÇÃO"/>
    <tableColumn id="4" xr3:uid="{611F6785-9224-4264-A789-5A4B1D65EE28}" name="CPF"/>
    <tableColumn id="5" xr3:uid="{1195ECD9-24BF-489B-A864-FD11B5B4B65E}" name="ADMISSÃO" dataDxfId="15"/>
    <tableColumn id="6" xr3:uid="{170CE05C-17FC-487E-B16B-8A44903C1CAF}" name="DEMISSÃO" dataDxfId="14"/>
    <tableColumn id="7" xr3:uid="{CCC1A376-A4C8-45C0-866E-C3DCEA3E1269}" name="SIT"/>
    <tableColumn id="8" xr3:uid="{865181F7-4B4B-4002-A5D3-72A7A6C36154}" name="PROJETO"/>
    <tableColumn id="9" xr3:uid="{D7A283EF-85CE-435D-A99A-92389B688729}" name="BASE"/>
    <tableColumn id="10" xr3:uid="{E6415124-FAF6-4BF3-9B96-EB01816C38FF}" name="CARTEIRA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T29" dT="2026-05-14T15:01:47.78" personId="{D244C915-14E6-4A5D-B745-FB3EFE209052}" id="{D80B269C-CFEE-4938-80DA-677E5575BDAD}">
    <text>FERNANDO MARCOS CARVALHO DA SILVA
Desligado.</text>
  </threadedComment>
  <threadedComment ref="M65" dT="2026-05-11T14:27:19.23" personId="{D244C915-14E6-4A5D-B745-FB3EFE209052}" id="{F3197A84-C662-470F-B923-9975A9A5CFFB}">
    <text>OTAVIO MEDEIROS PARREIRA
Desligado: maio</text>
  </threadedComment>
  <threadedComment ref="AX65" dT="2026-05-11T16:37:17.65" personId="{D244C915-14E6-4A5D-B745-FB3EFE209052}" id="{96AEE005-6107-4960-801F-DE4B0AFAF1C8}">
    <text>JADSON CAETANO DOS REIS
Desligado</text>
  </threadedComment>
  <threadedComment ref="EB67" dT="2026-05-11T17:04:30.97" personId="{D244C915-14E6-4A5D-B745-FB3EFE209052}" id="{735F51DE-657E-4C60-9BD4-901301219C5C}">
    <text>EDINEIDE PAULINA DOS SANTOS
INSS</text>
  </threadedComment>
  <threadedComment ref="AA73" dT="2026-05-11T14:28:12.65" personId="{D244C915-14E6-4A5D-B745-FB3EFE209052}" id="{57AD9AED-EEB7-4CB2-AD05-AB09474DD765}">
    <text>MACKSON MARINS BRAGA
Transf. Civil - Maio</text>
  </threadedComment>
  <threadedComment ref="DE75" dT="2026-05-22T17:09:09.58" personId="{D244C915-14E6-4A5D-B745-FB3EFE209052}" id="{7AE1ED89-47A0-4F2E-B886-324A9B5A3CC4}">
    <text>LUCAS MACEDO SIQUEIRA
Transferido para a UTE.</text>
  </threadedComment>
  <threadedComment ref="EB79" dT="2026-05-15T14:46:49.89" personId="{D244C915-14E6-4A5D-B745-FB3EFE209052}" id="{8C33AE0C-3D5E-4A7A-84F9-2949FF2CEF0A}">
    <text>ELISANGELA CARVALHO ROCHA
Desligamento:</text>
  </threadedComment>
  <threadedComment ref="BH81" dT="2026-05-16T15:51:23.73" personId="{D244C915-14E6-4A5D-B745-FB3EFE209052}" id="{537B7F9A-3BC6-4988-ADBC-D4FD0A1219F7}">
    <text>FLAVIO RENATO DE SOUZA
Desligar</text>
  </threadedComment>
  <threadedComment ref="BH83" dT="2026-05-16T15:51:23.73" personId="{D244C915-14E6-4A5D-B745-FB3EFE209052}" id="{111637F6-3572-46BD-9A3F-028D2DBDFD05}">
    <text>FABIO SILVA ALVARENGA
Desligado</text>
  </threadedComment>
  <threadedComment ref="EB85" dT="2026-05-11T17:11:30.04" personId="{D244C915-14E6-4A5D-B745-FB3EFE209052}" id="{D8E172B0-B169-41BA-B6FC-F1F5A5EA8529}">
    <text>DAMARYS ANDRE DO AMARAL SOUZA
Desligar.</text>
  </threadedComment>
  <threadedComment ref="BP110" dT="2026-05-12T12:45:59.38" personId="{D244C915-14E6-4A5D-B745-FB3EFE209052}" id="{FACFC63D-B084-4FC9-9F82-F9DAB8C0BAD5}">
    <text>Transferir custo para 741</text>
  </threadedComment>
  <threadedComment ref="BZ113" dT="2026-05-14T18:56:48.94" personId="{D244C915-14E6-4A5D-B745-FB3EFE209052}" id="{701F717E-8E25-42CF-946F-A5E2DF4B1138}">
    <text>LUDIMILLA GONCALVES AMARAL PINHEIRO DE MELO
Desligamento: 14/05/2026</text>
  </threadedComment>
  <threadedComment ref="DO125" dT="2026-05-22T17:13:16.02" personId="{D244C915-14E6-4A5D-B745-FB3EFE209052}" id="{ADFDF3EA-10A2-4E80-AD2A-4540179F065E}">
    <text>Desligar
Substituição em andamento</text>
  </threadedComment>
  <threadedComment ref="EB125" dT="2026-05-11T17:19:18.13" personId="{D244C915-14E6-4A5D-B745-FB3EFE209052}" id="{1047896B-D358-495F-8906-F34CE2EABA4D}">
    <text>FABRICIO LEANDRO DA ROCHA
Desligado</text>
  </threadedComment>
  <threadedComment ref="DO127" dT="2026-05-22T17:17:05.71" personId="{D244C915-14E6-4A5D-B745-FB3EFE209052}" id="{1645E972-3173-4E87-8BF0-108FB1513D5A}">
    <text xml:space="preserve">Desligar
Substituição em andamento
</text>
  </threadedComment>
  <threadedComment ref="Z128" dT="2026-05-12T12:36:47.13" personId="{D244C915-14E6-4A5D-B745-FB3EFE209052}" id="{F8FBD59D-44B1-45DB-92A8-DA4E87979658}">
    <text>GABRIEL CARVALHO CALIXTO
Desligado</text>
  </threadedComment>
  <threadedComment ref="EB141" dT="2026-05-11T17:20:13.29" personId="{D244C915-14E6-4A5D-B745-FB3EFE209052}" id="{C76E3924-715C-492E-AA18-07B37E724425}">
    <text>ALESSANDRO FONTES CABRAL
Desligado: fev</text>
  </threadedComment>
  <threadedComment ref="BK143" dT="2026-05-12T13:09:58.58" personId="{D244C915-14E6-4A5D-B745-FB3EFE209052}" id="{936A453D-96A8-4BC0-A004-1B47845CB4AF}">
    <text>APOIO MACAÉ</text>
  </threadedComment>
  <threadedComment ref="BV144" dT="2026-05-12T12:57:29.41" personId="{D244C915-14E6-4A5D-B745-FB3EFE209052}" id="{D71C88A7-CB06-459B-AD70-B01E9091E58C}">
    <text>WALLACE DE OLIVEIRA CARVALHO
Desligado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K42" dT="2026-05-13T17:29:22.95" personId="{D244C915-14E6-4A5D-B745-FB3EFE209052}" id="{093BCADB-6BD8-41D3-8135-2FF588A97204}">
    <text>LEONARDO LUCAS
Transferido 741</text>
  </threadedComment>
  <threadedComment ref="IA48" dT="2026-05-14T15:18:11.41" personId="{D244C915-14E6-4A5D-B745-FB3EFE209052}" id="{21F9093B-C37C-42EC-81DB-A27551568585}">
    <text>AUMENTO DE QUADRO</text>
  </threadedComment>
  <threadedComment ref="CR88" dT="2026-05-19T12:58:15.67" personId="{D244C915-14E6-4A5D-B745-FB3EFE209052}" id="{05A7E501-A163-41C1-A57A-22ABAB32E4FC}">
    <text>promoção interna</text>
  </threadedComment>
  <threadedComment ref="HS90" dT="2026-05-18T19:45:36.87" personId="{D244C915-14E6-4A5D-B745-FB3EFE209052}" id="{85219DA7-FA44-4639-A5F9-844E6F0C9F1E}">
    <text>ALDEMIR SCHWARTZ
Desligado</text>
  </threadedComment>
  <threadedComment ref="CI92" dT="2026-05-13T17:11:00.19" personId="{D244C915-14E6-4A5D-B745-FB3EFE209052}" id="{13CD5A55-EC34-4462-956C-7EB4267BDC01}">
    <text xml:space="preserve">ALESSANDRO PEREIRA BORGES
Promovido e transf. </text>
  </threadedComment>
  <threadedComment ref="CR94" dT="2026-05-13T17:11:00.19" personId="{D244C915-14E6-4A5D-B745-FB3EFE209052}" id="{AFA9382F-7714-4FBB-AAA3-200A0F4A0F53}">
    <text xml:space="preserve">rhay diniz bueno madureira
Promovido e transf. </text>
  </threadedComment>
  <threadedComment ref="KO97" dT="2026-05-18T17:27:05.22" personId="{D244C915-14E6-4A5D-B745-FB3EFE209052}" id="{08B27ED8-F34D-4545-8291-CE589BEDE685}">
    <text>APOIO MACAE</text>
  </threadedComment>
  <threadedComment ref="BW98" dT="2026-05-13T17:10:32.87" personId="{D244C915-14E6-4A5D-B745-FB3EFE209052}" id="{6FF79BE8-33F5-4C21-9618-A15B9E8CEFEB}">
    <text>Promoção: 05/2026</text>
  </threadedComment>
  <threadedComment ref="FR98" dT="2026-05-18T14:32:05.68" personId="{D244C915-14E6-4A5D-B745-FB3EFE209052}" id="{2D1589E8-BF8F-4B7D-A36E-6F34AED59991}">
    <text>LUIZ CESAR MADUREIRA NEVES
Promovido: Pintura</text>
  </threadedComment>
  <threadedComment ref="GA100" dT="2026-05-18T14:11:46.21" personId="{D244C915-14E6-4A5D-B745-FB3EFE209052}" id="{20DEA7ED-B4C9-4610-8B33-E57ABAEA5BE6}">
    <text>IGOR DA SILVA BARBOZA
Desligado</text>
  </threadedComment>
  <threadedComment ref="IC108" dT="2026-05-18T19:47:52.78" personId="{D244C915-14E6-4A5D-B745-FB3EFE209052}" id="{482F5088-0159-4862-A99D-9775380CEA44}">
    <text>PEDRO HENRIQUE SANTOS GORNI DE JESUS
INSS</text>
  </threadedComment>
  <threadedComment ref="EZ110" dT="2026-05-18T14:33:03.76" personId="{D244C915-14E6-4A5D-B745-FB3EFE209052}" id="{B06422C7-06FD-4161-B1CC-AFFACF0783CB}">
    <text>JORDAN CADIMO
Promovido</text>
  </threadedComment>
  <threadedComment ref="IM110" dT="2026-05-18T19:24:14.15" personId="{D244C915-14E6-4A5D-B745-FB3EFE209052}" id="{93A046C4-5406-454F-BC63-7C5B77418B2C}">
    <text>GUILHERME DA SILVA FERREIRA DE PAULA
Desligado</text>
  </threadedComment>
  <threadedComment ref="IM112" dT="2026-05-18T19:37:29.59" personId="{D244C915-14E6-4A5D-B745-FB3EFE209052}" id="{9AAB3180-82E2-46E2-8849-582129AB5F5B}">
    <text>LUIZ FELIPE VIANA DE OLIVEIRA
Desligado</text>
  </threadedComment>
  <threadedComment ref="IW112" dT="2026-05-18T19:24:40.61" personId="{D244C915-14E6-4A5D-B745-FB3EFE209052}" id="{E1FCCC9F-4D88-45C4-8656-7688ECF552FF}">
    <text>TIAGO NUNES RITS
Desligado</text>
  </threadedComment>
  <threadedComment ref="HS114" dT="2026-05-18T19:25:34.30" personId="{D244C915-14E6-4A5D-B745-FB3EFE209052}" id="{14D4311C-2C04-4D5F-999E-1F6A5E831110}">
    <text>SALIM SELEM BICHARA
Desligado</text>
  </threadedComment>
  <threadedComment ref="IC114" dT="2026-05-18T19:22:56.70" personId="{D244C915-14E6-4A5D-B745-FB3EFE209052}" id="{A8B4C57F-F15E-428F-9166-189757F088F7}">
    <text>MATTEUS FREITAS LEITE BARRETO
Alistamento Militar</text>
  </threadedComment>
  <threadedComment ref="IM114" dT="2026-05-18T19:37:29.59" personId="{D244C915-14E6-4A5D-B745-FB3EFE209052}" id="{A4424D40-0FF2-4016-AB2F-49C05F009F9C}">
    <text>DOUGLAS VIANA DA FONSECA
Desligado</text>
  </threadedComment>
  <threadedComment ref="IC116" dT="2026-05-18T19:37:29.59" personId="{D244C915-14E6-4A5D-B745-FB3EFE209052}" id="{BB20DF94-711E-497D-9913-28F37439E579}">
    <text>MATHEUS DOS ANJOS SILVA
Desligado</text>
  </threadedComment>
  <threadedComment ref="IM116" dT="2026-05-18T19:37:29.59" personId="{D244C915-14E6-4A5D-B745-FB3EFE209052}" id="{7E786BAC-6037-41F9-B4CA-238F9700D549}">
    <text>MARCIO ANDRE FERREIRA
Desligado</text>
  </threadedComment>
  <threadedComment ref="IW116" dT="2026-05-18T19:37:29.59" personId="{D244C915-14E6-4A5D-B745-FB3EFE209052}" id="{47755982-2D5D-4F9C-BF1D-829E46DA0A01}">
    <text>FELIPE GABRIEL DO CARMO SANTOS
Desligado</text>
  </threadedComment>
  <threadedComment ref="FI128" dT="2026-05-18T15:12:44.95" personId="{979EBF73-40DD-4CEB-8CF8-363279F78F5F}" id="{078BA6BF-331E-4C3B-A8E9-F0765D6AB567}">
    <text>DAVID CABRAL DA SILVA
INSS</text>
  </threadedComment>
  <threadedComment ref="FI130" dT="2026-05-18T15:13:11.33" personId="{979EBF73-40DD-4CEB-8CF8-363279F78F5F}" id="{0A25F718-7D10-4DEF-B428-2829AAF3E8D3}">
    <text>JONATHAN PESSANHA DA CRUZ
INSS</text>
  </threadedComment>
  <threadedComment ref="EZ136" dT="2026-05-18T14:28:58.13" personId="{D244C915-14E6-4A5D-B745-FB3EFE209052}" id="{1902D6F7-5A3C-418F-8161-0142B36520FF}">
    <text>DIEGO COSTA SANTANA MADUREIRA
INSS</text>
  </threadedComment>
  <threadedComment ref="FR169" dT="2026-05-18T19:34:32.25" personId="{D244C915-14E6-4A5D-B745-FB3EFE209052}" id="{E2B366CC-0B9F-4249-8A0F-CBB67A417ADB}">
    <text>PAULO SANTOS DANTAS
Afastado pelo INSS.</text>
  </threadedComment>
  <threadedComment ref="GE169" dT="2026-05-18T18:55:26.47" personId="{D244C915-14E6-4A5D-B745-FB3EFE209052}" id="{0FC0E859-9217-4469-82A7-DF54A5F00564}">
    <text>OLAVO VITOR PEREIRA MIGUEL
Desligamento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E19" dT="2026-05-16T18:14:57.85" personId="{D244C915-14E6-4A5D-B745-FB3EFE209052}" id="{AB9F8654-5865-49C6-8957-BCC414111637}">
    <text>Organograma 737</text>
  </threadedComment>
  <threadedComment ref="BN19" dT="2026-05-16T18:14:49.85" personId="{D244C915-14E6-4A5D-B745-FB3EFE209052}" id="{3F9A6410-DF71-4F31-AFFF-410F494FFB34}">
    <text>Organograma 741</text>
  </threadedComment>
  <threadedComment ref="AU21" dT="2026-05-16T18:15:08.10" personId="{D244C915-14E6-4A5D-B745-FB3EFE209052}" id="{1A1D51BE-C329-4036-A1F7-56A903B1CAAF}">
    <text>Organograma 736</text>
  </threadedComment>
  <threadedComment ref="BN21" dT="2026-05-16T18:14:49.85" personId="{D244C915-14E6-4A5D-B745-FB3EFE209052}" id="{DF58760D-8397-4C4B-B8DE-473B05405BFC}">
    <text>Organograma 743</text>
  </threadedComment>
  <threadedComment ref="AU28" dT="2026-05-16T18:16:03.32" personId="{D244C915-14E6-4A5D-B745-FB3EFE209052}" id="{42422A99-C344-4156-ACDB-A789675FFE0B}">
    <text>Organograma 741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A57" dT="2025-10-29T19:51:30.75" personId="{D244C915-14E6-4A5D-B745-FB3EFE209052}" id="{038A2BFB-0B82-45DC-A1E0-B7679A2A8A71}">
    <text>Vaga de: SAMARA APARECIDA DA SILVA
Desligada</text>
  </threadedComment>
  <threadedComment ref="IP57" dT="2025-11-19T19:56:01.52" personId="{D244C915-14E6-4A5D-B745-FB3EFE209052}" id="{1F9B8CCE-353A-41AB-8065-04A01D88C465}">
    <text>Admissão: 18/11/2025</text>
  </threadedComment>
  <threadedComment ref="LA59" dT="2026-03-04T16:14:32.80" personId="{D244C915-14E6-4A5D-B745-FB3EFE209052}" id="{27DDA714-805E-4C71-A805-AB292EBAB32C}">
    <text>BEATRIZ VALENTIM CAETANO DE OLIVEIRA 
Promoção: 03/2026</text>
  </threadedComment>
  <threadedComment ref="LL59" dT="2026-03-04T16:16:33.62" personId="{D244C915-14E6-4A5D-B745-FB3EFE209052}" id="{94BAD2E3-B667-4E93-A693-93BA9EEC3177}">
    <text>Admissão: 24/03/2026
ANA CRISTINA CONCEICAO DE MACEDO
Desligamento: programar</text>
  </threadedComment>
  <threadedComment ref="IA60" dT="2025-12-10T10:21:27.33" personId="{D244C915-14E6-4A5D-B745-FB3EFE209052}" id="{3C54A1AF-552A-4411-A563-25796F9940AD}">
    <text>MARCIO DOS SANTOS
Desligamento: 09/12/2025</text>
  </threadedComment>
  <threadedComment ref="KE60" dT="2025-12-09T19:41:59.59" personId="{D244C915-14E6-4A5D-B745-FB3EFE209052}" id="{EB0E4946-61E4-4E1D-B68D-D87767505EB4}">
    <text xml:space="preserve">VICTOR HUGO VALENTIM SILVA
Desligamento
</text>
  </threadedComment>
  <threadedComment ref="MP60" dT="2026-01-21T17:53:27.25" personId="{D244C915-14E6-4A5D-B745-FB3EFE209052}" id="{F74230BE-222D-465C-AF17-9428122FA983}">
    <text>ALINE COUTINHO
Demissão: 20/01/2026</text>
  </threadedComment>
  <threadedComment ref="KE62" dT="2026-04-28T12:47:40.31" personId="{D244C915-14E6-4A5D-B745-FB3EFE209052}" id="{403481C7-9AB3-4147-B065-A45426FABB50}">
    <text xml:space="preserve">Substituição em andamento.
</text>
  </threadedComment>
  <threadedComment ref="NH63" dT="2026-04-23T12:50:26.20" personId="{D244C915-14E6-4A5D-B745-FB3EFE209052}" id="{6D697168-4C44-41AA-80D0-9025CD956C9E}">
    <text>CLEIDIR FURTUOSO DE AZEREDO
Desligar.</text>
  </threadedComment>
  <threadedComment ref="KE64" dT="2026-04-23T15:04:27.27" personId="{D244C915-14E6-4A5D-B745-FB3EFE209052}" id="{B76F226A-657F-4B90-AE69-483C79EBCD8E}">
    <text>GLAUBER DE JESUS SILVA
Desligado: 09/04/2026</text>
  </threadedComment>
  <threadedComment ref="KE66" dT="2025-10-17T14:17:39.68" personId="{D244C915-14E6-4A5D-B745-FB3EFE209052}" id="{B07825A3-FF4D-4DCD-9D08-11307DD43E3F}">
    <text>Admissão: 13/10/2025</text>
  </threadedComment>
  <threadedComment ref="IP67" dT="2025-11-19T19:56:08.80" personId="{D244C915-14E6-4A5D-B745-FB3EFE209052}" id="{C3FE2E8A-5B73-4C49-A0AD-C3A5120EC487}">
    <text>MARIA CARLA PESSANHA ATTYE MOCO
Demissão: 13/02/2026</text>
  </threadedComment>
  <threadedComment ref="EI69" dT="2025-12-09T14:19:10.63" personId="{D244C915-14E6-4A5D-B745-FB3EFE209052}" id="{7851F489-8E05-4A71-A0DE-531D21FC89E1}">
    <text>YURI ARAUJO FERREIRA DE SIQUEIRA
Desligamento: 19/11/2025</text>
  </threadedComment>
  <threadedComment ref="ET71" dT="2026-01-09T11:43:32.86" personId="{D244C915-14E6-4A5D-B745-FB3EFE209052}" id="{42990CD0-EA34-444D-AF08-EFBFC4011F3E}">
    <text>FELIPE MENDES DA CUNHA
Desligamento: 09/01/2026</text>
  </threadedComment>
  <threadedComment ref="FP71" dT="2026-04-13T11:03:56.80" personId="{D244C915-14E6-4A5D-B745-FB3EFE209052}" id="{D57133A6-857C-4E8F-9939-8CA46B31A556}">
    <text>THAIS DAMASCO DIAS
Desligamento: 23/03/2026
admissão: 04/05/2026</text>
  </threadedComment>
  <threadedComment ref="NH71" dT="2026-02-10T11:36:24.69" personId="{D244C915-14E6-4A5D-B745-FB3EFE209052}" id="{866F5B40-E9DE-4538-A362-ED60C5863B99}">
    <text>THAIS BEZERRA PINTO SANTANA</text>
  </threadedComment>
  <threadedComment ref="ET73" dT="2026-04-27T11:29:09.13" personId="{D244C915-14E6-4A5D-B745-FB3EFE209052}" id="{969AB761-D3AC-4C96-B13B-F855DC855DD2}">
    <text>GABRIELA SOARES LIMA DA CONCEIÇÃO
Promoção: 06/2026
admissão: 04/05/2026</text>
  </threadedComment>
  <threadedComment ref="NH73" dT="2026-05-07T17:35:06.25" personId="{D244C915-14E6-4A5D-B745-FB3EFE209052}" id="{4BB118C1-C366-4B4B-AD14-D2160596D677}">
    <text>UELDSON BARRETO
Desligar.
Admissão: 04/05/2026</text>
  </threadedComment>
  <threadedComment ref="BQ74" dT="2026-02-12T13:14:13.28" personId="{D244C915-14E6-4A5D-B745-FB3EFE209052}" id="{7A4E2C52-05E6-4C5A-B57D-38D0B089F860}">
    <text>MATEUS ANDRE DA SILVA CRUZ
Em teste
Admissão: 09/03/2026</text>
  </threadedComment>
  <threadedComment ref="BQ81" dT="2026-02-12T13:12:56.08" personId="{D244C915-14E6-4A5D-B745-FB3EFE209052}" id="{7996D590-ECE0-4227-96F7-01BFD539B450}">
    <text>Josué Fernandes Cirilo
Aviso prévio</text>
  </threadedComment>
  <threadedComment ref="BQ85" dT="2026-02-23T16:35:49.25" personId="{D244C915-14E6-4A5D-B745-FB3EFE209052}" id="{99A136E6-DA98-4ABA-B38E-83E8A8153E7F}">
    <text>GIOVANNI MORAIS DE SOUZA
Desligamento: 02/04/2026
Admissão: 03/03/2026</text>
  </threadedComment>
  <threadedComment ref="CC87" dT="2025-12-10T10:20:35.42" personId="{D244C915-14E6-4A5D-B745-FB3EFE209052}" id="{757AD38C-A8F9-4574-B91F-50E440A4CED4}">
    <text>EGIDIO FRANCISCO DA SILVA FILHO
Desligamento: 08/12/2025</text>
  </threadedComment>
  <threadedComment ref="CC89" dT="2026-01-12T19:06:50.46" personId="{D244C915-14E6-4A5D-B745-FB3EFE209052}" id="{1193B852-6A0E-497C-931F-51EE3FF14273}">
    <text>Vaga de Hugo Cesar dos Santos
Promoção: Fev/2026</text>
  </threadedComment>
  <threadedComment ref="BK109" dT="2025-10-20T20:30:08.67" personId="{D244C915-14E6-4A5D-B745-FB3EFE209052}" id="{A25E4B09-98E9-4B0F-866C-B578A7404F27}">
    <text>Admissão: 20/10/2025.</text>
  </threadedComment>
  <threadedComment ref="KS109" dT="2025-10-29T11:54:21.34" personId="{D244C915-14E6-4A5D-B745-FB3EFE209052}" id="{4E79967F-3B08-479F-A6D4-84FF9C75DA52}">
    <text>Admissão: 10/12/2025
JANAINA DA SILVA CARDOSO
Desligamento: 03/11/2025.</text>
  </threadedComment>
  <threadedComment ref="GZ121" dT="2026-03-04T16:09:26.07" personId="{D244C915-14E6-4A5D-B745-FB3EFE209052}" id="{E1736610-97F9-42D2-8742-42DF63FFCC26}">
    <text>ALAN RESENDE DA SILVA
Transferido p 736: 03/2026</text>
  </threadedComment>
  <threadedComment ref="CR122" dT="2026-04-23T12:46:10.57" personId="{D244C915-14E6-4A5D-B745-FB3EFE209052}" id="{10A583E1-534F-41D8-BEB0-21DFE242E550}">
    <text>Admissão: 15/04/2026</text>
  </threadedComment>
  <threadedComment ref="GZ123" dT="2025-10-20T14:23:55.48" personId="{D244C915-14E6-4A5D-B745-FB3EFE209052}" id="{FD88945C-3AD3-495D-AEB5-E57B9A03FB15}">
    <text>VAGA DE ANTONIO CARLOS CARDOSO DE SOUZA
Transferido para Imbetiba.
Admissão: 06/03/2026</text>
  </threadedComment>
  <threadedComment ref="OC123" dT="2026-05-18T18:24:59.14" personId="{D244C915-14E6-4A5D-B745-FB3EFE209052}" id="{93929921-80F0-47F9-A4C2-92D4E3535A8E}">
    <text>JOÃO FRANCISCO DUARTE TAVARES
desligado</text>
  </threadedComment>
  <threadedComment ref="HM125" dT="2026-03-03T19:06:11.27" personId="{D244C915-14E6-4A5D-B745-FB3EFE209052}" id="{225A12B4-1F81-441E-B6B8-64EE770D435F}">
    <text>ALAN MOUZA DE CASTRO</text>
  </threadedComment>
  <threadedComment ref="IL125" dT="2025-12-09T19:42:58.23" personId="{D244C915-14E6-4A5D-B745-FB3EFE209052}" id="{9EE1E8DC-A10B-4AAC-AAF8-474AB16D2494}">
    <text>Admissão: 20/03/2026
BARBARA GLEISSY DA SILVA SANTOS BEIRAL
Desligamento: 08/12/2025</text>
  </threadedComment>
  <threadedComment ref="JA128" dT="2026-02-19T12:27:58.70" personId="{D244C915-14E6-4A5D-B745-FB3EFE209052}" id="{776270E6-504E-4745-B14A-979B857BD3D6}">
    <text>ADRIANO DE SOUZA BATISTA
Demissão: 12/09/2026</text>
  </threadedComment>
  <threadedComment ref="LO128" dT="2026-02-23T16:36:54.44" personId="{D244C915-14E6-4A5D-B745-FB3EFE209052}" id="{F9226C62-ED87-49C8-8AF9-70B2BEE1D351}">
    <text>Admissão: 19/03/2026
EMERSON DE AGUIAR PEREIRA
Desligamento: 19/02/2026</text>
  </threadedComment>
  <threadedComment ref="CF129" dT="2026-02-10T11:29:58.25" personId="{D244C915-14E6-4A5D-B745-FB3EFE209052}" id="{CCBF5C75-3883-4000-B99E-F6F24E5D09CD}">
    <text>GILBERTO AGUIAR DE SOUZA
Desligamento: 03/02/2026</text>
  </threadedComment>
  <threadedComment ref="CR129" dT="2026-05-20T17:27:56.00" personId="{D244C915-14E6-4A5D-B745-FB3EFE209052}" id="{F479E1C8-8222-424C-BC76-8E30B4126626}">
    <text>LUIZ ANTONIO DE SOUZA TAVARES
Desligado</text>
  </threadedComment>
  <threadedComment ref="EV129" dT="2026-04-13T11:04:51.77" personId="{D244C915-14E6-4A5D-B745-FB3EFE209052}" id="{66296D3A-B5DD-4008-A2EB-52CB110F70B4}">
    <text>ELI DA SILVA MOREIRA
Desligamento: 20/03/2026
Admissão: 16/04/2026</text>
  </threadedComment>
  <threadedComment ref="GA129" dT="2026-02-23T16:37:50.34" personId="{D244C915-14E6-4A5D-B745-FB3EFE209052}" id="{F77AFB3D-A139-4404-8DD0-9260E80A51A4}">
    <text>KEVEN MOURA CRIZANTO MARTINS
Desligamento: 19/02/2026</text>
  </threadedComment>
  <threadedComment ref="OP129" dT="2025-11-19T18:54:23.20" personId="{D244C915-14E6-4A5D-B745-FB3EFE209052}" id="{F3760FD4-38E7-4EA2-AF38-DA579D6B1374}">
    <text>THIAGO AMARAL DOS SANTOS
Desligado: 17/11/2025
Admissão: 17/12/2025</text>
  </threadedComment>
  <threadedComment ref="JA130" dT="2026-01-09T11:59:06.32" personId="{D244C915-14E6-4A5D-B745-FB3EFE209052}" id="{33371080-1FA2-4AC6-8AE3-AC3703F8F8C4}">
    <text>PAULO RENATO SOUZA DA COSTA
INSS: 24/11/2025</text>
  </threadedComment>
  <threadedComment ref="KH130" dT="2025-12-15T12:57:30.05" personId="{D244C915-14E6-4A5D-B745-FB3EFE209052}" id="{FF1BB523-DEC8-4545-BB58-8D186122ED3D}">
    <text>Vaga de Lara Abreu Monzato, transferida para o Planejamento.
Admissão: 05/01/2026</text>
  </threadedComment>
  <threadedComment ref="LO130" dT="2026-02-23T16:39:30.50" personId="{D244C915-14E6-4A5D-B745-FB3EFE209052}" id="{D4CBEAB3-0D03-4826-86D0-19E15B118589}">
    <text>Admissão: 19/03/2026
WALLACE EMANOEL SOARES COSTA
INSS: 19/01/2026</text>
  </threadedComment>
  <threadedComment ref="LZ130" dT="2026-01-28T13:21:22.62" personId="{D244C915-14E6-4A5D-B745-FB3EFE209052}" id="{A0B5FAEC-5A3C-4332-960A-3BB18E885AFF}">
    <text>Vaga de Pedro Henrique, transferido para Elétrica.</text>
  </threadedComment>
  <threadedComment ref="R131" dT="2026-01-09T11:38:16.78" personId="{D244C915-14E6-4A5D-B745-FB3EFE209052}" id="{2E45D96D-7B03-42E1-9EB6-F64B5A250CFF}">
    <text>LUCAS CRISTINO FONTES DA SILVA
Desligamento: 18/12/2025</text>
  </threadedComment>
  <threadedComment ref="AD131" dT="2026-01-28T13:17:47.56" personId="{D244C915-14E6-4A5D-B745-FB3EFE209052}" id="{5CE5C42B-DFCF-4ECF-9892-2200B20383D3}">
    <text>Admissão: 19/03/2026
PEDRO HERIQUE DE LIMA PASSOS SOUZA 									
Transferido para o 736</text>
  </threadedComment>
  <threadedComment ref="CR131" dT="2025-11-19T19:57:02.10" personId="{D244C915-14E6-4A5D-B745-FB3EFE209052}" id="{CD56EBD2-A197-4121-B90C-AB75D199FF11}">
    <text>Admissão: 18/11/2025</text>
  </threadedComment>
  <threadedComment ref="GA131" dT="2026-01-09T11:41:54.28" personId="{D244C915-14E6-4A5D-B745-FB3EFE209052}" id="{4B9032F8-0647-43E9-8D6D-E1976C5313F0}">
    <text>ALEXSANDRO DE OLIVEIRA MARINHO
Desligamento: 05/01/2026</text>
  </threadedComment>
  <threadedComment ref="HM131" dT="2026-04-13T11:05:29.87" personId="{D244C915-14E6-4A5D-B745-FB3EFE209052}" id="{45D88415-158F-469A-BB28-83E9F58F2BD3}">
    <text>ANA LUCIA PAULA DE MORAES NASCIMENTO
Desligamento: 20/03/2026</text>
  </threadedComment>
  <threadedComment ref="HZ131" dT="2026-04-13T11:06:12.84" personId="{D244C915-14E6-4A5D-B745-FB3EFE209052}" id="{2D6F2DFA-3FE9-40D9-BADD-1B9028736549}">
    <text>DEISE DOS SANTOS GOMES PIO
Desligamento: 23/03/2026
admissão: 04/05/2026</text>
  </threadedComment>
  <threadedComment ref="OC131" dT="2026-01-16T11:01:10.60" personId="{D244C915-14E6-4A5D-B745-FB3EFE209052}" id="{92890CD5-7A7A-40C8-A6F9-532A47EE45DA}">
    <text>RODRIGO QUINTELA QUEIROZ
Promovido: Fevereiro/2026.</text>
  </threadedComment>
  <threadedComment ref="JA132" dT="2025-12-10T18:09:18.05" personId="{D244C915-14E6-4A5D-B745-FB3EFE209052}" id="{474D6CAA-CCBF-4B5A-B34F-7C567F26F2E1}">
    <text>Admissão: 02/12/2025</text>
  </threadedComment>
  <threadedComment ref="KH132" dT="2026-01-16T10:51:33.06" personId="{D244C915-14E6-4A5D-B745-FB3EFE209052}" id="{C039BCA2-7B88-4F9B-A823-501125AAFF52}">
    <text>Promoção para fevereiro/2026.</text>
  </threadedComment>
  <threadedComment ref="KS132" dT="2026-04-13T10:31:10.44" personId="{D244C915-14E6-4A5D-B745-FB3EFE209052}" id="{280B1453-4AF8-43D5-9418-C54D2FF933F3}">
    <text>GABRIELLA ROSA AS SILVA DOS SANTOS
Demissão: 08/04/2026</text>
  </threadedComment>
  <threadedComment ref="LO132" dT="2025-12-10T18:10:00.83" personId="{D244C915-14E6-4A5D-B745-FB3EFE209052}" id="{A2D35FF8-4BA5-4A4D-8D42-AE1F981B8B71}">
    <text>Admissão: 02/12/2025</text>
  </threadedComment>
  <threadedComment ref="OP132" dT="2025-11-27T17:30:15.99" personId="{D244C915-14E6-4A5D-B745-FB3EFE209052}" id="{48CC1F51-3AD4-4467-A555-40362D11105D}">
    <text xml:space="preserve">ARVIDO BALANIUK
Transferido para 741.
Promoção: Fevereiro/2026.
</text>
  </threadedComment>
  <threadedComment ref="AP133" dT="2026-01-08T18:57:19.07" personId="{D244C915-14E6-4A5D-B745-FB3EFE209052}" id="{F6443796-A802-4936-87A9-1A54480C84EC}">
    <text>Admissão: 05/01/2026</text>
  </threadedComment>
  <threadedComment ref="HZ133" dT="2026-03-27T16:55:29.24" personId="{D244C915-14E6-4A5D-B745-FB3EFE209052}" id="{C04FF428-6100-4939-A900-2355901B6C81}">
    <text>DELZA MACHADO BEIRAL DA SILVA
Desligamento: 09/03/2026</text>
  </threadedComment>
  <threadedComment ref="BQ134" dT="2026-01-27T14:35:25.39" personId="{D244C915-14E6-4A5D-B745-FB3EFE209052}" id="{C671806D-78AA-4834-AB29-D0D0887B7CE0}">
    <text>ALEXANDRE DE CARVALHO CONCEICAO
Promovido para Mecânico na vaga do Rive.</text>
  </threadedComment>
  <threadedComment ref="LO134" dT="2025-12-10T18:10:20.11" personId="{D244C915-14E6-4A5D-B745-FB3EFE209052}" id="{C926B137-9E8E-46ED-B565-1B996BBEBA59}">
    <text>Admissão: 02/12/2025</text>
  </threadedComment>
  <threadedComment ref="R135" dT="2026-01-28T11:03:14.85" personId="{D244C915-14E6-4A5D-B745-FB3EFE209052}" id="{765E2DDE-DD90-420F-A714-FD0E7DA9833A}">
    <text>JOAO VITOR DE MORAES
Promoção à Eletricista: Março/2026.
Admissão: 09/03/2026</text>
  </threadedComment>
  <threadedComment ref="AD135" dT="2026-01-27T14:39:18.63" personId="{D244C915-14E6-4A5D-B745-FB3EFE209052}" id="{38D42D25-137F-4222-AFB3-C83B62911CEA}">
    <text>DOUGLAS DE ARAUJO  LISTO
Transferido para eletromecanica e promovido a Eletricista.</text>
  </threadedComment>
  <threadedComment ref="GA135" dT="2026-02-10T11:27:48.09" personId="{D244C915-14E6-4A5D-B745-FB3EFE209052}" id="{C23D40F0-96DB-4CFE-B1D5-64435D9B5071}">
    <text>FABRICIO DOS SANTOS
Desligamento: 02/02/2026
Admissão: 15/04/2026</text>
  </threadedComment>
  <threadedComment ref="BQ136" dT="2026-01-12T19:07:11.13" personId="{D244C915-14E6-4A5D-B745-FB3EFE209052}" id="{AE729A9E-9FE9-4025-B878-2C0FBC0683D9}">
    <text>Vaga de: Gilmar da Silva Pessoa
Transferido para 736.</text>
  </threadedComment>
  <threadedComment ref="JL136" dT="2025-10-20T14:25:17.50" personId="{D244C915-14E6-4A5D-B745-FB3EFE209052}" id="{DC6AE467-D4A1-40D4-AE34-5D0362A4085B}">
    <text>ICARO DANTAS DOS SANTOS
Desligado: 20/10/2025</text>
  </threadedComment>
  <threadedComment ref="LO136" dT="2025-12-10T18:10:33.20" personId="{D244C915-14E6-4A5D-B745-FB3EFE209052}" id="{27400B56-68E4-4716-AA53-64B0AC1EBB30}">
    <text>Admissão: 09/12/2025</text>
  </threadedComment>
  <threadedComment ref="CR137" dT="2025-10-17T14:13:14.31" personId="{D244C915-14E6-4A5D-B745-FB3EFE209052}" id="{74EA02CB-2505-470C-88BA-D9238BF3A9B7}">
    <text>DANIEL WILLIAN DE OLIVEIRA MARINHO
Desligado: 10/09/2025</text>
  </threadedComment>
  <threadedComment ref="MP137" dT="2026-01-06T13:55:19.65" personId="{D244C915-14E6-4A5D-B745-FB3EFE209052}" id="{1CEA8D3A-C202-4680-A9EB-21FE6D262806}">
    <text>INSS: JANEIRO
IVAN DE ALMEIDA DA SILVA 
Admissão: 09/03/2026</text>
  </threadedComment>
  <threadedComment ref="OC137" dT="2025-10-17T17:40:31.61" personId="{D244C915-14E6-4A5D-B745-FB3EFE209052}" id="{7CE6D488-BECA-42F2-BC8F-1DA6B76796D3}">
    <text>MARCO ANTONIO DE SOUSA
Afastamento INSS: 16/09/2025</text>
  </threadedComment>
  <threadedComment ref="DY138" dT="2025-10-20T14:22:02.09" personId="{D244C915-14E6-4A5D-B745-FB3EFE209052}" id="{72D45EBA-5A82-4488-9576-BB0CE1BA87D8}">
    <text>Vaga de: LUCIANO AUSTEN CANDIDO ROZA 
Desligado: 21/10/2025</text>
  </threadedComment>
  <threadedComment ref="JA138" dT="2025-11-27T12:49:05.73" personId="{D244C915-14E6-4A5D-B745-FB3EFE209052}" id="{A33F73C4-4195-4347-8D3F-29C7B281B0BA}">
    <text>Admissão: 03/12/2025
SERGIO LUIS DA SILVA E SILVA
Promovido para Eletricista - Refrigeração.</text>
  </threadedComment>
  <threadedComment ref="LO138" dT="2026-03-31T10:16:48.47" personId="{D244C915-14E6-4A5D-B745-FB3EFE209052}" id="{CAF0C840-3340-4999-9333-534E38F6D016}">
    <text>admissão: 19/03/2026</text>
  </threadedComment>
  <threadedComment ref="CR139" dT="2026-03-18T16:48:13.21" personId="{D244C915-14E6-4A5D-B745-FB3EFE209052}" id="{027D901E-AA1D-424A-B598-49C580CDAAF7}">
    <text>NELSON PEREIRA BRAGANCA FILHO
Desligamento: 09/03/2026</text>
  </threadedComment>
  <threadedComment ref="HM139" dT="2026-04-23T13:17:08.34" personId="{D244C915-14E6-4A5D-B745-FB3EFE209052}" id="{7D2B697E-4CA6-408D-A747-0A5305F2EB8D}">
    <text>EDIVANIA OLIVEIRA DE ALMEIDA
Pedido de demissão</text>
  </threadedComment>
  <threadedComment ref="JA140" dT="2026-01-27T14:36:49.86" personId="{D244C915-14E6-4A5D-B745-FB3EFE209052}" id="{74370B6F-6366-41A9-ABFF-630D93303582}">
    <text>RYAN WAGNER  OLIVEIRA CONCEIÇÃO
Transferido para Eletromecânica.</text>
  </threadedComment>
  <threadedComment ref="JL140" dT="2026-04-23T15:05:11.92" personId="{D244C915-14E6-4A5D-B745-FB3EFE209052}" id="{24078648-197D-43D6-B46C-C8B4EB70E569}">
    <text>WISLAN BEZERRA LEITE
Desligamento: 13/04/2026</text>
  </threadedComment>
  <threadedComment ref="OP140" dT="2026-03-18T16:24:29.25" personId="{D244C915-14E6-4A5D-B745-FB3EFE209052}" id="{074B98F0-82EC-460B-A439-D99D9E0CCB1D}">
    <text>Admissão: 19/03/2026
KEVIN DE ANDRADE RIBEIRO GOMES
Desligamento: 06/02/2026</text>
  </threadedComment>
  <threadedComment ref="DD141" dT="2026-04-06T10:15:44.16" personId="{D244C915-14E6-4A5D-B745-FB3EFE209052}" id="{3BA59ACF-36BB-466D-88CE-D1E97277892D}">
    <text>LUCIANO FERREIRA TAVARES JUNIOR
Desligado.</text>
  </threadedComment>
  <threadedComment ref="NP141" dT="2025-12-10T10:13:37.23" personId="{D244C915-14E6-4A5D-B745-FB3EFE209052}" id="{0A3455E3-739A-4355-8767-FCAE16D2153B}">
    <text>JOÃO CUSTÓDIO DA SILVA
Desligamento: 08/12/2025</text>
  </threadedComment>
  <threadedComment ref="BE142" dT="2026-01-21T18:30:25.50" personId="{D244C915-14E6-4A5D-B745-FB3EFE209052}" id="{BC79A5F7-AE5B-4141-9FB7-EE55CE2920EF}">
    <text>RIVE BARRETO
Demissão: 17/12/2025</text>
  </threadedComment>
  <threadedComment ref="JL142" dT="2026-02-23T16:33:01.29" personId="{D244C915-14E6-4A5D-B745-FB3EFE209052}" id="{E5095296-51D4-4042-9C32-9B72BB6C6B5E}">
    <text>DIEGO RIBEIRO DOS ANJOS DE ASSIS
Desligamento: 19/02/2026</text>
  </threadedComment>
  <threadedComment ref="NC143" dT="2026-01-12T11:16:32.68" personId="{D244C915-14E6-4A5D-B745-FB3EFE209052}" id="{D6C63E2F-BFF4-4169-9ACB-AD1F6078856B}">
    <text>Desligamento Natalino, vaga existente já era de Pedreiro e foi ocupada com o retorno do Bombeiro.</text>
  </threadedComment>
  <threadedComment ref="GZ145" dT="2025-12-10T18:16:50.72" personId="{D244C915-14E6-4A5D-B745-FB3EFE209052}" id="{BE55F079-D65B-4E4D-8A7B-7FF59BD7551B}">
    <text>NATHALIA FRAGA DA SILVA
Desligamento: 09/04/2026</text>
  </threadedComment>
  <threadedComment ref="HZ145" dT="2025-12-10T10:10:12.61" personId="{D244C915-14E6-4A5D-B745-FB3EFE209052}" id="{9EC32E60-87F6-4810-9C66-4C660DFC6C79}">
    <text>DARLENE XAVIER
Desligamento: 08/12/2025</text>
  </threadedComment>
  <threadedComment ref="PC145" dT="2026-04-13T11:01:00.23" personId="{D244C915-14E6-4A5D-B745-FB3EFE209052}" id="{9E078DBE-1C46-4FEC-A2F6-051655B2D328}">
    <text>NEIVALDO JOSE DE MORAES SILVA
Desligamento: 08/04/2026</text>
  </threadedComment>
  <threadedComment ref="GZ147" dT="2025-12-10T18:21:05.32" personId="{D244C915-14E6-4A5D-B745-FB3EFE209052}" id="{3675E619-0DE6-4357-8335-E7076D957592}">
    <text>Admissão: 02/12/2025</text>
  </threadedComment>
  <threadedComment ref="GZ149" dT="2025-12-19T14:25:08.37" personId="{D244C915-14E6-4A5D-B745-FB3EFE209052}" id="{2C091BF0-4E77-4A41-BF81-F7A9600A34CE}">
    <text>Transferida do Apoio Macaé.
RUTE GOMES DOS SANTOS
Afastamento pelo INSS.</text>
  </threadedComment>
  <threadedComment ref="HM149" dT="2026-02-23T16:40:51.52" personId="{D244C915-14E6-4A5D-B745-FB3EFE209052}" id="{E65528C2-380A-49A8-AF30-D67D0F9CBE4C}">
    <text>LUCIENE BARROS CONSTANTINO
INSS: 09/02/2026</text>
  </threadedComment>
  <threadedComment ref="MP149" dT="2026-04-13T10:52:02.84" personId="{D244C915-14E6-4A5D-B745-FB3EFE209052}" id="{90AC8428-1232-4D44-A983-BC485477A75F}">
    <text>ERIC SIDNEY BRAS DA SILVA
Desligamento: 08/04/2026</text>
  </threadedComment>
  <threadedComment ref="GZ151" dT="2025-12-19T14:26:17.03" personId="{D244C915-14E6-4A5D-B745-FB3EFE209052}" id="{6C2D3B02-13DC-4289-B148-04C0BEA102E8}">
    <text>Admissão: 17/12/2025</text>
  </threadedComment>
  <threadedComment ref="GZ153" dT="2026-02-23T13:14:46.77" personId="{D244C915-14E6-4A5D-B745-FB3EFE209052}" id="{F46DF49C-E86C-4C21-92DF-75DE2BAC598A}">
    <text>ROBSON MATOS
Transferido para Civil.
admissão: 03/03/2026</text>
  </threadedComment>
  <threadedComment ref="HZ153" dT="2025-11-18T13:28:04.09" personId="{D244C915-14E6-4A5D-B745-FB3EFE209052}" id="{0E0BE125-AF74-4319-BC9E-574F5ECD3B73}">
    <text>ROSINETE  SEVERO
Afastamento pelo INSS: 13/10/2025</text>
  </threadedComment>
  <threadedComment ref="GM157" dT="2026-04-23T12:47:29.82" personId="{D244C915-14E6-4A5D-B745-FB3EFE209052}" id="{4379590B-D9E2-4EB8-8410-646DCC598717}">
    <text>admissão: 15/04/2026</text>
  </threadedComment>
  <threadedComment ref="PC157" dT="2025-12-10T10:17:21.29" personId="{D244C915-14E6-4A5D-B745-FB3EFE209052}" id="{29FE574F-27F4-4574-8707-81DD6E04DAF7}">
    <text>LUCAS PURCINO PEREIRA
Desligamento: 08/12/2025
Transferido da Limpeza.</text>
  </threadedComment>
  <threadedComment ref="PC159" dT="2026-04-13T10:58:03.12" personId="{D244C915-14E6-4A5D-B745-FB3EFE209052}" id="{AFE19DB6-5FE7-4CE8-BD23-216C3AEB2AA0}">
    <text>FELIPE DA ROSA PEIXOTO
Desligamento: 08/04/2026</text>
  </threadedComment>
  <threadedComment ref="GM161" dT="2026-04-13T11:01:50.69" personId="{D244C915-14E6-4A5D-B745-FB3EFE209052}" id="{A54B23EF-A0AD-43C4-B982-E34719CDA15B}">
    <text>LARISSA DA SILVA DA CRUZ
Desligamento: 07/04/2026</text>
  </threadedComment>
  <threadedComment ref="NC161" dT="2026-04-13T10:57:30.10" personId="{D244C915-14E6-4A5D-B745-FB3EFE209052}" id="{23BD0B98-1127-4C3C-90B5-1651222A8AC6}">
    <text>DEIVISON RIBEIRO VERISSIMO
Desligamento: 08/04/2026</text>
  </threadedComment>
  <threadedComment ref="NC163" dT="2025-12-10T10:16:19.87" personId="{D244C915-14E6-4A5D-B745-FB3EFE209052}" id="{717EC6EA-50CC-4CC6-A1DD-A72637D45C02}">
    <text>Vaga de Phillipe Mello, transferido para Elétrica.
admissão: 03/03/2026</text>
  </threadedComment>
  <threadedComment ref="PC165" dT="2026-04-13T10:58:33.31" personId="{D244C915-14E6-4A5D-B745-FB3EFE209052}" id="{F9AD952F-CE93-4B28-B54C-26D6D8A8610A}">
    <text>PABLO JUNIOR DE ARAUJO DUTRA
Desligamento: 08/04/2026</text>
  </threadedComment>
  <threadedComment ref="GM167" dT="2026-04-23T13:16:20.03" personId="{D244C915-14E6-4A5D-B745-FB3EFE209052}" id="{10E996BF-04B9-4257-AE2A-45AD07170073}">
    <text>GABRIELY DA SILVA DE SOUZA
Afastada pelo INSS.</text>
  </threadedComment>
  <threadedComment ref="NC167" dT="2025-12-10T10:14:15.28" personId="{D244C915-14E6-4A5D-B745-FB3EFE209052}" id="{7EC4DA6B-B9B8-429C-B337-8100E8250EB9}">
    <text>GEORGE REIS VIANA
Desligamento: 08/12/2025
Admissão: 09/03/2026</text>
  </threadedComment>
  <threadedComment ref="GM169" dT="2026-03-27T17:55:01.69" personId="{D244C915-14E6-4A5D-B745-FB3EFE209052}" id="{B4DD32D6-3754-4875-A6C4-705FC18ABC9C}">
    <text>Luiza da Silva Rodrigues
Data: 09/03/2026
Admissão: 16/04/2026</text>
  </threadedComment>
  <threadedComment ref="NC169" dT="2026-01-21T17:52:50.23" personId="{D244C915-14E6-4A5D-B745-FB3EFE209052}" id="{1A9CA7DA-D7E8-4BDB-AB65-A377E56C097A}">
    <text>Admissão: 20/03/2026
MARCIO RINOVAL
Demissão: 19/01/2026</text>
  </threadedComment>
  <threadedComment ref="NC171" dT="2026-01-09T11:40:50.83" personId="{D244C915-14E6-4A5D-B745-FB3EFE209052}" id="{29530D96-E745-49A6-BB60-8E3DCC4367A9}">
    <text>Admissão: 18/03/2026
THALES PEREIRA TORRES DA CONCEICAO
Desligamento: 05/01/2026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J53" dT="2025-10-16T18:47:06.90" personId="{D244C915-14E6-4A5D-B745-FB3EFE209052}" id="{F057AACD-C0BE-4DBC-80A0-B78C111CEE46}">
    <text>Substituição do Alberto Silva
Data de admissão: 13/10/2025</text>
  </threadedComment>
  <threadedComment ref="MJ55" dT="2025-10-30T20:00:25.74" personId="{D244C915-14E6-4A5D-B745-FB3EFE209052}" id="{4FC7AC3B-22B6-4709-B10E-40AAFC10B136}">
    <text>JAIRO BARBOSA DOS SANTOS
Desligado: 03/11/2025.</text>
  </threadedComment>
  <threadedComment ref="HW56" dT="2025-12-09T14:31:06.43" personId="{D244C915-14E6-4A5D-B745-FB3EFE209052}" id="{CD064E54-4C33-4692-920D-B1D2EC15AF1F}">
    <text>RENATA CUNHA MARINS
Desligamento: 01/12/2025</text>
  </threadedComment>
  <threadedComment ref="LY56" dT="2025-11-06T10:42:52.76" personId="{0AD26835-E74A-4A84-A9C5-43B304D5F5E0}" id="{96DE2D9F-1C27-4F71-AAAB-497E37135782}">
    <text>DESLIGADO: LUIS FELIPE RIBEIRO BANDEIRA 01/11/2025</text>
  </threadedComment>
  <threadedComment ref="BX57" dT="2025-10-29T19:44:46.19" personId="{D244C915-14E6-4A5D-B745-FB3EFE209052}" id="{FD78D61B-1D1D-4B90-BE28-E5CC6F2C8F6A}">
    <text>Vaga de: SAMARA APARECIDA DA SILVA</text>
  </threadedComment>
  <threadedComment ref="MJ57" dT="2026-01-21T17:36:30.43" personId="{D244C915-14E6-4A5D-B745-FB3EFE209052}" id="{750A8ADC-7434-4BD4-99C3-97CE7B96E6FF}">
    <text>PEDRO ARTHUR VICTOR BARBOZA
Demissão: 15/01/2026</text>
  </threadedComment>
  <threadedComment ref="LY58" dT="2026-03-16T13:11:11.05" personId="{D244C915-14E6-4A5D-B745-FB3EFE209052}" id="{DD65A993-E9BA-44A7-8E1E-18EE94EAFB04}">
    <text>RAFAELA GAUDENCIO MAXIMO
Transf: 2358</text>
  </threadedComment>
  <threadedComment ref="MU58" dT="2025-12-09T14:32:28.26" personId="{D244C915-14E6-4A5D-B745-FB3EFE209052}" id="{2E0F1F11-1F70-4D00-A2EC-3440D89C33DF}">
    <text>DALVAN FERREIRA IBRAIM
Desligamento: 01/12/2025</text>
  </threadedComment>
  <threadedComment ref="LY60" dT="2025-10-17T11:21:09.40" personId="{D244C915-14E6-4A5D-B745-FB3EFE209052}" id="{F8BD9602-E457-47A5-A558-E22BDAB65B74}">
    <text>AMANDA SALES ANDRADE ALVES
Demissão: 03/03/2026</text>
  </threadedComment>
  <threadedComment ref="OF60" dT="2025-12-10T11:47:49.03" personId="{D244C915-14E6-4A5D-B745-FB3EFE209052}" id="{2877CC7C-0E73-43C9-8DEC-5CA5BD0379C5}">
    <text>LEONARDO DA SILVA VENTURA
Desligamento: 15/04/2026</text>
  </threadedComment>
  <threadedComment ref="KQ62" dT="2025-12-10T13:38:41.09" personId="{D244C915-14E6-4A5D-B745-FB3EFE209052}" id="{FF6206C3-5297-4945-86C6-FDBDCACE207A}">
    <text>Admissão: 09/12/2025
Vaga de: MARKELES PEREIRA LOPES
Substituição em andamento.</text>
  </threadedComment>
  <threadedComment ref="IW63" dT="2026-03-27T16:52:55.69" personId="{D244C915-14E6-4A5D-B745-FB3EFE209052}" id="{DA68C217-1538-4A50-89D2-0581D4CC98B4}">
    <text>Amanda da Silva Moreno
Desligamento: 02/03/2026</text>
  </threadedComment>
  <threadedComment ref="MJ63" dT="2025-12-10T10:39:52.57" personId="{D244C915-14E6-4A5D-B745-FB3EFE209052}" id="{4C38A57C-690A-40A9-8E56-E763FA4D5F70}">
    <text>ROSANA DO CARMO
Licença-maternidade: 22/12/2025
EMILY HADASSA
Desligada.</text>
  </threadedComment>
  <threadedComment ref="KQ64" dT="2025-12-10T17:07:58.32" personId="{D244C915-14E6-4A5D-B745-FB3EFE209052}" id="{5AB7F51D-A44E-4A48-937A-7BE5A8751685}">
    <text>Admissão: 23/03/2026
LORRANDERSON - Desligar</text>
  </threadedComment>
  <threadedComment ref="NT64" dT="2025-12-10T10:25:08.70" personId="{D244C915-14E6-4A5D-B745-FB3EFE209052}" id="{A399D87E-61FE-41A2-B56F-D25A4B37AA77}">
    <text>DAVID WENDEL
Promoção: 05/2026
Admissão: 04/05/2026</text>
  </threadedComment>
  <threadedComment ref="OF64" dT="2025-12-10T10:25:08.70" personId="{D244C915-14E6-4A5D-B745-FB3EFE209052}" id="{90F3F164-5EF1-4F00-99C0-2EC5B0FDAE0C}">
    <text>GUILHERME PIRES LEITE
Desligamento: 11/12/2025</text>
  </threadedComment>
  <threadedComment ref="KQ66" dT="2026-04-23T12:42:42.55" personId="{D244C915-14E6-4A5D-B745-FB3EFE209052}" id="{BDBEBDBD-37F6-4B05-AE0E-BC2612E930F1}">
    <text>LEONEI DA SILVA MARINHO
Verificar status
Admissão: 22/04/2026</text>
  </threadedComment>
  <threadedComment ref="FA67" dT="2026-01-21T17:49:19.78" personId="{D244C915-14E6-4A5D-B745-FB3EFE209052}" id="{C5B2684B-4EE0-4CA4-81E6-E4D49DE4D44A}">
    <text>RENATA ARLINDO DA SILVA FIGUEIREDO
Demissão: 20/01/2026</text>
  </threadedComment>
  <threadedComment ref="FA69" dT="2026-04-27T10:11:57.58" personId="{D244C915-14E6-4A5D-B745-FB3EFE209052}" id="{A6FB3D14-B32E-4658-91BF-0DB0B1D8E011}">
    <text>MELISSA DA SILVA OLIVEIRA 
Desligada</text>
  </threadedComment>
  <threadedComment ref="FL69" dT="2026-04-13T12:32:17.55" personId="{D244C915-14E6-4A5D-B745-FB3EFE209052}" id="{43C3DC9C-89B9-43AF-8CBD-5017792C3144}">
    <text>CIBELE BARCELOS TAVARES TRINDADE
Promovida.
Admissão: 04/05/2026</text>
  </threadedComment>
  <threadedComment ref="FA71" dT="2026-04-13T12:32:44.61" personId="{D244C915-14E6-4A5D-B745-FB3EFE209052}" id="{516EE7FB-8FC7-4AF0-8898-9F759EBD7F47}">
    <text>JHONATAN DIAS DA CRUZ
Promovido</text>
  </threadedComment>
  <threadedComment ref="CQ72" dT="2026-04-23T12:14:32.58" personId="{D244C915-14E6-4A5D-B745-FB3EFE209052}" id="{DDC4FF5E-8FA5-4771-8939-C14416BFD718}">
    <text>VALTECIR TAVARES DO PRADO
Transferido para Elétrica.
Admissão: 15/04/2026</text>
  </threadedComment>
  <threadedComment ref="FA73" dT="2025-11-19T19:54:52.42" personId="{D244C915-14E6-4A5D-B745-FB3EFE209052}" id="{4DBEFC83-D4B3-474F-A27D-D5C9F8EB3271}">
    <text>Admissão: 18/11/2025</text>
  </threadedComment>
  <threadedComment ref="FL73" dT="2026-05-07T19:28:01.68" personId="{D244C915-14E6-4A5D-B745-FB3EFE209052}" id="{0212785F-B8F1-408D-BB0C-8E360A9FBB90}">
    <text>JULIA GOMES RICIO
Licença-maternidade</text>
  </threadedComment>
  <threadedComment ref="CQ83" dT="2025-10-31T12:07:51.73" personId="{D244C915-14E6-4A5D-B745-FB3EFE209052}" id="{CA1019D7-A4C5-4C38-B40C-09AD35B2D525}">
    <text>Afastado pelo INSS - 15/05/2025</text>
  </threadedComment>
  <threadedComment ref="CQ92" dT="2026-04-30T18:29:12.09" personId="{D244C915-14E6-4A5D-B745-FB3EFE209052}" id="{7D651443-9266-4997-9F33-DF17F75A32DA}">
    <text>Admissão: 20/04/2026</text>
  </threadedComment>
  <threadedComment ref="GQ112" dT="2025-10-30T18:28:07.47" personId="{D244C915-14E6-4A5D-B745-FB3EFE209052}" id="{1C85DBCF-084B-4B9F-835F-D6C560D74C12}">
    <text>FELIPE VIRGILIO COSTA
Desligado</text>
  </threadedComment>
  <threadedComment ref="CY118" dT="2026-01-06T12:45:24.35" personId="{D244C915-14E6-4A5D-B745-FB3EFE209052}" id="{E1D5B561-71DD-4E53-BBC3-9C90C50244FD}">
    <text>VAGA: RAPHAEL TAUIL</text>
  </threadedComment>
  <threadedComment ref="JU118" dT="2026-03-18T16:47:28.68" personId="{D244C915-14E6-4A5D-B745-FB3EFE209052}" id="{60757F0E-C2CC-4BA7-89B8-04C42C45D311}">
    <text>LUA MARIANA DIAS GASPAR BENSI OLIVEIRA
Desligamento: 06/03/2026</text>
  </threadedComment>
  <threadedComment ref="HG120" dT="2026-02-10T11:35:19.22" personId="{D244C915-14E6-4A5D-B745-FB3EFE209052}" id="{C9DE9D9E-DA01-4FB0-BBEF-0FB23D706DCE}">
    <text>ALINE ARAUJO FERREIRA</text>
  </threadedComment>
  <threadedComment ref="BX124" dT="2026-01-12T19:02:50.85" personId="{D244C915-14E6-4A5D-B745-FB3EFE209052}" id="{9511E74E-7845-4CCA-9910-63E4A5193658}">
    <text>Transferido do 737.</text>
  </threadedComment>
  <threadedComment ref="FC124" dT="2026-01-21T17:48:28.79" personId="{D244C915-14E6-4A5D-B745-FB3EFE209052}" id="{1C6270E3-D9E9-4ECF-A3F9-D241C49A76AF}">
    <text>admissão: 04/03/2026</text>
  </threadedComment>
  <threadedComment ref="FS124" dT="2026-04-13T10:51:05.54" personId="{D244C915-14E6-4A5D-B745-FB3EFE209052}" id="{CA11E106-EF8C-404B-A634-16B520DCE26F}">
    <text>LEONIS DE OLIVEIRA BARCELOS
Desligamento: 02/04/2026</text>
  </threadedComment>
  <threadedComment ref="HT124" dT="2025-10-30T17:22:27.34" personId="{D244C915-14E6-4A5D-B745-FB3EFE209052}" id="{F0E01370-720B-46CC-8A23-1A45C0891544}">
    <text>Admissão: 19/03/2026
RICARDO CAMPOS ROCHA JUNIOR
Desligamento: 09/01/2026</text>
  </threadedComment>
  <threadedComment ref="Y125" dT="2026-04-23T12:12:27.59" personId="{D244C915-14E6-4A5D-B745-FB3EFE209052}" id="{D3D83B4F-D793-4663-9423-CD6FB5BE9FF0}">
    <text>WEBSON ADAO BORGES
Promoção p Téc. Eletrotécnica.</text>
  </threadedComment>
  <threadedComment ref="PJ125" dT="2025-12-09T14:19:55.42" personId="{D244C915-14E6-4A5D-B745-FB3EFE209052}" id="{BC9B1A57-33F4-4B3B-BF97-F339387CD2C2}">
    <text>TELMAR PINTO SANTIAGO
Afastamento por INSS.</text>
  </threadedComment>
  <threadedComment ref="BL126" dT="2026-01-13T11:06:36.45" personId="{D244C915-14E6-4A5D-B745-FB3EFE209052}" id="{7B8E3F2C-9398-479A-AE0C-3D2C41993668}">
    <text>JORGE ANTONIO FREITAS DA SILVA
Demissão: 15/01/2026</text>
  </threadedComment>
  <threadedComment ref="GH126" dT="2025-10-17T12:06:01.49" personId="{D244C915-14E6-4A5D-B745-FB3EFE209052}" id="{22F1EDAB-3EEA-4461-9E59-FF7E51A2155C}">
    <text>JOISSE AZEREDO DIAS
Desligada: março
Admissão: 15/04/2026</text>
  </threadedComment>
  <threadedComment ref="IS126" dT="2026-05-06T17:56:28.57" personId="{D244C915-14E6-4A5D-B745-FB3EFE209052}" id="{68B16C98-93F0-4E59-A535-390EA40918BE}">
    <text>FABIANA DA SILVA MORENO
INSS</text>
  </threadedComment>
  <threadedComment ref="FC128" dT="2026-03-18T16:56:00.80" personId="{D244C915-14E6-4A5D-B745-FB3EFE209052}" id="{D2D951B3-4660-4204-B04B-7241DDD61AEA}">
    <text>PAULO HENRIQUE COSTA DOS SANTOS
Desligamento: 16/03/2026
Admissão: 09/04/2026</text>
  </threadedComment>
  <threadedComment ref="IG128" dT="2025-10-17T13:45:20.06" personId="{D244C915-14E6-4A5D-B745-FB3EFE209052}" id="{11F3921C-9AA8-49E7-B8BC-EDCDAEE69BFC}">
    <text>Admissão: 02/12/2025
Vaga de: JAMILSON SANTOS DANTAS
Afastamento pelo INSS - 13/10/2025</text>
  </threadedComment>
  <threadedComment ref="IS128" dT="2026-03-07T13:53:06.07" personId="{D244C915-14E6-4A5D-B745-FB3EFE209052}" id="{DA5BC454-85FD-4C61-80B0-7F3B6DB81A9A}">
    <text>Admissão: 19/03/2026
Fernanda Machado Correa
Programar desligamento.</text>
  </threadedComment>
  <threadedComment ref="AW129" dT="2026-04-23T12:11:54.85" personId="{D244C915-14E6-4A5D-B745-FB3EFE209052}" id="{885AF50A-EF46-4643-A7DA-C5F0201AD0E8}">
    <text>NICOLAS COELHO DO NASCIMENTO
Promovido p Téc. Eletrotécnica.
Transferência da Operação.</text>
  </threadedComment>
  <threadedComment ref="LB129" dT="2026-04-27T16:27:37.86" personId="{D244C915-14E6-4A5D-B745-FB3EFE209052}" id="{0BB21669-8B73-487D-AB34-AA474870D576}">
    <text>RAPHAEL GONCALVES DE SOUZA
Desligamento: 22/04/2026</text>
  </threadedComment>
  <threadedComment ref="LX129" dT="2026-04-30T18:34:14.33" personId="{D244C915-14E6-4A5D-B745-FB3EFE209052}" id="{2472DA72-5421-4398-B51F-FC0B172D01D2}">
    <text>GEMILSON CALIL
Transferido
Promovido 05/2026</text>
  </threadedComment>
  <threadedComment ref="CM130" dT="2025-11-27T12:46:58.72" personId="{D244C915-14E6-4A5D-B745-FB3EFE209052}" id="{32A45D00-F376-4DE1-A556-DBCF665A6083}">
    <text>Transferido de Imboassica</text>
  </threadedComment>
  <threadedComment ref="FS130" dT="2026-03-18T16:56:23.82" personId="{D244C915-14E6-4A5D-B745-FB3EFE209052}" id="{C7A71504-DE17-431B-9885-D6C1ECBB6199}">
    <text>DOUGLAS SOARES DE AMORIM MACHADO ANDRADE
Desligamento: 16/03/2026
Admissão: 16/04/2026</text>
  </threadedComment>
  <threadedComment ref="GH130" dT="2025-10-17T12:07:24.67" personId="{D244C915-14E6-4A5D-B745-FB3EFE209052}" id="{3611ACB1-7AA5-4A76-9012-47B5A9F0A05F}">
    <text>WALLACE RODRIGUES CORREA
Desligamento: 20/03/2026</text>
  </threadedComment>
  <threadedComment ref="GT130" dT="2026-02-23T18:32:03.10" personId="{D244C915-14E6-4A5D-B745-FB3EFE209052}" id="{0AB2ED06-1A98-4E14-A5BB-43193832D3E9}">
    <text>CRISTINA MEDEIROS DA SILVA
Desligamento: 12/02/2026</text>
  </threadedComment>
  <threadedComment ref="HG130" dT="2025-12-11T19:39:05.49" personId="{D244C915-14E6-4A5D-B745-FB3EFE209052}" id="{5BDEDE08-5317-4847-8655-383A4310773C}">
    <text>ANTONIO CARLOS LOPES FILHO
Desligado: 10/12/2025
JAMILSON SANTOS DANTAS:
Retorno do INSS: 17/12/2025
JAMILSON SANTOS DANTAS:
Desligado: 05/03/2026</text>
  </threadedComment>
  <threadedComment ref="IS130" dT="2025-10-20T17:50:10.54" personId="{D244C915-14E6-4A5D-B745-FB3EFE209052}" id="{0E125A69-9E7E-4E2E-9815-D872F76E3FEA}">
    <text>Admissão: 10/12/2025
GLEICIMARA DUTRA GIVIGI
Promoção: Auxiliar de SMS.</text>
  </threadedComment>
  <threadedComment ref="Y131" dT="2026-02-23T18:20:30.38" personId="{D244C915-14E6-4A5D-B745-FB3EFE209052}" id="{F681AA77-A7CE-4BFF-A3CF-F335193B15BD}">
    <text>LUIZ HENRIQUE GONCALVES OLIVEIRA
Desligamento: 10/02</text>
  </threadedComment>
  <threadedComment ref="BX131" dT="2025-09-01T11:57:50.01" personId="{44FAC235-FB7C-4955-9528-4109A1E2ACC0}" id="{C9A49713-7EBF-4BC6-85C4-8CC82718A50A}">
    <text>Realiza função de aux de pintura precisa-se ver os 30%</text>
  </threadedComment>
  <threadedComment ref="JU131" dT="2026-03-04T16:08:02.56" personId="{D244C915-14E6-4A5D-B745-FB3EFE209052}" id="{38CCD79F-8BE5-4E4C-A32D-F26F4E7F4D6B}">
    <text>WANDER ALVES MORAES
Promovido: 03/2026</text>
  </threadedComment>
  <threadedComment ref="LB131" dT="2026-01-23T11:18:53.43" personId="{D244C915-14E6-4A5D-B745-FB3EFE209052}" id="{DC19D962-CCEC-488A-80C5-119884395320}">
    <text>GUSTAVO JOSÉ DA SILVA
Afastamento INSS: 19/01/2026
(Retornou para Helen)</text>
  </threadedComment>
  <threadedComment ref="CM132" dT="2025-11-19T18:51:44.67" personId="{D244C915-14E6-4A5D-B745-FB3EFE209052}" id="{15CDB638-C974-4D74-8D9C-E90E4A7E2022}">
    <text>DENISON SANTOS RODRIGUES
Desligado: 13/11/2025</text>
  </threadedComment>
  <threadedComment ref="DK132" dT="2026-02-04T17:36:41.74" personId="{D244C915-14E6-4A5D-B745-FB3EFE209052}" id="{D680FE6B-75F3-470A-8139-70D8328D4F24}">
    <text>PAULO ROBERTO PEREIRA DA SILVA
Desligamento: 1 semana de fev</text>
  </threadedComment>
  <threadedComment ref="FC132" dT="2026-05-07T17:32:02.17" personId="{D244C915-14E6-4A5D-B745-FB3EFE209052}" id="{8B88C6BF-3FBA-40FE-B2AA-F0472AB23135}">
    <text>CARLOS GILBERTO CARVALHO
Promovido: 06/2026</text>
  </threadedComment>
  <threadedComment ref="FS132" dT="2026-04-24T12:33:29.56" personId="{D244C915-14E6-4A5D-B745-FB3EFE209052}" id="{9EDFFF17-0D7E-48DC-8913-E3D781607F0F}">
    <text>JUAREZ SANTOS ANUNCIAÇÃO
Promoção: 06/2026</text>
  </threadedComment>
  <threadedComment ref="GT132" dT="2025-10-24T15:40:19.78" personId="{D244C915-14E6-4A5D-B745-FB3EFE209052}" id="{061E6609-DFFB-4BD6-BDA4-00A55C9EB1B6}">
    <text>LAILA SILVA DOS SANTOS
Desligamento: 20/03/2026
Admissão: 15/04/2026</text>
  </threadedComment>
  <threadedComment ref="HG132" dT="2026-03-18T16:54:47.48" personId="{D244C915-14E6-4A5D-B745-FB3EFE209052}" id="{99F274F5-45C4-4655-812A-3DFEA53414E0}">
    <text>CRISTIANE DA SILVA
Desligamento: 16/03/2026
Admissão: 09/04/2026</text>
  </threadedComment>
  <threadedComment ref="Y133" dT="2025-11-19T18:48:53.78" personId="{D244C915-14E6-4A5D-B745-FB3EFE209052}" id="{759F6691-C190-4A7C-A1B2-0A267E73AE00}">
    <text>WELINGTON VITORIO SANTOS
Desligado: 06/11/2025
ADMISSÃO: 17/12/2025</text>
  </threadedComment>
  <threadedComment ref="AK133" dT="2026-01-21T17:37:24.79" personId="{D244C915-14E6-4A5D-B745-FB3EFE209052}" id="{00AD836C-0725-43E6-A99A-0EF89D54662B}">
    <text>GUTHIERRY FRANCISCO DA SILVA
Demissão: 19/01/2026</text>
  </threadedComment>
  <threadedComment ref="KF133" dT="2025-10-31T17:01:17.29" personId="{D244C915-14E6-4A5D-B745-FB3EFE209052}" id="{63A4DF2B-C7AD-478F-B393-C93F4E834B60}">
    <text>Admissão: 06/03/2026
MAYCON DOS SANTOS SILVA
Desligado: 21/10/2025</text>
  </threadedComment>
  <threadedComment ref="LM133" dT="2026-03-18T16:52:49.21" personId="{D244C915-14E6-4A5D-B745-FB3EFE209052}" id="{DC2DE7FA-AD86-4BC0-B434-4503EDF31FB1}">
    <text>LEANDRO ROCHA DA SILVA
Desligamento: 13/03/2026</text>
  </threadedComment>
  <threadedComment ref="BL134" dT="2026-04-23T12:16:57.18" personId="{D244C915-14E6-4A5D-B745-FB3EFE209052}" id="{EFC795B6-A955-441C-9DD9-4D5A694D1A7E}">
    <text>SCHNEIFFITZ FERREIRA DA CRUZ JUNIOR
Desligado</text>
  </threadedComment>
  <threadedComment ref="CM134" dT="2026-02-04T19:42:49.75" personId="{D244C915-14E6-4A5D-B745-FB3EFE209052}" id="{D3281DD0-DA17-433B-9306-C2762AD2679F}">
    <text>Admissão: 16/03/2026
HENRIQUE RUBIM PEREIRA DAUMAS DE PAULA
Promoção: Março/2026</text>
  </threadedComment>
  <threadedComment ref="DK134" dT="2026-05-07T17:30:08.59" personId="{D244C915-14E6-4A5D-B745-FB3EFE209052}" id="{2D16AE95-D6FC-459B-BEB6-8B11C5DB4AA7}">
    <text>MARCIANO MATIAS DOS SANTOS
INSS</text>
  </threadedComment>
  <threadedComment ref="FC134" dT="2026-04-29T13:21:04.19" personId="{D244C915-14E6-4A5D-B745-FB3EFE209052}" id="{5C9BE533-C8AE-43F3-8DEC-6CACBD641D17}">
    <text>JOSE LUCAS MENDONCA DA SILVA
INSS</text>
  </threadedComment>
  <threadedComment ref="HT134" dT="2025-10-30T17:23:13.31" personId="{D244C915-14E6-4A5D-B745-FB3EFE209052}" id="{49C449C2-380B-4936-8D82-B41FE04694AA}">
    <text>MICHELLE GOMES ESTEVAO DA SILVA
Desligada</text>
  </threadedComment>
  <threadedComment ref="Y135" dT="2026-04-30T18:35:31.30" personId="{D244C915-14E6-4A5D-B745-FB3EFE209052}" id="{8C51B431-B380-4B5A-8060-BA7EDA631526}">
    <text>MARCUS VINICIUS
Promovido 05/2026</text>
  </threadedComment>
  <threadedComment ref="AK135" dT="2025-11-19T18:49:12.22" personId="{D244C915-14E6-4A5D-B745-FB3EFE209052}" id="{EDCFB1DE-976A-46BD-93F9-06F2E226F0BB}">
    <text>Admissão: 09/12/2025
LUAN FRANCISCO DE SANTANA
Desligado: 07/11/2025</text>
  </threadedComment>
  <threadedComment ref="KF135" dT="2025-10-31T17:01:35.60" personId="{D244C915-14E6-4A5D-B745-FB3EFE209052}" id="{855E67DE-FF08-48FD-818D-3C40BB7F8983}">
    <text>Admissão: 20/03/2026
LEONE SILVA COSTA
Desligado: 21/10/2025</text>
  </threadedComment>
  <threadedComment ref="CM136" dT="2026-04-13T11:50:53.57" personId="{D244C915-14E6-4A5D-B745-FB3EFE209052}" id="{42A51DE9-9C9B-47BF-B668-1EF81A0C254B}">
    <text>Admissão: 09/04/2026
Subst. Prom. - Jeferson da Silva Santos</text>
  </threadedComment>
  <threadedComment ref="DK136" dT="2025-10-17T13:33:22.56" personId="{D244C915-14E6-4A5D-B745-FB3EFE209052}" id="{DD4996D5-E37C-4700-9C01-2AF40B8BE7AF}">
    <text>promoção para março/2026</text>
  </threadedComment>
  <threadedComment ref="GH136" dT="2025-12-10T11:53:52.43" personId="{D244C915-14E6-4A5D-B745-FB3EFE209052}" id="{921386A2-B595-487B-856D-3450A8BC5F88}">
    <text>VANESSA GOMES DE MELO PRUDENCIO
Desligamento: 13/03/2026
Admissão: 09/04/2026</text>
  </threadedComment>
  <threadedComment ref="GT136" dT="2025-12-10T11:30:32.15" personId="{D244C915-14E6-4A5D-B745-FB3EFE209052}" id="{0126C44C-FC34-41DD-B34A-73A56610F16F}">
    <text>Admissão: 02/12/2025
Vaga de: CRISTINA MEDEIROS DA SILVA</text>
  </threadedComment>
  <threadedComment ref="HG136" dT="2025-12-10T18:35:56.34" personId="{D244C915-14E6-4A5D-B745-FB3EFE209052}" id="{4E5484E9-8229-4750-8188-9707A1C23439}">
    <text>EDIMARA DE SOUZA DOS SANTOS FREITAS
Desligamento:  AGENDAR DATA
Admissão: 17/04/2026</text>
  </threadedComment>
  <threadedComment ref="EF137" dT="2026-05-07T17:30:55.67" personId="{D244C915-14E6-4A5D-B745-FB3EFE209052}" id="{F9CF12C6-2FA8-4B72-B15D-01A85DAD807A}">
    <text>DANIEL SULIVAN GOMES BRAGA
Promoção: 06/2026</text>
  </threadedComment>
  <threadedComment ref="LM137" dT="2026-03-07T18:20:14.51" personId="{D244C915-14E6-4A5D-B745-FB3EFE209052}" id="{1D6F4F17-03A1-4CD6-900C-E6BC9C833ED6}">
    <text>admissão: 03/03/2026</text>
  </threadedComment>
  <threadedComment ref="NO137" dT="2026-02-10T11:30:45.07" personId="{D244C915-14E6-4A5D-B745-FB3EFE209052}" id="{5AC92F40-6B67-48CF-BAF8-7067E694F792}">
    <text>JORGE MEDEIROS DA COSTA 
Desligamento: 03/02/2026</text>
  </threadedComment>
  <threadedComment ref="OX137" dT="2026-05-18T18:31:19.42" personId="{D244C915-14E6-4A5D-B745-FB3EFE209052}" id="{A7B1574E-F849-4FD4-A2D0-DE1C0D1B7F8A}">
    <text>THAFILLA PORTO DE OLIVEIRA
Desligamento: 21/11/2025</text>
  </threadedComment>
  <threadedComment ref="PJ137" dT="2026-01-28T12:16:50.85" personId="{D244C915-14E6-4A5D-B745-FB3EFE209052}" id="{CCC4C9AE-39D6-498C-B42E-5374E4456D60}">
    <text>Vaga do julio cesar</text>
  </threadedComment>
  <threadedComment ref="CM138" dT="2026-03-18T16:57:04.58" personId="{D244C915-14E6-4A5D-B745-FB3EFE209052}" id="{8EDD237B-8D5D-407C-BC1F-4D8741D8BB5B}">
    <text>SIDNEY LOPES COELHO
Desligamento: 16/03/2026</text>
  </threadedComment>
  <threadedComment ref="DK138" dT="2026-02-04T17:37:26.13" personId="{D244C915-14E6-4A5D-B745-FB3EFE209052}" id="{B59FB4FF-2DEB-4E60-A811-6A8800C41548}">
    <text>LUCAS CARVALHO DA CONCEIÇÃO
Desligamento: 1 semana de fev</text>
  </threadedComment>
  <threadedComment ref="GT138" dT="2026-03-07T13:40:30.91" personId="{D244C915-14E6-4A5D-B745-FB3EFE209052}" id="{ABD7E08B-D5D1-459B-A2BE-DA538DDC2561}">
    <text xml:space="preserve">Admissão: 18/03/2026
ELISAMA DE ANDRADE RIBEIRO
Desligamento: </text>
  </threadedComment>
  <threadedComment ref="HG138" dT="2025-12-10T10:45:25.30" personId="{D244C915-14E6-4A5D-B745-FB3EFE209052}" id="{D2DAA116-45B6-4E00-B43B-7B78BA406034}">
    <text>SANDRA VELASCO
Desligar.</text>
  </threadedComment>
  <threadedComment ref="BX140" dT="2025-10-31T12:13:46.72" personId="{D244C915-14E6-4A5D-B745-FB3EFE209052}" id="{D10F1B01-433E-422A-9974-1953B7D8A434}">
    <text>VALDENIR PEREIRA
Afastado pelo INSS: 22/10/2025
Promoção: 04/2026</text>
  </threadedComment>
  <threadedComment ref="IG140" dT="2026-02-23T18:33:08.59" personId="{D244C915-14E6-4A5D-B745-FB3EFE209052}" id="{9463DEC8-CB83-454B-A058-C786C5E8637F}">
    <text>Admissão: 18/03/2026
RAFAEL VICTOR DA SILVA DANTAS
Desligamento: 13/02/2026</text>
  </threadedComment>
  <threadedComment ref="EF141" dT="2026-05-07T17:27:01.37" personId="{D244C915-14E6-4A5D-B745-FB3EFE209052}" id="{E865B3E4-EBF5-4251-A02A-31985CB04006}">
    <text>Admissão: 04/05/2026</text>
  </threadedComment>
  <threadedComment ref="GH141" dT="2025-09-01T18:49:19.41" personId="{44FAC235-FB7C-4955-9528-4109A1E2ACC0}" id="{0406EF55-A454-46A5-B0F3-1E0DA8EFEE98}">
    <text xml:space="preserve">Será promovido de ASG para operador de máquina </text>
  </threadedComment>
  <threadedComment ref="KF141" dT="2026-01-21T17:38:21.27" personId="{D244C915-14E6-4A5D-B745-FB3EFE209052}" id="{469735CE-73E2-4A51-972B-BBDED7CA5764}">
    <text>JEAN CARLOS SOARES DE ALMEIDA
Demissão: 19/01/2026
Admissão: 15/04/2026</text>
  </threadedComment>
  <threadedComment ref="NC141" dT="2026-03-13T14:00:43.18" personId="{D244C915-14E6-4A5D-B745-FB3EFE209052}" id="{5359487F-5B6B-4E27-977E-FE8CE41C142D}">
    <text>DIOGO RIBEIRO DA SILVA SANTOS
Desligamento: 16/03/2026
Admissão: 15/04/2026</text>
  </threadedComment>
  <threadedComment ref="PJ141" dT="2026-02-23T19:45:26.54" personId="{D244C915-14E6-4A5D-B745-FB3EFE209052}" id="{DF799207-7E9D-4A3E-8440-D04F3EB029EB}">
    <text>APOLONIO AZEVEDO MENDES
Desligamento: 19/02/2026</text>
  </threadedComment>
  <threadedComment ref="QQ141" dT="2025-11-19T19:19:44.97" personId="{D244C915-14E6-4A5D-B745-FB3EFE209052}" id="{8DFD5DD6-7390-4E14-89A6-BDCF1D3E9892}">
    <text>Admissão: 14/11/2025
Reposição: Luciano dos Santos Sales</text>
  </threadedComment>
  <threadedComment ref="BX142" dT="2026-01-06T13:35:38.60" personId="{D244C915-14E6-4A5D-B745-FB3EFE209052}" id="{232FEEB5-6A7E-49AA-B433-2F381A46F623}">
    <text>CRISTIANO SOUZA LIMA
Desligamento: 16/03/2026</text>
  </threadedComment>
  <threadedComment ref="DK142" dT="2026-01-06T12:47:50.05" personId="{D244C915-14E6-4A5D-B745-FB3EFE209052}" id="{14CB86B3-261B-46D3-93F3-1719336D507E}">
    <text>ADMISÃO: 17/12/2025</text>
  </threadedComment>
  <threadedComment ref="GH142" dT="2026-02-23T18:24:10.34" personId="{D244C915-14E6-4A5D-B745-FB3EFE209052}" id="{26696EE0-11B8-4AA0-BD2A-CF784A179053}">
    <text>TIAGO TAVARES PESSANHA</text>
  </threadedComment>
  <threadedComment ref="OL143" dT="2025-12-09T19:33:32.64" personId="{D244C915-14E6-4A5D-B745-FB3EFE209052}" id="{C6F3258A-754B-4566-AE1D-290505F6360A}">
    <text>VALDEMIR DA CONCEIÇÃO
Desligamento: 04/12/2025</text>
  </threadedComment>
  <threadedComment ref="QQ143" dT="2026-02-10T11:31:40.48" personId="{D244C915-14E6-4A5D-B745-FB3EFE209052}" id="{394C94AB-13F2-4D80-A563-23BBC164116D}">
    <text>FABRICIO AMERICO HIPOLITO DA SILVA
Desligamento: 03/02/2026
Admissão: 09/04/2026</text>
  </threadedComment>
  <threadedComment ref="RC143" dT="2026-03-19T12:18:10.09" personId="{D244C915-14E6-4A5D-B745-FB3EFE209052}" id="{9716B382-AA25-42FD-89E7-1056124EF71D}">
    <text>MANOEL ALVES
Desligado</text>
  </threadedComment>
  <threadedComment ref="RO143" dT="2026-01-15T17:48:52.15" personId="{D244C915-14E6-4A5D-B745-FB3EFE209052}" id="{CAB3E1FD-1E61-4D91-91F8-C872B9EC9686}">
    <text>JOSE MARCIO RODRIGUES
Promovido: 01/2026</text>
  </threadedComment>
  <threadedComment ref="GT144" dT="2026-01-14T16:39:18.57" personId="{D244C915-14E6-4A5D-B745-FB3EFE209052}" id="{31916ACE-D699-4D24-B5CC-9BB09B296342}">
    <text>Admissão: 18/03/2026
LARISSA DA SILVA FIGUEIREDO
Demissão: 12/01/2026</text>
  </threadedComment>
  <threadedComment ref="HT144" dT="2026-01-09T12:06:46.48" personId="{D244C915-14E6-4A5D-B745-FB3EFE209052}" id="{69DE1AB2-8A26-49BF-9B98-A22CE6265A6C}">
    <text>KAILANI NOGUEIRA DIAS
INSS: 25/11/2025</text>
  </threadedComment>
  <threadedComment ref="IG144" dT="2026-01-23T11:18:53.43" personId="{D244C915-14E6-4A5D-B745-FB3EFE209052}" id="{0680D25F-15B5-4838-B31E-CEF7F364F589}">
    <text>GUSTAVO JOSÉ DA SILVA
Afastamento INSS: 19/01/2026</text>
  </threadedComment>
  <threadedComment ref="KF145" dT="2026-04-13T12:01:31.55" personId="{D244C915-14E6-4A5D-B745-FB3EFE209052}" id="{CF3BB5A3-7AF9-4AD2-85FA-8964A41E891B}">
    <text>VICTOR GONCALVES SIMOES FONTANHA
Demissão: 02/03/2026
Admissão: 06/04/2026</text>
  </threadedComment>
  <threadedComment ref="MQ145" dT="2025-12-09T19:39:31.42" personId="{D244C915-14E6-4A5D-B745-FB3EFE209052}" id="{38B0628B-D8F6-4C71-BB45-F6BC75E1353E}">
    <text>DANIEL BOUVIER DE MATTOS
Desligamento: 05/12/2025
Admissão: 16/04/2026</text>
  </threadedComment>
  <threadedComment ref="OX145" dT="2026-01-21T17:54:40.48" personId="{D244C915-14E6-4A5D-B745-FB3EFE209052}" id="{77658C1E-7FA0-43A9-B564-A15CA9E9FB47}">
    <text>GECENILDO VICENTE ALVES
Demissão: 20/01/2026</text>
  </threadedComment>
  <threadedComment ref="QF145" dT="2026-01-06T12:15:41.53" personId="{D244C915-14E6-4A5D-B745-FB3EFE209052}" id="{B00DCEB2-7459-4CC5-B962-C052FECC7D90}">
    <text>CAIO RIBEIRO DA SILVA
DEMISSÃO: 18/12/2025</text>
  </threadedComment>
  <threadedComment ref="QQ145" dT="2025-10-20T14:19:29.78" personId="{D244C915-14E6-4A5D-B745-FB3EFE209052}" id="{11140357-5679-4BA4-B058-685001D08A5B}">
    <text>ADRIANO GOMES LEAO
Desligado: 05/10/2025</text>
  </threadedComment>
  <threadedComment ref="GT146" dT="2026-03-07T13:43:04.53" personId="{D244C915-14E6-4A5D-B745-FB3EFE209052}" id="{B7332622-3E6A-4E5A-96DB-52EB2F36F178}">
    <text>Admissão: 23/03/2026
LIDIANE DE SOUZA DA CONCEICAO
Desligamento: 07/01/2026</text>
  </threadedComment>
  <threadedComment ref="HG146" dT="2026-02-23T18:07:43.18" personId="{D244C915-14E6-4A5D-B745-FB3EFE209052}" id="{FBC5E589-D33D-4C04-8B38-7C486AAE485B}">
    <text>LUCICLEIDE PEREIRA DE JESUS
Desligamento: 06/02/2026</text>
  </threadedComment>
  <threadedComment ref="KF147" dT="2025-12-10T11:50:38.26" personId="{D244C915-14E6-4A5D-B745-FB3EFE209052}" id="{B39A1DCC-AA28-4DBF-8423-97FE388C2139}">
    <text>Admissão: 09/12/2025</text>
  </threadedComment>
  <threadedComment ref="RO147" dT="2026-02-10T11:34:07.91" personId="{D244C915-14E6-4A5D-B745-FB3EFE209052}" id="{9DE5E16A-00B9-478B-BAAF-3DF648303ECB}">
    <text>ADENILTON MOREIRA SAPUCAIA
Desligamento: 03/02/2026</text>
  </threadedComment>
  <threadedComment ref="BL148" dT="2026-04-13T13:05:02.28" personId="{D244C915-14E6-4A5D-B745-FB3EFE209052}" id="{BA87D69A-BCEB-4450-B85C-3B34A3402F9E}">
    <text>Maicon Junior Canuto Lirio
Promovido para Elétrica 04/2026.</text>
  </threadedComment>
  <threadedComment ref="GT148" dT="2026-01-06T12:12:43.76" personId="{D244C915-14E6-4A5D-B745-FB3EFE209052}" id="{F14AFE74-EECD-472C-826E-BADF5B635664}">
    <text>Admissão: 19/03/2026
ALINE DAVID</text>
  </threadedComment>
  <threadedComment ref="KF149" dT="2025-10-16T19:52:44.95" personId="{D244C915-14E6-4A5D-B745-FB3EFE209052}" id="{96E278D9-206E-4F35-A372-677F19630447}">
    <text>Vaga de: ALUISIO BOTELHO COUTINHO
Afastamento pelo INSS - 15/10/2025</text>
  </threadedComment>
  <threadedComment ref="OL149" dT="2025-10-17T11:34:31.25" personId="{D244C915-14E6-4A5D-B745-FB3EFE209052}" id="{30A940B6-EB0E-4D90-A311-649B2B5FA91F}">
    <text>ELISMAR PEREIRA DA SILVA
Desligamento: 02/02/2026</text>
  </threadedComment>
  <threadedComment ref="BX150" dT="2026-04-13T12:59:35.62" personId="{D244C915-14E6-4A5D-B745-FB3EFE209052}" id="{97C20A9C-82F0-4A4D-9521-D66C3A928DDE}">
    <text>JOSUEL BARCELLOS RODRIGUES
Promovido 04/2026.</text>
  </threadedComment>
  <threadedComment ref="IS150" dT="2026-04-13T19:08:00.73" personId="{D244C915-14E6-4A5D-B745-FB3EFE209052}" id="{D6D646EB-AF6C-4A46-A02D-A855F6B438C5}">
    <text>ANA PAULA LAPA</text>
  </threadedComment>
  <threadedComment ref="OL151" dT="2026-02-02T16:15:01.05" personId="{D244C915-14E6-4A5D-B745-FB3EFE209052}" id="{9580CD2A-BDAB-4CB9-85E9-C7F52B61BA19}">
    <text>UELINGTON XAVIER DA CONCEIÇÃO
Desligamento: 02/02/2026
Admissão: 06/04/2026</text>
  </threadedComment>
  <threadedComment ref="OX151" dT="2026-01-15T17:50:19.89" personId="{D244C915-14E6-4A5D-B745-FB3EFE209052}" id="{44C3ACD0-4871-4610-81AF-82DC408C094B}">
    <text>ISAAC SANTOS DE SOUZA
Promovido: 01/2026</text>
  </threadedComment>
  <threadedComment ref="QQ151" dT="2026-03-13T14:02:30.85" personId="{D244C915-14E6-4A5D-B745-FB3EFE209052}" id="{89C8B366-717E-4A10-8E4D-28BDE0CC7314}">
    <text>BRUNO DA CONCEICAO TAVARES
Desligamento: 07/04/2026
Admissão: 15/04/2026</text>
  </threadedComment>
  <threadedComment ref="MQ153" dT="2026-01-09T12:10:30.34" personId="{D244C915-14E6-4A5D-B745-FB3EFE209052}" id="{84C658D7-CE00-48E2-A58A-DFD45BA25CE3}">
    <text>EUDES EMANUEL DAMASCENO DOS SANTOS
INSS: 03/12/2025
Admissão: 06/04/2026</text>
  </threadedComment>
  <threadedComment ref="OA153" dT="2026-01-15T17:49:38.41" personId="{D244C915-14E6-4A5D-B745-FB3EFE209052}" id="{57FC2FD0-2039-4D05-A2FA-7CE450ECBF58}">
    <text>MURILO HENRIQUE LOPES COELHO
Desligado</text>
  </threadedComment>
  <threadedComment ref="RC153" dT="2026-03-18T16:55:27.54" personId="{D244C915-14E6-4A5D-B745-FB3EFE209052}" id="{A95C51E9-7F19-4A49-B484-BB3DCA9230B3}">
    <text>LUCIANO DA SILVA SOARES
Desligamento: 16/03/2026</text>
  </threadedComment>
  <threadedComment ref="GT154" dT="2025-12-10T17:34:50.54" personId="{D244C915-14E6-4A5D-B745-FB3EFE209052}" id="{E34A57E5-9B2B-4652-82FF-216317C05AFD}">
    <text>Admissão: 10/12/2025
Vaga de: MARIA DO CARMO BATISTA</text>
  </threadedComment>
  <threadedComment ref="OX155" dT="2026-04-28T12:55:21.61" personId="{D244C915-14E6-4A5D-B745-FB3EFE209052}" id="{4D7FC1BD-266E-47BC-B2B4-527FD09FA47D}">
    <text>ANDERSON RODRIGO WERLANG
Desligamento.</text>
  </threadedComment>
  <threadedComment ref="QQ155" dT="2026-01-06T12:05:13.49" personId="{D244C915-14E6-4A5D-B745-FB3EFE209052}" id="{A06D892B-496B-4E0B-A094-47716FEE5594}">
    <text>Admissão: 13/03/2026
DESLIGAMENTO:  09/12/2025
ARIALESON SANTANA DOS SANTOS</text>
  </threadedComment>
  <threadedComment ref="RC155" dT="2026-03-19T12:17:49.30" personId="{D244C915-14E6-4A5D-B745-FB3EFE209052}" id="{5B1E8406-34E9-4D5E-BB5E-E68389C340A6}">
    <text>LUIS FELIPE DA SILVA CORREA
Desligado</text>
  </threadedComment>
  <threadedComment ref="RO155" dT="2026-02-23T18:29:55.09" personId="{D244C915-14E6-4A5D-B745-FB3EFE209052}" id="{71DA7988-1113-4F4C-A5CC-6D48E92116F4}">
    <text>JOLBER PEREIRA DA CONCEICAO
Desligado: 10/02/2026
Admissão: 17/04/2026</text>
  </threadedComment>
  <threadedComment ref="GT156" dT="2025-12-10T11:21:30.59" personId="{D244C915-14E6-4A5D-B745-FB3EFE209052}" id="{8128CD2D-FE45-4D72-A0FB-DC74899393CB}">
    <text>Admissão: 19/03/2026
ADRIANA DA FONSECA DA SILVA
Desligamento: 11/02/2026</text>
  </threadedComment>
  <threadedComment ref="OX157" dT="2025-10-20T11:04:22.03" personId="{D244C915-14E6-4A5D-B745-FB3EFE209052}" id="{F3EE1853-8D9F-4D8A-AC45-B50310395081}">
    <text>VICTOR OLIVEIRA MIRANDA DE SOUZA 
Desligado: 20/10/2025</text>
  </threadedComment>
  <threadedComment ref="PJ157" dT="2026-02-12T17:10:25.43" personId="{D244C915-14E6-4A5D-B745-FB3EFE209052}" id="{F6C2509A-8040-4BC3-ADCC-039CBD0E2227}">
    <text>MURILO DOS SANTOS SILVA
Transferido para Eletromecânica.</text>
  </threadedComment>
  <threadedComment ref="PU157" dT="2025-12-09T19:37:22.23" personId="{D244C915-14E6-4A5D-B745-FB3EFE209052}" id="{B7D5D7E3-0F63-4351-9560-6CBA2FA869F4}">
    <text>FLAVIO CARVALHO LEAL
Desligamento: 05/12/2025</text>
  </threadedComment>
  <threadedComment ref="RC157" dT="2026-01-15T17:47:06.79" personId="{D244C915-14E6-4A5D-B745-FB3EFE209052}" id="{BA9FBEEB-D769-4090-A183-F905C5F0D046}">
    <text>CRISTIAN DA SILVA PACHECO
Promovido: 01/2026
Admissão: 16/04/2026</text>
  </threadedComment>
  <threadedComment ref="RO157" dT="2025-12-09T19:36:28.82" personId="{D244C915-14E6-4A5D-B745-FB3EFE209052}" id="{7008E7B1-F563-4FF8-A77F-229E7BB4187E}">
    <text>JOSIMAR DOS SANTOS PINHEIRO DE SOUZA
Desligamento: 05/12/2025</text>
  </threadedComment>
  <threadedComment ref="PU159" dT="2025-12-09T19:38:44.70" personId="{D244C915-14E6-4A5D-B745-FB3EFE209052}" id="{D2665AB6-7A7E-4BDB-8C0A-20D635736681}">
    <text>LEONARDO BATISTA DOS SANTOS
Desligamento: 05/12/2025</text>
  </threadedComment>
  <threadedComment ref="HG164" dT="2026-01-06T12:10:04.33" personId="{D244C915-14E6-4A5D-B745-FB3EFE209052}" id="{3E14247E-1B70-4950-8B7A-8913A3114A86}">
    <text>DESLIGAMENTO: 11/12/2025
ELIS REGINA SILVA PEREIRA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E7DC90-BAFF-4AE4-8B05-C059488E0F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89ff81-a53d-403f-a2e7-6aba434a587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5562-3704-45C0-9FF7-86EC5361F106}">
  <sheetPr codeName="Planilha1"/>
  <dimension ref="A1:BR60"/>
  <sheetViews>
    <sheetView tabSelected="1" topLeftCell="A33" zoomScale="70" zoomScaleNormal="70" workbookViewId="0">
      <selection activeCell="N54" sqref="N54"/>
    </sheetView>
  </sheetViews>
  <sheetFormatPr defaultColWidth="2.1796875" defaultRowHeight="14.5" x14ac:dyDescent="0.35"/>
  <cols>
    <col min="1" max="1" width="0.7265625" customWidth="1"/>
    <col min="2" max="2" width="31.453125" customWidth="1"/>
    <col min="3" max="3" width="2.1796875" customWidth="1"/>
    <col min="4" max="4" width="15" customWidth="1"/>
    <col min="5" max="5" width="18.1796875" customWidth="1"/>
    <col min="6" max="6" width="4.54296875" customWidth="1"/>
    <col min="7" max="9" width="2.453125" customWidth="1"/>
    <col min="10" max="10" width="8.453125" customWidth="1"/>
    <col min="11" max="11" width="2.453125" customWidth="1"/>
    <col min="12" max="12" width="16.453125" customWidth="1"/>
    <col min="13" max="14" width="2.453125" customWidth="1"/>
    <col min="15" max="15" width="0.26953125" customWidth="1"/>
    <col min="20" max="20" width="10.81640625" customWidth="1"/>
    <col min="21" max="21" width="2.1796875" customWidth="1"/>
    <col min="25" max="26" width="2.1796875" hidden="1" customWidth="1"/>
  </cols>
  <sheetData>
    <row r="1" spans="1:70" ht="40" customHeight="1" x14ac:dyDescent="0.35">
      <c r="A1" s="1002" t="s">
        <v>0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</row>
    <row r="2" spans="1:70" ht="18" customHeight="1" x14ac:dyDescent="0.35">
      <c r="A2" s="1003" t="s">
        <v>1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</row>
    <row r="4" spans="1:70" ht="24" customHeight="1" x14ac:dyDescent="0.4">
      <c r="B4" s="1004" t="s">
        <v>2</v>
      </c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  <c r="O4" s="1004"/>
      <c r="P4" s="1004"/>
      <c r="Q4" s="1004"/>
      <c r="R4" s="1004"/>
      <c r="S4" s="1004"/>
      <c r="T4" s="1004"/>
      <c r="U4" s="1004"/>
      <c r="V4" s="1004"/>
      <c r="W4" s="1004"/>
      <c r="X4" s="1004"/>
    </row>
    <row r="5" spans="1:70" ht="80.150000000000006" customHeight="1" x14ac:dyDescent="0.35">
      <c r="B5" s="1005" t="s">
        <v>3</v>
      </c>
      <c r="C5" s="1005"/>
      <c r="D5" s="1005"/>
      <c r="E5" s="1005"/>
      <c r="F5" s="1005"/>
      <c r="G5" s="1005"/>
      <c r="H5" s="1005"/>
      <c r="I5" s="1005"/>
      <c r="J5" s="1005"/>
      <c r="K5" s="1005"/>
      <c r="L5" s="1005"/>
      <c r="M5" s="1005"/>
      <c r="N5" s="1005"/>
      <c r="O5" s="1005"/>
      <c r="P5" s="1005"/>
      <c r="Q5" s="1005"/>
      <c r="R5" s="1005"/>
      <c r="S5" s="1005"/>
      <c r="T5" s="1005"/>
      <c r="U5" s="1005"/>
      <c r="V5" s="1005"/>
      <c r="W5" s="1005"/>
      <c r="X5" s="1005"/>
    </row>
    <row r="7" spans="1:70" ht="20.149999999999999" customHeight="1" x14ac:dyDescent="0.35">
      <c r="B7" s="1006" t="s">
        <v>4</v>
      </c>
      <c r="C7" s="998"/>
      <c r="D7" s="998"/>
      <c r="E7" s="998"/>
      <c r="G7" s="1006" t="s">
        <v>5</v>
      </c>
      <c r="H7" s="998"/>
      <c r="I7" s="998"/>
      <c r="J7" s="998"/>
    </row>
    <row r="8" spans="1:70" ht="32.15" customHeight="1" x14ac:dyDescent="0.7">
      <c r="B8" s="1007" cm="1">
        <f t="array" ref="B8">SUMPRODUCT(ISNUMBER(SEARCH("741",'EFETIVO 11.05.2026'!$H$2:$H$1919))*('EFETIVO 11.05.2026'!$G$2:$G$1919="A"))</f>
        <v>185</v>
      </c>
      <c r="C8" s="1000"/>
      <c r="D8" s="1000"/>
      <c r="E8" s="1001"/>
      <c r="G8" s="1007" cm="1">
        <f t="array" ref="G8">SUMPRODUCT(ISNUMBER(SEARCH("741",'EFETIVO 11.05.2026'!$H$2:$H$1919))*('EFETIVO 11.05.2026'!$G$2:$G$1919="D"))</f>
        <v>87</v>
      </c>
      <c r="H8" s="1000"/>
      <c r="I8" s="1000"/>
      <c r="J8" s="1001"/>
    </row>
    <row r="9" spans="1:70" ht="20.149999999999999" customHeight="1" thickBot="1" x14ac:dyDescent="0.4">
      <c r="B9" s="1014"/>
      <c r="C9" s="1015"/>
      <c r="D9" s="1015"/>
      <c r="E9" s="1016"/>
      <c r="G9" s="1014"/>
      <c r="H9" s="1015"/>
      <c r="I9" s="1015"/>
      <c r="J9" s="1016"/>
    </row>
    <row r="10" spans="1:70" ht="20.149999999999999" customHeight="1" x14ac:dyDescent="0.35">
      <c r="B10" s="1006" t="s">
        <v>6</v>
      </c>
      <c r="C10" s="998"/>
      <c r="D10" s="998"/>
      <c r="E10" s="998"/>
      <c r="G10" s="1017" t="s">
        <v>10</v>
      </c>
      <c r="H10" s="1017"/>
      <c r="I10" s="1017"/>
      <c r="J10" s="1017"/>
      <c r="BD10" s="1829"/>
      <c r="BE10" s="1829"/>
      <c r="BF10" s="1829"/>
      <c r="BG10" s="1829"/>
      <c r="BH10" s="1829"/>
      <c r="BI10" s="1829"/>
      <c r="BJ10" s="1829"/>
      <c r="BK10" s="1829"/>
      <c r="BL10" s="1829"/>
      <c r="BM10" s="1829"/>
      <c r="BN10" s="1829"/>
      <c r="BO10" s="1829"/>
      <c r="BP10" s="1829"/>
      <c r="BQ10" s="1829"/>
      <c r="BR10" s="1829"/>
    </row>
    <row r="11" spans="1:70" ht="32.15" customHeight="1" x14ac:dyDescent="0.7">
      <c r="B11" s="1007" cm="1">
        <f t="array" ref="B11">SUMPRODUCT(ISNUMBER(SEARCH("743",'EFETIVO 11.05.2026'!$H$2:$H$1919))*('EFETIVO 11.05.2026'!$G$2:$G$1919="A"))</f>
        <v>319</v>
      </c>
      <c r="C11" s="1000"/>
      <c r="D11" s="1000"/>
      <c r="E11" s="1001"/>
      <c r="G11" s="1021" cm="1">
        <f t="array" ref="G11">SUMPRODUCT(ISNUMBER(SEARCH("743",'EFETIVO 11.05.2026'!$H$2:$H$1919))*('EFETIVO 11.05.2026'!$G$2:$G$1919="D"))</f>
        <v>101</v>
      </c>
      <c r="H11" s="1022"/>
      <c r="I11" s="1022"/>
      <c r="J11" s="1023"/>
      <c r="L11" s="1829"/>
      <c r="M11" s="1829"/>
      <c r="N11" s="1829"/>
      <c r="O11" s="1829"/>
      <c r="P11" s="1829"/>
      <c r="BD11" s="1829"/>
      <c r="BE11" s="1829"/>
      <c r="BF11" s="1829"/>
      <c r="BG11" s="1829"/>
      <c r="BH11" s="1829"/>
      <c r="BI11" s="1829"/>
      <c r="BJ11" s="1829"/>
      <c r="BK11" s="1829"/>
      <c r="BL11" s="1829"/>
      <c r="BM11" s="1829"/>
      <c r="BN11" s="1829"/>
      <c r="BO11" s="1829"/>
      <c r="BP11" s="1829"/>
      <c r="BQ11" s="1829"/>
      <c r="BR11" s="1829"/>
    </row>
    <row r="12" spans="1:70" ht="20.149999999999999" customHeight="1" thickBot="1" x14ac:dyDescent="0.4">
      <c r="B12" s="1014"/>
      <c r="C12" s="1015"/>
      <c r="D12" s="1015"/>
      <c r="E12" s="1016"/>
      <c r="G12" s="1014"/>
      <c r="H12" s="1015"/>
      <c r="I12" s="1015"/>
      <c r="J12" s="1016"/>
      <c r="L12" s="1829"/>
      <c r="M12" s="1829"/>
      <c r="N12" s="1829"/>
      <c r="O12" s="1829"/>
      <c r="P12" s="1829"/>
      <c r="BD12" s="1829"/>
      <c r="BE12" s="1829"/>
      <c r="BF12" s="1829"/>
      <c r="BG12" s="1829"/>
      <c r="BH12" s="1829"/>
      <c r="BI12" s="1829"/>
      <c r="BJ12" s="1829"/>
      <c r="BK12" s="1829"/>
      <c r="BL12" s="1829"/>
      <c r="BM12" s="1829"/>
      <c r="BN12" s="1829"/>
      <c r="BO12" s="1829"/>
      <c r="BP12" s="1829"/>
      <c r="BQ12" s="1829"/>
      <c r="BR12" s="1829"/>
    </row>
    <row r="13" spans="1:70" ht="20.149999999999999" customHeight="1" x14ac:dyDescent="0.35">
      <c r="B13" s="998" t="s">
        <v>11</v>
      </c>
      <c r="C13" s="998"/>
      <c r="D13" s="998"/>
      <c r="E13" s="998"/>
      <c r="G13" s="998" t="s">
        <v>12</v>
      </c>
      <c r="H13" s="998"/>
      <c r="I13" s="998"/>
      <c r="J13" s="998"/>
      <c r="L13" s="1829"/>
      <c r="M13" s="1829"/>
      <c r="N13" s="1829"/>
      <c r="O13" s="1829"/>
      <c r="P13" s="1829"/>
    </row>
    <row r="14" spans="1:70" ht="30" customHeight="1" x14ac:dyDescent="0.65">
      <c r="B14" s="1000" cm="1">
        <f t="array" ref="B14">SUMPRODUCT(ISNUMBER(SEARCH("736",'EFETIVO 11.05.2026'!$H$2:$H$1919))*('EFETIVO 11.05.2026'!$G$2:$G$1919="A"))</f>
        <v>399</v>
      </c>
      <c r="C14" s="1000"/>
      <c r="D14" s="1000"/>
      <c r="E14" s="1000"/>
      <c r="G14" s="1860" cm="1">
        <f t="array" ref="G14">SUMPRODUCT(ISNUMBER(SEARCH("736",'EFETIVO 11.05.2026'!$H$2:$H$1919))*('EFETIVO 11.05.2026'!$G$2:$G$1919="D"))</f>
        <v>180</v>
      </c>
      <c r="H14" s="1861"/>
      <c r="I14" s="1861"/>
      <c r="J14" s="1875"/>
      <c r="L14" s="1829"/>
      <c r="M14" s="1829"/>
      <c r="N14" s="1829"/>
      <c r="O14" s="1829"/>
      <c r="P14" s="1829"/>
    </row>
    <row r="15" spans="1:70" ht="25" customHeight="1" x14ac:dyDescent="0.35">
      <c r="B15" s="279"/>
      <c r="C15" s="279"/>
      <c r="D15" s="279"/>
      <c r="E15" s="279"/>
      <c r="G15" s="1862"/>
      <c r="H15" s="1863"/>
      <c r="I15" s="1863"/>
      <c r="J15" s="1874"/>
      <c r="L15" s="1829"/>
      <c r="M15" s="1829"/>
      <c r="N15" s="1829"/>
      <c r="O15" s="1829"/>
      <c r="P15" s="1829"/>
    </row>
    <row r="16" spans="1:70" ht="20.149999999999999" customHeight="1" x14ac:dyDescent="0.35">
      <c r="B16" s="998" t="s">
        <v>13</v>
      </c>
      <c r="C16" s="998"/>
      <c r="D16" s="998"/>
      <c r="E16" s="998"/>
      <c r="G16" s="1864" t="s">
        <v>14</v>
      </c>
      <c r="H16" s="1865"/>
      <c r="I16" s="1865"/>
      <c r="J16" s="1866"/>
      <c r="K16" s="1873"/>
    </row>
    <row r="17" spans="2:42" ht="28.5" x14ac:dyDescent="0.65">
      <c r="B17" s="1000" cm="1">
        <f t="array" ref="B17">SUMPRODUCT(ISNUMBER(SEARCH("737",'EFETIVO 11.05.2026'!$H$2:$H$1919))*('EFETIVO 11.05.2026'!$G$2:$G$1919="A"))</f>
        <v>406</v>
      </c>
      <c r="C17" s="1000"/>
      <c r="D17" s="1000"/>
      <c r="E17" s="1000"/>
      <c r="G17" s="1867" cm="1">
        <f t="array" ref="G17">SUMPRODUCT(ISNUMBER(SEARCH("737",'EFETIVO 11.05.2026'!$H$2:$H$1919))*('EFETIVO 11.05.2026'!$G$2:$G$1919="D"))</f>
        <v>145</v>
      </c>
      <c r="H17" s="1868"/>
      <c r="I17" s="1868"/>
      <c r="J17" s="1869"/>
    </row>
    <row r="18" spans="2:42" ht="24" customHeight="1" thickBot="1" x14ac:dyDescent="0.4">
      <c r="B18" s="279"/>
      <c r="C18" s="279"/>
      <c r="D18" s="279"/>
      <c r="E18" s="279"/>
      <c r="G18" s="1870"/>
      <c r="H18" s="1871"/>
      <c r="I18" s="1871"/>
      <c r="J18" s="1872"/>
    </row>
    <row r="19" spans="2:42" ht="28" customHeight="1" x14ac:dyDescent="0.35">
      <c r="B19" s="1017" t="s">
        <v>8</v>
      </c>
      <c r="C19" s="1018"/>
      <c r="D19" s="1018"/>
      <c r="E19" s="1018"/>
      <c r="G19" s="998" t="s">
        <v>7</v>
      </c>
      <c r="H19" s="998"/>
      <c r="I19" s="998"/>
      <c r="J19" s="998"/>
    </row>
    <row r="20" spans="2:42" ht="28" customHeight="1" x14ac:dyDescent="0.7">
      <c r="B20" s="1007" cm="1">
        <f t="array" ref="B20">SUMPRODUCT(('EFETIVO 11.05.2026'!$G$2:$G$1919="A")*1)</f>
        <v>1309</v>
      </c>
      <c r="C20" s="1000"/>
      <c r="D20" s="1000"/>
      <c r="E20" s="1001"/>
      <c r="G20" s="999" cm="1">
        <f t="array" ref="G20">SUMPRODUCT(('EFETIVO 11.05.2026'!$G$2:$G$1919="F")+('EFETIVO 11.05.2026'!$G$2:$G$1919="P")+('EFETIVO 11.05.2026'!$G$2:$G$1919="T")+('EFETIVO 11.05.2026'!$G$2:$G$1919="M"))</f>
        <v>89</v>
      </c>
      <c r="H20" s="1000"/>
      <c r="I20" s="1000"/>
      <c r="J20" s="1001"/>
    </row>
    <row r="21" spans="2:42" ht="28" customHeight="1" thickBot="1" x14ac:dyDescent="0.4">
      <c r="B21" s="1014"/>
      <c r="C21" s="1015"/>
      <c r="D21" s="1015"/>
      <c r="E21" s="1016"/>
      <c r="G21" s="1014"/>
      <c r="H21" s="1015"/>
      <c r="I21" s="1015"/>
      <c r="J21" s="1016"/>
    </row>
    <row r="22" spans="2:42" ht="28" customHeight="1" x14ac:dyDescent="0.35">
      <c r="B22" s="1017" t="s">
        <v>9</v>
      </c>
      <c r="C22" s="1018"/>
      <c r="D22" s="1018"/>
      <c r="E22" s="1018"/>
    </row>
    <row r="23" spans="2:42" ht="28" customHeight="1" x14ac:dyDescent="0.7">
      <c r="B23" s="1007" cm="1">
        <f t="array" ref="B23">SUMPRODUCT((('EFETIVO 11.05.2026'!$G$2:$G$1919="A")+('EFETIVO 11.05.2026'!$G$2:$G$1919="D"))*1)</f>
        <v>1822</v>
      </c>
      <c r="C23" s="1000"/>
      <c r="D23" s="1000"/>
      <c r="E23" s="1001"/>
    </row>
    <row r="24" spans="2:42" ht="28" customHeight="1" thickBot="1" x14ac:dyDescent="0.4">
      <c r="B24" s="1014"/>
      <c r="C24" s="1015"/>
      <c r="D24" s="1015"/>
      <c r="E24" s="1016"/>
      <c r="AI24" s="1829"/>
      <c r="AJ24" s="1829"/>
      <c r="AK24" s="1829"/>
      <c r="AL24" s="1829"/>
      <c r="AM24" s="1829"/>
      <c r="AN24" s="1829"/>
      <c r="AO24" s="1829"/>
      <c r="AP24" s="1829"/>
    </row>
    <row r="25" spans="2:42" ht="28" customHeight="1" x14ac:dyDescent="0.35">
      <c r="AI25" s="1829"/>
      <c r="AJ25" s="1829"/>
      <c r="AK25" s="1829"/>
      <c r="AL25" s="1829"/>
      <c r="AM25" s="1829"/>
      <c r="AN25" s="1829"/>
      <c r="AO25" s="1829"/>
      <c r="AP25" s="1829"/>
    </row>
    <row r="26" spans="2:42" ht="28" customHeight="1" x14ac:dyDescent="0.4">
      <c r="B26" s="1011" t="s">
        <v>15</v>
      </c>
      <c r="C26" s="1011"/>
      <c r="D26" s="1011"/>
      <c r="E26" s="1011"/>
      <c r="F26" s="1011"/>
      <c r="G26" s="1011"/>
      <c r="H26" s="1011"/>
      <c r="I26" s="1011"/>
      <c r="J26" s="1011"/>
      <c r="K26" s="1011"/>
      <c r="L26" s="1011"/>
      <c r="M26" s="1011"/>
      <c r="N26" s="1011"/>
    </row>
    <row r="27" spans="2:42" ht="28" customHeight="1" x14ac:dyDescent="0.35">
      <c r="B27" s="184">
        <v>1</v>
      </c>
      <c r="C27" s="1008" t="s">
        <v>16</v>
      </c>
      <c r="D27" s="1009"/>
      <c r="E27" s="1009"/>
      <c r="F27" s="1010" t="s">
        <v>17</v>
      </c>
      <c r="G27" s="1009"/>
      <c r="H27" s="1009"/>
      <c r="I27" s="1009"/>
      <c r="J27" s="1009"/>
      <c r="K27" s="1009"/>
      <c r="L27" s="1009"/>
      <c r="M27" s="1009"/>
      <c r="N27" s="1009"/>
    </row>
    <row r="28" spans="2:42" ht="28" customHeight="1" x14ac:dyDescent="0.35">
      <c r="B28" s="184">
        <v>2</v>
      </c>
      <c r="C28" s="306" t="s">
        <v>18</v>
      </c>
      <c r="D28" s="276"/>
      <c r="E28" s="276"/>
      <c r="F28" s="303" t="s">
        <v>19</v>
      </c>
      <c r="G28" s="276"/>
      <c r="H28" s="276"/>
      <c r="I28" s="276"/>
      <c r="J28" s="276"/>
      <c r="K28" s="276"/>
      <c r="L28" s="276"/>
      <c r="M28" s="276"/>
      <c r="N28" s="276"/>
    </row>
    <row r="29" spans="2:42" ht="28" customHeight="1" x14ac:dyDescent="0.35">
      <c r="B29" s="185">
        <v>3</v>
      </c>
      <c r="C29" s="307" t="s">
        <v>20</v>
      </c>
      <c r="D29" s="275"/>
      <c r="E29" s="275"/>
      <c r="F29" s="302" t="s">
        <v>21</v>
      </c>
      <c r="G29" s="276"/>
      <c r="H29" s="276"/>
      <c r="I29" s="276"/>
      <c r="J29" s="276"/>
      <c r="K29" s="276"/>
      <c r="L29" s="276"/>
      <c r="M29" s="276"/>
      <c r="N29" s="276"/>
    </row>
    <row r="30" spans="2:42" ht="28" customHeight="1" x14ac:dyDescent="0.35">
      <c r="B30" s="185">
        <v>4</v>
      </c>
      <c r="C30" s="1012" t="s">
        <v>22</v>
      </c>
      <c r="D30" s="1013"/>
      <c r="E30" s="1013"/>
      <c r="F30" s="1005" t="s">
        <v>23</v>
      </c>
      <c r="G30" s="1013"/>
      <c r="H30" s="1013"/>
      <c r="I30" s="1013"/>
      <c r="J30" s="1013"/>
      <c r="K30" s="1013"/>
      <c r="L30" s="1013"/>
      <c r="M30" s="1013"/>
      <c r="N30" s="1013"/>
    </row>
    <row r="31" spans="2:42" x14ac:dyDescent="0.35">
      <c r="B31" s="184">
        <v>5</v>
      </c>
      <c r="C31" s="1008" t="s">
        <v>24</v>
      </c>
      <c r="D31" s="1009"/>
      <c r="E31" s="1009"/>
      <c r="F31" s="1010" t="s">
        <v>25</v>
      </c>
      <c r="G31" s="1009"/>
      <c r="H31" s="1009"/>
      <c r="I31" s="1009"/>
      <c r="J31" s="1009"/>
      <c r="K31" s="1009"/>
      <c r="L31" s="1009"/>
      <c r="M31" s="1009"/>
      <c r="N31" s="1009"/>
    </row>
    <row r="32" spans="2:42" ht="24" customHeight="1" x14ac:dyDescent="0.35">
      <c r="B32" s="185">
        <v>6</v>
      </c>
      <c r="C32" s="1012" t="s">
        <v>26</v>
      </c>
      <c r="D32" s="1013"/>
      <c r="E32" s="1013"/>
      <c r="F32" s="1005" t="s">
        <v>27</v>
      </c>
      <c r="G32" s="1013"/>
      <c r="H32" s="1013"/>
      <c r="I32" s="1013"/>
      <c r="J32" s="1013"/>
      <c r="K32" s="1013"/>
      <c r="L32" s="1013"/>
      <c r="M32" s="1013"/>
      <c r="N32" s="1013"/>
    </row>
    <row r="33" spans="2:14" ht="32.15" customHeight="1" x14ac:dyDescent="0.35">
      <c r="B33" s="184">
        <v>7</v>
      </c>
      <c r="C33" s="1008" t="s">
        <v>28</v>
      </c>
      <c r="D33" s="1009"/>
      <c r="E33" s="1009"/>
      <c r="F33" s="1010" t="s">
        <v>29</v>
      </c>
      <c r="G33" s="1009"/>
      <c r="H33" s="1009"/>
      <c r="I33" s="1009"/>
      <c r="J33" s="1009"/>
      <c r="K33" s="1009"/>
      <c r="L33" s="1009"/>
      <c r="M33" s="1009"/>
      <c r="N33" s="1009"/>
    </row>
    <row r="34" spans="2:14" ht="47.5" customHeight="1" x14ac:dyDescent="0.35">
      <c r="B34" s="185">
        <v>8</v>
      </c>
      <c r="C34" s="1012" t="s">
        <v>30</v>
      </c>
      <c r="D34" s="1013"/>
      <c r="E34" s="1013"/>
      <c r="F34" s="1005" t="s">
        <v>31</v>
      </c>
      <c r="G34" s="1013"/>
      <c r="H34" s="1013"/>
      <c r="I34" s="1013"/>
      <c r="J34" s="1013"/>
      <c r="K34" s="1013"/>
      <c r="L34" s="1013"/>
      <c r="M34" s="1013"/>
      <c r="N34" s="1013"/>
    </row>
    <row r="35" spans="2:14" ht="32.15" customHeight="1" x14ac:dyDescent="0.35">
      <c r="B35" s="184">
        <v>9</v>
      </c>
      <c r="C35" s="1008" t="s">
        <v>32</v>
      </c>
      <c r="D35" s="1009"/>
      <c r="E35" s="1009"/>
      <c r="F35" s="1010" t="s">
        <v>33</v>
      </c>
      <c r="G35" s="1009"/>
      <c r="H35" s="1009"/>
      <c r="I35" s="1009"/>
      <c r="J35" s="1009"/>
      <c r="K35" s="1009"/>
      <c r="L35" s="1009"/>
      <c r="M35" s="1009"/>
      <c r="N35" s="1009"/>
    </row>
    <row r="36" spans="2:14" ht="42.65" customHeight="1" x14ac:dyDescent="0.35">
      <c r="B36" s="185">
        <v>10</v>
      </c>
      <c r="C36" s="1012" t="s">
        <v>34</v>
      </c>
      <c r="D36" s="1013"/>
      <c r="E36" s="1013"/>
      <c r="F36" s="1005" t="s">
        <v>35</v>
      </c>
      <c r="G36" s="1013"/>
      <c r="H36" s="1013"/>
      <c r="I36" s="1013"/>
      <c r="J36" s="1013"/>
      <c r="K36" s="1013"/>
      <c r="L36" s="1013"/>
      <c r="M36" s="1013"/>
      <c r="N36" s="1013"/>
    </row>
    <row r="37" spans="2:14" ht="47.5" customHeight="1" x14ac:dyDescent="0.35">
      <c r="B37" s="184">
        <v>11</v>
      </c>
      <c r="C37" s="1008" t="s">
        <v>36</v>
      </c>
      <c r="D37" s="1009"/>
      <c r="E37" s="1009"/>
      <c r="F37" s="1010" t="s">
        <v>37</v>
      </c>
      <c r="G37" s="1009"/>
      <c r="H37" s="1009"/>
      <c r="I37" s="1009"/>
      <c r="J37" s="1009"/>
      <c r="K37" s="1009"/>
      <c r="L37" s="1009"/>
      <c r="M37" s="1009"/>
      <c r="N37" s="1009"/>
    </row>
    <row r="38" spans="2:14" x14ac:dyDescent="0.35">
      <c r="B38" s="185">
        <v>12</v>
      </c>
      <c r="C38" s="1012" t="s">
        <v>38</v>
      </c>
      <c r="D38" s="1013"/>
      <c r="E38" s="1013"/>
      <c r="F38" s="1005" t="s">
        <v>39</v>
      </c>
      <c r="G38" s="1013"/>
      <c r="H38" s="1013"/>
      <c r="I38" s="1013"/>
      <c r="J38" s="1013"/>
      <c r="K38" s="1013"/>
      <c r="L38" s="1013"/>
      <c r="M38" s="1013"/>
      <c r="N38" s="1013"/>
    </row>
    <row r="40" spans="2:14" ht="16" x14ac:dyDescent="0.4">
      <c r="B40" s="1024" t="s">
        <v>40</v>
      </c>
      <c r="C40" s="1024"/>
      <c r="D40" s="1024"/>
      <c r="E40" s="1024"/>
      <c r="F40" s="1024"/>
      <c r="G40" s="1024"/>
      <c r="H40" s="1024"/>
      <c r="I40" s="1024"/>
      <c r="J40" s="1024"/>
      <c r="K40" s="1024"/>
      <c r="L40" s="1024"/>
      <c r="M40" s="1024"/>
      <c r="N40" s="1024"/>
    </row>
    <row r="41" spans="2:14" x14ac:dyDescent="0.35">
      <c r="B41" s="186">
        <v>-1</v>
      </c>
      <c r="C41" s="1019" t="s">
        <v>41</v>
      </c>
      <c r="D41" s="1020"/>
      <c r="E41" s="1020"/>
      <c r="F41" s="1020"/>
      <c r="G41" s="1020"/>
      <c r="H41" s="1020"/>
      <c r="I41" s="1020"/>
      <c r="J41" s="1020"/>
      <c r="K41" s="1020"/>
      <c r="L41" s="1020"/>
      <c r="M41" s="1020"/>
      <c r="N41" s="1020"/>
    </row>
    <row r="42" spans="2:14" x14ac:dyDescent="0.35">
      <c r="B42" s="186">
        <v>-2</v>
      </c>
      <c r="C42" s="1019" t="s">
        <v>42</v>
      </c>
      <c r="D42" s="1020"/>
      <c r="E42" s="1020"/>
      <c r="F42" s="1020"/>
      <c r="G42" s="1020"/>
      <c r="H42" s="1020"/>
      <c r="I42" s="1020"/>
      <c r="J42" s="1020"/>
      <c r="K42" s="1020"/>
      <c r="L42" s="1020"/>
      <c r="M42" s="1020"/>
      <c r="N42" s="1020"/>
    </row>
    <row r="43" spans="2:14" ht="30" customHeight="1" x14ac:dyDescent="0.35">
      <c r="B43" s="186">
        <v>-3</v>
      </c>
      <c r="C43" s="1019" t="s">
        <v>43</v>
      </c>
      <c r="D43" s="1020"/>
      <c r="E43" s="1020"/>
      <c r="F43" s="1020"/>
      <c r="G43" s="1020"/>
      <c r="H43" s="1020"/>
      <c r="I43" s="1020"/>
      <c r="J43" s="1020"/>
      <c r="K43" s="1020"/>
      <c r="L43" s="1020"/>
      <c r="M43" s="1020"/>
      <c r="N43" s="1020"/>
    </row>
    <row r="44" spans="2:14" ht="30" customHeight="1" x14ac:dyDescent="0.35">
      <c r="B44" s="186">
        <v>-4</v>
      </c>
      <c r="C44" s="1019" t="s">
        <v>44</v>
      </c>
      <c r="D44" s="1020"/>
      <c r="E44" s="1020"/>
      <c r="F44" s="1020"/>
      <c r="G44" s="1020"/>
      <c r="H44" s="1020"/>
      <c r="I44" s="1020"/>
      <c r="J44" s="1020"/>
      <c r="K44" s="1020"/>
      <c r="L44" s="1020"/>
      <c r="M44" s="1020"/>
      <c r="N44" s="1020"/>
    </row>
    <row r="45" spans="2:14" ht="29.15" customHeight="1" x14ac:dyDescent="0.35">
      <c r="B45" s="186">
        <v>-5</v>
      </c>
      <c r="C45" s="1019" t="s">
        <v>45</v>
      </c>
      <c r="D45" s="1020"/>
      <c r="E45" s="1020"/>
      <c r="F45" s="1020"/>
      <c r="G45" s="1020"/>
      <c r="H45" s="1020"/>
      <c r="I45" s="1020"/>
      <c r="J45" s="1020"/>
      <c r="K45" s="1020"/>
      <c r="L45" s="1020"/>
      <c r="M45" s="1020"/>
      <c r="N45" s="1020"/>
    </row>
    <row r="46" spans="2:14" ht="29.15" customHeight="1" x14ac:dyDescent="0.35"/>
    <row r="47" spans="2:14" ht="29.15" customHeight="1" x14ac:dyDescent="0.45">
      <c r="B47" s="296" t="s">
        <v>46</v>
      </c>
    </row>
    <row r="48" spans="2:14" ht="29.15" customHeight="1" x14ac:dyDescent="0.35">
      <c r="B48" s="297" t="s">
        <v>47</v>
      </c>
    </row>
    <row r="49" spans="2:7" ht="29.15" customHeight="1" x14ac:dyDescent="0.35"/>
    <row r="50" spans="2:7" ht="29.15" customHeight="1" x14ac:dyDescent="0.35">
      <c r="B50" s="298" t="s">
        <v>48</v>
      </c>
      <c r="C50" s="298" t="s">
        <v>49</v>
      </c>
      <c r="D50" s="298"/>
      <c r="E50" s="298"/>
      <c r="F50" s="299" t="s">
        <v>50</v>
      </c>
      <c r="G50" s="299"/>
    </row>
    <row r="51" spans="2:7" ht="29.15" customHeight="1" x14ac:dyDescent="0.35">
      <c r="B51" s="300" t="s">
        <v>51</v>
      </c>
      <c r="C51" s="276" t="s">
        <v>52</v>
      </c>
      <c r="D51" s="300"/>
      <c r="E51" s="300"/>
      <c r="G51" s="299"/>
    </row>
    <row r="52" spans="2:7" ht="29.15" customHeight="1" x14ac:dyDescent="0.35">
      <c r="B52" s="301" t="s">
        <v>53</v>
      </c>
      <c r="C52" s="275" t="s">
        <v>54</v>
      </c>
      <c r="D52" s="301"/>
      <c r="E52" s="301"/>
      <c r="G52" s="299"/>
    </row>
    <row r="53" spans="2:7" x14ac:dyDescent="0.35">
      <c r="B53" s="300" t="s">
        <v>32</v>
      </c>
      <c r="C53" s="276" t="s">
        <v>55</v>
      </c>
      <c r="D53" s="300"/>
      <c r="E53" s="300"/>
    </row>
    <row r="54" spans="2:7" x14ac:dyDescent="0.35">
      <c r="B54" s="301" t="s">
        <v>34</v>
      </c>
      <c r="C54" s="275" t="s">
        <v>56</v>
      </c>
      <c r="D54" s="301"/>
      <c r="E54" s="301"/>
    </row>
    <row r="55" spans="2:7" x14ac:dyDescent="0.35">
      <c r="B55" s="300" t="s">
        <v>57</v>
      </c>
      <c r="C55" s="276" t="s">
        <v>58</v>
      </c>
      <c r="D55" s="300"/>
      <c r="E55" s="300"/>
    </row>
    <row r="56" spans="2:7" x14ac:dyDescent="0.35">
      <c r="B56" s="300" t="s">
        <v>18</v>
      </c>
      <c r="C56" s="276" t="s">
        <v>59</v>
      </c>
      <c r="D56" s="300"/>
      <c r="E56" s="300"/>
    </row>
    <row r="57" spans="2:7" x14ac:dyDescent="0.35">
      <c r="B57" s="301" t="s">
        <v>20</v>
      </c>
      <c r="C57" s="275" t="s">
        <v>60</v>
      </c>
      <c r="D57" s="301"/>
      <c r="E57" s="301"/>
    </row>
    <row r="58" spans="2:7" x14ac:dyDescent="0.35">
      <c r="B58" s="301" t="s">
        <v>22</v>
      </c>
      <c r="C58" s="275" t="s">
        <v>61</v>
      </c>
      <c r="D58" s="301"/>
      <c r="E58" s="301"/>
    </row>
    <row r="59" spans="2:7" x14ac:dyDescent="0.35">
      <c r="B59" s="300" t="s">
        <v>24</v>
      </c>
      <c r="C59" s="276" t="s">
        <v>62</v>
      </c>
      <c r="D59" s="300"/>
      <c r="E59" s="300"/>
    </row>
    <row r="60" spans="2:7" x14ac:dyDescent="0.35">
      <c r="B60" s="300" t="s">
        <v>63</v>
      </c>
      <c r="C60" s="276" t="s">
        <v>64</v>
      </c>
      <c r="D60" s="300"/>
      <c r="E60" s="300"/>
    </row>
  </sheetData>
  <mergeCells count="60">
    <mergeCell ref="G16:J16"/>
    <mergeCell ref="G17:J17"/>
    <mergeCell ref="B13:E13"/>
    <mergeCell ref="B14:E14"/>
    <mergeCell ref="G13:J13"/>
    <mergeCell ref="G14:J14"/>
    <mergeCell ref="B16:E16"/>
    <mergeCell ref="B17:E17"/>
    <mergeCell ref="C44:N44"/>
    <mergeCell ref="C45:N45"/>
    <mergeCell ref="G10:J10"/>
    <mergeCell ref="G12:J12"/>
    <mergeCell ref="G11:J11"/>
    <mergeCell ref="C38:E38"/>
    <mergeCell ref="F38:N38"/>
    <mergeCell ref="B40:N40"/>
    <mergeCell ref="C41:N41"/>
    <mergeCell ref="C42:N42"/>
    <mergeCell ref="C43:N43"/>
    <mergeCell ref="C35:E35"/>
    <mergeCell ref="F35:N35"/>
    <mergeCell ref="C36:E36"/>
    <mergeCell ref="F36:N36"/>
    <mergeCell ref="C37:E37"/>
    <mergeCell ref="F37:N37"/>
    <mergeCell ref="C32:E32"/>
    <mergeCell ref="F32:N32"/>
    <mergeCell ref="C33:E33"/>
    <mergeCell ref="F33:N33"/>
    <mergeCell ref="C34:E34"/>
    <mergeCell ref="F34:N34"/>
    <mergeCell ref="G21:J21"/>
    <mergeCell ref="B19:E19"/>
    <mergeCell ref="B20:E20"/>
    <mergeCell ref="B21:E21"/>
    <mergeCell ref="B22:E22"/>
    <mergeCell ref="B23:E23"/>
    <mergeCell ref="B24:E24"/>
    <mergeCell ref="B9:E9"/>
    <mergeCell ref="G9:J9"/>
    <mergeCell ref="B12:E12"/>
    <mergeCell ref="C31:E31"/>
    <mergeCell ref="F31:N31"/>
    <mergeCell ref="B26:N26"/>
    <mergeCell ref="C27:E27"/>
    <mergeCell ref="F27:N27"/>
    <mergeCell ref="C30:E30"/>
    <mergeCell ref="F30:N30"/>
    <mergeCell ref="G19:J19"/>
    <mergeCell ref="G20:J20"/>
    <mergeCell ref="A1:Z1"/>
    <mergeCell ref="A2:Z2"/>
    <mergeCell ref="B4:X4"/>
    <mergeCell ref="B5:X5"/>
    <mergeCell ref="B7:E7"/>
    <mergeCell ref="G7:J7"/>
    <mergeCell ref="G8:J8"/>
    <mergeCell ref="B10:E10"/>
    <mergeCell ref="B11:E11"/>
    <mergeCell ref="B8:E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9186-C509-4D17-B273-114F2A11D52B}">
  <sheetPr codeName="Planilha2">
    <tabColor theme="9" tint="0.79998168889431442"/>
  </sheetPr>
  <dimension ref="F3:HL246"/>
  <sheetViews>
    <sheetView showGridLines="0" topLeftCell="A66" zoomScale="55" zoomScaleNormal="55" workbookViewId="0">
      <selection activeCell="AZ19" sqref="AZ19:BG19"/>
    </sheetView>
  </sheetViews>
  <sheetFormatPr defaultRowHeight="14.5" x14ac:dyDescent="0.35"/>
  <cols>
    <col min="1" max="7" width="2.1796875" customWidth="1"/>
    <col min="8" max="8" width="3.1796875" customWidth="1"/>
    <col min="9" max="10" width="3" customWidth="1"/>
    <col min="11" max="11" width="3.453125" customWidth="1"/>
    <col min="12" max="12" width="3.54296875" customWidth="1"/>
    <col min="13" max="13" width="3.26953125" customWidth="1"/>
    <col min="14" max="14" width="3.1796875" customWidth="1"/>
    <col min="15" max="15" width="2.26953125" customWidth="1"/>
    <col min="16" max="16" width="3.81640625" customWidth="1"/>
    <col min="17" max="18" width="3.1796875" customWidth="1"/>
    <col min="19" max="19" width="2.81640625" customWidth="1"/>
    <col min="20" max="20" width="3.26953125" customWidth="1"/>
    <col min="21" max="21" width="4" customWidth="1"/>
    <col min="22" max="22" width="3.26953125" customWidth="1"/>
    <col min="23" max="23" width="2.81640625" customWidth="1"/>
    <col min="24" max="24" width="2.453125" customWidth="1"/>
    <col min="25" max="25" width="3.54296875" customWidth="1"/>
    <col min="26" max="26" width="3.453125" customWidth="1"/>
    <col min="27" max="27" width="3.81640625" customWidth="1"/>
    <col min="28" max="28" width="2.7265625" customWidth="1"/>
    <col min="29" max="31" width="2.54296875" customWidth="1"/>
    <col min="32" max="32" width="3.81640625" customWidth="1"/>
    <col min="33" max="33" width="3.26953125" customWidth="1"/>
    <col min="34" max="34" width="3.1796875" customWidth="1"/>
    <col min="35" max="35" width="2.26953125" customWidth="1"/>
    <col min="36" max="36" width="6" customWidth="1"/>
    <col min="37" max="37" width="4" customWidth="1"/>
    <col min="38" max="38" width="2.1796875" customWidth="1"/>
    <col min="39" max="39" width="4.453125" customWidth="1"/>
    <col min="40" max="40" width="3.26953125" customWidth="1"/>
    <col min="41" max="41" width="2.26953125" customWidth="1"/>
    <col min="42" max="42" width="2" customWidth="1"/>
    <col min="43" max="43" width="2.26953125" customWidth="1"/>
    <col min="44" max="44" width="3.1796875" customWidth="1"/>
    <col min="45" max="45" width="4" customWidth="1"/>
    <col min="46" max="46" width="3.7265625" customWidth="1"/>
    <col min="47" max="47" width="2" customWidth="1"/>
    <col min="48" max="48" width="3.453125" customWidth="1"/>
    <col min="49" max="49" width="2.81640625" customWidth="1"/>
    <col min="50" max="50" width="2.453125" customWidth="1"/>
    <col min="51" max="52" width="3.54296875" customWidth="1"/>
    <col min="53" max="53" width="4.54296875" customWidth="1"/>
    <col min="54" max="55" width="3.453125" customWidth="1"/>
    <col min="56" max="56" width="3.54296875" customWidth="1"/>
    <col min="57" max="57" width="3.1796875" customWidth="1"/>
    <col min="58" max="58" width="3.81640625" customWidth="1"/>
    <col min="59" max="59" width="3.54296875" customWidth="1"/>
    <col min="60" max="60" width="3.1796875" customWidth="1"/>
    <col min="61" max="61" width="3" customWidth="1"/>
    <col min="62" max="62" width="3.453125" customWidth="1"/>
    <col min="63" max="63" width="3.26953125" customWidth="1"/>
    <col min="64" max="64" width="2.7265625" customWidth="1"/>
    <col min="65" max="65" width="3.453125" customWidth="1"/>
    <col min="66" max="67" width="3.54296875" customWidth="1"/>
    <col min="68" max="68" width="4.453125" customWidth="1"/>
    <col min="69" max="69" width="3.26953125" customWidth="1"/>
    <col min="70" max="70" width="3.54296875" customWidth="1"/>
    <col min="71" max="71" width="4.453125" customWidth="1"/>
    <col min="72" max="72" width="3.26953125" customWidth="1"/>
    <col min="73" max="74" width="3.81640625" customWidth="1"/>
    <col min="75" max="76" width="3.26953125" customWidth="1"/>
    <col min="77" max="77" width="3.453125" customWidth="1"/>
    <col min="78" max="78" width="2.453125" customWidth="1"/>
    <col min="79" max="79" width="3.7265625" customWidth="1"/>
    <col min="80" max="80" width="6.453125" customWidth="1"/>
    <col min="81" max="81" width="2.54296875" customWidth="1"/>
    <col min="82" max="82" width="3.26953125" customWidth="1"/>
    <col min="83" max="83" width="3.81640625" customWidth="1"/>
    <col min="84" max="84" width="3.7265625" customWidth="1"/>
    <col min="85" max="85" width="4" customWidth="1"/>
    <col min="86" max="86" width="3.81640625" customWidth="1"/>
    <col min="87" max="87" width="3.1796875" customWidth="1"/>
    <col min="88" max="88" width="2.81640625" customWidth="1"/>
    <col min="89" max="89" width="6" customWidth="1"/>
    <col min="90" max="90" width="3.1796875" customWidth="1"/>
    <col min="91" max="91" width="3" customWidth="1"/>
    <col min="92" max="92" width="2.7265625" customWidth="1"/>
    <col min="93" max="93" width="5.26953125" customWidth="1"/>
    <col min="94" max="94" width="3.453125" customWidth="1"/>
    <col min="95" max="95" width="4" customWidth="1"/>
    <col min="96" max="96" width="2.7265625" customWidth="1"/>
    <col min="97" max="97" width="2.1796875" customWidth="1"/>
    <col min="98" max="98" width="3.453125" customWidth="1"/>
    <col min="99" max="99" width="3.7265625" customWidth="1"/>
    <col min="100" max="100" width="3.453125" customWidth="1"/>
    <col min="101" max="101" width="4" customWidth="1"/>
    <col min="102" max="102" width="3" customWidth="1"/>
    <col min="103" max="103" width="3.1796875" customWidth="1"/>
    <col min="104" max="104" width="4.1796875" customWidth="1"/>
    <col min="105" max="105" width="3.1796875" customWidth="1"/>
    <col min="106" max="106" width="3.26953125" customWidth="1"/>
    <col min="107" max="107" width="2.54296875" customWidth="1"/>
    <col min="108" max="110" width="3.7265625" customWidth="1"/>
    <col min="111" max="111" width="2.453125" customWidth="1"/>
    <col min="112" max="112" width="3.26953125" customWidth="1"/>
    <col min="113" max="113" width="3.453125" customWidth="1"/>
    <col min="114" max="114" width="4.1796875" customWidth="1"/>
    <col min="115" max="115" width="3.54296875" customWidth="1"/>
    <col min="116" max="116" width="2.7265625" customWidth="1"/>
    <col min="117" max="117" width="3.54296875" customWidth="1"/>
    <col min="118" max="118" width="3.1796875" customWidth="1"/>
    <col min="119" max="119" width="3.7265625" customWidth="1"/>
    <col min="120" max="120" width="3.54296875" customWidth="1"/>
    <col min="121" max="121" width="4" customWidth="1"/>
    <col min="122" max="122" width="2.54296875" customWidth="1"/>
    <col min="123" max="123" width="2.81640625" customWidth="1"/>
    <col min="124" max="124" width="4.54296875" customWidth="1"/>
    <col min="125" max="125" width="2.54296875" customWidth="1"/>
    <col min="126" max="127" width="3.54296875" customWidth="1"/>
    <col min="128" max="128" width="4.81640625" customWidth="1"/>
    <col min="129" max="129" width="3.26953125" customWidth="1"/>
    <col min="130" max="130" width="4.453125" customWidth="1"/>
    <col min="131" max="131" width="3.54296875" customWidth="1"/>
    <col min="132" max="132" width="3.81640625" customWidth="1"/>
    <col min="133" max="133" width="3.54296875" customWidth="1"/>
    <col min="134" max="134" width="3.81640625" customWidth="1"/>
    <col min="135" max="135" width="4.1796875" customWidth="1"/>
    <col min="136" max="136" width="3.54296875" customWidth="1"/>
    <col min="137" max="137" width="3.81640625" customWidth="1"/>
    <col min="138" max="138" width="3" customWidth="1"/>
    <col min="139" max="139" width="4.54296875" customWidth="1"/>
    <col min="140" max="140" width="3.54296875" customWidth="1"/>
    <col min="141" max="141" width="4.453125" customWidth="1"/>
    <col min="142" max="142" width="3.1796875" customWidth="1"/>
    <col min="143" max="143" width="3.54296875" customWidth="1"/>
    <col min="144" max="144" width="3" customWidth="1"/>
    <col min="145" max="145" width="2.54296875" customWidth="1"/>
    <col min="146" max="146" width="3.54296875" customWidth="1"/>
    <col min="147" max="147" width="2.453125" customWidth="1"/>
    <col min="148" max="150" width="2.81640625" customWidth="1"/>
    <col min="151" max="151" width="2.26953125" customWidth="1"/>
    <col min="152" max="152" width="4.453125" customWidth="1"/>
    <col min="153" max="154" width="3.453125" customWidth="1"/>
    <col min="155" max="155" width="3.1796875" customWidth="1"/>
    <col min="156" max="156" width="2.54296875" customWidth="1"/>
    <col min="157" max="157" width="3.26953125" customWidth="1"/>
    <col min="158" max="158" width="3" customWidth="1"/>
    <col min="159" max="159" width="3.453125" customWidth="1"/>
    <col min="160" max="160" width="2.7265625" customWidth="1"/>
    <col min="161" max="161" width="3.1796875" customWidth="1"/>
    <col min="162" max="162" width="3.54296875" customWidth="1"/>
    <col min="163" max="163" width="2.26953125" customWidth="1"/>
    <col min="164" max="164" width="3.26953125" customWidth="1"/>
    <col min="165" max="165" width="2.453125" customWidth="1"/>
    <col min="166" max="166" width="3.1796875" customWidth="1"/>
    <col min="167" max="167" width="3" customWidth="1"/>
    <col min="168" max="168" width="3.453125" customWidth="1"/>
    <col min="169" max="169" width="2.54296875" customWidth="1"/>
    <col min="170" max="170" width="3.26953125" customWidth="1"/>
    <col min="171" max="171" width="4" customWidth="1"/>
    <col min="172" max="172" width="3.26953125" customWidth="1"/>
    <col min="173" max="173" width="3.81640625" customWidth="1"/>
    <col min="174" max="174" width="3.7265625" customWidth="1"/>
    <col min="175" max="176" width="3.1796875" customWidth="1"/>
    <col min="177" max="177" width="3" customWidth="1"/>
    <col min="178" max="178" width="2.81640625" customWidth="1"/>
    <col min="179" max="179" width="3.7265625" customWidth="1"/>
    <col min="180" max="180" width="5" customWidth="1"/>
    <col min="181" max="181" width="2.7265625" customWidth="1"/>
    <col min="182" max="182" width="4.81640625" customWidth="1"/>
    <col min="183" max="183" width="3.81640625" customWidth="1"/>
    <col min="184" max="184" width="2.1796875" customWidth="1"/>
    <col min="185" max="185" width="2.54296875" customWidth="1"/>
    <col min="186" max="186" width="5.7265625" customWidth="1"/>
    <col min="187" max="187" width="7.81640625" customWidth="1"/>
    <col min="188" max="188" width="6.54296875" customWidth="1"/>
    <col min="189" max="189" width="8.81640625" customWidth="1"/>
    <col min="190" max="190" width="1.1796875" customWidth="1"/>
    <col min="191" max="191" width="5" customWidth="1"/>
    <col min="192" max="192" width="1.453125" customWidth="1"/>
    <col min="193" max="193" width="2.81640625" customWidth="1"/>
    <col min="194" max="195" width="2.26953125" customWidth="1"/>
    <col min="196" max="196" width="2.81640625" customWidth="1"/>
    <col min="197" max="197" width="2.26953125" customWidth="1"/>
    <col min="198" max="199" width="2.453125" customWidth="1"/>
    <col min="200" max="200" width="6" customWidth="1"/>
    <col min="201" max="201" width="3.7265625" customWidth="1"/>
    <col min="202" max="202" width="1.81640625" customWidth="1"/>
    <col min="203" max="203" width="4.7265625" customWidth="1"/>
    <col min="204" max="204" width="3.54296875" customWidth="1"/>
    <col min="205" max="205" width="1.81640625" customWidth="1"/>
    <col min="206" max="206" width="1" customWidth="1"/>
    <col min="207" max="207" width="1.26953125" customWidth="1"/>
    <col min="208" max="208" width="2" customWidth="1"/>
    <col min="209" max="209" width="3.26953125" customWidth="1"/>
    <col min="210" max="210" width="1.1796875" customWidth="1"/>
    <col min="211" max="211" width="6" customWidth="1"/>
    <col min="212" max="212" width="2.81640625" customWidth="1"/>
    <col min="213" max="214" width="3.26953125" customWidth="1"/>
    <col min="215" max="215" width="3.7265625" customWidth="1"/>
    <col min="216" max="216" width="2.81640625" customWidth="1"/>
    <col min="217" max="217" width="4.1796875" customWidth="1"/>
    <col min="218" max="218" width="2.81640625" customWidth="1"/>
    <col min="219" max="219" width="3.26953125" customWidth="1"/>
  </cols>
  <sheetData>
    <row r="3" spans="34:214" x14ac:dyDescent="0.35">
      <c r="DK3" s="7"/>
      <c r="DL3" s="1112"/>
      <c r="DM3" s="1112"/>
      <c r="DN3" s="1112"/>
      <c r="DO3" s="1112"/>
      <c r="DP3" s="1112"/>
      <c r="DQ3" s="1112"/>
      <c r="DR3" s="1112"/>
      <c r="DS3" s="1112"/>
      <c r="DT3" s="1112"/>
      <c r="DU3" s="1112"/>
      <c r="DV3" s="1112"/>
      <c r="DW3" s="1112"/>
      <c r="DX3" s="1112"/>
      <c r="DY3" s="1112"/>
      <c r="DZ3" s="1112"/>
      <c r="EA3" s="1112"/>
      <c r="EB3" s="1112"/>
      <c r="EC3" s="1112"/>
      <c r="ED3" s="7"/>
    </row>
    <row r="4" spans="34:214" x14ac:dyDescent="0.35">
      <c r="CT4" s="144"/>
      <c r="CU4" s="1056" t="s">
        <v>65</v>
      </c>
      <c r="CV4" s="1056"/>
      <c r="CW4" s="1056"/>
      <c r="CX4" s="1056"/>
      <c r="CY4" s="1056"/>
      <c r="CZ4" s="1056"/>
      <c r="DA4" s="1056"/>
      <c r="DK4" s="1096"/>
      <c r="DL4" s="1096"/>
      <c r="DM4" s="1096"/>
      <c r="DN4" s="1096"/>
      <c r="DO4" s="1096"/>
      <c r="DP4" s="1096"/>
      <c r="DQ4" s="1096"/>
      <c r="DR4" s="1096"/>
      <c r="DS4" s="1096"/>
      <c r="DT4" s="1096"/>
      <c r="DU4" s="1096"/>
      <c r="DV4" s="1096"/>
      <c r="DW4" s="1096"/>
      <c r="DX4" s="1096"/>
      <c r="DY4" s="1096"/>
      <c r="DZ4" s="1096"/>
      <c r="EA4" s="1096"/>
      <c r="EB4" s="1096"/>
      <c r="EC4" s="1096"/>
      <c r="ED4" s="36"/>
    </row>
    <row r="5" spans="34:214" x14ac:dyDescent="0.35">
      <c r="CT5" s="1082" t="s">
        <v>66</v>
      </c>
      <c r="CU5" s="1082"/>
      <c r="CV5" s="1082"/>
      <c r="CW5" s="1082"/>
      <c r="CX5" s="1082"/>
      <c r="CY5" s="1082"/>
      <c r="CZ5" s="1082"/>
      <c r="DA5" s="1082"/>
      <c r="DK5" s="37"/>
      <c r="DL5" s="37"/>
      <c r="DM5" s="37"/>
      <c r="DN5" s="37"/>
      <c r="DO5" s="37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</row>
    <row r="6" spans="34:214" x14ac:dyDescent="0.35">
      <c r="CX6" s="13"/>
      <c r="DK6" s="37"/>
      <c r="DL6" s="37"/>
      <c r="DM6" s="37"/>
      <c r="DN6" s="37"/>
      <c r="DO6" s="37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</row>
    <row r="7" spans="34:214" x14ac:dyDescent="0.35">
      <c r="CX7" s="13"/>
      <c r="DK7" s="37"/>
      <c r="DL7" s="37"/>
      <c r="DM7" s="37"/>
      <c r="DN7" s="37"/>
      <c r="DO7" s="37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</row>
    <row r="8" spans="34:214" x14ac:dyDescent="0.35">
      <c r="CX8" s="5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58"/>
      <c r="DL8" s="58"/>
      <c r="DM8" s="58"/>
      <c r="DN8" s="58"/>
      <c r="DO8" s="58"/>
      <c r="DP8" s="60"/>
      <c r="DQ8" s="60"/>
      <c r="DR8" s="60"/>
      <c r="DS8" s="60"/>
      <c r="DT8" s="60"/>
      <c r="DU8" s="60"/>
      <c r="DV8" s="60"/>
      <c r="DW8" s="61"/>
      <c r="DX8" s="65"/>
      <c r="DY8" s="60"/>
      <c r="DZ8" s="60"/>
      <c r="EA8" s="60"/>
      <c r="EB8" s="60"/>
      <c r="EC8" s="60"/>
      <c r="ED8" s="60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12"/>
    </row>
    <row r="9" spans="34:214" x14ac:dyDescent="0.35">
      <c r="CX9" s="13"/>
      <c r="DK9" s="37"/>
      <c r="DL9" s="37"/>
      <c r="DM9" s="37"/>
      <c r="DN9" s="37"/>
      <c r="DO9" s="37"/>
      <c r="DP9" s="45"/>
      <c r="DQ9" s="45"/>
      <c r="DR9" s="45"/>
      <c r="DS9" s="45"/>
      <c r="DT9" s="45"/>
      <c r="DU9" s="45"/>
      <c r="DV9" s="45"/>
      <c r="DW9" s="62"/>
      <c r="DX9" s="59"/>
      <c r="DY9" s="45"/>
      <c r="DZ9" s="45"/>
      <c r="EA9" s="45"/>
      <c r="EB9" s="45"/>
      <c r="EC9" s="45"/>
      <c r="ED9" s="45"/>
      <c r="FH9" s="2"/>
    </row>
    <row r="10" spans="34:214" x14ac:dyDescent="0.35">
      <c r="CT10" s="144">
        <v>0.5</v>
      </c>
      <c r="CU10" s="1056" t="s">
        <v>67</v>
      </c>
      <c r="CV10" s="1056"/>
      <c r="CW10" s="1056"/>
      <c r="CX10" s="1056"/>
      <c r="CY10" s="1056"/>
      <c r="CZ10" s="1056"/>
      <c r="DA10" s="1056"/>
      <c r="DK10" s="37"/>
      <c r="DL10" s="37"/>
      <c r="DM10" s="37"/>
      <c r="DN10" s="37"/>
      <c r="DO10" s="37"/>
      <c r="DP10" s="45"/>
      <c r="DQ10" s="45"/>
      <c r="DR10" s="45"/>
      <c r="DS10" s="45"/>
      <c r="DT10" s="57"/>
      <c r="DU10" s="1092" t="s">
        <v>68</v>
      </c>
      <c r="DV10" s="1092"/>
      <c r="DW10" s="1092"/>
      <c r="DX10" s="1092"/>
      <c r="DY10" s="1092"/>
      <c r="DZ10" s="1092"/>
      <c r="EA10" s="1092"/>
      <c r="EB10" s="45"/>
      <c r="EC10" s="45"/>
      <c r="ED10" s="45"/>
      <c r="FC10" s="45"/>
      <c r="FE10" s="57"/>
      <c r="FF10" s="1092" t="s">
        <v>69</v>
      </c>
      <c r="FG10" s="1092"/>
      <c r="FH10" s="1092"/>
      <c r="FI10" s="1092"/>
      <c r="FJ10" s="1092"/>
      <c r="FK10" s="1092"/>
      <c r="FL10" s="1092"/>
      <c r="GZ10" s="45"/>
    </row>
    <row r="11" spans="34:214" x14ac:dyDescent="0.35">
      <c r="AN11" s="5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2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12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1082" t="s">
        <v>70</v>
      </c>
      <c r="CU11" s="1082"/>
      <c r="CV11" s="1082"/>
      <c r="CW11" s="1082"/>
      <c r="CX11" s="1082"/>
      <c r="CY11" s="1082"/>
      <c r="CZ11" s="1082"/>
      <c r="DA11" s="1082"/>
      <c r="DK11" s="37"/>
      <c r="DL11" s="37"/>
      <c r="DM11" s="37"/>
      <c r="DN11" s="37"/>
      <c r="DO11" s="37"/>
      <c r="DP11" s="45"/>
      <c r="DQ11" s="45"/>
      <c r="DR11" s="45"/>
      <c r="DS11" s="45"/>
      <c r="DT11" s="1086" t="s">
        <v>71</v>
      </c>
      <c r="DU11" s="1087"/>
      <c r="DV11" s="1087"/>
      <c r="DW11" s="1087"/>
      <c r="DX11" s="1087"/>
      <c r="DY11" s="1087"/>
      <c r="DZ11" s="1087"/>
      <c r="EA11" s="1088"/>
      <c r="EB11" s="45"/>
      <c r="EC11" s="45"/>
      <c r="ED11" s="45"/>
      <c r="FC11" s="45"/>
      <c r="FE11" s="1086" t="s">
        <v>72</v>
      </c>
      <c r="FF11" s="1087"/>
      <c r="FG11" s="1087"/>
      <c r="FH11" s="1087"/>
      <c r="FI11" s="1087"/>
      <c r="FJ11" s="1087"/>
      <c r="FK11" s="1087"/>
      <c r="FL11" s="1088"/>
      <c r="GZ11" s="45"/>
    </row>
    <row r="12" spans="34:214" x14ac:dyDescent="0.35">
      <c r="AH12" s="5"/>
      <c r="AI12" s="4"/>
      <c r="AJ12" s="4"/>
      <c r="AK12" s="4"/>
      <c r="AL12" s="4"/>
      <c r="AM12" s="4"/>
      <c r="AN12" s="68"/>
      <c r="AO12" s="71"/>
      <c r="AP12" s="4"/>
      <c r="AQ12" s="4"/>
      <c r="AR12" s="4"/>
      <c r="AS12" s="137">
        <f>SUM(AJ13+AJ15)</f>
        <v>1</v>
      </c>
      <c r="BJ12" s="154"/>
      <c r="BX12" s="72"/>
      <c r="CB12" s="5"/>
      <c r="CC12" s="4"/>
      <c r="CD12" s="4"/>
      <c r="CE12" s="4"/>
      <c r="CF12" s="4"/>
      <c r="CG12" s="12"/>
      <c r="CH12" s="4"/>
      <c r="CI12" s="4"/>
      <c r="CJ12" s="4"/>
      <c r="CK12" s="4"/>
      <c r="CL12" s="4"/>
      <c r="CM12" s="136">
        <f>SUM(CD13+CD16+CD18+CD20+CD22)</f>
        <v>5</v>
      </c>
      <c r="CW12" s="2"/>
      <c r="DK12" s="37"/>
      <c r="DL12" s="37"/>
      <c r="DM12" s="37"/>
      <c r="DN12" s="37"/>
      <c r="DO12" s="37"/>
      <c r="DP12" s="45"/>
      <c r="DQ12" s="45"/>
      <c r="DR12" s="45"/>
      <c r="DS12" s="45"/>
      <c r="DT12" s="45"/>
      <c r="DU12" s="45"/>
      <c r="DV12" s="45"/>
      <c r="DW12" s="61"/>
      <c r="DX12" s="45"/>
      <c r="DY12" s="45"/>
      <c r="DZ12" s="45"/>
      <c r="EA12" s="45"/>
      <c r="EB12" s="45"/>
      <c r="EC12" s="48"/>
      <c r="ED12" s="48"/>
      <c r="FH12" s="12"/>
      <c r="GZ12" s="45"/>
    </row>
    <row r="13" spans="34:214" x14ac:dyDescent="0.35">
      <c r="AH13" s="13"/>
      <c r="AJ13" s="1">
        <v>0.5</v>
      </c>
      <c r="AK13" s="1092" t="s">
        <v>73</v>
      </c>
      <c r="AL13" s="1092"/>
      <c r="AM13" s="1092"/>
      <c r="AN13" s="1092"/>
      <c r="AO13" s="1092"/>
      <c r="AP13" s="1092"/>
      <c r="AQ13" s="1092"/>
      <c r="AR13" s="6"/>
      <c r="AS13" s="16"/>
      <c r="BG13" s="144">
        <v>0.5</v>
      </c>
      <c r="BH13" s="1056" t="s">
        <v>74</v>
      </c>
      <c r="BI13" s="1056"/>
      <c r="BJ13" s="1056"/>
      <c r="BK13" s="1056"/>
      <c r="BL13" s="1056"/>
      <c r="BM13" s="1056"/>
      <c r="BN13" s="1056"/>
      <c r="CB13" s="13"/>
      <c r="CD13" s="144">
        <v>1</v>
      </c>
      <c r="CE13" s="1056" t="s">
        <v>75</v>
      </c>
      <c r="CF13" s="1056"/>
      <c r="CG13" s="1056"/>
      <c r="CH13" s="1056"/>
      <c r="CI13" s="1056"/>
      <c r="CJ13" s="1056"/>
      <c r="CK13" s="1056"/>
      <c r="CM13" s="2"/>
      <c r="CW13" s="2"/>
      <c r="DK13" s="49"/>
      <c r="DL13" s="49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4"/>
      <c r="DX13" s="63"/>
      <c r="DY13" s="63"/>
      <c r="DZ13" s="63"/>
      <c r="EA13" s="63"/>
      <c r="EB13" s="63"/>
      <c r="EC13" s="63"/>
      <c r="ED13" s="50"/>
      <c r="FH13" s="2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U13" s="51"/>
      <c r="GV13" s="1095"/>
      <c r="GW13" s="1095"/>
      <c r="GX13" s="1095"/>
      <c r="GY13" s="1095"/>
      <c r="GZ13" s="1095"/>
      <c r="HA13" s="1095"/>
      <c r="HB13" s="1095"/>
      <c r="HC13" s="1095"/>
      <c r="HD13" s="1095"/>
      <c r="HE13" s="50"/>
      <c r="HF13" s="50"/>
    </row>
    <row r="14" spans="34:214" x14ac:dyDescent="0.35">
      <c r="AH14" s="13"/>
      <c r="AJ14" s="1170" t="s">
        <v>76</v>
      </c>
      <c r="AK14" s="1170"/>
      <c r="AL14" s="1170"/>
      <c r="AM14" s="1170"/>
      <c r="AN14" s="1170"/>
      <c r="AO14" s="1170"/>
      <c r="AP14" s="1170"/>
      <c r="AQ14" s="1170"/>
      <c r="AR14" s="37"/>
      <c r="AS14" s="17"/>
      <c r="BG14" s="1082" t="s">
        <v>77</v>
      </c>
      <c r="BH14" s="1082"/>
      <c r="BI14" s="1082"/>
      <c r="BJ14" s="1082"/>
      <c r="BK14" s="1082"/>
      <c r="BL14" s="1082"/>
      <c r="BM14" s="1082"/>
      <c r="BN14" s="1082"/>
      <c r="CB14" s="13"/>
      <c r="CD14" s="1082" t="s">
        <v>78</v>
      </c>
      <c r="CE14" s="1082"/>
      <c r="CF14" s="1082"/>
      <c r="CG14" s="1082"/>
      <c r="CH14" s="1082"/>
      <c r="CI14" s="1082"/>
      <c r="CJ14" s="1082"/>
      <c r="CK14" s="1082"/>
      <c r="CL14" s="52"/>
      <c r="CM14" s="67"/>
      <c r="CN14" s="52"/>
      <c r="CO14" s="52"/>
      <c r="CP14" s="52"/>
      <c r="CQ14" s="52"/>
      <c r="CR14" s="52"/>
      <c r="CS14" s="52"/>
      <c r="CT14" s="52"/>
      <c r="CU14" s="52"/>
      <c r="CV14" s="52"/>
      <c r="CW14" s="67"/>
      <c r="CX14" s="52"/>
      <c r="CY14" s="52"/>
      <c r="CZ14" s="52"/>
      <c r="DI14" s="5"/>
      <c r="DJ14" s="4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86"/>
      <c r="DX14" s="58"/>
      <c r="DY14" s="58"/>
      <c r="DZ14" s="58"/>
      <c r="EA14" s="58"/>
      <c r="EB14" s="58"/>
      <c r="EC14" s="58"/>
      <c r="ED14" s="87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137">
        <f>SUM(DT20+DK24+DK26+DT24+DT26+DT28+DT30+DT32+EC24+EC26+EC28+DT17)</f>
        <v>9.5</v>
      </c>
      <c r="ET14" s="5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136">
        <f>SUM(EV18+EV20)</f>
        <v>2</v>
      </c>
      <c r="FH14" s="2"/>
      <c r="FL14" s="5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137">
        <f>SUM(FN20+FN22+FN24)</f>
        <v>3</v>
      </c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U14" s="1096"/>
      <c r="GV14" s="1096"/>
      <c r="GW14" s="1096"/>
      <c r="GX14" s="1096"/>
      <c r="GY14" s="1096"/>
      <c r="GZ14" s="1096"/>
      <c r="HA14" s="1096"/>
      <c r="HB14" s="1096"/>
      <c r="HC14" s="1096"/>
      <c r="HD14" s="1096"/>
      <c r="HE14" s="36"/>
      <c r="HF14" s="36"/>
    </row>
    <row r="15" spans="34:214" x14ac:dyDescent="0.35">
      <c r="AH15" s="13"/>
      <c r="AJ15" s="1">
        <v>0.5</v>
      </c>
      <c r="AK15" s="1092" t="s">
        <v>73</v>
      </c>
      <c r="AL15" s="1092"/>
      <c r="AM15" s="1092"/>
      <c r="AN15" s="1092"/>
      <c r="AO15" s="1092"/>
      <c r="AP15" s="1092"/>
      <c r="AQ15" s="1092"/>
      <c r="AR15" s="6"/>
      <c r="AS15" s="16"/>
      <c r="BJ15" s="154"/>
      <c r="CB15" s="13"/>
      <c r="CG15" s="2"/>
      <c r="CM15" s="2"/>
      <c r="CW15" s="2"/>
      <c r="DI15" s="13"/>
      <c r="DW15" s="2"/>
      <c r="DX15" s="45"/>
      <c r="DY15" s="45"/>
      <c r="DZ15" s="45"/>
      <c r="EG15" s="57"/>
      <c r="EH15" s="1092" t="s">
        <v>79</v>
      </c>
      <c r="EI15" s="1092"/>
      <c r="EJ15" s="1092"/>
      <c r="EK15" s="1092"/>
      <c r="EL15" s="1092"/>
      <c r="EM15" s="1092"/>
      <c r="EN15" s="1092"/>
      <c r="EP15" s="2"/>
      <c r="ET15" s="13"/>
      <c r="EV15" s="57"/>
      <c r="EW15" s="1092" t="s">
        <v>80</v>
      </c>
      <c r="EX15" s="1092"/>
      <c r="EY15" s="1092"/>
      <c r="EZ15" s="1092"/>
      <c r="FA15" s="1092"/>
      <c r="FB15" s="1092"/>
      <c r="FC15" s="1092"/>
      <c r="FE15" s="2"/>
      <c r="FH15" s="2"/>
      <c r="FL15" s="13"/>
      <c r="FN15" s="57"/>
      <c r="FO15" s="1092" t="s">
        <v>74</v>
      </c>
      <c r="FP15" s="1092"/>
      <c r="FQ15" s="1092"/>
      <c r="FR15" s="1092"/>
      <c r="FS15" s="1092"/>
      <c r="FT15" s="1092"/>
      <c r="FU15" s="1092"/>
      <c r="FW15" s="2"/>
      <c r="GZ15" s="45"/>
    </row>
    <row r="16" spans="34:214" x14ac:dyDescent="0.35">
      <c r="AH16" s="13"/>
      <c r="AJ16" s="1170" t="s">
        <v>81</v>
      </c>
      <c r="AK16" s="1170"/>
      <c r="AL16" s="1170"/>
      <c r="AM16" s="1170"/>
      <c r="AN16" s="1170"/>
      <c r="AO16" s="1170"/>
      <c r="AP16" s="1170"/>
      <c r="AQ16" s="1170"/>
      <c r="AR16" s="37"/>
      <c r="AS16" s="17"/>
      <c r="BJ16" s="154"/>
      <c r="CB16" s="13"/>
      <c r="CD16" s="144">
        <v>1</v>
      </c>
      <c r="CE16" s="1056" t="s">
        <v>82</v>
      </c>
      <c r="CF16" s="1056"/>
      <c r="CG16" s="1056"/>
      <c r="CH16" s="1056"/>
      <c r="CI16" s="1056"/>
      <c r="CJ16" s="1056"/>
      <c r="CK16" s="1056"/>
      <c r="CM16" s="2"/>
      <c r="CW16" s="2"/>
      <c r="DI16" s="13"/>
      <c r="DW16" s="2"/>
      <c r="DX16" s="65"/>
      <c r="DY16" s="60"/>
      <c r="DZ16" s="60"/>
      <c r="EA16" s="4"/>
      <c r="EB16" s="4"/>
      <c r="EC16" s="4"/>
      <c r="ED16" s="4"/>
      <c r="EE16" s="4"/>
      <c r="EF16" s="4"/>
      <c r="EG16" s="1086" t="s">
        <v>83</v>
      </c>
      <c r="EH16" s="1087"/>
      <c r="EI16" s="1087"/>
      <c r="EJ16" s="1087"/>
      <c r="EK16" s="1087"/>
      <c r="EL16" s="1087"/>
      <c r="EM16" s="1087"/>
      <c r="EN16" s="1088"/>
      <c r="EP16" s="2"/>
      <c r="ET16" s="13"/>
      <c r="EV16" s="1086"/>
      <c r="EW16" s="1087"/>
      <c r="EX16" s="1087"/>
      <c r="EY16" s="1087"/>
      <c r="EZ16" s="1087"/>
      <c r="FA16" s="1087"/>
      <c r="FB16" s="1087"/>
      <c r="FC16" s="1088"/>
      <c r="FD16" s="65"/>
      <c r="FE16" s="12"/>
      <c r="FF16" s="4"/>
      <c r="FG16" s="4"/>
      <c r="FH16" s="4"/>
      <c r="FI16" s="4"/>
      <c r="FJ16" s="4"/>
      <c r="FK16" s="4"/>
      <c r="FL16" s="5"/>
      <c r="FM16" s="4"/>
      <c r="FN16" s="1086"/>
      <c r="FO16" s="1087"/>
      <c r="FP16" s="1087"/>
      <c r="FQ16" s="1087"/>
      <c r="FR16" s="1087"/>
      <c r="FS16" s="1087"/>
      <c r="FT16" s="1087"/>
      <c r="FU16" s="1088"/>
      <c r="FW16" s="2"/>
      <c r="GZ16" s="45"/>
    </row>
    <row r="17" spans="30:215" x14ac:dyDescent="0.35">
      <c r="AD17" s="6"/>
      <c r="AE17" s="6"/>
      <c r="AF17" s="6"/>
      <c r="AG17" s="7"/>
      <c r="AH17" s="42"/>
      <c r="AI17" s="19"/>
      <c r="AJ17" s="19"/>
      <c r="AK17" s="19"/>
      <c r="AL17" s="19"/>
      <c r="AM17" s="19"/>
      <c r="AN17" s="19"/>
      <c r="AO17" s="19"/>
      <c r="AP17" s="6"/>
      <c r="AQ17" s="6"/>
      <c r="AR17" s="7"/>
      <c r="AS17" s="47"/>
      <c r="AT17" s="7"/>
      <c r="AU17" s="7"/>
      <c r="AX17" s="226"/>
      <c r="AY17" s="224"/>
      <c r="AZ17" s="224"/>
      <c r="BA17" s="261"/>
      <c r="BB17" s="261"/>
      <c r="BC17" s="261"/>
      <c r="BD17" s="261"/>
      <c r="BE17" s="261"/>
      <c r="BF17" s="261"/>
      <c r="BG17" s="261"/>
      <c r="BH17" s="261"/>
      <c r="BI17" s="266">
        <f>SUM(AZ18+AZ22+AZ24+AZ26+AZ28+AZ30)</f>
        <v>5</v>
      </c>
      <c r="BJ17" s="154"/>
      <c r="BL17" s="226"/>
      <c r="BM17" s="224"/>
      <c r="BN17" s="224"/>
      <c r="BO17" s="261"/>
      <c r="BP17" s="261"/>
      <c r="BQ17" s="261"/>
      <c r="BR17" s="261"/>
      <c r="BS17" s="261"/>
      <c r="BT17" s="261"/>
      <c r="BU17" s="261"/>
      <c r="BV17" s="261"/>
      <c r="BW17" s="266">
        <f>SUM(BN18+BN20+BN22+BN24+BN26)</f>
        <v>4.5</v>
      </c>
      <c r="CB17" s="13"/>
      <c r="CD17" s="1082" t="s">
        <v>84</v>
      </c>
      <c r="CE17" s="1082"/>
      <c r="CF17" s="1082"/>
      <c r="CG17" s="1082"/>
      <c r="CH17" s="1082"/>
      <c r="CI17" s="1082"/>
      <c r="CJ17" s="1082"/>
      <c r="CK17" s="1082"/>
      <c r="CM17" s="2"/>
      <c r="CW17" s="2"/>
      <c r="DI17" s="13"/>
      <c r="DT17" s="57">
        <v>0.5</v>
      </c>
      <c r="DU17" s="1092" t="s">
        <v>85</v>
      </c>
      <c r="DV17" s="1092"/>
      <c r="DW17" s="1092"/>
      <c r="DX17" s="1092"/>
      <c r="DY17" s="1092"/>
      <c r="DZ17" s="1092"/>
      <c r="EA17" s="1092"/>
      <c r="EP17" s="2"/>
      <c r="ET17" s="13"/>
      <c r="EY17" s="66"/>
      <c r="FC17" s="45"/>
      <c r="FD17" s="45"/>
      <c r="FE17" s="2"/>
      <c r="FL17" s="13"/>
      <c r="FQ17" s="12"/>
      <c r="FW17" s="2"/>
      <c r="GZ17" s="45"/>
    </row>
    <row r="18" spans="30:215" x14ac:dyDescent="0.35">
      <c r="AD18" s="37"/>
      <c r="AE18" s="37"/>
      <c r="AF18" s="37"/>
      <c r="AG18" s="1096"/>
      <c r="AH18" s="1096"/>
      <c r="AI18" s="1096"/>
      <c r="AJ18" s="1096"/>
      <c r="AK18" s="1096"/>
      <c r="AL18" s="1096"/>
      <c r="AM18" s="1096"/>
      <c r="AN18" s="1096"/>
      <c r="AO18" s="37"/>
      <c r="AP18" s="1167" t="s">
        <v>86</v>
      </c>
      <c r="AQ18" s="1167"/>
      <c r="AR18" s="1167"/>
      <c r="AS18" s="1167"/>
      <c r="AT18" s="36"/>
      <c r="AU18" s="36"/>
      <c r="AX18" s="150"/>
      <c r="AZ18" s="144">
        <v>1</v>
      </c>
      <c r="BA18" s="1056" t="s">
        <v>87</v>
      </c>
      <c r="BB18" s="1056"/>
      <c r="BC18" s="1056"/>
      <c r="BD18" s="1056"/>
      <c r="BE18" s="1056"/>
      <c r="BF18" s="1056"/>
      <c r="BG18" s="1056"/>
      <c r="BH18" s="37"/>
      <c r="BI18" s="154"/>
      <c r="BJ18" s="154"/>
      <c r="BL18" s="150"/>
      <c r="BN18" s="144">
        <v>1</v>
      </c>
      <c r="BO18" s="1056" t="s">
        <v>88</v>
      </c>
      <c r="BP18" s="1056"/>
      <c r="BQ18" s="1056"/>
      <c r="BR18" s="1056"/>
      <c r="BS18" s="1056"/>
      <c r="BT18" s="1056"/>
      <c r="BU18" s="1056"/>
      <c r="BV18" s="37"/>
      <c r="BW18" s="154"/>
      <c r="CB18" s="13"/>
      <c r="CD18" s="144">
        <v>1</v>
      </c>
      <c r="CE18" s="1056" t="s">
        <v>82</v>
      </c>
      <c r="CF18" s="1056"/>
      <c r="CG18" s="1056"/>
      <c r="CH18" s="1056"/>
      <c r="CI18" s="1056"/>
      <c r="CJ18" s="1056"/>
      <c r="CK18" s="1056"/>
      <c r="CM18" s="2"/>
      <c r="CW18" s="2"/>
      <c r="DI18" s="13"/>
      <c r="DT18" s="1086" t="s">
        <v>89</v>
      </c>
      <c r="DU18" s="1087"/>
      <c r="DV18" s="1087"/>
      <c r="DW18" s="1087"/>
      <c r="DX18" s="1087"/>
      <c r="DY18" s="1087"/>
      <c r="DZ18" s="1087"/>
      <c r="EA18" s="1088"/>
      <c r="EP18" s="2"/>
      <c r="ET18" s="13"/>
      <c r="EV18" s="70">
        <v>1</v>
      </c>
      <c r="EW18" s="1092" t="s">
        <v>90</v>
      </c>
      <c r="EX18" s="1092"/>
      <c r="EY18" s="1092"/>
      <c r="EZ18" s="1092"/>
      <c r="FA18" s="1092"/>
      <c r="FB18" s="1092"/>
      <c r="FC18" s="1092"/>
      <c r="FD18" s="45"/>
      <c r="FE18" s="2"/>
      <c r="FL18" s="13"/>
      <c r="FN18" s="57">
        <v>1</v>
      </c>
      <c r="FO18" s="1092" t="s">
        <v>91</v>
      </c>
      <c r="FP18" s="1092"/>
      <c r="FQ18" s="1092"/>
      <c r="FR18" s="1092"/>
      <c r="FS18" s="1092"/>
      <c r="FT18" s="1092"/>
      <c r="FU18" s="1092"/>
      <c r="FW18" s="2"/>
      <c r="GZ18" s="45"/>
    </row>
    <row r="19" spans="30:215" x14ac:dyDescent="0.35">
      <c r="AJ19" s="7"/>
      <c r="AK19" s="6"/>
      <c r="AL19" s="6"/>
      <c r="AM19" s="6"/>
      <c r="AN19" s="6"/>
      <c r="AO19" s="6"/>
      <c r="AP19" s="6"/>
      <c r="AQ19" s="6"/>
      <c r="AX19" s="150"/>
      <c r="AZ19" s="1082" t="s">
        <v>92</v>
      </c>
      <c r="BA19" s="1082"/>
      <c r="BB19" s="1082"/>
      <c r="BC19" s="1082"/>
      <c r="BD19" s="1082"/>
      <c r="BE19" s="1082"/>
      <c r="BF19" s="1082"/>
      <c r="BG19" s="1082"/>
      <c r="BH19" s="6"/>
      <c r="BI19" s="154"/>
      <c r="BJ19" s="224"/>
      <c r="BK19" s="224"/>
      <c r="BL19" s="150"/>
      <c r="BN19" s="1082" t="s">
        <v>93</v>
      </c>
      <c r="BO19" s="1082"/>
      <c r="BP19" s="1082"/>
      <c r="BQ19" s="1082"/>
      <c r="BR19" s="1082"/>
      <c r="BS19" s="1082"/>
      <c r="BT19" s="1082"/>
      <c r="BU19" s="1082"/>
      <c r="BV19" s="6"/>
      <c r="BW19" s="154"/>
      <c r="CB19" s="13"/>
      <c r="CD19" s="1101" t="s">
        <v>94</v>
      </c>
      <c r="CE19" s="1101"/>
      <c r="CF19" s="1101"/>
      <c r="CG19" s="1101"/>
      <c r="CH19" s="1101"/>
      <c r="CI19" s="1101"/>
      <c r="CJ19" s="1101"/>
      <c r="CK19" s="1101"/>
      <c r="CM19" s="2"/>
      <c r="CW19" s="2"/>
      <c r="DI19" s="13"/>
      <c r="DW19" s="2"/>
      <c r="DX19" s="45"/>
      <c r="DY19" s="45"/>
      <c r="DZ19" s="45"/>
      <c r="EP19" s="2"/>
      <c r="ET19" s="13"/>
      <c r="EV19" s="1116" t="s">
        <v>95</v>
      </c>
      <c r="EW19" s="1117"/>
      <c r="EX19" s="1117"/>
      <c r="EY19" s="1117"/>
      <c r="EZ19" s="1117"/>
      <c r="FA19" s="1117"/>
      <c r="FB19" s="1117"/>
      <c r="FC19" s="1118"/>
      <c r="FD19" s="45"/>
      <c r="FE19" s="2"/>
      <c r="FL19" s="13"/>
      <c r="FN19" s="1086" t="s">
        <v>96</v>
      </c>
      <c r="FO19" s="1087"/>
      <c r="FP19" s="1087"/>
      <c r="FQ19" s="1087"/>
      <c r="FR19" s="1087"/>
      <c r="FS19" s="1087"/>
      <c r="FT19" s="1087"/>
      <c r="FU19" s="1088"/>
      <c r="FW19" s="2"/>
      <c r="GZ19" s="45"/>
    </row>
    <row r="20" spans="30:215" x14ac:dyDescent="0.35">
      <c r="AJ20" s="37"/>
      <c r="AK20" s="37"/>
      <c r="AL20" s="37"/>
      <c r="AM20" s="37"/>
      <c r="AN20" s="37"/>
      <c r="AO20" s="37"/>
      <c r="AP20" s="37"/>
      <c r="AQ20" s="37"/>
      <c r="AX20" s="150"/>
      <c r="AZ20" s="144">
        <v>1</v>
      </c>
      <c r="BA20" s="1056" t="s">
        <v>87</v>
      </c>
      <c r="BB20" s="1056"/>
      <c r="BC20" s="1056"/>
      <c r="BD20" s="1056"/>
      <c r="BE20" s="1056"/>
      <c r="BF20" s="1056"/>
      <c r="BG20" s="1056"/>
      <c r="BH20" s="37"/>
      <c r="BI20" s="154"/>
      <c r="BL20" s="150"/>
      <c r="BN20" s="144">
        <v>1</v>
      </c>
      <c r="BO20" s="1056" t="s">
        <v>88</v>
      </c>
      <c r="BP20" s="1056"/>
      <c r="BQ20" s="1056"/>
      <c r="BR20" s="1056"/>
      <c r="BS20" s="1056"/>
      <c r="BT20" s="1056"/>
      <c r="BU20" s="1056"/>
      <c r="BV20" s="37"/>
      <c r="BW20" s="154"/>
      <c r="CB20" s="13"/>
      <c r="CD20" s="144">
        <v>1</v>
      </c>
      <c r="CE20" s="1056" t="s">
        <v>73</v>
      </c>
      <c r="CF20" s="1056"/>
      <c r="CG20" s="1056"/>
      <c r="CH20" s="1056"/>
      <c r="CI20" s="1056"/>
      <c r="CJ20" s="1056"/>
      <c r="CK20" s="1056"/>
      <c r="CM20" s="2"/>
      <c r="CW20" s="2"/>
      <c r="DI20" s="13"/>
      <c r="DT20" s="57">
        <v>0.5</v>
      </c>
      <c r="DU20" s="1092" t="s">
        <v>97</v>
      </c>
      <c r="DV20" s="1092"/>
      <c r="DW20" s="1092"/>
      <c r="DX20" s="1092"/>
      <c r="DY20" s="1092"/>
      <c r="DZ20" s="1092"/>
      <c r="EA20" s="1092"/>
      <c r="EP20" s="2"/>
      <c r="ET20" s="150"/>
      <c r="EV20" s="288">
        <v>1</v>
      </c>
      <c r="EW20" s="1102" t="s">
        <v>90</v>
      </c>
      <c r="EX20" s="1102"/>
      <c r="EY20" s="1102"/>
      <c r="EZ20" s="1102"/>
      <c r="FA20" s="1102"/>
      <c r="FB20" s="1102"/>
      <c r="FC20" s="1102"/>
      <c r="FD20" s="45"/>
      <c r="FE20" s="154"/>
      <c r="FL20" s="13"/>
      <c r="FN20" s="57">
        <v>1</v>
      </c>
      <c r="FO20" s="1092" t="s">
        <v>91</v>
      </c>
      <c r="FP20" s="1092"/>
      <c r="FQ20" s="1092"/>
      <c r="FR20" s="1092"/>
      <c r="FS20" s="1092"/>
      <c r="FT20" s="1092"/>
      <c r="FU20" s="1092"/>
      <c r="FW20" s="2"/>
    </row>
    <row r="21" spans="30:215" x14ac:dyDescent="0.35">
      <c r="AJ21" s="7"/>
      <c r="AK21" s="6"/>
      <c r="AL21" s="6"/>
      <c r="AM21" s="6"/>
      <c r="AN21" s="6"/>
      <c r="AO21" s="6"/>
      <c r="AP21" s="6"/>
      <c r="AQ21" s="6"/>
      <c r="AX21" s="150"/>
      <c r="AZ21" s="1082" t="s">
        <v>98</v>
      </c>
      <c r="BA21" s="1082"/>
      <c r="BB21" s="1082"/>
      <c r="BC21" s="1082"/>
      <c r="BD21" s="1082"/>
      <c r="BE21" s="1082"/>
      <c r="BF21" s="1082"/>
      <c r="BG21" s="1082"/>
      <c r="BH21" s="6"/>
      <c r="BI21" s="154"/>
      <c r="BL21" s="150"/>
      <c r="BN21" s="1101" t="s">
        <v>99</v>
      </c>
      <c r="BO21" s="1101"/>
      <c r="BP21" s="1101"/>
      <c r="BQ21" s="1101"/>
      <c r="BR21" s="1101"/>
      <c r="BS21" s="1101"/>
      <c r="BT21" s="1101"/>
      <c r="BU21" s="1101"/>
      <c r="BV21" s="6"/>
      <c r="BW21" s="154"/>
      <c r="CB21" s="13"/>
      <c r="CD21" s="1082" t="s">
        <v>100</v>
      </c>
      <c r="CE21" s="1082"/>
      <c r="CF21" s="1082"/>
      <c r="CG21" s="1082"/>
      <c r="CH21" s="1082"/>
      <c r="CI21" s="1082"/>
      <c r="CJ21" s="1082"/>
      <c r="CK21" s="1082"/>
      <c r="CM21" s="2"/>
      <c r="CW21" s="2"/>
      <c r="DI21" s="13"/>
      <c r="DO21" s="5"/>
      <c r="DP21" s="4"/>
      <c r="DQ21" s="4"/>
      <c r="DR21" s="4"/>
      <c r="DS21" s="4"/>
      <c r="DT21" s="1086" t="s">
        <v>101</v>
      </c>
      <c r="DU21" s="1087"/>
      <c r="DV21" s="1087"/>
      <c r="DW21" s="1087"/>
      <c r="DX21" s="1087"/>
      <c r="DY21" s="1087"/>
      <c r="DZ21" s="1087"/>
      <c r="EA21" s="1088"/>
      <c r="EB21" s="4"/>
      <c r="EC21" s="4"/>
      <c r="ED21" s="4"/>
      <c r="EE21" s="4"/>
      <c r="EF21" s="12"/>
      <c r="EP21" s="2"/>
      <c r="ET21" s="150"/>
      <c r="EV21" s="1103" t="s">
        <v>102</v>
      </c>
      <c r="EW21" s="1104"/>
      <c r="EX21" s="1104"/>
      <c r="EY21" s="1104"/>
      <c r="EZ21" s="1104"/>
      <c r="FA21" s="1104"/>
      <c r="FB21" s="1104"/>
      <c r="FC21" s="1105"/>
      <c r="FE21" s="154"/>
      <c r="FL21" s="13"/>
      <c r="FN21" s="1086" t="s">
        <v>103</v>
      </c>
      <c r="FO21" s="1087"/>
      <c r="FP21" s="1087"/>
      <c r="FQ21" s="1087"/>
      <c r="FR21" s="1087"/>
      <c r="FS21" s="1087"/>
      <c r="FT21" s="1087"/>
      <c r="FU21" s="1088"/>
      <c r="FV21" s="38"/>
      <c r="FW21" s="2"/>
      <c r="GZ21" s="45"/>
    </row>
    <row r="22" spans="30:215" x14ac:dyDescent="0.35">
      <c r="AJ22" s="37"/>
      <c r="AK22" s="37"/>
      <c r="AL22" s="37"/>
      <c r="AM22" s="37"/>
      <c r="AN22" s="37"/>
      <c r="AO22" s="37"/>
      <c r="AP22" s="37"/>
      <c r="AQ22" s="37"/>
      <c r="AX22" s="150"/>
      <c r="AZ22" s="144">
        <v>1</v>
      </c>
      <c r="BA22" s="1056" t="s">
        <v>104</v>
      </c>
      <c r="BB22" s="1056"/>
      <c r="BC22" s="1056"/>
      <c r="BD22" s="1056"/>
      <c r="BE22" s="1056"/>
      <c r="BF22" s="1056"/>
      <c r="BG22" s="1056"/>
      <c r="BH22" s="37"/>
      <c r="BI22" s="154"/>
      <c r="BL22" s="150"/>
      <c r="BN22" s="144">
        <v>1</v>
      </c>
      <c r="BO22" s="1056" t="s">
        <v>105</v>
      </c>
      <c r="BP22" s="1056"/>
      <c r="BQ22" s="1056"/>
      <c r="BR22" s="1056"/>
      <c r="BS22" s="1056"/>
      <c r="BT22" s="1056"/>
      <c r="BU22" s="1056"/>
      <c r="BV22" s="37"/>
      <c r="BW22" s="154"/>
      <c r="CB22" s="13"/>
      <c r="CD22" s="144">
        <v>1</v>
      </c>
      <c r="CE22" s="1056" t="s">
        <v>73</v>
      </c>
      <c r="CF22" s="1056"/>
      <c r="CG22" s="1056"/>
      <c r="CH22" s="1056"/>
      <c r="CI22" s="1056"/>
      <c r="CJ22" s="1056"/>
      <c r="CK22" s="1056"/>
      <c r="CM22" s="2"/>
      <c r="CW22" s="2"/>
      <c r="DI22" s="13"/>
      <c r="DO22" s="13"/>
      <c r="DW22" s="66"/>
      <c r="DX22" s="45"/>
      <c r="DY22" s="45"/>
      <c r="DZ22" s="45"/>
      <c r="EF22" s="2"/>
      <c r="EP22" s="2"/>
      <c r="ET22" s="155"/>
      <c r="EU22" s="149"/>
      <c r="EV22" s="149"/>
      <c r="EW22" s="149"/>
      <c r="EX22" s="149"/>
      <c r="EY22" s="149"/>
      <c r="EZ22" s="149"/>
      <c r="FA22" s="149"/>
      <c r="FB22" s="149"/>
      <c r="FC22" s="289"/>
      <c r="FD22" s="289"/>
      <c r="FE22" s="183"/>
      <c r="FL22" s="13"/>
      <c r="FN22" s="57">
        <v>1</v>
      </c>
      <c r="FO22" s="1092" t="s">
        <v>106</v>
      </c>
      <c r="FP22" s="1092"/>
      <c r="FQ22" s="1092"/>
      <c r="FR22" s="1092"/>
      <c r="FS22" s="1092"/>
      <c r="FT22" s="1092"/>
      <c r="FU22" s="1092"/>
      <c r="FW22" s="2"/>
      <c r="GR22" s="1093"/>
      <c r="GS22" s="1094"/>
    </row>
    <row r="23" spans="30:215" x14ac:dyDescent="0.35">
      <c r="AX23" s="150"/>
      <c r="AZ23" s="1082" t="s">
        <v>107</v>
      </c>
      <c r="BA23" s="1082"/>
      <c r="BB23" s="1082"/>
      <c r="BC23" s="1082"/>
      <c r="BD23" s="1082"/>
      <c r="BE23" s="1082"/>
      <c r="BF23" s="1082"/>
      <c r="BG23" s="1082"/>
      <c r="BH23" s="6"/>
      <c r="BI23" s="154"/>
      <c r="BL23" s="150"/>
      <c r="BN23" s="1082" t="s">
        <v>108</v>
      </c>
      <c r="BO23" s="1082"/>
      <c r="BP23" s="1082"/>
      <c r="BQ23" s="1082"/>
      <c r="BR23" s="1082"/>
      <c r="BS23" s="1082"/>
      <c r="BT23" s="1082"/>
      <c r="BU23" s="1082"/>
      <c r="BV23" s="6"/>
      <c r="BW23" s="154"/>
      <c r="CB23" s="13"/>
      <c r="CD23" s="1082" t="s">
        <v>109</v>
      </c>
      <c r="CE23" s="1082"/>
      <c r="CF23" s="1082"/>
      <c r="CG23" s="1082"/>
      <c r="CH23" s="1082"/>
      <c r="CI23" s="1082"/>
      <c r="CJ23" s="1082"/>
      <c r="CK23" s="1082"/>
      <c r="CM23" s="2"/>
      <c r="CW23" s="2"/>
      <c r="DF23" s="7"/>
      <c r="DG23" s="7"/>
      <c r="DH23" s="7"/>
      <c r="DI23" s="46"/>
      <c r="DK23" s="1122" t="s">
        <v>110</v>
      </c>
      <c r="DL23" s="1122"/>
      <c r="DM23" s="1122"/>
      <c r="DN23" s="1122"/>
      <c r="DO23" s="1122"/>
      <c r="DP23" s="1122"/>
      <c r="DQ23" s="1122"/>
      <c r="DR23" s="1122"/>
      <c r="DT23" s="1122" t="s">
        <v>111</v>
      </c>
      <c r="DU23" s="1122"/>
      <c r="DV23" s="1122"/>
      <c r="DW23" s="1122"/>
      <c r="DX23" s="1122"/>
      <c r="DY23" s="1122"/>
      <c r="DZ23" s="1122"/>
      <c r="EA23" s="1122"/>
      <c r="EC23" s="1122" t="s">
        <v>112</v>
      </c>
      <c r="ED23" s="1122"/>
      <c r="EE23" s="1122"/>
      <c r="EF23" s="1122"/>
      <c r="EG23" s="1122"/>
      <c r="EH23" s="1122"/>
      <c r="EI23" s="1122"/>
      <c r="EJ23" s="1122"/>
      <c r="EP23" s="2"/>
      <c r="FB23" s="1109" t="s">
        <v>113</v>
      </c>
      <c r="FC23" s="1110"/>
      <c r="FD23" s="1110"/>
      <c r="FE23" s="1111"/>
      <c r="FL23" s="13"/>
      <c r="FN23" s="1106" t="s">
        <v>114</v>
      </c>
      <c r="FO23" s="1107"/>
      <c r="FP23" s="1107"/>
      <c r="FQ23" s="1107"/>
      <c r="FR23" s="1107"/>
      <c r="FS23" s="1107"/>
      <c r="FT23" s="1107"/>
      <c r="FU23" s="1108"/>
      <c r="FW23" s="2"/>
      <c r="GT23" s="1095"/>
      <c r="GU23" s="1095"/>
      <c r="GV23" s="1095"/>
      <c r="GW23" s="1095"/>
      <c r="GX23" s="1095"/>
      <c r="GY23" s="1095"/>
      <c r="GZ23" s="1095"/>
      <c r="HA23" s="1095"/>
    </row>
    <row r="24" spans="30:215" x14ac:dyDescent="0.35">
      <c r="AX24" s="150"/>
      <c r="AZ24" s="144">
        <v>1</v>
      </c>
      <c r="BA24" s="1056" t="s">
        <v>104</v>
      </c>
      <c r="BB24" s="1056"/>
      <c r="BC24" s="1056"/>
      <c r="BD24" s="1056"/>
      <c r="BE24" s="1056"/>
      <c r="BF24" s="1056"/>
      <c r="BG24" s="1056"/>
      <c r="BH24" s="37"/>
      <c r="BI24" s="154"/>
      <c r="BL24" s="150"/>
      <c r="BN24" s="144">
        <v>1</v>
      </c>
      <c r="BO24" s="1056" t="s">
        <v>105</v>
      </c>
      <c r="BP24" s="1056"/>
      <c r="BQ24" s="1056"/>
      <c r="BR24" s="1056"/>
      <c r="BS24" s="1056"/>
      <c r="BT24" s="1056"/>
      <c r="BU24" s="1056"/>
      <c r="BV24" s="37"/>
      <c r="BW24" s="154"/>
      <c r="CB24" s="14"/>
      <c r="CC24" s="3"/>
      <c r="CD24" s="3"/>
      <c r="CE24" s="3"/>
      <c r="CF24" s="3"/>
      <c r="CG24" s="3"/>
      <c r="CH24" s="3"/>
      <c r="CI24" s="3"/>
      <c r="CM24" s="2"/>
      <c r="CW24" s="2"/>
      <c r="DF24" s="36"/>
      <c r="DG24" s="36"/>
      <c r="DH24" s="36"/>
      <c r="DI24" s="83"/>
      <c r="DK24" s="57">
        <v>1</v>
      </c>
      <c r="DL24" s="1092" t="s">
        <v>115</v>
      </c>
      <c r="DM24" s="1092"/>
      <c r="DN24" s="1092"/>
      <c r="DO24" s="1092"/>
      <c r="DP24" s="1092"/>
      <c r="DQ24" s="1092"/>
      <c r="DR24" s="1092"/>
      <c r="DT24" s="57">
        <v>1</v>
      </c>
      <c r="DU24" s="1092" t="s">
        <v>116</v>
      </c>
      <c r="DV24" s="1092"/>
      <c r="DW24" s="1092"/>
      <c r="DX24" s="1092"/>
      <c r="DY24" s="1092"/>
      <c r="DZ24" s="1092"/>
      <c r="EA24" s="1092"/>
      <c r="EC24" s="57">
        <v>0.5</v>
      </c>
      <c r="ED24" s="1092" t="s">
        <v>116</v>
      </c>
      <c r="EE24" s="1092"/>
      <c r="EF24" s="1092"/>
      <c r="EG24" s="1092"/>
      <c r="EH24" s="1092"/>
      <c r="EI24" s="1092"/>
      <c r="EJ24" s="1092"/>
      <c r="EP24" s="2"/>
      <c r="FL24" s="13"/>
      <c r="FN24" s="144">
        <v>1</v>
      </c>
      <c r="FO24" s="1056" t="s">
        <v>106</v>
      </c>
      <c r="FP24" s="1056"/>
      <c r="FQ24" s="1056"/>
      <c r="FR24" s="1056"/>
      <c r="FS24" s="1056"/>
      <c r="FT24" s="1056"/>
      <c r="FU24" s="1056"/>
      <c r="FW24" s="2"/>
      <c r="GI24" s="49"/>
      <c r="GJ24" s="1095"/>
      <c r="GK24" s="1095"/>
      <c r="GL24" s="1095"/>
      <c r="GM24" s="1095"/>
      <c r="GN24" s="1095"/>
      <c r="GO24" s="1095"/>
      <c r="GP24" s="1095"/>
      <c r="GQ24" s="1095"/>
      <c r="GR24" s="1095"/>
      <c r="HG24" s="49"/>
    </row>
    <row r="25" spans="30:215" x14ac:dyDescent="0.35">
      <c r="AX25" s="150"/>
      <c r="AZ25" s="1082" t="s">
        <v>117</v>
      </c>
      <c r="BA25" s="1082"/>
      <c r="BB25" s="1082"/>
      <c r="BC25" s="1082"/>
      <c r="BD25" s="1082"/>
      <c r="BE25" s="1082"/>
      <c r="BF25" s="1082"/>
      <c r="BG25" s="1082"/>
      <c r="BH25" s="6"/>
      <c r="BI25" s="154"/>
      <c r="BL25" s="150"/>
      <c r="BN25" s="1169" t="s">
        <v>118</v>
      </c>
      <c r="BO25" s="1169"/>
      <c r="BP25" s="1169"/>
      <c r="BQ25" s="1169"/>
      <c r="BR25" s="1169"/>
      <c r="BS25" s="1169"/>
      <c r="BT25" s="1169"/>
      <c r="BU25" s="1169"/>
      <c r="BV25" s="6"/>
      <c r="BW25" s="154"/>
      <c r="CJ25" s="1167" t="s">
        <v>119</v>
      </c>
      <c r="CK25" s="1168"/>
      <c r="CL25" s="1168"/>
      <c r="CM25" s="1168"/>
      <c r="CW25" s="2"/>
      <c r="DI25" s="13"/>
      <c r="DK25" s="1113" t="s">
        <v>120</v>
      </c>
      <c r="DL25" s="1114"/>
      <c r="DM25" s="1114"/>
      <c r="DN25" s="1114"/>
      <c r="DO25" s="1114"/>
      <c r="DP25" s="1114"/>
      <c r="DQ25" s="1114"/>
      <c r="DR25" s="1115"/>
      <c r="DT25" s="1086" t="s">
        <v>121</v>
      </c>
      <c r="DU25" s="1087"/>
      <c r="DV25" s="1087"/>
      <c r="DW25" s="1087"/>
      <c r="DX25" s="1087"/>
      <c r="DY25" s="1087"/>
      <c r="DZ25" s="1087"/>
      <c r="EA25" s="1088"/>
      <c r="EC25" s="1113" t="s">
        <v>122</v>
      </c>
      <c r="ED25" s="1114"/>
      <c r="EE25" s="1114"/>
      <c r="EF25" s="1114"/>
      <c r="EG25" s="1114"/>
      <c r="EH25" s="1114"/>
      <c r="EI25" s="1114"/>
      <c r="EJ25" s="1115"/>
      <c r="EP25" s="2"/>
      <c r="FC25" s="45"/>
      <c r="FD25" s="45"/>
      <c r="FL25" s="150"/>
      <c r="FN25" s="1101" t="s">
        <v>123</v>
      </c>
      <c r="FO25" s="1101"/>
      <c r="FP25" s="1101"/>
      <c r="FQ25" s="1101"/>
      <c r="FR25" s="1101"/>
      <c r="FS25" s="1101"/>
      <c r="FT25" s="1101"/>
      <c r="FU25" s="1101"/>
      <c r="FW25" s="154"/>
      <c r="GI25" s="1096"/>
      <c r="GJ25" s="1096"/>
      <c r="GK25" s="1096"/>
      <c r="GL25" s="1096"/>
      <c r="GM25" s="1096"/>
      <c r="GN25" s="1096"/>
      <c r="GO25" s="1096"/>
      <c r="GP25" s="1096"/>
      <c r="GQ25" s="1096"/>
      <c r="GR25" s="1096"/>
      <c r="GT25" s="1096"/>
      <c r="GU25" s="1096"/>
      <c r="GV25" s="1096"/>
      <c r="GW25" s="1096"/>
      <c r="GX25" s="1096"/>
      <c r="GY25" s="1096"/>
      <c r="GZ25" s="1096"/>
      <c r="HA25" s="1096"/>
    </row>
    <row r="26" spans="30:215" x14ac:dyDescent="0.35">
      <c r="AD26" s="6"/>
      <c r="AO26" s="7"/>
      <c r="AP26" s="6"/>
      <c r="AQ26" s="6"/>
      <c r="AR26" s="6"/>
      <c r="AS26" s="6"/>
      <c r="AT26" s="6"/>
      <c r="AU26" s="6"/>
      <c r="AV26" s="6"/>
      <c r="AW26" s="6"/>
      <c r="AX26" s="150"/>
      <c r="AZ26" s="144">
        <v>1</v>
      </c>
      <c r="BA26" s="1056" t="s">
        <v>104</v>
      </c>
      <c r="BB26" s="1056"/>
      <c r="BC26" s="1056"/>
      <c r="BD26" s="1056"/>
      <c r="BE26" s="1056"/>
      <c r="BF26" s="1056"/>
      <c r="BG26" s="1056"/>
      <c r="BH26" s="37"/>
      <c r="BI26" s="154"/>
      <c r="BL26" s="150"/>
      <c r="BN26" s="144">
        <v>0.5</v>
      </c>
      <c r="BO26" s="1056" t="s">
        <v>105</v>
      </c>
      <c r="BP26" s="1056"/>
      <c r="BQ26" s="1056"/>
      <c r="BR26" s="1056"/>
      <c r="BS26" s="1056"/>
      <c r="BT26" s="1056"/>
      <c r="BU26" s="1056"/>
      <c r="BV26" s="37"/>
      <c r="BW26" s="154"/>
      <c r="CW26" s="2"/>
      <c r="DI26" s="13"/>
      <c r="DK26" s="57">
        <v>1</v>
      </c>
      <c r="DL26" s="1092" t="s">
        <v>115</v>
      </c>
      <c r="DM26" s="1092"/>
      <c r="DN26" s="1092"/>
      <c r="DO26" s="1092"/>
      <c r="DP26" s="1092"/>
      <c r="DQ26" s="1092"/>
      <c r="DR26" s="1092"/>
      <c r="DT26" s="57">
        <v>1</v>
      </c>
      <c r="DU26" s="1092" t="s">
        <v>116</v>
      </c>
      <c r="DV26" s="1092"/>
      <c r="DW26" s="1092"/>
      <c r="DX26" s="1092"/>
      <c r="DY26" s="1092"/>
      <c r="DZ26" s="1092"/>
      <c r="EA26" s="1092"/>
      <c r="EC26" s="57">
        <v>0.5</v>
      </c>
      <c r="ED26" s="1092" t="s">
        <v>116</v>
      </c>
      <c r="EE26" s="1092"/>
      <c r="EF26" s="1092"/>
      <c r="EG26" s="1092"/>
      <c r="EH26" s="1092"/>
      <c r="EI26" s="1092"/>
      <c r="EJ26" s="1092"/>
      <c r="EP26" s="2"/>
      <c r="FC26" s="45"/>
      <c r="FD26" s="45"/>
      <c r="FL26" s="155"/>
      <c r="FM26" s="149"/>
      <c r="FN26" s="149"/>
      <c r="FO26" s="149"/>
      <c r="FP26" s="149"/>
      <c r="FQ26" s="149"/>
      <c r="FR26" s="149"/>
      <c r="FS26" s="149"/>
      <c r="FT26" s="149"/>
      <c r="FU26" s="149"/>
      <c r="FV26" s="149"/>
      <c r="FW26" s="183"/>
    </row>
    <row r="27" spans="30:215" x14ac:dyDescent="0.35">
      <c r="AD27" s="37"/>
      <c r="AO27" s="37"/>
      <c r="AP27" s="37"/>
      <c r="AQ27" s="37"/>
      <c r="AR27" s="37"/>
      <c r="AS27" s="37"/>
      <c r="AT27" s="37"/>
      <c r="AU27" s="37"/>
      <c r="AV27" s="37"/>
      <c r="AW27" s="37"/>
      <c r="AX27" s="158"/>
      <c r="AY27" s="37"/>
      <c r="AZ27" s="1082" t="s">
        <v>124</v>
      </c>
      <c r="BA27" s="1082"/>
      <c r="BB27" s="1082"/>
      <c r="BC27" s="1082"/>
      <c r="BD27" s="1082"/>
      <c r="BE27" s="1082"/>
      <c r="BF27" s="1082"/>
      <c r="BG27" s="1082"/>
      <c r="BH27" s="6"/>
      <c r="BI27" s="154"/>
      <c r="BL27" s="158"/>
      <c r="BM27" s="37"/>
      <c r="BN27" s="1082" t="s">
        <v>125</v>
      </c>
      <c r="BO27" s="1082"/>
      <c r="BP27" s="1082"/>
      <c r="BQ27" s="1082"/>
      <c r="BR27" s="1082"/>
      <c r="BS27" s="1082"/>
      <c r="BT27" s="1082"/>
      <c r="BU27" s="1082"/>
      <c r="BV27" s="6"/>
      <c r="BW27" s="154"/>
      <c r="CW27" s="2"/>
      <c r="DI27" s="13"/>
      <c r="DK27" s="1113" t="s">
        <v>126</v>
      </c>
      <c r="DL27" s="1114"/>
      <c r="DM27" s="1114"/>
      <c r="DN27" s="1114"/>
      <c r="DO27" s="1114"/>
      <c r="DP27" s="1114"/>
      <c r="DQ27" s="1114"/>
      <c r="DR27" s="1115"/>
      <c r="DT27" s="1086" t="s">
        <v>127</v>
      </c>
      <c r="DU27" s="1087"/>
      <c r="DV27" s="1087"/>
      <c r="DW27" s="1087"/>
      <c r="DX27" s="1087"/>
      <c r="DY27" s="1087"/>
      <c r="DZ27" s="1087"/>
      <c r="EA27" s="1088"/>
      <c r="EC27" s="1098" t="s">
        <v>128</v>
      </c>
      <c r="ED27" s="1099"/>
      <c r="EE27" s="1099"/>
      <c r="EF27" s="1099"/>
      <c r="EG27" s="1099"/>
      <c r="EH27" s="1099"/>
      <c r="EI27" s="1099"/>
      <c r="EJ27" s="1100"/>
      <c r="EK27" s="52"/>
      <c r="EL27" s="52"/>
      <c r="EM27" s="52"/>
      <c r="EN27" s="52"/>
      <c r="EO27" s="52"/>
      <c r="EP27" s="67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45"/>
      <c r="FD27" s="6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1119" t="s">
        <v>129</v>
      </c>
      <c r="FU27" s="1120"/>
      <c r="FV27" s="1120"/>
      <c r="FW27" s="1121"/>
      <c r="FX27" s="54"/>
      <c r="GI27" s="49"/>
      <c r="GJ27" s="1095"/>
      <c r="GK27" s="1095"/>
      <c r="GL27" s="1095"/>
      <c r="GM27" s="1095"/>
      <c r="GN27" s="1095"/>
      <c r="GO27" s="1095"/>
      <c r="GP27" s="1095"/>
      <c r="GQ27" s="1095"/>
      <c r="GR27" s="1095"/>
      <c r="HG27" s="49"/>
    </row>
    <row r="28" spans="30:215" x14ac:dyDescent="0.35">
      <c r="AD28" s="7"/>
      <c r="AO28" s="45"/>
      <c r="AP28" s="6"/>
      <c r="AQ28" s="6"/>
      <c r="AR28" s="6"/>
      <c r="AS28" s="6"/>
      <c r="AT28" s="6"/>
      <c r="AU28" s="6"/>
      <c r="AV28" s="6"/>
      <c r="AW28" s="6"/>
      <c r="AX28" s="147"/>
      <c r="AY28" s="6"/>
      <c r="AZ28" s="144">
        <v>0.5</v>
      </c>
      <c r="BA28" s="1056" t="s">
        <v>130</v>
      </c>
      <c r="BB28" s="1056"/>
      <c r="BC28" s="1056"/>
      <c r="BD28" s="1056"/>
      <c r="BE28" s="1056"/>
      <c r="BF28" s="1056"/>
      <c r="BG28" s="1056"/>
      <c r="BH28" s="37"/>
      <c r="BI28" s="154"/>
      <c r="BL28" s="262"/>
      <c r="BM28" s="263"/>
      <c r="BN28" s="263"/>
      <c r="BO28" s="263"/>
      <c r="BP28" s="263"/>
      <c r="BQ28" s="263"/>
      <c r="BR28" s="263"/>
      <c r="BS28" s="263"/>
      <c r="BT28" s="263"/>
      <c r="BU28" s="263"/>
      <c r="BV28" s="264"/>
      <c r="BW28" s="183"/>
      <c r="CW28" s="2"/>
      <c r="DI28" s="13"/>
      <c r="DT28" s="57">
        <v>1</v>
      </c>
      <c r="DU28" s="1092" t="s">
        <v>116</v>
      </c>
      <c r="DV28" s="1092"/>
      <c r="DW28" s="1092"/>
      <c r="DX28" s="1092"/>
      <c r="DY28" s="1092"/>
      <c r="DZ28" s="1092"/>
      <c r="EA28" s="1092"/>
      <c r="EC28" s="57">
        <v>0.5</v>
      </c>
      <c r="ED28" s="1092" t="s">
        <v>116</v>
      </c>
      <c r="EE28" s="1092"/>
      <c r="EF28" s="1092"/>
      <c r="EG28" s="1092"/>
      <c r="EH28" s="1092"/>
      <c r="EI28" s="1092"/>
      <c r="EJ28" s="1092"/>
      <c r="EK28" s="52"/>
      <c r="EL28" s="52"/>
      <c r="EM28" s="52"/>
      <c r="EN28" s="52"/>
      <c r="EO28" s="52"/>
      <c r="EP28" s="67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45"/>
      <c r="FD28" s="6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GI28" s="1096"/>
      <c r="GJ28" s="1096"/>
      <c r="GK28" s="1096"/>
      <c r="GL28" s="1096"/>
      <c r="GM28" s="1096"/>
      <c r="GN28" s="1096"/>
      <c r="GO28" s="1096"/>
      <c r="GP28" s="1096"/>
      <c r="GQ28" s="1096"/>
      <c r="GR28" s="1096"/>
    </row>
    <row r="29" spans="30:215" x14ac:dyDescent="0.35">
      <c r="AD29" s="36"/>
      <c r="AO29" s="37"/>
      <c r="AP29" s="37"/>
      <c r="AQ29" s="37"/>
      <c r="AR29" s="37"/>
      <c r="AS29" s="37"/>
      <c r="AT29" s="37"/>
      <c r="AU29" s="37"/>
      <c r="AV29" s="37"/>
      <c r="AW29" s="37"/>
      <c r="AX29" s="158"/>
      <c r="AY29" s="37"/>
      <c r="AZ29" s="1083" t="s">
        <v>131</v>
      </c>
      <c r="BA29" s="1083"/>
      <c r="BB29" s="1083"/>
      <c r="BC29" s="1083"/>
      <c r="BD29" s="1083"/>
      <c r="BE29" s="1083"/>
      <c r="BF29" s="1083"/>
      <c r="BG29" s="1083"/>
      <c r="BI29" s="154"/>
      <c r="BL29" s="37"/>
      <c r="BM29" s="37"/>
      <c r="BN29" s="37"/>
      <c r="BO29" s="37"/>
      <c r="BP29" s="37"/>
      <c r="BQ29" s="37"/>
      <c r="BR29" s="37"/>
      <c r="BS29" s="37"/>
      <c r="BT29" s="1160" t="s">
        <v>132</v>
      </c>
      <c r="BU29" s="1161"/>
      <c r="BV29" s="1161"/>
      <c r="BW29" s="1162"/>
      <c r="CW29" s="2"/>
      <c r="DI29" s="13"/>
      <c r="DT29" s="1097" t="s">
        <v>131</v>
      </c>
      <c r="DU29" s="1087"/>
      <c r="DV29" s="1087"/>
      <c r="DW29" s="1087"/>
      <c r="DX29" s="1087"/>
      <c r="DY29" s="1087"/>
      <c r="DZ29" s="1087"/>
      <c r="EA29" s="1088"/>
      <c r="EC29" s="1101" t="s">
        <v>133</v>
      </c>
      <c r="ED29" s="1101"/>
      <c r="EE29" s="1101"/>
      <c r="EF29" s="1101"/>
      <c r="EG29" s="1101"/>
      <c r="EH29" s="1101"/>
      <c r="EI29" s="1101"/>
      <c r="EJ29" s="1101"/>
      <c r="EK29" s="52"/>
      <c r="EL29" s="52"/>
      <c r="EM29" s="52"/>
      <c r="EN29" s="52"/>
      <c r="EO29" s="52"/>
      <c r="EP29" s="67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6"/>
      <c r="FD29" s="6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1084"/>
      <c r="FX29" s="1085"/>
      <c r="HG29" s="49"/>
    </row>
    <row r="30" spans="30:215" ht="14.5" customHeight="1" x14ac:dyDescent="0.35">
      <c r="AD30" s="7"/>
      <c r="AO30" s="45"/>
      <c r="AP30" s="6"/>
      <c r="AQ30" s="6"/>
      <c r="AR30" s="6"/>
      <c r="AS30" s="6"/>
      <c r="AT30" s="6"/>
      <c r="AU30" s="6"/>
      <c r="AV30" s="6"/>
      <c r="AW30" s="6"/>
      <c r="AX30" s="147"/>
      <c r="AY30" s="6"/>
      <c r="AZ30" s="144">
        <v>0.5</v>
      </c>
      <c r="BA30" s="1056" t="s">
        <v>134</v>
      </c>
      <c r="BB30" s="1056"/>
      <c r="BC30" s="1056"/>
      <c r="BD30" s="1056"/>
      <c r="BE30" s="1056"/>
      <c r="BF30" s="1056"/>
      <c r="BG30" s="1056"/>
      <c r="BI30" s="154"/>
      <c r="BL30" s="6"/>
      <c r="BM30" s="6"/>
      <c r="BN30" s="7"/>
      <c r="BO30" s="7"/>
      <c r="BP30" s="7"/>
      <c r="BQ30" s="7"/>
      <c r="BR30" s="7"/>
      <c r="BS30" s="7"/>
      <c r="CW30" s="2"/>
      <c r="DI30" s="13"/>
      <c r="DT30" s="57">
        <v>1</v>
      </c>
      <c r="DU30" s="1092" t="s">
        <v>116</v>
      </c>
      <c r="DV30" s="1092"/>
      <c r="DW30" s="1092"/>
      <c r="DX30" s="1092"/>
      <c r="DY30" s="1092"/>
      <c r="DZ30" s="1092"/>
      <c r="EA30" s="1092"/>
      <c r="EK30" s="52"/>
      <c r="EL30" s="52"/>
      <c r="EM30" s="52"/>
      <c r="EN30" s="52"/>
      <c r="EO30" s="52"/>
      <c r="EP30" s="67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6"/>
      <c r="FD30" s="6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</row>
    <row r="31" spans="30:215" ht="14.5" customHeight="1" x14ac:dyDescent="0.35">
      <c r="AD31" s="36"/>
      <c r="AO31" s="76"/>
      <c r="AP31" s="76"/>
      <c r="AQ31" s="76"/>
      <c r="AR31" s="76"/>
      <c r="AS31" s="76"/>
      <c r="AT31" s="76"/>
      <c r="AU31" s="76"/>
      <c r="AV31" s="76"/>
      <c r="AW31" s="76"/>
      <c r="AX31" s="273"/>
      <c r="AY31" s="76"/>
      <c r="AZ31" s="1082" t="s">
        <v>135</v>
      </c>
      <c r="BA31" s="1082"/>
      <c r="BB31" s="1082"/>
      <c r="BC31" s="1082"/>
      <c r="BD31" s="1082"/>
      <c r="BE31" s="1082"/>
      <c r="BF31" s="1082"/>
      <c r="BG31" s="1082"/>
      <c r="BI31" s="154"/>
      <c r="CW31" s="2"/>
      <c r="DI31" s="13"/>
      <c r="DT31" s="1086" t="s">
        <v>136</v>
      </c>
      <c r="DU31" s="1087"/>
      <c r="DV31" s="1087"/>
      <c r="DW31" s="1087"/>
      <c r="DX31" s="1087"/>
      <c r="DY31" s="1087"/>
      <c r="DZ31" s="1087"/>
      <c r="EA31" s="1088"/>
      <c r="EK31" s="52"/>
      <c r="EL31" s="52"/>
      <c r="EM31" s="52"/>
      <c r="EN31" s="52"/>
      <c r="EO31" s="52"/>
      <c r="EP31" s="67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6"/>
      <c r="FD31" s="6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HG31" s="49"/>
    </row>
    <row r="32" spans="30:215" ht="14.5" customHeight="1" x14ac:dyDescent="0.35">
      <c r="AD32" s="7"/>
      <c r="AO32" s="45"/>
      <c r="AP32" s="6"/>
      <c r="AQ32" s="6"/>
      <c r="AR32" s="6"/>
      <c r="AS32" s="6"/>
      <c r="AT32" s="6"/>
      <c r="AU32" s="6"/>
      <c r="AV32" s="6"/>
      <c r="AW32" s="6"/>
      <c r="AX32" s="262"/>
      <c r="AY32" s="263"/>
      <c r="AZ32" s="263"/>
      <c r="BA32" s="274"/>
      <c r="BB32" s="274"/>
      <c r="BC32" s="274"/>
      <c r="BD32" s="274"/>
      <c r="BE32" s="274"/>
      <c r="BF32" s="274"/>
      <c r="BG32" s="274"/>
      <c r="BH32" s="274"/>
      <c r="BI32" s="183"/>
      <c r="CW32" s="2"/>
      <c r="DI32" s="13"/>
      <c r="DT32" s="57">
        <v>1</v>
      </c>
      <c r="DU32" s="1092" t="s">
        <v>116</v>
      </c>
      <c r="DV32" s="1092"/>
      <c r="DW32" s="1092"/>
      <c r="DX32" s="1092"/>
      <c r="DY32" s="1092"/>
      <c r="DZ32" s="1092"/>
      <c r="EA32" s="1092"/>
      <c r="EK32" s="52"/>
      <c r="EL32" s="52"/>
      <c r="EM32" s="52"/>
      <c r="EN32" s="52"/>
      <c r="EO32" s="52"/>
      <c r="EP32" s="67"/>
      <c r="EQ32" s="52"/>
      <c r="ER32" s="52"/>
      <c r="ES32" s="52"/>
      <c r="ET32" s="52"/>
      <c r="EU32" s="52"/>
      <c r="EV32" s="52"/>
      <c r="FX32" s="52"/>
    </row>
    <row r="33" spans="30:201" x14ac:dyDescent="0.35">
      <c r="AD33" s="36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BF33" s="1160" t="s">
        <v>137</v>
      </c>
      <c r="BG33" s="1161"/>
      <c r="BH33" s="1161"/>
      <c r="BI33" s="1162"/>
      <c r="CW33" s="2"/>
      <c r="DI33" s="150"/>
      <c r="DT33" s="1086" t="s">
        <v>138</v>
      </c>
      <c r="DU33" s="1087"/>
      <c r="DV33" s="1087"/>
      <c r="DW33" s="1087"/>
      <c r="DX33" s="1087"/>
      <c r="DY33" s="1087"/>
      <c r="DZ33" s="1087"/>
      <c r="EA33" s="1088"/>
      <c r="EK33" s="52"/>
      <c r="EL33" s="52"/>
      <c r="EM33" s="52"/>
      <c r="EN33" s="52"/>
      <c r="EO33" s="52"/>
      <c r="EP33" s="182"/>
      <c r="EQ33" s="52"/>
      <c r="ER33" s="52"/>
      <c r="ES33" s="52"/>
      <c r="ET33" s="52"/>
      <c r="EU33" s="52"/>
      <c r="EV33" s="52"/>
      <c r="FM33" s="259"/>
      <c r="FW33" s="52"/>
      <c r="FX33" s="52"/>
    </row>
    <row r="34" spans="30:201" x14ac:dyDescent="0.35">
      <c r="AD34" s="36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BF34" s="260"/>
      <c r="BG34" s="260"/>
      <c r="BH34" s="260"/>
      <c r="BI34" s="260"/>
      <c r="CW34" s="2"/>
      <c r="DI34" s="150"/>
      <c r="DT34" s="36"/>
      <c r="DU34" s="36"/>
      <c r="DV34" s="36"/>
      <c r="DW34" s="36"/>
      <c r="DX34" s="36"/>
      <c r="DY34" s="36"/>
      <c r="DZ34" s="36"/>
      <c r="EA34" s="36"/>
      <c r="EK34" s="52"/>
      <c r="EL34" s="52"/>
      <c r="EM34" s="52"/>
      <c r="EN34" s="52"/>
      <c r="EO34" s="52"/>
      <c r="EP34" s="182"/>
      <c r="EQ34" s="52"/>
      <c r="ER34" s="52"/>
      <c r="ES34" s="52"/>
      <c r="ET34" s="52"/>
      <c r="EU34" s="52"/>
      <c r="EV34" s="52"/>
      <c r="FM34" s="259"/>
      <c r="FW34" s="52"/>
      <c r="FX34" s="52"/>
    </row>
    <row r="35" spans="30:201" x14ac:dyDescent="0.35">
      <c r="AD35" s="36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BF35" s="260"/>
      <c r="BG35" s="260"/>
      <c r="BH35" s="260"/>
      <c r="BI35" s="260"/>
      <c r="CW35" s="2"/>
      <c r="DI35" s="224"/>
      <c r="DJ35" s="224"/>
      <c r="DK35" s="224"/>
      <c r="DL35" s="224"/>
      <c r="DM35" s="224"/>
      <c r="DN35" s="224"/>
      <c r="DO35" s="224"/>
      <c r="DP35" s="224"/>
      <c r="DQ35" s="224"/>
      <c r="DR35" s="224"/>
      <c r="DS35" s="224"/>
      <c r="DT35" s="268"/>
      <c r="DU35" s="268"/>
      <c r="DV35" s="268"/>
      <c r="DW35" s="268"/>
      <c r="DX35" s="268"/>
      <c r="DY35" s="268"/>
      <c r="DZ35" s="268"/>
      <c r="EA35" s="268"/>
      <c r="EB35" s="224"/>
      <c r="EC35" s="224"/>
      <c r="ED35" s="224"/>
      <c r="EE35" s="224"/>
      <c r="EF35" s="224"/>
      <c r="EG35" s="224"/>
      <c r="EH35" s="224"/>
      <c r="EI35" s="224"/>
      <c r="EJ35" s="224"/>
      <c r="EK35" s="271"/>
      <c r="EL35" s="271"/>
      <c r="EM35" s="1089" t="s">
        <v>139</v>
      </c>
      <c r="EN35" s="1090"/>
      <c r="EO35" s="1090"/>
      <c r="EP35" s="1091"/>
      <c r="EQ35" s="52"/>
      <c r="ER35" s="52"/>
      <c r="ES35" s="52"/>
      <c r="ET35" s="52"/>
      <c r="EU35" s="52"/>
      <c r="EV35" s="52"/>
      <c r="FM35" s="259"/>
      <c r="FW35" s="52"/>
      <c r="FX35" s="52"/>
    </row>
    <row r="36" spans="30:201" x14ac:dyDescent="0.35">
      <c r="AD36" s="36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BF36" s="260"/>
      <c r="BG36" s="260"/>
      <c r="BH36" s="260"/>
      <c r="BI36" s="260"/>
      <c r="CW36" s="2"/>
      <c r="DT36" s="36"/>
      <c r="DU36" s="36"/>
      <c r="DV36" s="36"/>
      <c r="DW36" s="36"/>
      <c r="DX36" s="36"/>
      <c r="DY36" s="36"/>
      <c r="DZ36" s="36"/>
      <c r="EA36" s="36"/>
      <c r="EK36" s="52"/>
      <c r="EL36" s="52"/>
      <c r="EM36" s="53"/>
      <c r="EN36" s="53"/>
      <c r="EO36" s="53"/>
      <c r="EP36" s="53"/>
      <c r="EQ36" s="52"/>
      <c r="ER36" s="52"/>
      <c r="ES36" s="52"/>
      <c r="ET36" s="52"/>
      <c r="EU36" s="52"/>
      <c r="EV36" s="52"/>
      <c r="FM36" s="259"/>
      <c r="FW36" s="52"/>
      <c r="FX36" s="52"/>
    </row>
    <row r="37" spans="30:201" x14ac:dyDescent="0.35">
      <c r="AD37" s="36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BF37" s="260"/>
      <c r="BG37" s="260"/>
      <c r="BH37" s="260"/>
      <c r="BI37" s="260"/>
      <c r="CW37" s="2"/>
      <c r="DT37" s="36"/>
      <c r="DU37" s="36"/>
      <c r="DV37" s="36"/>
      <c r="DW37" s="36"/>
      <c r="DX37" s="36"/>
      <c r="DY37" s="36"/>
      <c r="DZ37" s="36"/>
      <c r="EA37" s="36"/>
      <c r="EK37" s="52"/>
      <c r="EL37" s="52"/>
      <c r="EM37" s="53"/>
      <c r="EN37" s="53"/>
      <c r="EO37" s="53"/>
      <c r="EP37" s="53"/>
      <c r="EQ37" s="52"/>
      <c r="ER37" s="52"/>
      <c r="ES37" s="52"/>
      <c r="ET37" s="52"/>
      <c r="EU37" s="52"/>
      <c r="EV37" s="52"/>
      <c r="FM37" s="259"/>
      <c r="FW37" s="52"/>
      <c r="FX37" s="52"/>
    </row>
    <row r="38" spans="30:201" x14ac:dyDescent="0.35">
      <c r="AD38" s="36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BF38" s="260"/>
      <c r="BG38" s="260"/>
      <c r="BH38" s="260"/>
      <c r="BI38" s="260"/>
      <c r="CW38" s="2"/>
      <c r="DT38" s="36"/>
      <c r="DU38" s="36"/>
      <c r="DV38" s="36"/>
      <c r="DW38" s="36"/>
      <c r="DX38" s="36"/>
      <c r="DY38" s="36"/>
      <c r="DZ38" s="36"/>
      <c r="EA38" s="36"/>
      <c r="EK38" s="52"/>
      <c r="EL38" s="52"/>
      <c r="EM38" s="53"/>
      <c r="EN38" s="53"/>
      <c r="EO38" s="53"/>
      <c r="EP38" s="53"/>
      <c r="EQ38" s="52"/>
      <c r="ER38" s="52"/>
      <c r="ES38" s="52"/>
      <c r="ET38" s="52"/>
      <c r="EU38" s="52"/>
      <c r="EV38" s="52"/>
      <c r="FM38" s="259"/>
      <c r="FW38" s="52"/>
      <c r="FX38" s="52"/>
    </row>
    <row r="39" spans="30:201" ht="14.5" customHeight="1" x14ac:dyDescent="0.35">
      <c r="AD39" s="7"/>
      <c r="AO39" s="55"/>
      <c r="AP39" s="7"/>
      <c r="AQ39" s="7"/>
      <c r="AR39" s="7"/>
      <c r="AS39" s="7"/>
      <c r="AT39" s="7"/>
      <c r="AU39" s="7"/>
      <c r="AV39" s="7"/>
      <c r="AW39" s="7"/>
      <c r="AX39" s="7"/>
      <c r="CW39" s="2"/>
      <c r="DX39" s="45"/>
      <c r="DY39" s="45"/>
      <c r="DZ39" s="45"/>
      <c r="EK39" s="52"/>
      <c r="EL39" s="52"/>
      <c r="EQ39" s="52"/>
      <c r="ER39" s="52"/>
      <c r="ES39" s="52"/>
      <c r="ET39" s="52"/>
      <c r="EU39" s="52"/>
      <c r="EV39" s="52"/>
      <c r="FW39" s="52"/>
      <c r="FX39" s="52"/>
    </row>
    <row r="40" spans="30:201" ht="14.5" customHeight="1" x14ac:dyDescent="0.35">
      <c r="AD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CT40" s="144">
        <v>1</v>
      </c>
      <c r="CU40" s="1056" t="s">
        <v>140</v>
      </c>
      <c r="CV40" s="1056"/>
      <c r="CW40" s="1056"/>
      <c r="CX40" s="1056"/>
      <c r="CY40" s="1056"/>
      <c r="CZ40" s="1056"/>
      <c r="DA40" s="1056"/>
      <c r="DX40" s="45"/>
      <c r="DY40" s="45"/>
      <c r="DZ40" s="45"/>
      <c r="EK40" s="52"/>
      <c r="EL40" s="49"/>
      <c r="EQ40" s="50"/>
      <c r="ER40" s="50"/>
      <c r="ES40" s="50"/>
      <c r="ET40" s="50"/>
      <c r="EU40" s="50"/>
      <c r="E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</row>
    <row r="41" spans="30:201" ht="14.5" customHeight="1" x14ac:dyDescent="0.35">
      <c r="AD41" s="36"/>
      <c r="AO41" s="55"/>
      <c r="AP41" s="7"/>
      <c r="AQ41" s="7"/>
      <c r="AR41" s="7"/>
      <c r="AS41" s="7"/>
      <c r="AT41" s="7"/>
      <c r="AU41" s="7"/>
      <c r="AV41" s="7"/>
      <c r="AW41" s="7"/>
      <c r="AX41" s="7"/>
      <c r="BV41" s="6"/>
      <c r="CT41" s="1082" t="s">
        <v>141</v>
      </c>
      <c r="CU41" s="1082"/>
      <c r="CV41" s="1082"/>
      <c r="CW41" s="1082"/>
      <c r="CX41" s="1082"/>
      <c r="CY41" s="1082"/>
      <c r="CZ41" s="1082"/>
      <c r="DA41" s="1082"/>
      <c r="DX41" s="45"/>
      <c r="DY41" s="45"/>
      <c r="DZ41" s="45"/>
      <c r="EK41" s="52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FX41" s="50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</row>
    <row r="42" spans="30:201" ht="14.5" customHeight="1" x14ac:dyDescent="0.35">
      <c r="AD42" s="7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BV42" s="45"/>
      <c r="CW42" s="2"/>
      <c r="DX42" s="45"/>
      <c r="DY42" s="45"/>
      <c r="DZ42" s="45"/>
      <c r="EK42" s="52"/>
      <c r="EL42" s="49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FW42" s="52"/>
      <c r="FX42" s="52"/>
    </row>
    <row r="43" spans="30:201" ht="14.5" customHeight="1" x14ac:dyDescent="0.35">
      <c r="AD43" s="36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BV43" s="6"/>
      <c r="CT43" s="144">
        <v>1</v>
      </c>
      <c r="CU43" s="1038" t="s">
        <v>142</v>
      </c>
      <c r="CV43" s="1036"/>
      <c r="CW43" s="1036"/>
      <c r="CX43" s="1036"/>
      <c r="CY43" s="1036"/>
      <c r="CZ43" s="1036"/>
      <c r="DA43" s="1037"/>
      <c r="DX43" s="45"/>
      <c r="DY43" s="45"/>
      <c r="DZ43" s="45"/>
      <c r="EK43" s="52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FW43" s="52"/>
      <c r="FX43" s="52"/>
    </row>
    <row r="44" spans="30:201" ht="14.5" customHeight="1" x14ac:dyDescent="0.35">
      <c r="AD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BV44" s="265"/>
      <c r="CT44" s="1079" t="s">
        <v>143</v>
      </c>
      <c r="CU44" s="1080"/>
      <c r="CV44" s="1080"/>
      <c r="CW44" s="1080"/>
      <c r="CX44" s="1080"/>
      <c r="CY44" s="1080"/>
      <c r="CZ44" s="1080"/>
      <c r="DA44" s="1081"/>
      <c r="DX44" s="45"/>
      <c r="DY44" s="45"/>
      <c r="DZ44" s="45"/>
      <c r="EK44" s="52"/>
      <c r="EL44" s="52"/>
      <c r="EQ44" s="52"/>
      <c r="ER44" s="52"/>
      <c r="ES44" s="52"/>
      <c r="ET44" s="52"/>
      <c r="EU44" s="52"/>
      <c r="EV44" s="52"/>
      <c r="FW44" s="52"/>
      <c r="FX44" s="52"/>
    </row>
    <row r="45" spans="30:201" ht="14.5" customHeight="1" x14ac:dyDescent="0.35">
      <c r="AD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BV45" s="6"/>
      <c r="CW45" s="2"/>
      <c r="DX45" s="45"/>
      <c r="DY45" s="45"/>
      <c r="DZ45" s="45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FW45" s="52"/>
      <c r="FX45" s="52"/>
    </row>
    <row r="46" spans="30:201" ht="14.5" customHeight="1" x14ac:dyDescent="0.35">
      <c r="AD46" s="7"/>
      <c r="BV46" s="45"/>
      <c r="CW46" s="2"/>
      <c r="DT46" s="259"/>
      <c r="DU46" s="259"/>
      <c r="DX46" s="45"/>
      <c r="DY46" s="45"/>
      <c r="DZ46" s="45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FW46" s="52"/>
      <c r="FX46" s="52"/>
    </row>
    <row r="47" spans="30:201" ht="14.5" customHeight="1" x14ac:dyDescent="0.35">
      <c r="AD47" s="36"/>
      <c r="BV47" s="6"/>
      <c r="CW47" s="2"/>
      <c r="DT47" s="267"/>
      <c r="DU47" s="259"/>
      <c r="DX47" s="45"/>
      <c r="DY47" s="45"/>
      <c r="DZ47" s="45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1096"/>
      <c r="EZ47" s="1096"/>
      <c r="FA47" s="1096"/>
      <c r="FB47" s="1096"/>
      <c r="FC47" s="1096"/>
      <c r="FD47" s="1096"/>
      <c r="FE47" s="1096"/>
      <c r="FF47" s="1096"/>
      <c r="FG47" s="1096"/>
      <c r="FH47" s="1096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</row>
    <row r="48" spans="30:201" ht="14.5" customHeight="1" x14ac:dyDescent="0.35">
      <c r="BV48" s="45"/>
      <c r="CT48" s="1126" t="s">
        <v>144</v>
      </c>
      <c r="CU48" s="1127"/>
      <c r="CV48" s="1127"/>
      <c r="CW48" s="1127"/>
      <c r="CX48" s="1127"/>
      <c r="CY48" s="1127"/>
      <c r="CZ48" s="1127"/>
      <c r="DA48" s="1128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49"/>
      <c r="EZ48" s="1095"/>
      <c r="FA48" s="1095"/>
      <c r="FB48" s="1095"/>
      <c r="FC48" s="1095"/>
      <c r="FD48" s="1095"/>
      <c r="FE48" s="1095"/>
      <c r="FF48" s="1095"/>
      <c r="FG48" s="1095"/>
      <c r="FH48" s="1095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</row>
    <row r="49" spans="6:219" ht="14.5" customHeight="1" x14ac:dyDescent="0.35">
      <c r="BO49" s="6"/>
      <c r="BP49" s="6"/>
      <c r="BQ49" s="6"/>
      <c r="BR49" s="6"/>
      <c r="BS49" s="6"/>
      <c r="BT49" s="6"/>
      <c r="BU49" s="6"/>
      <c r="BV49" s="6"/>
      <c r="CT49" s="1129"/>
      <c r="CU49" s="1130"/>
      <c r="CV49" s="1130"/>
      <c r="CW49" s="1130"/>
      <c r="CX49" s="1130"/>
      <c r="CY49" s="1130"/>
      <c r="CZ49" s="1130"/>
      <c r="DA49" s="1131"/>
      <c r="DT49" s="259"/>
      <c r="DU49" s="259"/>
      <c r="DX49" s="45"/>
      <c r="DY49" s="45"/>
      <c r="DZ49" s="45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1096"/>
      <c r="EZ49" s="1096"/>
      <c r="FA49" s="1096"/>
      <c r="FB49" s="1096"/>
      <c r="FC49" s="1096"/>
      <c r="FD49" s="1096"/>
      <c r="FE49" s="1096"/>
      <c r="FF49" s="1096"/>
      <c r="FG49" s="1096"/>
      <c r="FH49" s="1096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</row>
    <row r="50" spans="6:219" ht="14.5" customHeight="1" x14ac:dyDescent="0.35">
      <c r="BO50" s="45"/>
      <c r="BP50" s="45"/>
      <c r="BQ50" s="45"/>
      <c r="BR50" s="45"/>
      <c r="BS50" s="45"/>
      <c r="BT50" s="45"/>
      <c r="BU50" s="45"/>
      <c r="BV50" s="45"/>
      <c r="CW50" s="2"/>
      <c r="DT50" s="267"/>
      <c r="DU50" s="259"/>
      <c r="DX50" s="45"/>
      <c r="DY50" s="45"/>
      <c r="DZ50" s="45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</row>
    <row r="51" spans="6:219" x14ac:dyDescent="0.35">
      <c r="CW51" s="2"/>
      <c r="DT51" s="259"/>
      <c r="DU51" s="259"/>
      <c r="DX51" s="45"/>
      <c r="DY51" s="45"/>
      <c r="DZ51" s="45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</row>
    <row r="52" spans="6:219" x14ac:dyDescent="0.35">
      <c r="CW52" s="2"/>
      <c r="DT52" s="259"/>
      <c r="DU52" s="259"/>
      <c r="DX52" s="45"/>
      <c r="DY52" s="45"/>
      <c r="DZ52" s="45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</row>
    <row r="53" spans="6:219" x14ac:dyDescent="0.35">
      <c r="CW53" s="2"/>
      <c r="DX53" s="45"/>
      <c r="DY53" s="45"/>
      <c r="DZ53" s="45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</row>
    <row r="54" spans="6:219" x14ac:dyDescent="0.35">
      <c r="X54" s="5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12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12"/>
      <c r="CX54" s="5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59"/>
      <c r="DY54" s="45"/>
      <c r="DZ54" s="45"/>
    </row>
    <row r="55" spans="6:219" x14ac:dyDescent="0.35">
      <c r="K55" s="148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163">
        <f>SUM(T56+M62+M64+M66+M68+AA62+AA64+AA66+AA68+AA70+AA72+AA74)</f>
        <v>12</v>
      </c>
      <c r="AV55" s="5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12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210">
        <f>SUM(BO59+AX64+AX66+BH64+BH66+BV64+BV66+CF64+AX76+AX78+AX80+AX82+AX84+AX86+AX88+AX90+BH76+BH78+BV76+CF76+CF78+CF80+CF82+CF84+CF86+CF88+BO56+BH68+BV80+BV78+BH80+BH82)</f>
        <v>25.5</v>
      </c>
      <c r="CW55" s="2"/>
      <c r="CX55" s="13"/>
      <c r="DW55" s="21"/>
      <c r="DX55" s="45"/>
      <c r="DY55" s="45"/>
      <c r="DZ55" s="45"/>
    </row>
    <row r="56" spans="6:219" ht="14.5" customHeight="1" x14ac:dyDescent="0.35">
      <c r="K56" s="150"/>
      <c r="P56" s="78"/>
      <c r="Q56" s="6"/>
      <c r="R56" s="6"/>
      <c r="S56" s="6"/>
      <c r="T56" s="156">
        <v>1</v>
      </c>
      <c r="U56" s="1029" t="s">
        <v>145</v>
      </c>
      <c r="V56" s="1030"/>
      <c r="W56" s="1030"/>
      <c r="X56" s="1030"/>
      <c r="Y56" s="1030"/>
      <c r="Z56" s="1030"/>
      <c r="AA56" s="1031"/>
      <c r="AJ56" s="154"/>
      <c r="AV56" s="13"/>
      <c r="BO56" s="211">
        <v>0.5</v>
      </c>
      <c r="BP56" s="1038" t="s">
        <v>146</v>
      </c>
      <c r="BQ56" s="1036"/>
      <c r="BR56" s="1036"/>
      <c r="BS56" s="1036"/>
      <c r="BT56" s="1036"/>
      <c r="BU56" s="1036"/>
      <c r="BV56" s="1037"/>
      <c r="CO56" s="2"/>
      <c r="CW56" s="2"/>
      <c r="CX56" s="13"/>
      <c r="DT56" s="79">
        <v>0.5</v>
      </c>
      <c r="DU56" s="1029" t="s">
        <v>147</v>
      </c>
      <c r="DV56" s="1030"/>
      <c r="DW56" s="1030"/>
      <c r="DX56" s="1030"/>
      <c r="DY56" s="1030"/>
      <c r="DZ56" s="1030"/>
      <c r="EA56" s="1031"/>
      <c r="EB56" s="6"/>
      <c r="EJ56" s="75"/>
      <c r="EK56" s="76"/>
      <c r="EL56" s="76"/>
      <c r="EM56" s="76"/>
      <c r="EN56" s="76"/>
      <c r="EO56" s="76"/>
      <c r="EP56" s="76"/>
      <c r="EQ56" s="76"/>
    </row>
    <row r="57" spans="6:219" ht="14.5" customHeight="1" x14ac:dyDescent="0.35">
      <c r="K57" s="150"/>
      <c r="P57" s="75"/>
      <c r="Q57" s="76"/>
      <c r="R57" s="76"/>
      <c r="S57" s="76"/>
      <c r="T57" s="1026" t="s">
        <v>148</v>
      </c>
      <c r="U57" s="1027"/>
      <c r="V57" s="1027"/>
      <c r="W57" s="1027"/>
      <c r="X57" s="1027"/>
      <c r="Y57" s="1027"/>
      <c r="Z57" s="1027"/>
      <c r="AA57" s="1028"/>
      <c r="AJ57" s="154"/>
      <c r="AV57" s="13"/>
      <c r="BO57" s="1053" t="s">
        <v>149</v>
      </c>
      <c r="BP57" s="1054"/>
      <c r="BQ57" s="1054"/>
      <c r="BR57" s="1054"/>
      <c r="BS57" s="1054"/>
      <c r="BT57" s="1054"/>
      <c r="BU57" s="1054"/>
      <c r="BV57" s="1055"/>
      <c r="CO57" s="2"/>
      <c r="CW57" s="2"/>
      <c r="CX57" s="13"/>
      <c r="DN57" s="5"/>
      <c r="DO57" s="4"/>
      <c r="DP57" s="4"/>
      <c r="DQ57" s="4"/>
      <c r="DR57" s="4"/>
      <c r="DS57" s="4"/>
      <c r="DT57" s="1026" t="s">
        <v>150</v>
      </c>
      <c r="DU57" s="1027"/>
      <c r="DV57" s="1027"/>
      <c r="DW57" s="1027"/>
      <c r="DX57" s="1027"/>
      <c r="DY57" s="1027"/>
      <c r="DZ57" s="1027"/>
      <c r="EA57" s="1028"/>
      <c r="EB57" s="4"/>
      <c r="EC57" s="4"/>
      <c r="ED57" s="4"/>
      <c r="EE57" s="12"/>
      <c r="GI57" s="7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HA57" s="7"/>
      <c r="HB57" s="6"/>
      <c r="HC57" s="6"/>
      <c r="HD57" s="6"/>
      <c r="HE57" s="6"/>
      <c r="HF57" s="6"/>
      <c r="HG57" s="6"/>
      <c r="HH57" s="6"/>
      <c r="HI57" s="6"/>
      <c r="HJ57" s="6"/>
      <c r="HK57" s="6"/>
    </row>
    <row r="58" spans="6:219" x14ac:dyDescent="0.35">
      <c r="K58" s="150"/>
      <c r="W58" s="2"/>
      <c r="AJ58" s="154"/>
      <c r="AV58" s="13"/>
      <c r="BR58" s="2"/>
      <c r="CO58" s="2"/>
      <c r="CW58" s="2"/>
      <c r="CX58" s="13"/>
      <c r="DN58" s="13"/>
      <c r="DX58" s="45"/>
      <c r="DY58" s="45"/>
      <c r="DZ58" s="45"/>
      <c r="EE58" s="2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</row>
    <row r="59" spans="6:219" x14ac:dyDescent="0.35">
      <c r="K59" s="150"/>
      <c r="P59" s="74"/>
      <c r="Q59" s="6"/>
      <c r="R59" s="6"/>
      <c r="S59" s="6"/>
      <c r="T59" s="74"/>
      <c r="U59" s="6"/>
      <c r="V59" s="6"/>
      <c r="W59" s="6"/>
      <c r="X59" s="147"/>
      <c r="Y59" s="6"/>
      <c r="Z59" s="6"/>
      <c r="AA59" s="6"/>
      <c r="AJ59" s="154"/>
      <c r="AV59" s="13"/>
      <c r="BO59" s="144">
        <v>1</v>
      </c>
      <c r="BP59" s="1038" t="s">
        <v>151</v>
      </c>
      <c r="BQ59" s="1036"/>
      <c r="BR59" s="1036"/>
      <c r="BS59" s="1036"/>
      <c r="BT59" s="1036"/>
      <c r="BU59" s="1036"/>
      <c r="BV59" s="1037"/>
      <c r="CO59" s="2"/>
      <c r="CW59" s="2"/>
      <c r="DC59" s="5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5"/>
      <c r="DO59" s="4"/>
      <c r="DP59" s="4"/>
      <c r="DQ59" s="4"/>
      <c r="DR59" s="4"/>
      <c r="DS59" s="4"/>
      <c r="DT59" s="4"/>
      <c r="DU59" s="4"/>
      <c r="DV59" s="4"/>
      <c r="DW59" s="4"/>
      <c r="DX59" s="79">
        <f>SUM(DJ60+DJ63+DE66+DE68+DE70+DE72+DO142+DE76+DE78+DE80+DE82+DO66+DO68+DO70+DO72+DO74+DO76+DO78+DO80+DO82)</f>
        <v>20</v>
      </c>
      <c r="DY59" s="45"/>
      <c r="DZ59" s="65"/>
      <c r="EA59" s="4"/>
      <c r="EB59" s="4"/>
      <c r="EC59" s="4"/>
      <c r="ED59" s="4"/>
      <c r="EE59" s="12"/>
      <c r="EF59" s="4"/>
      <c r="EG59" s="4"/>
      <c r="EH59" s="4"/>
      <c r="EI59" s="4"/>
      <c r="EJ59" s="4"/>
      <c r="EK59" s="210">
        <f>SUM(EB60+EB63+EB66+EB68+EB70+EB72+EB74+EB76+EB78+EB80+EB82+EB84+EB86+EB88+EB90+EB92)</f>
        <v>15.5</v>
      </c>
    </row>
    <row r="60" spans="6:219" x14ac:dyDescent="0.35">
      <c r="K60" s="150"/>
      <c r="Q60" s="148"/>
      <c r="R60" s="4"/>
      <c r="S60" s="4"/>
      <c r="T60" s="145"/>
      <c r="U60" s="146"/>
      <c r="V60" s="146"/>
      <c r="W60" s="146"/>
      <c r="X60" s="146"/>
      <c r="Y60" s="146"/>
      <c r="Z60" s="146"/>
      <c r="AA60" s="146"/>
      <c r="AB60" s="4"/>
      <c r="AC60" s="4"/>
      <c r="AD60" s="4"/>
      <c r="AE60" s="150"/>
      <c r="AJ60" s="154"/>
      <c r="AV60" s="13"/>
      <c r="BO60" s="1079" t="s">
        <v>152</v>
      </c>
      <c r="BP60" s="1080"/>
      <c r="BQ60" s="1080"/>
      <c r="BR60" s="1080"/>
      <c r="BS60" s="1080"/>
      <c r="BT60" s="1080"/>
      <c r="BU60" s="1080"/>
      <c r="BV60" s="1081"/>
      <c r="CO60" s="2"/>
      <c r="CW60" s="2"/>
      <c r="DC60" s="13"/>
      <c r="DJ60" s="211">
        <v>1</v>
      </c>
      <c r="DK60" s="1038" t="s">
        <v>153</v>
      </c>
      <c r="DL60" s="1036"/>
      <c r="DM60" s="1036"/>
      <c r="DN60" s="1036"/>
      <c r="DO60" s="1036"/>
      <c r="DP60" s="1036"/>
      <c r="DQ60" s="1037"/>
      <c r="DR60" s="78"/>
      <c r="DS60" s="78"/>
      <c r="DT60" s="78"/>
      <c r="DU60" s="6"/>
      <c r="DV60" s="6"/>
      <c r="DW60" s="6"/>
      <c r="DX60" s="16"/>
      <c r="DY60" s="6"/>
      <c r="DZ60" s="13"/>
      <c r="EA60" s="74"/>
      <c r="EB60" s="211">
        <v>0.5</v>
      </c>
      <c r="EC60" s="1038" t="s">
        <v>154</v>
      </c>
      <c r="ED60" s="1036"/>
      <c r="EE60" s="1036"/>
      <c r="EF60" s="1036"/>
      <c r="EG60" s="1036"/>
      <c r="EH60" s="1036"/>
      <c r="EI60" s="1037"/>
      <c r="EJ60" s="6"/>
      <c r="EK60" s="16"/>
      <c r="EL60" s="6"/>
      <c r="EO60" s="74"/>
      <c r="EP60" s="6"/>
      <c r="EQ60" s="6"/>
      <c r="ER60" s="6"/>
      <c r="ES60" s="6"/>
      <c r="ET60" s="6"/>
      <c r="EU60" s="6"/>
      <c r="EV60" s="6"/>
    </row>
    <row r="61" spans="6:219" x14ac:dyDescent="0.35">
      <c r="K61" s="150"/>
      <c r="M61" s="1049" t="s">
        <v>155</v>
      </c>
      <c r="N61" s="1050"/>
      <c r="O61" s="1050"/>
      <c r="P61" s="1050"/>
      <c r="Q61" s="1050"/>
      <c r="R61" s="1050"/>
      <c r="S61" s="1050"/>
      <c r="T61" s="1051"/>
      <c r="AA61" s="1052" t="s">
        <v>156</v>
      </c>
      <c r="AB61" s="1052"/>
      <c r="AC61" s="1052"/>
      <c r="AD61" s="1052"/>
      <c r="AE61" s="1052"/>
      <c r="AF61" s="1052"/>
      <c r="AG61" s="1052"/>
      <c r="AH61" s="1052"/>
      <c r="AJ61" s="154"/>
      <c r="AV61" s="13"/>
      <c r="BR61" s="2"/>
      <c r="CO61" s="2"/>
      <c r="CW61" s="2"/>
      <c r="DC61" s="13"/>
      <c r="DJ61" s="1053" t="s">
        <v>157</v>
      </c>
      <c r="DK61" s="1054"/>
      <c r="DL61" s="1054"/>
      <c r="DM61" s="1054"/>
      <c r="DN61" s="1054"/>
      <c r="DO61" s="1054"/>
      <c r="DP61" s="1054"/>
      <c r="DQ61" s="1055"/>
      <c r="DR61" s="78"/>
      <c r="DS61" s="78"/>
      <c r="DT61" s="78"/>
      <c r="DU61" s="45"/>
      <c r="DV61" s="45"/>
      <c r="DW61" s="45"/>
      <c r="DX61" s="62"/>
      <c r="DY61" s="45"/>
      <c r="DZ61" s="13"/>
      <c r="EA61" s="75"/>
      <c r="EB61" s="1053" t="s">
        <v>158</v>
      </c>
      <c r="EC61" s="1054"/>
      <c r="ED61" s="1054"/>
      <c r="EE61" s="1054"/>
      <c r="EF61" s="1054"/>
      <c r="EG61" s="1054"/>
      <c r="EH61" s="1054"/>
      <c r="EI61" s="1055"/>
      <c r="EJ61" s="76"/>
      <c r="EK61" s="90"/>
      <c r="EL61" s="76"/>
      <c r="EO61" s="75"/>
      <c r="EP61" s="76"/>
      <c r="EQ61" s="76"/>
      <c r="ER61" s="76"/>
      <c r="ES61" s="76"/>
      <c r="ET61" s="76"/>
      <c r="EU61" s="76"/>
      <c r="EV61" s="76"/>
    </row>
    <row r="62" spans="6:219" x14ac:dyDescent="0.35">
      <c r="F62" s="74"/>
      <c r="G62" s="6"/>
      <c r="H62" s="6"/>
      <c r="I62" s="6"/>
      <c r="J62" s="73"/>
      <c r="K62" s="157"/>
      <c r="L62" s="73"/>
      <c r="M62" s="152">
        <v>1</v>
      </c>
      <c r="N62" s="1039" t="s">
        <v>159</v>
      </c>
      <c r="O62" s="1040"/>
      <c r="P62" s="1040"/>
      <c r="Q62" s="1040"/>
      <c r="R62" s="1040"/>
      <c r="S62" s="1040"/>
      <c r="T62" s="1041"/>
      <c r="U62" s="73"/>
      <c r="V62" s="73"/>
      <c r="W62" s="73"/>
      <c r="X62" s="73"/>
      <c r="Y62" s="73"/>
      <c r="Z62" s="151"/>
      <c r="AA62" s="44">
        <v>1</v>
      </c>
      <c r="AB62" s="1060" t="s">
        <v>160</v>
      </c>
      <c r="AC62" s="1061"/>
      <c r="AD62" s="1061"/>
      <c r="AE62" s="1061"/>
      <c r="AF62" s="1061"/>
      <c r="AG62" s="1061"/>
      <c r="AH62" s="1062"/>
      <c r="AI62" s="73"/>
      <c r="AJ62" s="151"/>
      <c r="AK62" s="73"/>
      <c r="AV62" s="13"/>
      <c r="BA62" s="2"/>
      <c r="BB62" s="4"/>
      <c r="BC62" s="4"/>
      <c r="BD62" s="4"/>
      <c r="BE62" s="4"/>
      <c r="BF62" s="4"/>
      <c r="BG62" s="4"/>
      <c r="BH62" s="4"/>
      <c r="BI62" s="4"/>
      <c r="BJ62" s="4"/>
      <c r="BK62" s="12"/>
      <c r="BL62" s="4"/>
      <c r="BM62" s="4"/>
      <c r="BN62" s="4"/>
      <c r="BO62" s="4"/>
      <c r="BP62" s="4"/>
      <c r="BQ62" s="4"/>
      <c r="BR62" s="12"/>
      <c r="BS62" s="4"/>
      <c r="BT62" s="4"/>
      <c r="BU62" s="4"/>
      <c r="BV62" s="4"/>
      <c r="BW62" s="4"/>
      <c r="BX62" s="4"/>
      <c r="BY62" s="12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13"/>
      <c r="CO62" s="2"/>
      <c r="CW62" s="2"/>
      <c r="DC62" s="13"/>
      <c r="DM62" s="2"/>
      <c r="DR62" s="78"/>
      <c r="DS62" s="78"/>
      <c r="DT62" s="78"/>
      <c r="DX62" s="62"/>
      <c r="DY62" s="45"/>
      <c r="DZ62" s="13"/>
      <c r="EA62" s="75"/>
      <c r="EB62" s="75"/>
      <c r="EC62" s="76"/>
      <c r="ED62" s="76"/>
      <c r="EE62" s="164"/>
      <c r="EF62" s="76"/>
      <c r="EG62" s="76"/>
      <c r="EH62" s="76"/>
      <c r="EI62" s="76"/>
      <c r="EK62" s="2"/>
      <c r="EO62" s="75"/>
      <c r="EP62" s="76"/>
      <c r="EQ62" s="76"/>
      <c r="ER62" s="76"/>
      <c r="ES62" s="76"/>
      <c r="ET62" s="76"/>
      <c r="EU62" s="76"/>
      <c r="EV62" s="76"/>
      <c r="FS62" s="7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HA62" s="7"/>
      <c r="HB62" s="6"/>
      <c r="HC62" s="6"/>
      <c r="HD62" s="6"/>
      <c r="HE62" s="6"/>
      <c r="HF62" s="6"/>
      <c r="HG62" s="6"/>
      <c r="HH62" s="6"/>
      <c r="HI62" s="6"/>
      <c r="HJ62" s="6"/>
      <c r="HK62" s="6"/>
    </row>
    <row r="63" spans="6:219" ht="14.5" customHeight="1" x14ac:dyDescent="0.35">
      <c r="F63" s="75"/>
      <c r="G63" s="76"/>
      <c r="H63" s="76"/>
      <c r="I63" s="76"/>
      <c r="J63" s="6"/>
      <c r="K63" s="147"/>
      <c r="L63" s="6"/>
      <c r="M63" s="1042" t="s">
        <v>161</v>
      </c>
      <c r="N63" s="1043"/>
      <c r="O63" s="1043"/>
      <c r="P63" s="1043"/>
      <c r="Q63" s="1043"/>
      <c r="R63" s="1043"/>
      <c r="S63" s="1043"/>
      <c r="T63" s="1044"/>
      <c r="U63" s="6"/>
      <c r="V63" s="6"/>
      <c r="W63" s="6"/>
      <c r="X63" s="6"/>
      <c r="Y63" s="6"/>
      <c r="Z63" s="6"/>
      <c r="AA63" s="1042" t="s">
        <v>162</v>
      </c>
      <c r="AB63" s="1043"/>
      <c r="AC63" s="1043"/>
      <c r="AD63" s="1043"/>
      <c r="AE63" s="1043"/>
      <c r="AF63" s="1043"/>
      <c r="AG63" s="1043"/>
      <c r="AH63" s="1044"/>
      <c r="AI63" s="6"/>
      <c r="AJ63" s="160"/>
      <c r="AK63" s="6"/>
      <c r="AV63" s="13"/>
      <c r="AX63" s="1049" t="s">
        <v>163</v>
      </c>
      <c r="AY63" s="1050"/>
      <c r="AZ63" s="1050"/>
      <c r="BA63" s="1050"/>
      <c r="BB63" s="1050"/>
      <c r="BC63" s="1050"/>
      <c r="BD63" s="1050"/>
      <c r="BE63" s="1051"/>
      <c r="BH63" s="1052" t="s">
        <v>164</v>
      </c>
      <c r="BI63" s="1052"/>
      <c r="BJ63" s="1052"/>
      <c r="BK63" s="1052"/>
      <c r="BL63" s="1052"/>
      <c r="BM63" s="1052"/>
      <c r="BN63" s="1052"/>
      <c r="BO63" s="1052"/>
      <c r="BR63" s="2"/>
      <c r="BV63" s="1049" t="s">
        <v>165</v>
      </c>
      <c r="BW63" s="1050"/>
      <c r="BX63" s="1050"/>
      <c r="BY63" s="1050"/>
      <c r="BZ63" s="1050"/>
      <c r="CA63" s="1050"/>
      <c r="CB63" s="1050"/>
      <c r="CC63" s="1051"/>
      <c r="CF63" s="1164" t="s">
        <v>166</v>
      </c>
      <c r="CG63" s="1165"/>
      <c r="CH63" s="1165"/>
      <c r="CI63" s="1165"/>
      <c r="CJ63" s="1165"/>
      <c r="CK63" s="1165"/>
      <c r="CL63" s="1165"/>
      <c r="CM63" s="1166"/>
      <c r="CO63" s="2"/>
      <c r="CW63" s="2"/>
      <c r="DC63" s="13"/>
      <c r="DJ63" s="237">
        <v>1</v>
      </c>
      <c r="DK63" s="1038" t="s">
        <v>167</v>
      </c>
      <c r="DL63" s="1036"/>
      <c r="DM63" s="1036"/>
      <c r="DN63" s="1036"/>
      <c r="DO63" s="1036"/>
      <c r="DP63" s="1036"/>
      <c r="DQ63" s="1037"/>
      <c r="DR63" s="78"/>
      <c r="DS63" s="78"/>
      <c r="DT63" s="78"/>
      <c r="DX63" s="62"/>
      <c r="DY63" s="45"/>
      <c r="DZ63" s="13"/>
      <c r="EA63" s="74"/>
      <c r="EB63" s="236">
        <v>1</v>
      </c>
      <c r="EC63" s="1038" t="s">
        <v>168</v>
      </c>
      <c r="ED63" s="1036"/>
      <c r="EE63" s="1036"/>
      <c r="EF63" s="1036"/>
      <c r="EG63" s="1036"/>
      <c r="EH63" s="1036"/>
      <c r="EI63" s="1037"/>
      <c r="EJ63" s="6"/>
      <c r="EK63" s="16"/>
      <c r="EL63" s="6"/>
      <c r="EO63" s="74"/>
      <c r="EP63" s="6"/>
      <c r="EQ63" s="6"/>
      <c r="ER63" s="6"/>
      <c r="ES63" s="6"/>
      <c r="ET63" s="6"/>
      <c r="EU63" s="6"/>
      <c r="EV63" s="6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</row>
    <row r="64" spans="6:219" ht="14.5" customHeight="1" x14ac:dyDescent="0.35">
      <c r="F64" s="74"/>
      <c r="G64" s="6"/>
      <c r="H64" s="6"/>
      <c r="I64" s="6"/>
      <c r="J64" s="37"/>
      <c r="K64" s="158"/>
      <c r="L64" s="37"/>
      <c r="M64" s="1">
        <v>1</v>
      </c>
      <c r="N64" s="1029" t="s">
        <v>169</v>
      </c>
      <c r="O64" s="1030"/>
      <c r="P64" s="1030"/>
      <c r="Q64" s="1030"/>
      <c r="R64" s="1030"/>
      <c r="S64" s="1030"/>
      <c r="T64" s="1031"/>
      <c r="U64" s="37"/>
      <c r="V64" s="37"/>
      <c r="W64" s="37"/>
      <c r="X64" s="37"/>
      <c r="Y64" s="37"/>
      <c r="Z64" s="37"/>
      <c r="AA64" s="156">
        <v>1</v>
      </c>
      <c r="AB64" s="1029" t="s">
        <v>170</v>
      </c>
      <c r="AC64" s="1030"/>
      <c r="AD64" s="1030"/>
      <c r="AE64" s="1030"/>
      <c r="AF64" s="1030"/>
      <c r="AG64" s="1030"/>
      <c r="AH64" s="1031"/>
      <c r="AI64" s="37"/>
      <c r="AJ64" s="161"/>
      <c r="AK64" s="37"/>
      <c r="AV64" s="13"/>
      <c r="AX64" s="144">
        <v>1</v>
      </c>
      <c r="AY64" s="1038" t="s">
        <v>171</v>
      </c>
      <c r="AZ64" s="1036"/>
      <c r="BA64" s="1036"/>
      <c r="BB64" s="1036"/>
      <c r="BC64" s="1036"/>
      <c r="BD64" s="1036"/>
      <c r="BE64" s="1037"/>
      <c r="BH64" s="272">
        <v>1</v>
      </c>
      <c r="BI64" s="1163" t="s">
        <v>82</v>
      </c>
      <c r="BJ64" s="1163"/>
      <c r="BK64" s="1163"/>
      <c r="BL64" s="1163"/>
      <c r="BM64" s="1163"/>
      <c r="BN64" s="1163"/>
      <c r="BO64" s="1163"/>
      <c r="BR64" s="2"/>
      <c r="BV64" s="144">
        <v>1</v>
      </c>
      <c r="BW64" s="1038" t="s">
        <v>172</v>
      </c>
      <c r="BX64" s="1036"/>
      <c r="BY64" s="1036"/>
      <c r="BZ64" s="1036"/>
      <c r="CA64" s="1036"/>
      <c r="CB64" s="1036"/>
      <c r="CC64" s="1037"/>
      <c r="CF64" s="1">
        <v>0.5</v>
      </c>
      <c r="CG64" s="1029" t="s">
        <v>173</v>
      </c>
      <c r="CH64" s="1030"/>
      <c r="CI64" s="1030"/>
      <c r="CJ64" s="1030"/>
      <c r="CK64" s="1030"/>
      <c r="CL64" s="1030"/>
      <c r="CM64" s="1031"/>
      <c r="CO64" s="2"/>
      <c r="CW64" s="2"/>
      <c r="DC64" s="13"/>
      <c r="DI64" s="5"/>
      <c r="DJ64" s="1053" t="s">
        <v>174</v>
      </c>
      <c r="DK64" s="1054"/>
      <c r="DL64" s="1054"/>
      <c r="DM64" s="1054"/>
      <c r="DN64" s="1054"/>
      <c r="DO64" s="1054"/>
      <c r="DP64" s="1054"/>
      <c r="DQ64" s="1055"/>
      <c r="DR64" s="81"/>
      <c r="DS64" s="82"/>
      <c r="DT64" s="78"/>
      <c r="DX64" s="62"/>
      <c r="DY64" s="45"/>
      <c r="DZ64" s="13"/>
      <c r="EA64" s="75"/>
      <c r="EB64" s="1053" t="s">
        <v>175</v>
      </c>
      <c r="EC64" s="1054"/>
      <c r="ED64" s="1054"/>
      <c r="EE64" s="1054"/>
      <c r="EF64" s="1054"/>
      <c r="EG64" s="1054"/>
      <c r="EH64" s="1054"/>
      <c r="EI64" s="1055"/>
      <c r="EJ64" s="76"/>
      <c r="EK64" s="90"/>
      <c r="EL64" s="76"/>
      <c r="EO64" s="75"/>
      <c r="EP64" s="76"/>
      <c r="EQ64" s="76"/>
      <c r="ER64" s="76"/>
      <c r="ES64" s="76"/>
      <c r="ET64" s="76"/>
      <c r="EU64" s="76"/>
      <c r="EV64" s="76"/>
    </row>
    <row r="65" spans="6:220" ht="14.5" customHeight="1" x14ac:dyDescent="0.35">
      <c r="F65" s="75"/>
      <c r="G65" s="76"/>
      <c r="H65" s="76"/>
      <c r="I65" s="76"/>
      <c r="J65" s="6"/>
      <c r="K65" s="147"/>
      <c r="L65" s="6"/>
      <c r="M65" s="1045" t="s">
        <v>131</v>
      </c>
      <c r="N65" s="1046"/>
      <c r="O65" s="1046"/>
      <c r="P65" s="1046"/>
      <c r="Q65" s="1046"/>
      <c r="R65" s="1046"/>
      <c r="S65" s="1046"/>
      <c r="T65" s="1047"/>
      <c r="U65" s="6"/>
      <c r="V65" s="6"/>
      <c r="W65" s="6"/>
      <c r="X65" s="6"/>
      <c r="Y65" s="6"/>
      <c r="Z65" s="6"/>
      <c r="AA65" s="1026" t="s">
        <v>176</v>
      </c>
      <c r="AB65" s="1027"/>
      <c r="AC65" s="1027"/>
      <c r="AD65" s="1027"/>
      <c r="AE65" s="1027"/>
      <c r="AF65" s="1027"/>
      <c r="AG65" s="1027"/>
      <c r="AH65" s="1028"/>
      <c r="AI65" s="6"/>
      <c r="AJ65" s="160"/>
      <c r="AK65" s="6"/>
      <c r="AV65" s="13"/>
      <c r="AX65" s="1073" t="s">
        <v>177</v>
      </c>
      <c r="AY65" s="1074"/>
      <c r="AZ65" s="1074"/>
      <c r="BA65" s="1074"/>
      <c r="BB65" s="1074"/>
      <c r="BC65" s="1074"/>
      <c r="BD65" s="1074"/>
      <c r="BE65" s="1075"/>
      <c r="BH65" s="1048" t="s">
        <v>178</v>
      </c>
      <c r="BI65" s="1048"/>
      <c r="BJ65" s="1048"/>
      <c r="BK65" s="1048"/>
      <c r="BL65" s="1048"/>
      <c r="BM65" s="1048"/>
      <c r="BN65" s="1048"/>
      <c r="BO65" s="1048"/>
      <c r="BR65" s="2"/>
      <c r="BV65" s="1076" t="s">
        <v>179</v>
      </c>
      <c r="BW65" s="1077"/>
      <c r="BX65" s="1077"/>
      <c r="BY65" s="1077"/>
      <c r="BZ65" s="1077"/>
      <c r="CA65" s="1077"/>
      <c r="CB65" s="1077"/>
      <c r="CC65" s="1078"/>
      <c r="CF65" s="1042" t="s">
        <v>180</v>
      </c>
      <c r="CG65" s="1043"/>
      <c r="CH65" s="1043"/>
      <c r="CI65" s="1043"/>
      <c r="CJ65" s="1043"/>
      <c r="CK65" s="1043"/>
      <c r="CL65" s="1043"/>
      <c r="CM65" s="1044"/>
      <c r="CO65" s="2"/>
      <c r="CW65" s="2"/>
      <c r="DC65" s="13"/>
      <c r="DI65" s="13"/>
      <c r="DK65" s="7"/>
      <c r="DL65" s="7"/>
      <c r="DM65" s="6"/>
      <c r="DN65" s="6"/>
      <c r="DO65" s="6"/>
      <c r="DP65" s="6"/>
      <c r="DQ65" s="6"/>
      <c r="DR65" s="6"/>
      <c r="DS65" s="16"/>
      <c r="DT65" s="6"/>
      <c r="DU65" s="6"/>
      <c r="DV65" s="6"/>
      <c r="DW65" s="6"/>
      <c r="DX65" s="16"/>
      <c r="DY65" s="6"/>
      <c r="DZ65" s="13"/>
      <c r="EA65" s="75"/>
      <c r="EB65" s="75"/>
      <c r="EC65" s="76"/>
      <c r="ED65" s="76"/>
      <c r="EE65" s="164"/>
      <c r="EF65" s="76"/>
      <c r="EG65" s="76"/>
      <c r="EH65" s="76"/>
      <c r="EI65" s="76"/>
      <c r="EK65" s="2"/>
      <c r="EO65" s="75"/>
      <c r="EP65" s="76"/>
      <c r="EQ65" s="76"/>
      <c r="ER65" s="76"/>
      <c r="ES65" s="76"/>
      <c r="ET65" s="76"/>
      <c r="EU65" s="76"/>
      <c r="EV65" s="76"/>
      <c r="FS65" s="7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7"/>
      <c r="GE65" s="7"/>
      <c r="GF65" s="6"/>
      <c r="HA65" s="7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</row>
    <row r="66" spans="6:220" x14ac:dyDescent="0.35">
      <c r="F66" s="74"/>
      <c r="G66" s="6"/>
      <c r="H66" s="6"/>
      <c r="I66" s="6"/>
      <c r="J66" s="35"/>
      <c r="K66" s="159"/>
      <c r="L66" s="35"/>
      <c r="M66" s="1">
        <v>1</v>
      </c>
      <c r="N66" s="1029" t="s">
        <v>181</v>
      </c>
      <c r="O66" s="1030"/>
      <c r="P66" s="1030"/>
      <c r="Q66" s="1030"/>
      <c r="R66" s="1030"/>
      <c r="S66" s="1030"/>
      <c r="T66" s="1031"/>
      <c r="U66" s="76"/>
      <c r="V66" s="76"/>
      <c r="W66" s="76"/>
      <c r="X66" s="76"/>
      <c r="Y66" s="76"/>
      <c r="Z66" s="76"/>
      <c r="AA66" s="156">
        <v>1</v>
      </c>
      <c r="AB66" s="1029" t="s">
        <v>170</v>
      </c>
      <c r="AC66" s="1030"/>
      <c r="AD66" s="1030"/>
      <c r="AE66" s="1030"/>
      <c r="AF66" s="1030"/>
      <c r="AG66" s="1030"/>
      <c r="AH66" s="1031"/>
      <c r="AI66" s="37"/>
      <c r="AJ66" s="161"/>
      <c r="AK66" s="37"/>
      <c r="AV66" s="13"/>
      <c r="AX66" s="144">
        <v>1</v>
      </c>
      <c r="AY66" s="1038" t="s">
        <v>171</v>
      </c>
      <c r="AZ66" s="1036"/>
      <c r="BA66" s="1036"/>
      <c r="BB66" s="1036"/>
      <c r="BC66" s="1036"/>
      <c r="BD66" s="1036"/>
      <c r="BE66" s="1037"/>
      <c r="BH66" s="144">
        <v>1</v>
      </c>
      <c r="BI66" s="1056" t="s">
        <v>182</v>
      </c>
      <c r="BJ66" s="1056"/>
      <c r="BK66" s="1056"/>
      <c r="BL66" s="1056"/>
      <c r="BM66" s="1056"/>
      <c r="BN66" s="1056"/>
      <c r="BO66" s="1056"/>
      <c r="BR66" s="2"/>
      <c r="BV66" s="144">
        <v>1</v>
      </c>
      <c r="BW66" s="1038" t="s">
        <v>172</v>
      </c>
      <c r="BX66" s="1036"/>
      <c r="BY66" s="1036"/>
      <c r="BZ66" s="1036"/>
      <c r="CA66" s="1036"/>
      <c r="CB66" s="1036"/>
      <c r="CC66" s="1037"/>
      <c r="CF66" s="7"/>
      <c r="CG66" s="6"/>
      <c r="CH66" s="6"/>
      <c r="CI66" s="6"/>
      <c r="CJ66" s="6"/>
      <c r="CK66" s="6"/>
      <c r="CL66" s="6"/>
      <c r="CM66" s="6"/>
      <c r="CO66" s="2"/>
      <c r="CW66" s="2"/>
      <c r="DC66" s="13"/>
      <c r="DE66" s="211">
        <v>1</v>
      </c>
      <c r="DF66" s="1038" t="s">
        <v>183</v>
      </c>
      <c r="DG66" s="1036"/>
      <c r="DH66" s="1036"/>
      <c r="DI66" s="1036"/>
      <c r="DJ66" s="1036"/>
      <c r="DK66" s="1036"/>
      <c r="DL66" s="1037"/>
      <c r="DM66" s="74"/>
      <c r="DN66" s="6"/>
      <c r="DO66" s="211">
        <v>1</v>
      </c>
      <c r="DP66" s="1038" t="s">
        <v>184</v>
      </c>
      <c r="DQ66" s="1036"/>
      <c r="DR66" s="1036"/>
      <c r="DS66" s="1036"/>
      <c r="DT66" s="1036"/>
      <c r="DU66" s="1036"/>
      <c r="DV66" s="1037"/>
      <c r="DW66" s="80"/>
      <c r="DX66" s="88"/>
      <c r="DY66" s="80"/>
      <c r="DZ66" s="13"/>
      <c r="EA66" s="74"/>
      <c r="EB66" s="236">
        <v>1</v>
      </c>
      <c r="EC66" s="1038" t="s">
        <v>185</v>
      </c>
      <c r="ED66" s="1036"/>
      <c r="EE66" s="1036"/>
      <c r="EF66" s="1036"/>
      <c r="EG66" s="1036"/>
      <c r="EH66" s="1036"/>
      <c r="EI66" s="1037"/>
      <c r="EJ66" s="74"/>
      <c r="EK66" s="16"/>
      <c r="EL66" s="6"/>
      <c r="EM66" s="6"/>
      <c r="EN66" s="6"/>
      <c r="EO66" s="74"/>
      <c r="EP66" s="6"/>
      <c r="EQ66" s="6"/>
      <c r="ER66" s="6"/>
      <c r="ES66" s="6"/>
      <c r="ET66" s="6"/>
      <c r="EU66" s="6"/>
      <c r="EV66" s="6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6"/>
      <c r="GE66" s="36"/>
      <c r="GF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5"/>
    </row>
    <row r="67" spans="6:220" ht="14.5" customHeight="1" x14ac:dyDescent="0.35">
      <c r="F67" s="75"/>
      <c r="G67" s="76"/>
      <c r="H67" s="76"/>
      <c r="I67" s="76"/>
      <c r="J67" s="6"/>
      <c r="K67" s="147"/>
      <c r="L67" s="6"/>
      <c r="M67" s="1042" t="s">
        <v>186</v>
      </c>
      <c r="N67" s="1043"/>
      <c r="O67" s="1043"/>
      <c r="P67" s="1043"/>
      <c r="Q67" s="1043"/>
      <c r="R67" s="1043"/>
      <c r="S67" s="1043"/>
      <c r="T67" s="1044"/>
      <c r="U67" s="6"/>
      <c r="V67" s="6"/>
      <c r="W67" s="6"/>
      <c r="X67" s="6"/>
      <c r="Y67" s="6"/>
      <c r="Z67" s="6"/>
      <c r="AA67" s="1026" t="s">
        <v>187</v>
      </c>
      <c r="AB67" s="1027"/>
      <c r="AC67" s="1027"/>
      <c r="AD67" s="1027"/>
      <c r="AE67" s="1027"/>
      <c r="AF67" s="1027"/>
      <c r="AG67" s="1027"/>
      <c r="AH67" s="1028"/>
      <c r="AJ67" s="154"/>
      <c r="AV67" s="13"/>
      <c r="AX67" s="1076" t="s">
        <v>188</v>
      </c>
      <c r="AY67" s="1077"/>
      <c r="AZ67" s="1077"/>
      <c r="BA67" s="1077"/>
      <c r="BB67" s="1077"/>
      <c r="BC67" s="1077"/>
      <c r="BD67" s="1077"/>
      <c r="BE67" s="1078"/>
      <c r="BH67" s="1048" t="s">
        <v>189</v>
      </c>
      <c r="BI67" s="1048"/>
      <c r="BJ67" s="1048"/>
      <c r="BK67" s="1048"/>
      <c r="BL67" s="1048"/>
      <c r="BM67" s="1048"/>
      <c r="BN67" s="1048"/>
      <c r="BO67" s="1048"/>
      <c r="BR67" s="2"/>
      <c r="BV67" s="1076" t="s">
        <v>190</v>
      </c>
      <c r="BW67" s="1077"/>
      <c r="BX67" s="1077"/>
      <c r="BY67" s="1077"/>
      <c r="BZ67" s="1077"/>
      <c r="CA67" s="1077"/>
      <c r="CB67" s="1077"/>
      <c r="CC67" s="1078"/>
      <c r="CF67" s="35"/>
      <c r="CG67" s="35"/>
      <c r="CH67" s="35"/>
      <c r="CI67" s="35"/>
      <c r="CJ67" s="35"/>
      <c r="CK67" s="35"/>
      <c r="CL67" s="35"/>
      <c r="CM67" s="35"/>
      <c r="CO67" s="2"/>
      <c r="CW67" s="2"/>
      <c r="DC67" s="13"/>
      <c r="DE67" s="1053" t="s">
        <v>191</v>
      </c>
      <c r="DF67" s="1054"/>
      <c r="DG67" s="1054"/>
      <c r="DH67" s="1054"/>
      <c r="DI67" s="1054"/>
      <c r="DJ67" s="1054"/>
      <c r="DK67" s="1054"/>
      <c r="DL67" s="1055"/>
      <c r="DM67" s="75"/>
      <c r="DN67" s="76"/>
      <c r="DO67" s="1053" t="s">
        <v>192</v>
      </c>
      <c r="DP67" s="1054"/>
      <c r="DQ67" s="1054"/>
      <c r="DR67" s="1054"/>
      <c r="DS67" s="1054"/>
      <c r="DT67" s="1054"/>
      <c r="DU67" s="1054"/>
      <c r="DV67" s="1055"/>
      <c r="DX67" s="67"/>
      <c r="DY67" s="52"/>
      <c r="DZ67" s="13"/>
      <c r="EA67" s="75"/>
      <c r="EB67" s="1135" t="s">
        <v>131</v>
      </c>
      <c r="EC67" s="1136"/>
      <c r="ED67" s="1136"/>
      <c r="EE67" s="1136"/>
      <c r="EF67" s="1136"/>
      <c r="EG67" s="1136"/>
      <c r="EH67" s="1136"/>
      <c r="EI67" s="1137"/>
      <c r="EJ67" s="75"/>
      <c r="EK67" s="90"/>
      <c r="EL67" s="76"/>
      <c r="EM67" s="76"/>
      <c r="EN67" s="76"/>
      <c r="EO67" s="75"/>
      <c r="EP67" s="76"/>
      <c r="EQ67" s="76"/>
      <c r="ER67" s="76"/>
      <c r="ES67" s="76"/>
      <c r="ET67" s="76"/>
      <c r="EU67" s="76"/>
      <c r="EV67" s="76"/>
    </row>
    <row r="68" spans="6:220" ht="14.5" customHeight="1" x14ac:dyDescent="0.35">
      <c r="J68" s="37"/>
      <c r="K68" s="158"/>
      <c r="L68" s="37"/>
      <c r="M68" s="1">
        <v>1</v>
      </c>
      <c r="N68" s="1029" t="s">
        <v>193</v>
      </c>
      <c r="O68" s="1030"/>
      <c r="P68" s="1030"/>
      <c r="Q68" s="1030"/>
      <c r="R68" s="1030"/>
      <c r="S68" s="1030"/>
      <c r="T68" s="1031"/>
      <c r="U68" s="76"/>
      <c r="V68" s="76"/>
      <c r="W68" s="76"/>
      <c r="X68" s="76"/>
      <c r="Y68" s="76"/>
      <c r="Z68" s="76"/>
      <c r="AA68" s="156">
        <v>1</v>
      </c>
      <c r="AB68" s="1029" t="s">
        <v>194</v>
      </c>
      <c r="AC68" s="1030"/>
      <c r="AD68" s="1030"/>
      <c r="AE68" s="1030"/>
      <c r="AF68" s="1030"/>
      <c r="AG68" s="1030"/>
      <c r="AH68" s="1031"/>
      <c r="AJ68" s="154"/>
      <c r="AV68" s="13"/>
      <c r="BH68" s="236">
        <v>1</v>
      </c>
      <c r="BI68" s="1056" t="s">
        <v>73</v>
      </c>
      <c r="BJ68" s="1056"/>
      <c r="BK68" s="1056"/>
      <c r="BL68" s="1056"/>
      <c r="BM68" s="1056"/>
      <c r="BN68" s="1056"/>
      <c r="BO68" s="1056"/>
      <c r="BR68" s="2"/>
      <c r="BV68" s="1171"/>
      <c r="BW68" s="1171"/>
      <c r="BX68" s="1171"/>
      <c r="BY68" s="1171"/>
      <c r="BZ68" s="1171"/>
      <c r="CA68" s="1171"/>
      <c r="CB68" s="1171"/>
      <c r="CC68" s="1171"/>
      <c r="CF68" s="7"/>
      <c r="CG68" s="6"/>
      <c r="CH68" s="6"/>
      <c r="CI68" s="6"/>
      <c r="CJ68" s="6"/>
      <c r="CK68" s="6"/>
      <c r="CL68" s="6"/>
      <c r="CM68" s="6"/>
      <c r="CO68" s="2"/>
      <c r="CW68" s="2"/>
      <c r="DC68" s="13"/>
      <c r="DE68" s="211">
        <v>1</v>
      </c>
      <c r="DF68" s="1038" t="s">
        <v>195</v>
      </c>
      <c r="DG68" s="1036"/>
      <c r="DH68" s="1036"/>
      <c r="DI68" s="1036"/>
      <c r="DJ68" s="1036"/>
      <c r="DK68" s="1036"/>
      <c r="DL68" s="1037"/>
      <c r="DM68" s="74"/>
      <c r="DN68" s="6"/>
      <c r="DO68" s="211">
        <v>1</v>
      </c>
      <c r="DP68" s="1038" t="s">
        <v>184</v>
      </c>
      <c r="DQ68" s="1036"/>
      <c r="DR68" s="1036"/>
      <c r="DS68" s="1036"/>
      <c r="DT68" s="1036"/>
      <c r="DU68" s="1036"/>
      <c r="DV68" s="1037"/>
      <c r="DX68" s="67"/>
      <c r="DY68" s="52"/>
      <c r="DZ68" s="13"/>
      <c r="EA68" s="74"/>
      <c r="EB68" s="236">
        <v>1</v>
      </c>
      <c r="EC68" s="1038" t="s">
        <v>185</v>
      </c>
      <c r="ED68" s="1036"/>
      <c r="EE68" s="1036"/>
      <c r="EF68" s="1036"/>
      <c r="EG68" s="1036"/>
      <c r="EH68" s="1036"/>
      <c r="EI68" s="1037"/>
      <c r="EK68" s="2"/>
      <c r="EO68" s="74"/>
      <c r="EP68" s="6"/>
      <c r="EQ68" s="6"/>
      <c r="ER68" s="6"/>
      <c r="ES68" s="6"/>
      <c r="ET68" s="6"/>
      <c r="EU68" s="6"/>
      <c r="EV68" s="6"/>
      <c r="FS68" s="7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7"/>
      <c r="GE68" s="7"/>
      <c r="HA68" s="7"/>
      <c r="HB68" s="6"/>
      <c r="HC68" s="6"/>
      <c r="HD68" s="6"/>
      <c r="HE68" s="6"/>
      <c r="HF68" s="6"/>
      <c r="HG68" s="6"/>
      <c r="HH68" s="6"/>
      <c r="HI68" s="6"/>
      <c r="HJ68" s="6"/>
      <c r="HK68" s="6"/>
    </row>
    <row r="69" spans="6:220" x14ac:dyDescent="0.35">
      <c r="J69" s="6"/>
      <c r="K69" s="147"/>
      <c r="L69" s="6"/>
      <c r="M69" s="1042" t="s">
        <v>196</v>
      </c>
      <c r="N69" s="1043"/>
      <c r="O69" s="1043"/>
      <c r="P69" s="1043"/>
      <c r="Q69" s="1043"/>
      <c r="R69" s="1043"/>
      <c r="S69" s="1043"/>
      <c r="T69" s="1044"/>
      <c r="U69" s="6"/>
      <c r="V69" s="6"/>
      <c r="W69" s="6"/>
      <c r="X69" s="6"/>
      <c r="Y69" s="6"/>
      <c r="Z69" s="6"/>
      <c r="AA69" s="1026" t="s">
        <v>197</v>
      </c>
      <c r="AB69" s="1027"/>
      <c r="AC69" s="1027"/>
      <c r="AD69" s="1027"/>
      <c r="AE69" s="1027"/>
      <c r="AF69" s="1027"/>
      <c r="AG69" s="1027"/>
      <c r="AH69" s="1028"/>
      <c r="AJ69" s="154"/>
      <c r="AV69" s="13"/>
      <c r="BH69" s="1048" t="s">
        <v>198</v>
      </c>
      <c r="BI69" s="1048"/>
      <c r="BJ69" s="1048"/>
      <c r="BK69" s="1048"/>
      <c r="BL69" s="1048"/>
      <c r="BM69" s="1048"/>
      <c r="BN69" s="1048"/>
      <c r="BO69" s="1048"/>
      <c r="BR69" s="2"/>
      <c r="CF69" s="35"/>
      <c r="CG69" s="35"/>
      <c r="CH69" s="35"/>
      <c r="CI69" s="35"/>
      <c r="CJ69" s="35"/>
      <c r="CK69" s="35"/>
      <c r="CL69" s="35"/>
      <c r="CM69" s="35"/>
      <c r="CO69" s="2"/>
      <c r="CW69" s="2"/>
      <c r="DC69" s="13"/>
      <c r="DE69" s="1123" t="s">
        <v>199</v>
      </c>
      <c r="DF69" s="1124"/>
      <c r="DG69" s="1124"/>
      <c r="DH69" s="1124"/>
      <c r="DI69" s="1124"/>
      <c r="DJ69" s="1124"/>
      <c r="DK69" s="1124"/>
      <c r="DL69" s="1125"/>
      <c r="DM69" s="75"/>
      <c r="DN69" s="76"/>
      <c r="DO69" s="1053" t="s">
        <v>200</v>
      </c>
      <c r="DP69" s="1054"/>
      <c r="DQ69" s="1054"/>
      <c r="DR69" s="1054"/>
      <c r="DS69" s="1054"/>
      <c r="DT69" s="1054"/>
      <c r="DU69" s="1054"/>
      <c r="DV69" s="1055"/>
      <c r="DX69" s="67"/>
      <c r="DY69" s="52"/>
      <c r="DZ69" s="13"/>
      <c r="EA69" s="75"/>
      <c r="EB69" s="1053" t="s">
        <v>201</v>
      </c>
      <c r="EC69" s="1054"/>
      <c r="ED69" s="1054"/>
      <c r="EE69" s="1054"/>
      <c r="EF69" s="1054"/>
      <c r="EG69" s="1054"/>
      <c r="EH69" s="1054"/>
      <c r="EI69" s="1055"/>
      <c r="EK69" s="2"/>
      <c r="EO69" s="75"/>
      <c r="EP69" s="76"/>
      <c r="EQ69" s="76"/>
      <c r="ER69" s="76"/>
      <c r="ES69" s="76"/>
      <c r="ET69" s="76"/>
      <c r="EU69" s="76"/>
      <c r="EV69" s="76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6"/>
      <c r="GE69" s="36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</row>
    <row r="70" spans="6:220" x14ac:dyDescent="0.35">
      <c r="J70" s="37"/>
      <c r="K70" s="158"/>
      <c r="L70" s="37"/>
      <c r="M70" s="37"/>
      <c r="N70" s="37"/>
      <c r="O70" s="37"/>
      <c r="P70" s="37"/>
      <c r="Q70" s="37"/>
      <c r="R70" s="76"/>
      <c r="S70" s="76"/>
      <c r="T70" s="75"/>
      <c r="U70" s="76"/>
      <c r="V70" s="76"/>
      <c r="W70" s="76"/>
      <c r="X70" s="76"/>
      <c r="Y70" s="76"/>
      <c r="Z70" s="76"/>
      <c r="AA70" s="156">
        <v>1</v>
      </c>
      <c r="AB70" s="1029" t="s">
        <v>194</v>
      </c>
      <c r="AC70" s="1030"/>
      <c r="AD70" s="1030"/>
      <c r="AE70" s="1030"/>
      <c r="AF70" s="1030"/>
      <c r="AG70" s="1030"/>
      <c r="AH70" s="1031"/>
      <c r="AJ70" s="154"/>
      <c r="AV70" s="13"/>
      <c r="BR70" s="2"/>
      <c r="CO70" s="2"/>
      <c r="CW70" s="2"/>
      <c r="DC70" s="13"/>
      <c r="DE70" s="211">
        <v>1</v>
      </c>
      <c r="DF70" s="1038" t="s">
        <v>195</v>
      </c>
      <c r="DG70" s="1036"/>
      <c r="DH70" s="1036"/>
      <c r="DI70" s="1036"/>
      <c r="DJ70" s="1036"/>
      <c r="DK70" s="1036"/>
      <c r="DL70" s="1037"/>
      <c r="DM70" s="74"/>
      <c r="DN70" s="6"/>
      <c r="DO70" s="211">
        <v>1</v>
      </c>
      <c r="DP70" s="1038" t="s">
        <v>184</v>
      </c>
      <c r="DQ70" s="1036"/>
      <c r="DR70" s="1036"/>
      <c r="DS70" s="1036"/>
      <c r="DT70" s="1036"/>
      <c r="DU70" s="1036"/>
      <c r="DV70" s="1037"/>
      <c r="DX70" s="67"/>
      <c r="DY70" s="52"/>
      <c r="DZ70" s="13"/>
      <c r="EA70" s="74"/>
      <c r="EB70" s="236">
        <v>1</v>
      </c>
      <c r="EC70" s="1038" t="s">
        <v>185</v>
      </c>
      <c r="ED70" s="1036"/>
      <c r="EE70" s="1036"/>
      <c r="EF70" s="1036"/>
      <c r="EG70" s="1036"/>
      <c r="EH70" s="1036"/>
      <c r="EI70" s="1037"/>
      <c r="EK70" s="2"/>
      <c r="EN70" s="75"/>
      <c r="EO70" s="78"/>
      <c r="EP70" s="6"/>
      <c r="EQ70" s="6"/>
      <c r="ER70" s="6"/>
      <c r="ES70" s="6"/>
      <c r="ET70" s="6"/>
      <c r="EU70" s="6"/>
      <c r="EV70" s="6"/>
      <c r="EW70" s="76"/>
      <c r="FS70" s="7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HA70" s="7"/>
      <c r="HB70" s="6"/>
      <c r="HC70" s="6"/>
      <c r="HD70" s="6"/>
      <c r="HE70" s="6"/>
      <c r="HF70" s="6"/>
      <c r="HG70" s="6"/>
      <c r="HH70" s="6"/>
      <c r="HI70" s="6"/>
      <c r="HJ70" s="6"/>
      <c r="HK70" s="6"/>
    </row>
    <row r="71" spans="6:220" ht="14.5" customHeight="1" x14ac:dyDescent="0.35">
      <c r="K71" s="150"/>
      <c r="P71" s="74"/>
      <c r="Q71" s="6"/>
      <c r="R71" s="6"/>
      <c r="S71" s="6"/>
      <c r="T71" s="78"/>
      <c r="U71" s="6"/>
      <c r="V71" s="6"/>
      <c r="W71" s="6"/>
      <c r="X71" s="6"/>
      <c r="Y71" s="6"/>
      <c r="Z71" s="6"/>
      <c r="AA71" s="1026" t="s">
        <v>202</v>
      </c>
      <c r="AB71" s="1027"/>
      <c r="AC71" s="1027"/>
      <c r="AD71" s="1027"/>
      <c r="AE71" s="1027"/>
      <c r="AF71" s="1027"/>
      <c r="AG71" s="1027"/>
      <c r="AH71" s="1028"/>
      <c r="AJ71" s="154"/>
      <c r="AV71" s="13"/>
      <c r="BR71" s="2"/>
      <c r="CO71" s="2"/>
      <c r="CW71" s="2"/>
      <c r="DC71" s="13"/>
      <c r="DE71" s="1053" t="s">
        <v>203</v>
      </c>
      <c r="DF71" s="1054"/>
      <c r="DG71" s="1054"/>
      <c r="DH71" s="1054"/>
      <c r="DI71" s="1054"/>
      <c r="DJ71" s="1054"/>
      <c r="DK71" s="1054"/>
      <c r="DL71" s="1055"/>
      <c r="DM71" s="75"/>
      <c r="DN71" s="76"/>
      <c r="DO71" s="1196" t="s">
        <v>204</v>
      </c>
      <c r="DP71" s="1197"/>
      <c r="DQ71" s="1197"/>
      <c r="DR71" s="1197"/>
      <c r="DS71" s="1197"/>
      <c r="DT71" s="1197"/>
      <c r="DU71" s="1197"/>
      <c r="DV71" s="1198"/>
      <c r="DX71" s="67"/>
      <c r="DY71" s="52"/>
      <c r="DZ71" s="13"/>
      <c r="EA71" s="75"/>
      <c r="EB71" s="1053" t="s">
        <v>205</v>
      </c>
      <c r="EC71" s="1054"/>
      <c r="ED71" s="1054"/>
      <c r="EE71" s="1054"/>
      <c r="EF71" s="1054"/>
      <c r="EG71" s="1054"/>
      <c r="EH71" s="1054"/>
      <c r="EI71" s="1055"/>
      <c r="EK71" s="2"/>
      <c r="EN71" s="75"/>
      <c r="EO71" s="75"/>
      <c r="EP71" s="76"/>
      <c r="EQ71" s="76"/>
      <c r="ER71" s="76"/>
      <c r="ES71" s="76"/>
      <c r="ET71" s="76"/>
      <c r="EU71" s="76"/>
      <c r="EV71" s="76"/>
      <c r="EW71" s="76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</row>
    <row r="72" spans="6:220" ht="14.5" customHeight="1" x14ac:dyDescent="0.35">
      <c r="K72" s="150"/>
      <c r="P72" s="75"/>
      <c r="Q72" s="76"/>
      <c r="R72" s="76"/>
      <c r="S72" s="76"/>
      <c r="T72" s="75"/>
      <c r="U72" s="76"/>
      <c r="V72" s="76"/>
      <c r="W72" s="76"/>
      <c r="X72" s="76"/>
      <c r="Y72" s="76"/>
      <c r="Z72" s="76"/>
      <c r="AA72" s="156">
        <v>1</v>
      </c>
      <c r="AB72" s="1029" t="s">
        <v>194</v>
      </c>
      <c r="AC72" s="1030"/>
      <c r="AD72" s="1030"/>
      <c r="AE72" s="1030"/>
      <c r="AF72" s="1030"/>
      <c r="AG72" s="1030"/>
      <c r="AH72" s="1031"/>
      <c r="AJ72" s="154"/>
      <c r="AV72" s="13"/>
      <c r="BS72" s="13"/>
      <c r="CO72" s="2"/>
      <c r="CW72" s="2"/>
      <c r="DC72" s="13"/>
      <c r="DE72" s="211">
        <v>1</v>
      </c>
      <c r="DF72" s="1038" t="s">
        <v>195</v>
      </c>
      <c r="DG72" s="1036"/>
      <c r="DH72" s="1036"/>
      <c r="DI72" s="1036"/>
      <c r="DJ72" s="1036"/>
      <c r="DK72" s="1036"/>
      <c r="DL72" s="1037"/>
      <c r="DM72" s="74"/>
      <c r="DN72" s="6"/>
      <c r="DO72" s="211">
        <v>1</v>
      </c>
      <c r="DP72" s="1038" t="s">
        <v>184</v>
      </c>
      <c r="DQ72" s="1036"/>
      <c r="DR72" s="1036"/>
      <c r="DS72" s="1036"/>
      <c r="DT72" s="1036"/>
      <c r="DU72" s="1036"/>
      <c r="DV72" s="1037"/>
      <c r="DW72" s="6"/>
      <c r="DX72" s="16"/>
      <c r="DY72" s="6"/>
      <c r="DZ72" s="13"/>
      <c r="EA72" s="74"/>
      <c r="EB72" s="236">
        <v>1</v>
      </c>
      <c r="EC72" s="1038" t="s">
        <v>206</v>
      </c>
      <c r="ED72" s="1036"/>
      <c r="EE72" s="1036"/>
      <c r="EF72" s="1036"/>
      <c r="EG72" s="1036"/>
      <c r="EH72" s="1036"/>
      <c r="EI72" s="1037"/>
      <c r="EK72" s="2"/>
      <c r="EO72" s="74"/>
      <c r="EP72" s="6"/>
      <c r="EQ72" s="6"/>
      <c r="ER72" s="6"/>
      <c r="ES72" s="6"/>
      <c r="ET72" s="6"/>
      <c r="EU72" s="6"/>
      <c r="EV72" s="6"/>
      <c r="FS72" s="7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HA72" s="7"/>
      <c r="HB72" s="6"/>
      <c r="HC72" s="6"/>
      <c r="HD72" s="6"/>
      <c r="HE72" s="6"/>
      <c r="HF72" s="6"/>
      <c r="HG72" s="6"/>
      <c r="HH72" s="6"/>
      <c r="HI72" s="6"/>
      <c r="HJ72" s="6"/>
      <c r="HK72" s="6"/>
    </row>
    <row r="73" spans="6:220" ht="14.5" customHeight="1" x14ac:dyDescent="0.35">
      <c r="K73" s="150"/>
      <c r="T73" s="78"/>
      <c r="U73" s="6"/>
      <c r="V73" s="6"/>
      <c r="W73" s="6"/>
      <c r="X73" s="6"/>
      <c r="Y73" s="6"/>
      <c r="Z73" s="6"/>
      <c r="AA73" s="1032" t="s">
        <v>131</v>
      </c>
      <c r="AB73" s="1033"/>
      <c r="AC73" s="1033"/>
      <c r="AD73" s="1033"/>
      <c r="AE73" s="1033"/>
      <c r="AF73" s="1033"/>
      <c r="AG73" s="1033"/>
      <c r="AH73" s="1034"/>
      <c r="AJ73" s="154"/>
      <c r="AV73" s="1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21"/>
      <c r="BS73" s="14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O73" s="2"/>
      <c r="CW73" s="2"/>
      <c r="DC73" s="13"/>
      <c r="DE73" s="1079" t="s">
        <v>207</v>
      </c>
      <c r="DF73" s="1080"/>
      <c r="DG73" s="1080"/>
      <c r="DH73" s="1080"/>
      <c r="DI73" s="1080"/>
      <c r="DJ73" s="1080"/>
      <c r="DK73" s="1080"/>
      <c r="DL73" s="1081"/>
      <c r="DM73" s="75"/>
      <c r="DN73" s="76"/>
      <c r="DO73" s="1053" t="s">
        <v>208</v>
      </c>
      <c r="DP73" s="1054"/>
      <c r="DQ73" s="1054"/>
      <c r="DR73" s="1054"/>
      <c r="DS73" s="1054"/>
      <c r="DT73" s="1054"/>
      <c r="DU73" s="1054"/>
      <c r="DV73" s="1055"/>
      <c r="DW73" s="6"/>
      <c r="DX73" s="16"/>
      <c r="DY73" s="6"/>
      <c r="DZ73" s="13"/>
      <c r="EA73" s="75"/>
      <c r="EB73" s="1193" t="s">
        <v>209</v>
      </c>
      <c r="EC73" s="1194"/>
      <c r="ED73" s="1194"/>
      <c r="EE73" s="1194"/>
      <c r="EF73" s="1194"/>
      <c r="EG73" s="1194"/>
      <c r="EH73" s="1194"/>
      <c r="EI73" s="1195"/>
      <c r="EK73" s="2"/>
      <c r="EO73" s="75"/>
      <c r="EP73" s="76"/>
      <c r="EQ73" s="76"/>
      <c r="ER73" s="76"/>
      <c r="ES73" s="76"/>
      <c r="ET73" s="76"/>
      <c r="EU73" s="76"/>
      <c r="EV73" s="76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</row>
    <row r="74" spans="6:220" ht="14.5" customHeight="1" x14ac:dyDescent="0.35">
      <c r="K74" s="150"/>
      <c r="T74" s="35"/>
      <c r="U74" s="35"/>
      <c r="V74" s="35"/>
      <c r="W74" s="35"/>
      <c r="X74" s="35"/>
      <c r="Y74" s="35"/>
      <c r="Z74" s="35"/>
      <c r="AA74" s="156">
        <v>1</v>
      </c>
      <c r="AB74" s="1035" t="s">
        <v>194</v>
      </c>
      <c r="AC74" s="1036"/>
      <c r="AD74" s="1036"/>
      <c r="AE74" s="1036"/>
      <c r="AF74" s="1036"/>
      <c r="AG74" s="1036"/>
      <c r="AH74" s="1037"/>
      <c r="AJ74" s="162"/>
      <c r="AK74" s="52"/>
      <c r="AL74" s="52"/>
      <c r="AM74" s="52"/>
      <c r="AV74" s="13"/>
      <c r="BB74" s="5"/>
      <c r="BH74" s="73"/>
      <c r="BI74" s="73"/>
      <c r="BJ74" s="73"/>
      <c r="BK74" s="73"/>
      <c r="BL74" s="206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206"/>
      <c r="CA74" s="73"/>
      <c r="CB74" s="73"/>
      <c r="CC74" s="73"/>
      <c r="CJ74" s="13"/>
      <c r="CO74" s="2"/>
      <c r="CW74" s="2"/>
      <c r="DC74" s="13"/>
      <c r="DE74" s="1876">
        <v>1</v>
      </c>
      <c r="DF74" s="1877" t="s">
        <v>195</v>
      </c>
      <c r="DG74" s="1878"/>
      <c r="DH74" s="1878"/>
      <c r="DI74" s="1878"/>
      <c r="DJ74" s="1878"/>
      <c r="DK74" s="1878"/>
      <c r="DL74" s="1879"/>
      <c r="DM74" s="74"/>
      <c r="DN74" s="6"/>
      <c r="DO74" s="211">
        <v>1</v>
      </c>
      <c r="DP74" s="1038" t="s">
        <v>184</v>
      </c>
      <c r="DQ74" s="1036"/>
      <c r="DR74" s="1036"/>
      <c r="DS74" s="1036"/>
      <c r="DT74" s="1036"/>
      <c r="DU74" s="1036"/>
      <c r="DV74" s="1037"/>
      <c r="DX74" s="67"/>
      <c r="DY74" s="52"/>
      <c r="DZ74" s="13"/>
      <c r="EA74" s="74"/>
      <c r="EB74" s="236">
        <v>1</v>
      </c>
      <c r="EC74" s="1038" t="s">
        <v>206</v>
      </c>
      <c r="ED74" s="1036"/>
      <c r="EE74" s="1036"/>
      <c r="EF74" s="1036"/>
      <c r="EG74" s="1036"/>
      <c r="EH74" s="1036"/>
      <c r="EI74" s="1037"/>
      <c r="EK74" s="2"/>
      <c r="EO74" s="74"/>
      <c r="EP74" s="6"/>
      <c r="EQ74" s="6"/>
      <c r="ER74" s="6"/>
      <c r="ES74" s="6"/>
      <c r="ET74" s="6"/>
      <c r="EU74" s="6"/>
      <c r="EV74" s="6"/>
      <c r="FS74" s="7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HA74" s="37"/>
      <c r="HB74" s="6"/>
      <c r="HC74" s="6"/>
      <c r="HD74" s="6"/>
      <c r="HE74" s="6"/>
      <c r="HF74" s="6"/>
      <c r="HG74" s="6"/>
      <c r="HH74" s="6"/>
      <c r="HI74" s="6"/>
      <c r="HJ74" s="6"/>
      <c r="HK74" s="6"/>
    </row>
    <row r="75" spans="6:220" ht="14.5" customHeight="1" x14ac:dyDescent="0.35">
      <c r="K75" s="150"/>
      <c r="T75" s="78"/>
      <c r="U75" s="6"/>
      <c r="V75" s="6"/>
      <c r="W75" s="6"/>
      <c r="X75" s="6"/>
      <c r="Y75" s="6"/>
      <c r="Z75" s="6"/>
      <c r="AA75" s="1067" t="s">
        <v>210</v>
      </c>
      <c r="AB75" s="1068"/>
      <c r="AC75" s="1068"/>
      <c r="AD75" s="1068"/>
      <c r="AE75" s="1068"/>
      <c r="AF75" s="1068"/>
      <c r="AG75" s="1068"/>
      <c r="AH75" s="1069"/>
      <c r="AJ75" s="154"/>
      <c r="AV75" s="13"/>
      <c r="AX75" s="1049" t="s">
        <v>211</v>
      </c>
      <c r="AY75" s="1050"/>
      <c r="AZ75" s="1050"/>
      <c r="BA75" s="1050"/>
      <c r="BB75" s="1050"/>
      <c r="BC75" s="1050"/>
      <c r="BD75" s="1050"/>
      <c r="BE75" s="1051"/>
      <c r="BH75" s="1049" t="s">
        <v>212</v>
      </c>
      <c r="BI75" s="1050"/>
      <c r="BJ75" s="1050"/>
      <c r="BK75" s="1050"/>
      <c r="BL75" s="1050"/>
      <c r="BM75" s="1050"/>
      <c r="BN75" s="1050"/>
      <c r="BO75" s="1051"/>
      <c r="BP75" s="73"/>
      <c r="BQ75" s="73"/>
      <c r="BR75" s="73"/>
      <c r="BS75" s="73"/>
      <c r="BT75" s="73"/>
      <c r="BU75" s="73"/>
      <c r="BV75" s="1049" t="s">
        <v>213</v>
      </c>
      <c r="BW75" s="1050"/>
      <c r="BX75" s="1050"/>
      <c r="BY75" s="1050"/>
      <c r="BZ75" s="1050"/>
      <c r="CA75" s="1050"/>
      <c r="CB75" s="1050"/>
      <c r="CC75" s="1051"/>
      <c r="CF75" s="1049" t="s">
        <v>214</v>
      </c>
      <c r="CG75" s="1050"/>
      <c r="CH75" s="1050"/>
      <c r="CI75" s="1050"/>
      <c r="CJ75" s="1050"/>
      <c r="CK75" s="1050"/>
      <c r="CL75" s="1050"/>
      <c r="CM75" s="1051"/>
      <c r="CO75" s="2"/>
      <c r="CW75" s="2"/>
      <c r="DC75" s="13"/>
      <c r="DE75" s="1073" t="s">
        <v>131</v>
      </c>
      <c r="DF75" s="1074"/>
      <c r="DG75" s="1074"/>
      <c r="DH75" s="1074"/>
      <c r="DI75" s="1074"/>
      <c r="DJ75" s="1074"/>
      <c r="DK75" s="1074"/>
      <c r="DL75" s="1075"/>
      <c r="DM75" s="75"/>
      <c r="DN75" s="76"/>
      <c r="DO75" s="1053" t="s">
        <v>216</v>
      </c>
      <c r="DP75" s="1054"/>
      <c r="DQ75" s="1054"/>
      <c r="DR75" s="1054"/>
      <c r="DS75" s="1054"/>
      <c r="DT75" s="1054"/>
      <c r="DU75" s="1054"/>
      <c r="DV75" s="1055"/>
      <c r="DX75" s="67"/>
      <c r="DY75" s="52"/>
      <c r="DZ75" s="13"/>
      <c r="EA75" s="75"/>
      <c r="EB75" s="1053" t="s">
        <v>217</v>
      </c>
      <c r="EC75" s="1054"/>
      <c r="ED75" s="1054"/>
      <c r="EE75" s="1054"/>
      <c r="EF75" s="1054"/>
      <c r="EG75" s="1054"/>
      <c r="EH75" s="1054"/>
      <c r="EI75" s="1055"/>
      <c r="EK75" s="2"/>
      <c r="EO75" s="75"/>
      <c r="EP75" s="76"/>
      <c r="EQ75" s="76"/>
      <c r="ER75" s="76"/>
      <c r="ES75" s="76"/>
      <c r="ET75" s="76"/>
      <c r="EU75" s="76"/>
      <c r="EV75" s="76"/>
      <c r="FG75" s="7"/>
      <c r="FH75" s="6"/>
      <c r="FI75" s="6"/>
      <c r="FJ75" s="6"/>
      <c r="FK75" s="6"/>
      <c r="FL75" s="6"/>
      <c r="FM75" s="6"/>
      <c r="FN75" s="6"/>
      <c r="FO75" s="6"/>
      <c r="FP75" s="6"/>
      <c r="FQ75" s="6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7"/>
      <c r="GE75" s="6"/>
      <c r="GF75" s="6"/>
      <c r="GG75" s="6"/>
      <c r="GH75" s="6"/>
      <c r="GI75" s="6"/>
      <c r="GJ75" s="6"/>
      <c r="GK75" s="6"/>
      <c r="GL75" s="6"/>
      <c r="GM75" s="6"/>
      <c r="GN75" s="6"/>
      <c r="HA75" s="7"/>
      <c r="HB75" s="6"/>
      <c r="HC75" s="6"/>
      <c r="HD75" s="6"/>
      <c r="HE75" s="6"/>
      <c r="HF75" s="6"/>
      <c r="HG75" s="6"/>
      <c r="HH75" s="6"/>
      <c r="HI75" s="6"/>
      <c r="HJ75" s="6"/>
      <c r="HK75" s="6"/>
    </row>
    <row r="76" spans="6:220" x14ac:dyDescent="0.35">
      <c r="K76" s="155"/>
      <c r="L76" s="149"/>
      <c r="M76" s="149"/>
      <c r="N76" s="149"/>
      <c r="O76" s="149"/>
      <c r="P76" s="149"/>
      <c r="Q76" s="149"/>
      <c r="R76" s="149"/>
      <c r="S76" s="149"/>
      <c r="T76" s="1068"/>
      <c r="U76" s="1068"/>
      <c r="V76" s="1068"/>
      <c r="W76" s="1068"/>
      <c r="X76" s="1068"/>
      <c r="Y76" s="1068"/>
      <c r="Z76" s="1068"/>
      <c r="AA76" s="1068"/>
      <c r="AB76" s="149"/>
      <c r="AC76" s="149"/>
      <c r="AD76" s="149"/>
      <c r="AE76" s="149"/>
      <c r="AJ76" s="162"/>
      <c r="AK76" s="52"/>
      <c r="AL76" s="52"/>
      <c r="AM76" s="52"/>
      <c r="AV76" s="13"/>
      <c r="AX76" s="144">
        <v>0.5</v>
      </c>
      <c r="AY76" s="1038" t="s">
        <v>218</v>
      </c>
      <c r="AZ76" s="1036"/>
      <c r="BA76" s="1036"/>
      <c r="BB76" s="1036"/>
      <c r="BC76" s="1036"/>
      <c r="BD76" s="1036"/>
      <c r="BE76" s="1037"/>
      <c r="BH76" s="144">
        <v>1</v>
      </c>
      <c r="BI76" s="1038" t="s">
        <v>172</v>
      </c>
      <c r="BJ76" s="1036"/>
      <c r="BK76" s="1036"/>
      <c r="BL76" s="1036"/>
      <c r="BM76" s="1036"/>
      <c r="BN76" s="1036"/>
      <c r="BO76" s="1037"/>
      <c r="BP76" s="73"/>
      <c r="BQ76" s="73"/>
      <c r="BR76" s="73"/>
      <c r="BS76" s="73"/>
      <c r="BT76" s="73"/>
      <c r="BU76" s="73"/>
      <c r="BV76" s="144">
        <v>1</v>
      </c>
      <c r="BW76" s="1056" t="s">
        <v>219</v>
      </c>
      <c r="BX76" s="1056"/>
      <c r="BY76" s="1056"/>
      <c r="BZ76" s="1056"/>
      <c r="CA76" s="1056"/>
      <c r="CB76" s="1056"/>
      <c r="CC76" s="1056"/>
      <c r="CF76" s="144">
        <v>1</v>
      </c>
      <c r="CG76" s="1038" t="s">
        <v>172</v>
      </c>
      <c r="CH76" s="1036"/>
      <c r="CI76" s="1036"/>
      <c r="CJ76" s="1036"/>
      <c r="CK76" s="1036"/>
      <c r="CL76" s="1036"/>
      <c r="CM76" s="1037"/>
      <c r="CO76" s="2"/>
      <c r="CU76" s="52"/>
      <c r="CW76" s="2"/>
      <c r="DC76" s="13"/>
      <c r="DE76" s="211">
        <v>1</v>
      </c>
      <c r="DF76" s="1038" t="s">
        <v>195</v>
      </c>
      <c r="DG76" s="1036"/>
      <c r="DH76" s="1036"/>
      <c r="DI76" s="1036"/>
      <c r="DJ76" s="1036"/>
      <c r="DK76" s="1036"/>
      <c r="DL76" s="1037"/>
      <c r="DM76" s="74"/>
      <c r="DN76" s="6"/>
      <c r="DO76" s="211">
        <v>1</v>
      </c>
      <c r="DP76" s="1038" t="s">
        <v>184</v>
      </c>
      <c r="DQ76" s="1036"/>
      <c r="DR76" s="1036"/>
      <c r="DS76" s="1036"/>
      <c r="DT76" s="1036"/>
      <c r="DU76" s="1036"/>
      <c r="DV76" s="1037"/>
      <c r="DX76" s="2"/>
      <c r="DZ76" s="13"/>
      <c r="EA76" s="74"/>
      <c r="EB76" s="236">
        <v>1</v>
      </c>
      <c r="EC76" s="1038" t="s">
        <v>206</v>
      </c>
      <c r="ED76" s="1036"/>
      <c r="EE76" s="1036"/>
      <c r="EF76" s="1036"/>
      <c r="EG76" s="1036"/>
      <c r="EH76" s="1036"/>
      <c r="EI76" s="1037"/>
      <c r="EK76" s="2"/>
      <c r="EO76" s="74"/>
      <c r="EP76" s="6"/>
      <c r="EQ76" s="6"/>
      <c r="ER76" s="6"/>
      <c r="ES76" s="6"/>
      <c r="ET76" s="6"/>
      <c r="EU76" s="6"/>
      <c r="EV76" s="6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S76" s="7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</row>
    <row r="77" spans="6:220" x14ac:dyDescent="0.35">
      <c r="T77" s="1025"/>
      <c r="U77" s="1025"/>
      <c r="V77" s="1025"/>
      <c r="W77" s="1025"/>
      <c r="X77" s="1025"/>
      <c r="Y77" s="1025"/>
      <c r="Z77" s="1025"/>
      <c r="AA77" s="1025"/>
      <c r="AF77" s="1070" t="s">
        <v>220</v>
      </c>
      <c r="AG77" s="1071"/>
      <c r="AH77" s="1071"/>
      <c r="AI77" s="1071"/>
      <c r="AJ77" s="1072"/>
      <c r="AV77" s="13"/>
      <c r="AX77" s="1076" t="s">
        <v>221</v>
      </c>
      <c r="AY77" s="1077"/>
      <c r="AZ77" s="1077"/>
      <c r="BA77" s="1077"/>
      <c r="BB77" s="1077"/>
      <c r="BC77" s="1077"/>
      <c r="BD77" s="1077"/>
      <c r="BE77" s="1078"/>
      <c r="BH77" s="1076" t="s">
        <v>222</v>
      </c>
      <c r="BI77" s="1077"/>
      <c r="BJ77" s="1077"/>
      <c r="BK77" s="1077"/>
      <c r="BL77" s="1077"/>
      <c r="BM77" s="1077"/>
      <c r="BN77" s="1077"/>
      <c r="BO77" s="1078"/>
      <c r="BP77" s="73"/>
      <c r="BQ77" s="73"/>
      <c r="BR77" s="73"/>
      <c r="BS77" s="73"/>
      <c r="BT77" s="73"/>
      <c r="BU77" s="73"/>
      <c r="BV77" s="1082" t="s">
        <v>223</v>
      </c>
      <c r="BW77" s="1082"/>
      <c r="BX77" s="1082"/>
      <c r="BY77" s="1082"/>
      <c r="BZ77" s="1082"/>
      <c r="CA77" s="1082"/>
      <c r="CB77" s="1082"/>
      <c r="CC77" s="1082"/>
      <c r="CF77" s="1076" t="s">
        <v>224</v>
      </c>
      <c r="CG77" s="1077"/>
      <c r="CH77" s="1077"/>
      <c r="CI77" s="1077"/>
      <c r="CJ77" s="1077"/>
      <c r="CK77" s="1077"/>
      <c r="CL77" s="1077"/>
      <c r="CM77" s="1078"/>
      <c r="CO77" s="2"/>
      <c r="CU77" s="52"/>
      <c r="CW77" s="2"/>
      <c r="DC77" s="13"/>
      <c r="DE77" s="1053" t="s">
        <v>225</v>
      </c>
      <c r="DF77" s="1054"/>
      <c r="DG77" s="1054"/>
      <c r="DH77" s="1054"/>
      <c r="DI77" s="1054"/>
      <c r="DJ77" s="1054"/>
      <c r="DK77" s="1054"/>
      <c r="DL77" s="1055"/>
      <c r="DM77" s="75"/>
      <c r="DN77" s="76"/>
      <c r="DO77" s="1053" t="s">
        <v>226</v>
      </c>
      <c r="DP77" s="1054"/>
      <c r="DQ77" s="1054"/>
      <c r="DR77" s="1054"/>
      <c r="DS77" s="1054"/>
      <c r="DT77" s="1054"/>
      <c r="DU77" s="1054"/>
      <c r="DV77" s="1055"/>
      <c r="DX77" s="2"/>
      <c r="DZ77" s="13"/>
      <c r="EA77" s="75"/>
      <c r="EB77" s="1073" t="s">
        <v>177</v>
      </c>
      <c r="EC77" s="1074"/>
      <c r="ED77" s="1074"/>
      <c r="EE77" s="1074"/>
      <c r="EF77" s="1074"/>
      <c r="EG77" s="1074"/>
      <c r="EH77" s="1074"/>
      <c r="EI77" s="1075"/>
      <c r="EK77" s="2"/>
      <c r="EO77" s="75"/>
      <c r="EP77" s="76"/>
      <c r="EQ77" s="76"/>
      <c r="ER77" s="76"/>
      <c r="ES77" s="76"/>
      <c r="ET77" s="76"/>
      <c r="EU77" s="76"/>
      <c r="EV77" s="76"/>
      <c r="FG77" s="7"/>
      <c r="FH77" s="6"/>
      <c r="FI77" s="6"/>
      <c r="FJ77" s="6"/>
      <c r="FK77" s="6"/>
      <c r="FL77" s="6"/>
      <c r="FM77" s="6"/>
      <c r="FN77" s="6"/>
      <c r="FO77" s="6"/>
      <c r="FP77" s="6"/>
      <c r="FQ77" s="6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7"/>
      <c r="GE77" s="6"/>
      <c r="GF77" s="6"/>
      <c r="GG77" s="6"/>
      <c r="GH77" s="6"/>
      <c r="GI77" s="6"/>
      <c r="GJ77" s="6"/>
      <c r="GK77" s="6"/>
      <c r="GL77" s="6"/>
      <c r="GM77" s="6"/>
      <c r="GN77" s="6"/>
      <c r="HA77" s="7"/>
      <c r="HB77" s="6"/>
      <c r="HC77" s="6"/>
      <c r="HD77" s="6"/>
      <c r="HE77" s="6"/>
      <c r="HF77" s="6"/>
      <c r="HG77" s="6"/>
      <c r="HH77" s="6"/>
      <c r="HI77" s="6"/>
      <c r="HJ77" s="6"/>
      <c r="HK77" s="6"/>
    </row>
    <row r="78" spans="6:220" x14ac:dyDescent="0.35">
      <c r="T78" s="78"/>
      <c r="U78" s="6"/>
      <c r="V78" s="6"/>
      <c r="W78" s="6"/>
      <c r="X78" s="6"/>
      <c r="Y78" s="6"/>
      <c r="Z78" s="6"/>
      <c r="AA78" s="6"/>
      <c r="AJ78" s="153"/>
      <c r="AK78" s="52"/>
      <c r="AL78" s="52"/>
      <c r="AM78" s="52"/>
      <c r="AV78" s="13"/>
      <c r="AX78" s="144">
        <v>0.5</v>
      </c>
      <c r="AY78" s="1038" t="s">
        <v>227</v>
      </c>
      <c r="AZ78" s="1036"/>
      <c r="BA78" s="1036"/>
      <c r="BB78" s="1036"/>
      <c r="BC78" s="1036"/>
      <c r="BD78" s="1036"/>
      <c r="BE78" s="1037"/>
      <c r="BH78" s="144">
        <v>1</v>
      </c>
      <c r="BI78" s="1038" t="s">
        <v>172</v>
      </c>
      <c r="BJ78" s="1036"/>
      <c r="BK78" s="1036"/>
      <c r="BL78" s="1036"/>
      <c r="BM78" s="1036"/>
      <c r="BN78" s="1036"/>
      <c r="BO78" s="1037"/>
      <c r="BV78" s="144">
        <v>1</v>
      </c>
      <c r="BW78" s="1038" t="s">
        <v>228</v>
      </c>
      <c r="BX78" s="1036"/>
      <c r="BY78" s="1036"/>
      <c r="BZ78" s="1036"/>
      <c r="CA78" s="1036"/>
      <c r="CB78" s="1036"/>
      <c r="CC78" s="1037"/>
      <c r="CF78" s="144">
        <v>1</v>
      </c>
      <c r="CG78" s="1038" t="s">
        <v>172</v>
      </c>
      <c r="CH78" s="1036"/>
      <c r="CI78" s="1036"/>
      <c r="CJ78" s="1036"/>
      <c r="CK78" s="1036"/>
      <c r="CL78" s="1036"/>
      <c r="CM78" s="1037"/>
      <c r="CO78" s="2"/>
      <c r="CU78" s="52"/>
      <c r="CW78" s="2"/>
      <c r="DC78" s="13"/>
      <c r="DE78" s="211">
        <v>1</v>
      </c>
      <c r="DF78" s="1038" t="s">
        <v>195</v>
      </c>
      <c r="DG78" s="1036"/>
      <c r="DH78" s="1036"/>
      <c r="DI78" s="1036"/>
      <c r="DJ78" s="1036"/>
      <c r="DK78" s="1036"/>
      <c r="DL78" s="1037"/>
      <c r="DM78" s="74"/>
      <c r="DN78" s="6"/>
      <c r="DO78" s="211">
        <v>1</v>
      </c>
      <c r="DP78" s="1038" t="s">
        <v>184</v>
      </c>
      <c r="DQ78" s="1036"/>
      <c r="DR78" s="1036"/>
      <c r="DS78" s="1036"/>
      <c r="DT78" s="1036"/>
      <c r="DU78" s="1036"/>
      <c r="DV78" s="1037"/>
      <c r="DX78" s="2"/>
      <c r="DZ78" s="13"/>
      <c r="EA78" s="74"/>
      <c r="EB78" s="236">
        <v>1</v>
      </c>
      <c r="EC78" s="1038" t="s">
        <v>206</v>
      </c>
      <c r="ED78" s="1036"/>
      <c r="EE78" s="1036"/>
      <c r="EF78" s="1036"/>
      <c r="EG78" s="1036"/>
      <c r="EH78" s="1036"/>
      <c r="EI78" s="1037"/>
      <c r="EK78" s="2"/>
      <c r="EO78" s="74"/>
      <c r="EP78" s="6"/>
      <c r="EQ78" s="6"/>
      <c r="ER78" s="6"/>
      <c r="ES78" s="6"/>
      <c r="ET78" s="6"/>
      <c r="EU78" s="6"/>
      <c r="EV78" s="6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S78" s="7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</row>
    <row r="79" spans="6:220" x14ac:dyDescent="0.35">
      <c r="T79" s="73"/>
      <c r="U79" s="73"/>
      <c r="V79" s="73"/>
      <c r="W79" s="73"/>
      <c r="X79" s="73"/>
      <c r="Y79" s="73"/>
      <c r="Z79" s="73"/>
      <c r="AA79" s="73"/>
      <c r="AV79" s="13"/>
      <c r="AX79" s="1076" t="s">
        <v>229</v>
      </c>
      <c r="AY79" s="1077"/>
      <c r="AZ79" s="1077"/>
      <c r="BA79" s="1077"/>
      <c r="BB79" s="1077"/>
      <c r="BC79" s="1077"/>
      <c r="BD79" s="1077"/>
      <c r="BE79" s="1078"/>
      <c r="BF79" s="73"/>
      <c r="BG79" s="73"/>
      <c r="BH79" s="1076" t="s">
        <v>230</v>
      </c>
      <c r="BI79" s="1077"/>
      <c r="BJ79" s="1077"/>
      <c r="BK79" s="1077"/>
      <c r="BL79" s="1077"/>
      <c r="BM79" s="1077"/>
      <c r="BN79" s="1077"/>
      <c r="BO79" s="1078"/>
      <c r="BP79" s="73"/>
      <c r="BQ79" s="73"/>
      <c r="BR79" s="73"/>
      <c r="BS79" s="73"/>
      <c r="BT79" s="73"/>
      <c r="BU79" s="73"/>
      <c r="BV79" s="1073" t="s">
        <v>177</v>
      </c>
      <c r="BW79" s="1074"/>
      <c r="BX79" s="1074"/>
      <c r="BY79" s="1074"/>
      <c r="BZ79" s="1074"/>
      <c r="CA79" s="1074"/>
      <c r="CB79" s="1074"/>
      <c r="CC79" s="1075"/>
      <c r="CD79" s="73"/>
      <c r="CE79" s="73"/>
      <c r="CF79" s="1076" t="s">
        <v>231</v>
      </c>
      <c r="CG79" s="1077"/>
      <c r="CH79" s="1077"/>
      <c r="CI79" s="1077"/>
      <c r="CJ79" s="1077"/>
      <c r="CK79" s="1077"/>
      <c r="CL79" s="1077"/>
      <c r="CM79" s="1078"/>
      <c r="CO79" s="2"/>
      <c r="CU79" s="52"/>
      <c r="CW79" s="2"/>
      <c r="DC79" s="13"/>
      <c r="DE79" s="1135" t="s">
        <v>232</v>
      </c>
      <c r="DF79" s="1136"/>
      <c r="DG79" s="1136"/>
      <c r="DH79" s="1136"/>
      <c r="DI79" s="1136"/>
      <c r="DJ79" s="1136"/>
      <c r="DK79" s="1136"/>
      <c r="DL79" s="1137"/>
      <c r="DM79" s="75"/>
      <c r="DN79" s="76"/>
      <c r="DO79" s="1063" t="s">
        <v>131</v>
      </c>
      <c r="DP79" s="1064"/>
      <c r="DQ79" s="1064"/>
      <c r="DR79" s="1064"/>
      <c r="DS79" s="1064"/>
      <c r="DT79" s="1064"/>
      <c r="DU79" s="1064"/>
      <c r="DV79" s="1065"/>
      <c r="DX79" s="2"/>
      <c r="DZ79" s="13"/>
      <c r="EA79" s="75"/>
      <c r="EB79" s="1053" t="s">
        <v>233</v>
      </c>
      <c r="EC79" s="1054"/>
      <c r="ED79" s="1054"/>
      <c r="EE79" s="1054"/>
      <c r="EF79" s="1054"/>
      <c r="EG79" s="1054"/>
      <c r="EH79" s="1054"/>
      <c r="EI79" s="1055"/>
      <c r="EK79" s="2"/>
      <c r="EO79" s="75"/>
      <c r="EP79" s="76"/>
      <c r="EQ79" s="76"/>
      <c r="ER79" s="76"/>
      <c r="ES79" s="76"/>
      <c r="ET79" s="76"/>
      <c r="EU79" s="76"/>
      <c r="EV79" s="76"/>
      <c r="FG79" s="7"/>
      <c r="FH79" s="6"/>
      <c r="FI79" s="6"/>
      <c r="FJ79" s="6"/>
      <c r="FK79" s="6"/>
      <c r="FL79" s="6"/>
      <c r="FM79" s="6"/>
      <c r="FN79" s="6"/>
      <c r="FO79" s="6"/>
      <c r="FP79" s="6"/>
      <c r="FQ79" s="6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7"/>
      <c r="GE79" s="6"/>
      <c r="GF79" s="6"/>
      <c r="GG79" s="6"/>
      <c r="GH79" s="6"/>
      <c r="GI79" s="6"/>
      <c r="GJ79" s="6"/>
      <c r="GK79" s="6"/>
      <c r="GL79" s="6"/>
      <c r="GM79" s="6"/>
      <c r="GN79" s="6"/>
      <c r="HA79" s="7"/>
      <c r="HB79" s="6"/>
      <c r="HC79" s="6"/>
      <c r="HD79" s="6"/>
      <c r="HE79" s="6"/>
      <c r="HF79" s="6"/>
      <c r="HG79" s="6"/>
      <c r="HH79" s="6"/>
      <c r="HI79" s="6"/>
      <c r="HJ79" s="6"/>
      <c r="HK79" s="6"/>
    </row>
    <row r="80" spans="6:220" x14ac:dyDescent="0.35">
      <c r="I80" s="73"/>
      <c r="J80" s="73"/>
      <c r="K80" s="73"/>
      <c r="L80" s="73"/>
      <c r="M80" s="73"/>
      <c r="N80" s="73"/>
      <c r="O80" s="73"/>
      <c r="P80" s="73"/>
      <c r="T80" s="6"/>
      <c r="U80" s="6"/>
      <c r="V80" s="6"/>
      <c r="W80" s="6"/>
      <c r="X80" s="6"/>
      <c r="Y80" s="6"/>
      <c r="Z80" s="6"/>
      <c r="AA80" s="6"/>
      <c r="AV80" s="13"/>
      <c r="AX80" s="144">
        <v>0.5</v>
      </c>
      <c r="AY80" s="1038" t="s">
        <v>234</v>
      </c>
      <c r="AZ80" s="1036"/>
      <c r="BA80" s="1036"/>
      <c r="BB80" s="1036"/>
      <c r="BC80" s="1036"/>
      <c r="BD80" s="1036"/>
      <c r="BE80" s="1037"/>
      <c r="BF80" s="6"/>
      <c r="BG80" s="6"/>
      <c r="BH80" s="174">
        <v>1</v>
      </c>
      <c r="BI80" s="1172" t="s">
        <v>172</v>
      </c>
      <c r="BJ80" s="1173"/>
      <c r="BK80" s="1173"/>
      <c r="BL80" s="1173"/>
      <c r="BM80" s="1173"/>
      <c r="BN80" s="1173"/>
      <c r="BO80" s="1174"/>
      <c r="BP80" s="6"/>
      <c r="BQ80" s="6"/>
      <c r="BR80" s="6"/>
      <c r="BS80" s="6"/>
      <c r="BT80" s="6"/>
      <c r="BU80" s="6"/>
      <c r="BV80" s="207"/>
      <c r="BW80" s="207"/>
      <c r="BX80" s="207"/>
      <c r="BY80" s="207"/>
      <c r="BZ80" s="207"/>
      <c r="CA80" s="207"/>
      <c r="CB80" s="207"/>
      <c r="CC80" s="207"/>
      <c r="CD80" s="6"/>
      <c r="CE80" s="6"/>
      <c r="CF80" s="144">
        <v>1</v>
      </c>
      <c r="CG80" s="1038" t="s">
        <v>172</v>
      </c>
      <c r="CH80" s="1036"/>
      <c r="CI80" s="1036"/>
      <c r="CJ80" s="1036"/>
      <c r="CK80" s="1036"/>
      <c r="CL80" s="1036"/>
      <c r="CM80" s="1037"/>
      <c r="CO80" s="2"/>
      <c r="CU80" s="52"/>
      <c r="CW80" s="2"/>
      <c r="DC80" s="13"/>
      <c r="DE80" s="211">
        <v>1</v>
      </c>
      <c r="DF80" s="1038" t="s">
        <v>195</v>
      </c>
      <c r="DG80" s="1036"/>
      <c r="DH80" s="1036"/>
      <c r="DI80" s="1036"/>
      <c r="DJ80" s="1036"/>
      <c r="DK80" s="1036"/>
      <c r="DL80" s="1037"/>
      <c r="DM80" s="74"/>
      <c r="DN80" s="6"/>
      <c r="DO80" s="211">
        <v>1</v>
      </c>
      <c r="DP80" s="1038" t="s">
        <v>184</v>
      </c>
      <c r="DQ80" s="1036"/>
      <c r="DR80" s="1036"/>
      <c r="DS80" s="1036"/>
      <c r="DT80" s="1036"/>
      <c r="DU80" s="1036"/>
      <c r="DV80" s="1037"/>
      <c r="DX80" s="2"/>
      <c r="DZ80" s="13"/>
      <c r="EA80" s="74"/>
      <c r="EB80" s="236">
        <v>1</v>
      </c>
      <c r="EC80" s="1038" t="s">
        <v>206</v>
      </c>
      <c r="ED80" s="1036"/>
      <c r="EE80" s="1036"/>
      <c r="EF80" s="1036"/>
      <c r="EG80" s="1036"/>
      <c r="EH80" s="1036"/>
      <c r="EI80" s="1037"/>
      <c r="EK80" s="2"/>
      <c r="EO80" s="74"/>
      <c r="EP80" s="6"/>
      <c r="EQ80" s="6"/>
      <c r="ER80" s="6"/>
      <c r="ES80" s="6"/>
      <c r="ET80" s="6"/>
      <c r="EU80" s="6"/>
      <c r="EV80" s="6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S80" s="7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</row>
    <row r="81" spans="9:219" x14ac:dyDescent="0.35">
      <c r="I81" s="6"/>
      <c r="J81" s="6"/>
      <c r="K81" s="6"/>
      <c r="L81" s="6"/>
      <c r="M81" s="6"/>
      <c r="N81" s="6"/>
      <c r="O81" s="6"/>
      <c r="P81" s="6"/>
      <c r="T81" s="37"/>
      <c r="U81" s="37"/>
      <c r="V81" s="37"/>
      <c r="W81" s="37"/>
      <c r="X81" s="37"/>
      <c r="Y81" s="37"/>
      <c r="Z81" s="37"/>
      <c r="AA81" s="37"/>
      <c r="AV81" s="13"/>
      <c r="AX81" s="1079" t="s">
        <v>235</v>
      </c>
      <c r="AY81" s="1080"/>
      <c r="AZ81" s="1080"/>
      <c r="BA81" s="1080"/>
      <c r="BB81" s="1080"/>
      <c r="BC81" s="1080"/>
      <c r="BD81" s="1080"/>
      <c r="BE81" s="1081"/>
      <c r="BF81" s="37"/>
      <c r="BG81" s="37"/>
      <c r="BH81" s="1063" t="s">
        <v>177</v>
      </c>
      <c r="BI81" s="1064"/>
      <c r="BJ81" s="1064"/>
      <c r="BK81" s="1064"/>
      <c r="BL81" s="1064"/>
      <c r="BM81" s="1064"/>
      <c r="BN81" s="1064"/>
      <c r="BO81" s="1065"/>
      <c r="BP81" s="35"/>
      <c r="BQ81" s="35"/>
      <c r="BR81" s="35"/>
      <c r="BS81" s="35"/>
      <c r="BT81" s="35"/>
      <c r="BU81" s="35"/>
      <c r="BV81" s="207"/>
      <c r="BW81" s="207"/>
      <c r="BX81" s="207"/>
      <c r="BY81" s="207"/>
      <c r="BZ81" s="207"/>
      <c r="CA81" s="207"/>
      <c r="CB81" s="207"/>
      <c r="CC81" s="207"/>
      <c r="CD81" s="37"/>
      <c r="CE81" s="37"/>
      <c r="CF81" s="1076" t="s">
        <v>236</v>
      </c>
      <c r="CG81" s="1077"/>
      <c r="CH81" s="1077"/>
      <c r="CI81" s="1077"/>
      <c r="CJ81" s="1077"/>
      <c r="CK81" s="1077"/>
      <c r="CL81" s="1077"/>
      <c r="CM81" s="1078"/>
      <c r="CO81" s="2"/>
      <c r="CW81" s="2"/>
      <c r="DC81" s="13"/>
      <c r="DE81" s="1053" t="s">
        <v>237</v>
      </c>
      <c r="DF81" s="1054"/>
      <c r="DG81" s="1054"/>
      <c r="DH81" s="1054"/>
      <c r="DI81" s="1054"/>
      <c r="DJ81" s="1054"/>
      <c r="DK81" s="1054"/>
      <c r="DL81" s="1055"/>
      <c r="DM81" s="75"/>
      <c r="DN81" s="76"/>
      <c r="DO81" s="1073" t="s">
        <v>131</v>
      </c>
      <c r="DP81" s="1074"/>
      <c r="DQ81" s="1074"/>
      <c r="DR81" s="1074"/>
      <c r="DS81" s="1074"/>
      <c r="DT81" s="1074"/>
      <c r="DU81" s="1074"/>
      <c r="DV81" s="1075"/>
      <c r="DX81" s="2"/>
      <c r="DZ81" s="13"/>
      <c r="EA81" s="75"/>
      <c r="EB81" s="1053" t="s">
        <v>238</v>
      </c>
      <c r="EC81" s="1054"/>
      <c r="ED81" s="1054"/>
      <c r="EE81" s="1054"/>
      <c r="EF81" s="1054"/>
      <c r="EG81" s="1054"/>
      <c r="EH81" s="1054"/>
      <c r="EI81" s="1055"/>
      <c r="EK81" s="2"/>
      <c r="EO81" s="75"/>
      <c r="EP81" s="76"/>
      <c r="EQ81" s="76"/>
      <c r="ER81" s="76"/>
      <c r="ES81" s="76"/>
      <c r="ET81" s="76"/>
      <c r="EU81" s="76"/>
      <c r="EV81" s="76"/>
      <c r="FG81" s="7"/>
      <c r="FH81" s="6"/>
      <c r="FI81" s="6"/>
      <c r="FJ81" s="6"/>
      <c r="FK81" s="6"/>
      <c r="FL81" s="6"/>
      <c r="FM81" s="6"/>
      <c r="FN81" s="6"/>
      <c r="FO81" s="6"/>
      <c r="FP81" s="6"/>
      <c r="FQ81" s="6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7"/>
      <c r="GE81" s="6"/>
      <c r="GF81" s="6"/>
      <c r="GG81" s="6"/>
      <c r="GH81" s="6"/>
      <c r="GI81" s="6"/>
      <c r="GJ81" s="6"/>
      <c r="GK81" s="6"/>
      <c r="GL81" s="6"/>
      <c r="GM81" s="6"/>
      <c r="GN81" s="6"/>
      <c r="HA81" s="7"/>
      <c r="HB81" s="6"/>
      <c r="HC81" s="6"/>
      <c r="HD81" s="6"/>
      <c r="HE81" s="6"/>
      <c r="HF81" s="6"/>
      <c r="HG81" s="6"/>
      <c r="HH81" s="6"/>
      <c r="HI81" s="6"/>
      <c r="HJ81" s="6"/>
      <c r="HK81" s="6"/>
    </row>
    <row r="82" spans="9:219" x14ac:dyDescent="0.35">
      <c r="I82" s="37"/>
      <c r="J82" s="37"/>
      <c r="K82" s="37"/>
      <c r="L82" s="37"/>
      <c r="M82" s="37"/>
      <c r="N82" s="37"/>
      <c r="O82" s="37"/>
      <c r="P82" s="37"/>
      <c r="T82" s="78"/>
      <c r="U82" s="6"/>
      <c r="V82" s="6"/>
      <c r="W82" s="6"/>
      <c r="X82" s="6"/>
      <c r="Y82" s="6"/>
      <c r="Z82" s="6"/>
      <c r="AA82" s="6"/>
      <c r="AV82" s="13"/>
      <c r="AX82" s="144">
        <v>0.5</v>
      </c>
      <c r="AY82" s="1038" t="s">
        <v>234</v>
      </c>
      <c r="AZ82" s="1036"/>
      <c r="BA82" s="1036"/>
      <c r="BB82" s="1036"/>
      <c r="BC82" s="1036"/>
      <c r="BD82" s="1036"/>
      <c r="BE82" s="1037"/>
      <c r="BF82" s="6"/>
      <c r="BG82" s="6"/>
      <c r="BH82" s="174">
        <v>1</v>
      </c>
      <c r="BI82" s="1172" t="s">
        <v>172</v>
      </c>
      <c r="BJ82" s="1173"/>
      <c r="BK82" s="1173"/>
      <c r="BL82" s="1173"/>
      <c r="BM82" s="1173"/>
      <c r="BN82" s="1173"/>
      <c r="BO82" s="1174"/>
      <c r="BP82" s="6"/>
      <c r="BQ82" s="6"/>
      <c r="BR82" s="6"/>
      <c r="BS82" s="6"/>
      <c r="BT82" s="6"/>
      <c r="BU82" s="6"/>
      <c r="CF82" s="144">
        <v>1</v>
      </c>
      <c r="CG82" s="1038" t="s">
        <v>172</v>
      </c>
      <c r="CH82" s="1036"/>
      <c r="CI82" s="1036"/>
      <c r="CJ82" s="1036"/>
      <c r="CK82" s="1036"/>
      <c r="CL82" s="1036"/>
      <c r="CM82" s="1037"/>
      <c r="CO82" s="2"/>
      <c r="CW82" s="2"/>
      <c r="DC82" s="13"/>
      <c r="DE82" s="211">
        <v>1</v>
      </c>
      <c r="DF82" s="1038" t="s">
        <v>195</v>
      </c>
      <c r="DG82" s="1036"/>
      <c r="DH82" s="1036"/>
      <c r="DI82" s="1036"/>
      <c r="DJ82" s="1036"/>
      <c r="DK82" s="1036"/>
      <c r="DL82" s="1037"/>
      <c r="DM82" s="74"/>
      <c r="DN82" s="6"/>
      <c r="DO82" s="211">
        <v>1</v>
      </c>
      <c r="DP82" s="1038" t="s">
        <v>184</v>
      </c>
      <c r="DQ82" s="1036"/>
      <c r="DR82" s="1036"/>
      <c r="DS82" s="1036"/>
      <c r="DT82" s="1036"/>
      <c r="DU82" s="1036"/>
      <c r="DV82" s="1037"/>
      <c r="DX82" s="2"/>
      <c r="DZ82" s="13"/>
      <c r="EA82" s="74"/>
      <c r="EB82" s="236">
        <v>1</v>
      </c>
      <c r="EC82" s="1038" t="s">
        <v>206</v>
      </c>
      <c r="ED82" s="1036"/>
      <c r="EE82" s="1036"/>
      <c r="EF82" s="1036"/>
      <c r="EG82" s="1036"/>
      <c r="EH82" s="1036"/>
      <c r="EI82" s="1037"/>
      <c r="EK82" s="2"/>
      <c r="EO82" s="74"/>
      <c r="EP82" s="6"/>
      <c r="EQ82" s="6"/>
      <c r="ER82" s="6"/>
      <c r="ES82" s="6"/>
      <c r="ET82" s="6"/>
      <c r="EU82" s="6"/>
      <c r="EV82" s="6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S82" s="7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</row>
    <row r="83" spans="9:219" x14ac:dyDescent="0.35">
      <c r="I83" s="6"/>
      <c r="J83" s="6"/>
      <c r="K83" s="6"/>
      <c r="L83" s="6"/>
      <c r="M83" s="6"/>
      <c r="N83" s="6"/>
      <c r="O83" s="6"/>
      <c r="P83" s="6"/>
      <c r="T83" s="75"/>
      <c r="U83" s="76"/>
      <c r="V83" s="76"/>
      <c r="W83" s="76"/>
      <c r="X83" s="76"/>
      <c r="Y83" s="76"/>
      <c r="Z83" s="76"/>
      <c r="AA83" s="76"/>
      <c r="AV83" s="13"/>
      <c r="AX83" s="1076" t="s">
        <v>239</v>
      </c>
      <c r="AY83" s="1077"/>
      <c r="AZ83" s="1077"/>
      <c r="BA83" s="1077"/>
      <c r="BB83" s="1077"/>
      <c r="BC83" s="1077"/>
      <c r="BD83" s="1077"/>
      <c r="BE83" s="1078"/>
      <c r="BF83" s="37"/>
      <c r="BG83" s="37"/>
      <c r="BH83" s="1063" t="s">
        <v>177</v>
      </c>
      <c r="BI83" s="1064"/>
      <c r="BJ83" s="1064"/>
      <c r="BK83" s="1064"/>
      <c r="BL83" s="1064"/>
      <c r="BM83" s="1064"/>
      <c r="BN83" s="1064"/>
      <c r="BO83" s="1065"/>
      <c r="BP83" s="35"/>
      <c r="BQ83" s="35"/>
      <c r="BR83" s="35"/>
      <c r="BS83" s="35"/>
      <c r="BT83" s="35"/>
      <c r="BU83" s="35"/>
      <c r="CD83" s="73"/>
      <c r="CE83" s="73"/>
      <c r="CF83" s="1076" t="s">
        <v>240</v>
      </c>
      <c r="CG83" s="1077"/>
      <c r="CH83" s="1077"/>
      <c r="CI83" s="1077"/>
      <c r="CJ83" s="1077"/>
      <c r="CK83" s="1077"/>
      <c r="CL83" s="1077"/>
      <c r="CM83" s="1078"/>
      <c r="CO83" s="2"/>
      <c r="CW83" s="2"/>
      <c r="DC83" s="13"/>
      <c r="DE83" s="1053" t="s">
        <v>241</v>
      </c>
      <c r="DF83" s="1054"/>
      <c r="DG83" s="1054"/>
      <c r="DH83" s="1054"/>
      <c r="DI83" s="1054"/>
      <c r="DJ83" s="1054"/>
      <c r="DK83" s="1054"/>
      <c r="DL83" s="1055"/>
      <c r="DM83" s="75"/>
      <c r="DN83" s="76"/>
      <c r="DO83" s="1063" t="s">
        <v>131</v>
      </c>
      <c r="DP83" s="1064"/>
      <c r="DQ83" s="1064"/>
      <c r="DR83" s="1064"/>
      <c r="DS83" s="1064"/>
      <c r="DT83" s="1064"/>
      <c r="DU83" s="1064"/>
      <c r="DV83" s="1065"/>
      <c r="DX83" s="2"/>
      <c r="DZ83" s="13"/>
      <c r="EA83" s="75"/>
      <c r="EB83" s="1053" t="s">
        <v>242</v>
      </c>
      <c r="EC83" s="1054"/>
      <c r="ED83" s="1054"/>
      <c r="EE83" s="1054"/>
      <c r="EF83" s="1054"/>
      <c r="EG83" s="1054"/>
      <c r="EH83" s="1054"/>
      <c r="EI83" s="1055"/>
      <c r="EK83" s="2"/>
      <c r="EO83" s="75"/>
      <c r="EP83" s="76"/>
      <c r="EQ83" s="76"/>
      <c r="ER83" s="76"/>
      <c r="ES83" s="76"/>
      <c r="ET83" s="76"/>
      <c r="EU83" s="76"/>
      <c r="EV83" s="76"/>
      <c r="FG83" s="7"/>
      <c r="FH83" s="6"/>
      <c r="FI83" s="6"/>
      <c r="FJ83" s="6"/>
      <c r="FK83" s="6"/>
      <c r="FL83" s="6"/>
      <c r="FM83" s="6"/>
      <c r="FN83" s="6"/>
      <c r="FO83" s="6"/>
      <c r="FP83" s="6"/>
      <c r="FQ83" s="6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7"/>
      <c r="GE83" s="6"/>
      <c r="GF83" s="6"/>
      <c r="GG83" s="6"/>
      <c r="GH83" s="6"/>
      <c r="GI83" s="6"/>
      <c r="GJ83" s="6"/>
      <c r="GK83" s="6"/>
      <c r="GL83" s="6"/>
      <c r="GM83" s="6"/>
      <c r="GN83" s="6"/>
      <c r="HA83" s="7"/>
      <c r="HB83" s="6"/>
      <c r="HC83" s="6"/>
      <c r="HD83" s="6"/>
      <c r="HE83" s="6"/>
      <c r="HF83" s="6"/>
      <c r="HG83" s="6"/>
      <c r="HH83" s="6"/>
      <c r="HI83" s="6"/>
      <c r="HJ83" s="6"/>
      <c r="HK83" s="6"/>
    </row>
    <row r="84" spans="9:219" x14ac:dyDescent="0.35">
      <c r="I84" s="35"/>
      <c r="J84" s="35"/>
      <c r="K84" s="35"/>
      <c r="L84" s="35"/>
      <c r="M84" s="35"/>
      <c r="N84" s="35"/>
      <c r="O84" s="35"/>
      <c r="P84" s="35"/>
      <c r="T84" s="78"/>
      <c r="U84" s="6"/>
      <c r="V84" s="6"/>
      <c r="W84" s="6"/>
      <c r="X84" s="6"/>
      <c r="Y84" s="6"/>
      <c r="Z84" s="6"/>
      <c r="AA84" s="6"/>
      <c r="AV84" s="13"/>
      <c r="AX84" s="144">
        <v>0.5</v>
      </c>
      <c r="AY84" s="1038" t="s">
        <v>218</v>
      </c>
      <c r="AZ84" s="1036"/>
      <c r="BA84" s="1036"/>
      <c r="BB84" s="1036"/>
      <c r="BC84" s="1036"/>
      <c r="BD84" s="1036"/>
      <c r="BE84" s="1037"/>
      <c r="CA84" s="7"/>
      <c r="CB84" s="6"/>
      <c r="CC84" s="6"/>
      <c r="CD84" s="6"/>
      <c r="CE84" s="6"/>
      <c r="CF84" s="144">
        <v>1</v>
      </c>
      <c r="CG84" s="1038" t="s">
        <v>243</v>
      </c>
      <c r="CH84" s="1036"/>
      <c r="CI84" s="1036"/>
      <c r="CJ84" s="1036"/>
      <c r="CK84" s="1036"/>
      <c r="CL84" s="1036"/>
      <c r="CM84" s="1037"/>
      <c r="CO84" s="47"/>
      <c r="CP84" s="6"/>
      <c r="CQ84" s="6"/>
      <c r="CR84" s="6"/>
      <c r="CS84" s="6"/>
      <c r="CT84" s="6"/>
      <c r="CU84" s="6"/>
      <c r="CV84" s="6"/>
      <c r="CW84" s="16"/>
      <c r="CX84" s="6"/>
      <c r="CY84" s="6"/>
      <c r="CZ84" s="6"/>
      <c r="DC84" s="14"/>
      <c r="DD84" s="3"/>
      <c r="DE84" s="3"/>
      <c r="DF84" s="3"/>
      <c r="DG84" s="3"/>
      <c r="DH84" s="3"/>
      <c r="DI84" s="3"/>
      <c r="DJ84" s="3"/>
      <c r="DK84" s="3"/>
      <c r="DL84" s="3"/>
      <c r="DM84" s="89"/>
      <c r="DN84" s="19"/>
      <c r="DO84" s="19"/>
      <c r="DP84" s="19"/>
      <c r="DQ84" s="19"/>
      <c r="DR84" s="19"/>
      <c r="DS84" s="19"/>
      <c r="DT84" s="19"/>
      <c r="DX84" s="2"/>
      <c r="DZ84" s="13"/>
      <c r="EA84" s="74"/>
      <c r="EB84" s="236">
        <v>1</v>
      </c>
      <c r="EC84" s="1038" t="s">
        <v>206</v>
      </c>
      <c r="ED84" s="1036"/>
      <c r="EE84" s="1036"/>
      <c r="EF84" s="1036"/>
      <c r="EG84" s="1036"/>
      <c r="EH84" s="1036"/>
      <c r="EI84" s="1037"/>
      <c r="EK84" s="2"/>
      <c r="EO84" s="74"/>
      <c r="EP84" s="6"/>
      <c r="EQ84" s="6"/>
      <c r="ER84" s="6"/>
      <c r="ES84" s="6"/>
      <c r="ET84" s="6"/>
      <c r="EU84" s="6"/>
      <c r="EV84" s="6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S84" s="7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</row>
    <row r="85" spans="9:219" x14ac:dyDescent="0.35">
      <c r="I85" s="6"/>
      <c r="J85" s="6"/>
      <c r="K85" s="6"/>
      <c r="L85" s="6"/>
      <c r="M85" s="6"/>
      <c r="N85" s="6"/>
      <c r="O85" s="6"/>
      <c r="P85" s="6"/>
      <c r="T85" s="75"/>
      <c r="U85" s="76"/>
      <c r="V85" s="76"/>
      <c r="W85" s="76"/>
      <c r="X85" s="76"/>
      <c r="Y85" s="76"/>
      <c r="Z85" s="76"/>
      <c r="AA85" s="76"/>
      <c r="AV85" s="13"/>
      <c r="AX85" s="1063" t="s">
        <v>131</v>
      </c>
      <c r="AY85" s="1064"/>
      <c r="AZ85" s="1064"/>
      <c r="BA85" s="1064"/>
      <c r="BB85" s="1064"/>
      <c r="BC85" s="1064"/>
      <c r="BD85" s="1064"/>
      <c r="BE85" s="1065"/>
      <c r="CA85" s="37"/>
      <c r="CB85" s="37"/>
      <c r="CC85" s="37"/>
      <c r="CD85" s="37"/>
      <c r="CE85" s="37"/>
      <c r="CF85" s="1073" t="s">
        <v>131</v>
      </c>
      <c r="CG85" s="1074"/>
      <c r="CH85" s="1074"/>
      <c r="CI85" s="1074"/>
      <c r="CJ85" s="1074"/>
      <c r="CK85" s="1074"/>
      <c r="CL85" s="1074"/>
      <c r="CM85" s="1075"/>
      <c r="CO85" s="47"/>
      <c r="CP85" s="6"/>
      <c r="CQ85" s="6"/>
      <c r="CR85" s="6"/>
      <c r="CS85" s="6"/>
      <c r="CT85" s="6"/>
      <c r="CU85" s="6"/>
      <c r="CV85" s="6"/>
      <c r="CW85" s="16"/>
      <c r="CX85" s="6"/>
      <c r="CY85" s="6"/>
      <c r="CZ85" s="6"/>
      <c r="DM85" s="74"/>
      <c r="DN85" s="6"/>
      <c r="DO85" s="6"/>
      <c r="DP85" s="6"/>
      <c r="DQ85" s="6"/>
      <c r="DR85" s="6"/>
      <c r="DS85" s="6"/>
      <c r="DT85" s="6"/>
      <c r="DU85" s="1132" t="s">
        <v>244</v>
      </c>
      <c r="DV85" s="1133"/>
      <c r="DW85" s="1133"/>
      <c r="DX85" s="1134"/>
      <c r="DZ85" s="13"/>
      <c r="EA85" s="75"/>
      <c r="EB85" s="1053" t="s">
        <v>245</v>
      </c>
      <c r="EC85" s="1054"/>
      <c r="ED85" s="1054"/>
      <c r="EE85" s="1054"/>
      <c r="EF85" s="1054"/>
      <c r="EG85" s="1054"/>
      <c r="EH85" s="1054"/>
      <c r="EI85" s="1055"/>
      <c r="EK85" s="2"/>
      <c r="EO85" s="75"/>
      <c r="EP85" s="76"/>
      <c r="EQ85" s="76"/>
      <c r="ER85" s="76"/>
      <c r="ES85" s="76"/>
      <c r="ET85" s="76"/>
      <c r="EU85" s="76"/>
      <c r="EV85" s="76"/>
      <c r="FG85" s="36"/>
      <c r="FH85" s="36"/>
      <c r="FI85" s="36"/>
      <c r="FJ85" s="37"/>
      <c r="FK85" s="37"/>
      <c r="FL85" s="37"/>
      <c r="FM85" s="37"/>
      <c r="FN85" s="37"/>
      <c r="FO85" s="37"/>
      <c r="FP85" s="37"/>
      <c r="FQ85" s="37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34"/>
      <c r="GE85" s="34"/>
      <c r="GF85" s="34"/>
      <c r="GG85" s="34"/>
      <c r="GH85" s="34"/>
      <c r="GI85" s="34"/>
      <c r="GJ85" s="34"/>
      <c r="GK85" s="34"/>
      <c r="GL85" s="34"/>
      <c r="GM85" s="35"/>
      <c r="GN85" s="35"/>
      <c r="HA85" s="36"/>
      <c r="HB85" s="36"/>
      <c r="HC85" s="36"/>
      <c r="HD85" s="36"/>
      <c r="HE85" s="36"/>
      <c r="HF85" s="36"/>
      <c r="HG85" s="36"/>
      <c r="HH85" s="36"/>
      <c r="HI85" s="36"/>
      <c r="HJ85" s="36"/>
      <c r="HK85" s="36"/>
    </row>
    <row r="86" spans="9:219" x14ac:dyDescent="0.35">
      <c r="I86" s="37"/>
      <c r="J86" s="37"/>
      <c r="K86" s="37"/>
      <c r="L86" s="37"/>
      <c r="M86" s="37"/>
      <c r="N86" s="37"/>
      <c r="O86" s="37"/>
      <c r="P86" s="37"/>
      <c r="T86" s="78"/>
      <c r="U86" s="6"/>
      <c r="V86" s="6"/>
      <c r="W86" s="6"/>
      <c r="X86" s="6"/>
      <c r="Y86" s="6"/>
      <c r="Z86" s="6"/>
      <c r="AA86" s="6"/>
      <c r="AV86" s="13"/>
      <c r="AX86" s="144">
        <v>0.5</v>
      </c>
      <c r="AY86" s="1038" t="s">
        <v>234</v>
      </c>
      <c r="AZ86" s="1036"/>
      <c r="BA86" s="1036"/>
      <c r="BB86" s="1036"/>
      <c r="BC86" s="1036"/>
      <c r="BD86" s="1036"/>
      <c r="BE86" s="1037"/>
      <c r="CA86" s="7"/>
      <c r="CB86" s="6"/>
      <c r="CC86" s="6"/>
      <c r="CD86" s="6"/>
      <c r="CE86" s="6"/>
      <c r="CF86" s="144">
        <v>1</v>
      </c>
      <c r="CG86" s="1038" t="s">
        <v>243</v>
      </c>
      <c r="CH86" s="1036"/>
      <c r="CI86" s="1036"/>
      <c r="CJ86" s="1036"/>
      <c r="CK86" s="1036"/>
      <c r="CL86" s="1036"/>
      <c r="CM86" s="1037"/>
      <c r="CO86" s="47"/>
      <c r="CP86" s="6"/>
      <c r="CQ86" s="6"/>
      <c r="CR86" s="6"/>
      <c r="CS86" s="6"/>
      <c r="CT86" s="6"/>
      <c r="CU86" s="6"/>
      <c r="CV86" s="6"/>
      <c r="CW86" s="16"/>
      <c r="CX86" s="6"/>
      <c r="CY86" s="6"/>
      <c r="CZ86" s="6"/>
      <c r="DM86" s="74"/>
      <c r="DN86" s="6"/>
      <c r="DO86" s="6"/>
      <c r="DP86" s="6"/>
      <c r="DQ86" s="6"/>
      <c r="DR86" s="6"/>
      <c r="DS86" s="6"/>
      <c r="DT86" s="6"/>
      <c r="DZ86" s="13"/>
      <c r="EA86" s="74"/>
      <c r="EB86" s="236">
        <v>1</v>
      </c>
      <c r="EC86" s="1038" t="s">
        <v>206</v>
      </c>
      <c r="ED86" s="1036"/>
      <c r="EE86" s="1036"/>
      <c r="EF86" s="1036"/>
      <c r="EG86" s="1036"/>
      <c r="EH86" s="1036"/>
      <c r="EI86" s="1037"/>
      <c r="EK86" s="2"/>
      <c r="EO86" s="74"/>
      <c r="EP86" s="6"/>
      <c r="EQ86" s="6"/>
      <c r="ER86" s="6"/>
      <c r="ES86" s="6"/>
      <c r="ET86" s="6"/>
      <c r="EU86" s="6"/>
      <c r="EV86" s="6"/>
      <c r="FG86" s="36"/>
      <c r="FH86" s="36"/>
      <c r="FI86" s="37"/>
      <c r="FJ86" s="37"/>
      <c r="FK86" s="37"/>
      <c r="FL86" s="37"/>
      <c r="FM86" s="37"/>
      <c r="FN86" s="37"/>
      <c r="FO86" s="37"/>
      <c r="FP86" s="37"/>
      <c r="FQ86" s="37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34"/>
      <c r="GE86" s="34"/>
      <c r="GF86" s="34"/>
      <c r="GG86" s="34"/>
      <c r="GH86" s="34"/>
      <c r="GI86" s="34"/>
      <c r="GJ86" s="34"/>
      <c r="GK86" s="34"/>
      <c r="GL86" s="35"/>
      <c r="GM86" s="35"/>
      <c r="GN86" s="35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</row>
    <row r="87" spans="9:219" x14ac:dyDescent="0.35">
      <c r="I87" s="6"/>
      <c r="J87" s="6"/>
      <c r="K87" s="6"/>
      <c r="L87" s="6"/>
      <c r="M87" s="6"/>
      <c r="N87" s="6"/>
      <c r="O87" s="6"/>
      <c r="P87" s="6"/>
      <c r="T87" s="75"/>
      <c r="U87" s="76"/>
      <c r="V87" s="76"/>
      <c r="W87" s="76"/>
      <c r="X87" s="76"/>
      <c r="Y87" s="76"/>
      <c r="Z87" s="76"/>
      <c r="AA87" s="76"/>
      <c r="AV87" s="13"/>
      <c r="AX87" s="1063" t="s">
        <v>131</v>
      </c>
      <c r="AY87" s="1064"/>
      <c r="AZ87" s="1064"/>
      <c r="BA87" s="1064"/>
      <c r="BB87" s="1064"/>
      <c r="BC87" s="1064"/>
      <c r="BD87" s="1064"/>
      <c r="BE87" s="1065"/>
      <c r="CA87" s="37"/>
      <c r="CB87" s="37"/>
      <c r="CC87" s="37"/>
      <c r="CD87" s="37"/>
      <c r="CE87" s="37"/>
      <c r="CF87" s="1073" t="s">
        <v>131</v>
      </c>
      <c r="CG87" s="1074"/>
      <c r="CH87" s="1074"/>
      <c r="CI87" s="1074"/>
      <c r="CJ87" s="1074"/>
      <c r="CK87" s="1074"/>
      <c r="CL87" s="1074"/>
      <c r="CM87" s="1075"/>
      <c r="CO87" s="47"/>
      <c r="CP87" s="6"/>
      <c r="CQ87" s="6"/>
      <c r="CR87" s="6"/>
      <c r="CS87" s="6"/>
      <c r="CT87" s="6"/>
      <c r="CU87" s="6"/>
      <c r="CV87" s="6"/>
      <c r="CW87" s="16"/>
      <c r="CX87" s="6"/>
      <c r="CY87" s="6"/>
      <c r="CZ87" s="6"/>
      <c r="DM87" s="74"/>
      <c r="DN87" s="6"/>
      <c r="DO87" s="6"/>
      <c r="DP87" s="6"/>
      <c r="DQ87" s="6"/>
      <c r="DR87" s="6"/>
      <c r="DS87" s="6"/>
      <c r="DT87" s="6"/>
      <c r="DZ87" s="13"/>
      <c r="EA87" s="75"/>
      <c r="EB87" s="1053" t="s">
        <v>246</v>
      </c>
      <c r="EC87" s="1054"/>
      <c r="ED87" s="1054"/>
      <c r="EE87" s="1054"/>
      <c r="EF87" s="1054"/>
      <c r="EG87" s="1054"/>
      <c r="EH87" s="1054"/>
      <c r="EI87" s="1055"/>
      <c r="EK87" s="2"/>
      <c r="EO87" s="75"/>
      <c r="EP87" s="76"/>
      <c r="EQ87" s="76"/>
      <c r="ER87" s="76"/>
      <c r="ES87" s="76"/>
      <c r="ET87" s="76"/>
      <c r="EU87" s="76"/>
      <c r="EV87" s="7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S87" s="7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</row>
    <row r="88" spans="9:219" x14ac:dyDescent="0.35">
      <c r="I88" s="37"/>
      <c r="J88" s="37"/>
      <c r="K88" s="37"/>
      <c r="L88" s="37"/>
      <c r="M88" s="37"/>
      <c r="N88" s="37"/>
      <c r="O88" s="37"/>
      <c r="P88" s="37"/>
      <c r="T88" s="78"/>
      <c r="U88" s="6"/>
      <c r="V88" s="6"/>
      <c r="W88" s="6"/>
      <c r="X88" s="6"/>
      <c r="Y88" s="6"/>
      <c r="Z88" s="6"/>
      <c r="AA88" s="6"/>
      <c r="AV88" s="13"/>
      <c r="AX88" s="144">
        <v>0.5</v>
      </c>
      <c r="AY88" s="1038" t="s">
        <v>234</v>
      </c>
      <c r="AZ88" s="1036"/>
      <c r="BA88" s="1036"/>
      <c r="BB88" s="1036"/>
      <c r="BC88" s="1036"/>
      <c r="BD88" s="1036"/>
      <c r="BE88" s="1037"/>
      <c r="CF88" s="144">
        <v>1</v>
      </c>
      <c r="CG88" s="1038" t="s">
        <v>243</v>
      </c>
      <c r="CH88" s="1036"/>
      <c r="CI88" s="1036"/>
      <c r="CJ88" s="1036"/>
      <c r="CK88" s="1036"/>
      <c r="CL88" s="1036"/>
      <c r="CM88" s="1037"/>
      <c r="CO88" s="47"/>
      <c r="CP88" s="6"/>
      <c r="CQ88" s="6"/>
      <c r="CR88" s="6"/>
      <c r="CS88" s="6"/>
      <c r="CT88" s="6"/>
      <c r="CU88" s="6"/>
      <c r="CV88" s="6"/>
      <c r="CW88" s="16"/>
      <c r="CX88" s="6"/>
      <c r="CY88" s="6"/>
      <c r="CZ88" s="6"/>
      <c r="DM88" s="74"/>
      <c r="DN88" s="6"/>
      <c r="DO88" s="6"/>
      <c r="DP88" s="6"/>
      <c r="DQ88" s="6"/>
      <c r="DR88" s="6"/>
      <c r="DS88" s="6"/>
      <c r="DT88" s="6"/>
      <c r="DZ88" s="13"/>
      <c r="EA88" s="74"/>
      <c r="EB88" s="236">
        <v>1</v>
      </c>
      <c r="EC88" s="1038" t="s">
        <v>206</v>
      </c>
      <c r="ED88" s="1036"/>
      <c r="EE88" s="1036"/>
      <c r="EF88" s="1036"/>
      <c r="EG88" s="1036"/>
      <c r="EH88" s="1036"/>
      <c r="EI88" s="1037"/>
      <c r="EK88" s="2"/>
      <c r="EO88" s="74"/>
      <c r="EP88" s="6"/>
      <c r="EQ88" s="6"/>
      <c r="ER88" s="6"/>
      <c r="ES88" s="6"/>
      <c r="ET88" s="6"/>
      <c r="EU88" s="6"/>
      <c r="EV88" s="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S88" s="7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</row>
    <row r="89" spans="9:219" x14ac:dyDescent="0.35">
      <c r="T89" s="75"/>
      <c r="U89" s="76"/>
      <c r="V89" s="76"/>
      <c r="W89" s="76"/>
      <c r="X89" s="76"/>
      <c r="Y89" s="76"/>
      <c r="Z89" s="76"/>
      <c r="AA89" s="76"/>
      <c r="AV89" s="13"/>
      <c r="AX89" s="1063" t="s">
        <v>131</v>
      </c>
      <c r="AY89" s="1064"/>
      <c r="AZ89" s="1064"/>
      <c r="BA89" s="1064"/>
      <c r="BB89" s="1064"/>
      <c r="BC89" s="1064"/>
      <c r="BD89" s="1064"/>
      <c r="BE89" s="1065"/>
      <c r="BH89" s="1066"/>
      <c r="BI89" s="1066"/>
      <c r="BJ89" s="1066"/>
      <c r="BK89" s="1066"/>
      <c r="BL89" s="1066"/>
      <c r="BM89" s="1066"/>
      <c r="BN89" s="1066"/>
      <c r="BO89" s="1066"/>
      <c r="BV89" s="1066"/>
      <c r="BW89" s="1066"/>
      <c r="BX89" s="1066"/>
      <c r="BY89" s="1066"/>
      <c r="BZ89" s="1066"/>
      <c r="CA89" s="1066"/>
      <c r="CB89" s="1066"/>
      <c r="CC89" s="1066"/>
      <c r="CE89" s="7"/>
      <c r="CF89" s="1073" t="s">
        <v>131</v>
      </c>
      <c r="CG89" s="1074"/>
      <c r="CH89" s="1074"/>
      <c r="CI89" s="1074"/>
      <c r="CJ89" s="1074"/>
      <c r="CK89" s="1074"/>
      <c r="CL89" s="1074"/>
      <c r="CM89" s="1075"/>
      <c r="CN89" s="6"/>
      <c r="CO89" s="16"/>
      <c r="CP89" s="37"/>
      <c r="CQ89" s="37"/>
      <c r="CR89" s="37"/>
      <c r="CS89" s="37"/>
      <c r="CT89" s="37"/>
      <c r="CU89" s="37"/>
      <c r="CV89" s="37"/>
      <c r="CW89" s="17"/>
      <c r="CX89" s="37"/>
      <c r="CY89" s="37"/>
      <c r="CZ89" s="37"/>
      <c r="DM89" s="75"/>
      <c r="DN89" s="76"/>
      <c r="DO89" s="76"/>
      <c r="DP89" s="76"/>
      <c r="DQ89" s="76"/>
      <c r="DR89" s="76"/>
      <c r="DS89" s="76"/>
      <c r="DT89" s="76"/>
      <c r="DZ89" s="13"/>
      <c r="EA89" s="75"/>
      <c r="EB89" s="1053" t="s">
        <v>247</v>
      </c>
      <c r="EC89" s="1054"/>
      <c r="ED89" s="1054"/>
      <c r="EE89" s="1054"/>
      <c r="EF89" s="1054"/>
      <c r="EG89" s="1054"/>
      <c r="EH89" s="1054"/>
      <c r="EI89" s="1055"/>
      <c r="EK89" s="2"/>
      <c r="EO89" s="75"/>
      <c r="EP89" s="76"/>
      <c r="EQ89" s="76"/>
      <c r="ER89" s="76"/>
      <c r="ES89" s="76"/>
      <c r="ET89" s="76"/>
      <c r="EU89" s="76"/>
      <c r="EV89" s="76"/>
      <c r="FG89" s="7"/>
      <c r="FH89" s="6"/>
      <c r="FI89" s="6"/>
      <c r="FJ89" s="6"/>
      <c r="FK89" s="6"/>
      <c r="FL89" s="6"/>
      <c r="FM89" s="6"/>
      <c r="FN89" s="6"/>
      <c r="FO89" s="6"/>
      <c r="FP89" s="6"/>
      <c r="FQ89" s="6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7"/>
      <c r="GE89" s="6"/>
      <c r="GF89" s="6"/>
      <c r="GG89" s="6"/>
      <c r="GH89" s="6"/>
      <c r="GI89" s="6"/>
      <c r="GJ89" s="6"/>
      <c r="GK89" s="6"/>
      <c r="GL89" s="6"/>
      <c r="GM89" s="6"/>
      <c r="GN89" s="6"/>
      <c r="HA89" s="7"/>
      <c r="HB89" s="6"/>
      <c r="HC89" s="6"/>
      <c r="HD89" s="6"/>
      <c r="HE89" s="6"/>
      <c r="HF89" s="6"/>
      <c r="HG89" s="6"/>
      <c r="HH89" s="6"/>
      <c r="HI89" s="6"/>
      <c r="HJ89" s="6"/>
      <c r="HK89" s="6"/>
    </row>
    <row r="90" spans="9:219" ht="14.5" customHeight="1" x14ac:dyDescent="0.35">
      <c r="T90" s="78"/>
      <c r="U90" s="6"/>
      <c r="V90" s="6"/>
      <c r="W90" s="6"/>
      <c r="X90" s="6"/>
      <c r="Y90" s="6"/>
      <c r="Z90" s="6"/>
      <c r="AA90" s="6"/>
      <c r="AV90" s="14"/>
      <c r="AW90" s="3"/>
      <c r="AX90" s="43"/>
      <c r="AY90" s="1040"/>
      <c r="AZ90" s="1040"/>
      <c r="BA90" s="1040"/>
      <c r="BB90" s="1040"/>
      <c r="BC90" s="1040"/>
      <c r="BD90" s="1040"/>
      <c r="BE90" s="1040"/>
      <c r="BF90" s="3"/>
      <c r="BG90" s="3"/>
      <c r="BH90" s="135"/>
      <c r="BI90" s="135"/>
      <c r="BJ90" s="135"/>
      <c r="BK90" s="135"/>
      <c r="BL90" s="135"/>
      <c r="BM90" s="135"/>
      <c r="BN90" s="135"/>
      <c r="BO90" s="135"/>
      <c r="BP90" s="3"/>
      <c r="BQ90" s="3"/>
      <c r="BR90" s="3"/>
      <c r="BS90" s="3"/>
      <c r="BT90" s="3"/>
      <c r="BU90" s="3"/>
      <c r="BV90" s="135"/>
      <c r="BW90" s="135"/>
      <c r="BX90" s="135"/>
      <c r="BY90" s="135"/>
      <c r="BZ90" s="135"/>
      <c r="CA90" s="135"/>
      <c r="CB90" s="135"/>
      <c r="CC90" s="135"/>
      <c r="CD90" s="3"/>
      <c r="CE90" s="43"/>
      <c r="CF90" s="43"/>
      <c r="CG90" s="43"/>
      <c r="CH90" s="43"/>
      <c r="CI90" s="43"/>
      <c r="CJ90" s="43"/>
      <c r="CK90" s="43"/>
      <c r="CL90" s="7"/>
      <c r="CM90" s="7"/>
      <c r="CN90" s="7"/>
      <c r="CO90" s="47"/>
      <c r="CP90" s="37"/>
      <c r="CQ90" s="37"/>
      <c r="CR90" s="37"/>
      <c r="CS90" s="37"/>
      <c r="CT90" s="37"/>
      <c r="CU90" s="37"/>
      <c r="CV90" s="37"/>
      <c r="CW90" s="17"/>
      <c r="CX90" s="37"/>
      <c r="CY90" s="37"/>
      <c r="CZ90" s="37"/>
      <c r="DM90" s="75"/>
      <c r="DN90" s="76"/>
      <c r="DO90" s="76"/>
      <c r="DP90" s="76"/>
      <c r="DQ90" s="76"/>
      <c r="DR90" s="76"/>
      <c r="DS90" s="76"/>
      <c r="DT90" s="76"/>
      <c r="DZ90" s="180"/>
      <c r="EA90" s="56"/>
      <c r="EB90" s="236">
        <v>1</v>
      </c>
      <c r="EC90" s="1172" t="s">
        <v>206</v>
      </c>
      <c r="ED90" s="1173"/>
      <c r="EE90" s="1173"/>
      <c r="EF90" s="1173"/>
      <c r="EG90" s="1173"/>
      <c r="EH90" s="1173"/>
      <c r="EI90" s="1174"/>
      <c r="EJ90" s="52"/>
      <c r="EK90" s="2"/>
      <c r="FG90" s="7"/>
      <c r="FH90" s="6"/>
      <c r="FI90" s="6"/>
      <c r="FJ90" s="6"/>
      <c r="FK90" s="6"/>
      <c r="FL90" s="6"/>
      <c r="FM90" s="6"/>
      <c r="FN90" s="6"/>
      <c r="FO90" s="6"/>
      <c r="FP90" s="6"/>
      <c r="FQ90" s="6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7"/>
      <c r="GE90" s="6"/>
      <c r="GF90" s="6"/>
      <c r="GG90" s="6"/>
      <c r="GH90" s="6"/>
      <c r="GI90" s="6"/>
      <c r="GJ90" s="6"/>
      <c r="GK90" s="6"/>
      <c r="GL90" s="6"/>
      <c r="GM90" s="6"/>
      <c r="GN90" s="6"/>
      <c r="HA90" s="7"/>
      <c r="HB90" s="6"/>
      <c r="HC90" s="6"/>
      <c r="HD90" s="6"/>
      <c r="HE90" s="6"/>
      <c r="HF90" s="6"/>
      <c r="HG90" s="6"/>
      <c r="HH90" s="6"/>
      <c r="HI90" s="6"/>
      <c r="HJ90" s="6"/>
      <c r="HK90" s="6"/>
    </row>
    <row r="91" spans="9:219" ht="14.5" customHeight="1" x14ac:dyDescent="0.35">
      <c r="T91" s="35"/>
      <c r="U91" s="35"/>
      <c r="V91" s="35"/>
      <c r="W91" s="35"/>
      <c r="X91" s="35"/>
      <c r="Y91" s="35"/>
      <c r="Z91" s="35"/>
      <c r="AA91" s="35"/>
      <c r="AX91" s="1107"/>
      <c r="AY91" s="1107"/>
      <c r="AZ91" s="1107"/>
      <c r="BA91" s="1107"/>
      <c r="BB91" s="1107"/>
      <c r="BC91" s="1107"/>
      <c r="BD91" s="1107"/>
      <c r="BE91" s="1107"/>
      <c r="BH91" s="72"/>
      <c r="BI91" s="72"/>
      <c r="BJ91" s="72"/>
      <c r="BK91" s="72"/>
      <c r="BL91" s="72"/>
      <c r="BM91" s="72"/>
      <c r="BN91" s="72"/>
      <c r="BO91" s="72"/>
      <c r="BV91" s="72"/>
      <c r="BW91" s="72"/>
      <c r="BX91" s="72"/>
      <c r="BY91" s="72"/>
      <c r="BZ91" s="72"/>
      <c r="CA91" s="72"/>
      <c r="CB91" s="72"/>
      <c r="CC91" s="72"/>
      <c r="CE91" s="7"/>
      <c r="CF91" s="7"/>
      <c r="CG91" s="7"/>
      <c r="CH91" s="7"/>
      <c r="CI91" s="7"/>
      <c r="CJ91" s="7"/>
      <c r="CK91" s="7"/>
      <c r="CL91" s="1132" t="s">
        <v>248</v>
      </c>
      <c r="CM91" s="1133"/>
      <c r="CN91" s="1133"/>
      <c r="CO91" s="1134"/>
      <c r="CP91" s="37"/>
      <c r="CQ91" s="37"/>
      <c r="CV91" s="37"/>
      <c r="CW91" s="17"/>
      <c r="CX91" s="37"/>
      <c r="CY91" s="37"/>
      <c r="CZ91" s="37"/>
      <c r="DM91" s="75"/>
      <c r="DN91" s="76"/>
      <c r="DO91" s="76"/>
      <c r="DP91" s="76"/>
      <c r="DQ91" s="76"/>
      <c r="DR91" s="76"/>
      <c r="DS91" s="76"/>
      <c r="DT91" s="76"/>
      <c r="DZ91" s="180"/>
      <c r="EA91" s="56"/>
      <c r="EB91" s="1196" t="s">
        <v>249</v>
      </c>
      <c r="EC91" s="1197"/>
      <c r="ED91" s="1197"/>
      <c r="EE91" s="1197"/>
      <c r="EF91" s="1197"/>
      <c r="EG91" s="1197"/>
      <c r="EH91" s="1197"/>
      <c r="EI91" s="1198"/>
      <c r="EK91" s="67"/>
      <c r="FG91" s="7"/>
      <c r="FH91" s="6"/>
      <c r="FI91" s="6"/>
      <c r="FJ91" s="6"/>
      <c r="FK91" s="6"/>
      <c r="FL91" s="6"/>
      <c r="FM91" s="6"/>
      <c r="FN91" s="6"/>
      <c r="FO91" s="6"/>
      <c r="FP91" s="6"/>
      <c r="FQ91" s="6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7"/>
      <c r="GE91" s="6"/>
      <c r="GF91" s="6"/>
      <c r="GG91" s="6"/>
      <c r="GH91" s="6"/>
      <c r="GI91" s="6"/>
      <c r="GJ91" s="6"/>
      <c r="GK91" s="6"/>
      <c r="GL91" s="6"/>
      <c r="GM91" s="6"/>
      <c r="GN91" s="6"/>
      <c r="HA91" s="7"/>
      <c r="HB91" s="6"/>
      <c r="HC91" s="6"/>
      <c r="HD91" s="6"/>
      <c r="HE91" s="6"/>
      <c r="HF91" s="6"/>
      <c r="HG91" s="6"/>
      <c r="HH91" s="6"/>
      <c r="HI91" s="6"/>
      <c r="HJ91" s="6"/>
      <c r="HK91" s="6"/>
    </row>
    <row r="92" spans="9:219" ht="14.5" customHeight="1" x14ac:dyDescent="0.35">
      <c r="T92" s="78"/>
      <c r="U92" s="6"/>
      <c r="V92" s="6"/>
      <c r="W92" s="6"/>
      <c r="X92" s="6"/>
      <c r="Y92" s="6"/>
      <c r="Z92" s="6"/>
      <c r="AA92" s="6"/>
      <c r="BH92" s="72"/>
      <c r="BI92" s="72"/>
      <c r="BJ92" s="72"/>
      <c r="BK92" s="72"/>
      <c r="BL92" s="72"/>
      <c r="BM92" s="72"/>
      <c r="BN92" s="72"/>
      <c r="BO92" s="72"/>
      <c r="BV92" s="72"/>
      <c r="BW92" s="72"/>
      <c r="BX92" s="72"/>
      <c r="BY92" s="72"/>
      <c r="BZ92" s="72"/>
      <c r="CA92" s="72"/>
      <c r="CB92" s="72"/>
      <c r="CC92" s="72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37"/>
      <c r="CQ92" s="37"/>
      <c r="CR92" s="37"/>
      <c r="CS92" s="37"/>
      <c r="CT92" s="37"/>
      <c r="CU92" s="37"/>
      <c r="CV92" s="37"/>
      <c r="CW92" s="17"/>
      <c r="CX92" s="37"/>
      <c r="CY92" s="37"/>
      <c r="CZ92" s="37"/>
      <c r="DM92" s="75"/>
      <c r="DN92" s="76"/>
      <c r="DO92" s="76"/>
      <c r="DP92" s="76"/>
      <c r="DQ92" s="76"/>
      <c r="DR92" s="76"/>
      <c r="DS92" s="76"/>
      <c r="DT92" s="76"/>
      <c r="DZ92" s="180"/>
      <c r="EA92" s="56"/>
      <c r="EB92" s="236">
        <v>1</v>
      </c>
      <c r="EC92" s="1172" t="s">
        <v>206</v>
      </c>
      <c r="ED92" s="1173"/>
      <c r="EE92" s="1173"/>
      <c r="EF92" s="1173"/>
      <c r="EG92" s="1173"/>
      <c r="EH92" s="1173"/>
      <c r="EI92" s="1174"/>
      <c r="EK92" s="2"/>
      <c r="FG92" s="7"/>
      <c r="FH92" s="6"/>
      <c r="FI92" s="6"/>
      <c r="FJ92" s="6"/>
      <c r="FK92" s="6"/>
      <c r="FL92" s="6"/>
      <c r="FM92" s="6"/>
      <c r="FN92" s="6"/>
      <c r="FO92" s="6"/>
      <c r="FP92" s="6"/>
      <c r="FQ92" s="6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7"/>
      <c r="GE92" s="6"/>
      <c r="GF92" s="6"/>
      <c r="GG92" s="6"/>
      <c r="GH92" s="6"/>
      <c r="GI92" s="6"/>
      <c r="GJ92" s="6"/>
      <c r="GK92" s="6"/>
      <c r="GL92" s="6"/>
      <c r="GM92" s="6"/>
      <c r="GN92" s="6"/>
      <c r="HA92" s="7"/>
      <c r="HB92" s="6"/>
      <c r="HC92" s="6"/>
      <c r="HD92" s="6"/>
      <c r="HE92" s="6"/>
      <c r="HF92" s="6"/>
      <c r="HG92" s="6"/>
      <c r="HH92" s="6"/>
      <c r="HI92" s="6"/>
      <c r="HJ92" s="6"/>
      <c r="HK92" s="6"/>
    </row>
    <row r="93" spans="9:219" ht="14.5" customHeight="1" x14ac:dyDescent="0.35">
      <c r="T93" s="75"/>
      <c r="U93" s="76"/>
      <c r="V93" s="76"/>
      <c r="W93" s="76"/>
      <c r="X93" s="76"/>
      <c r="Y93" s="76"/>
      <c r="Z93" s="76"/>
      <c r="AA93" s="76"/>
      <c r="BH93" s="72"/>
      <c r="BI93" s="72"/>
      <c r="BJ93" s="72"/>
      <c r="BK93" s="72"/>
      <c r="BL93" s="72"/>
      <c r="BM93" s="72"/>
      <c r="BN93" s="72"/>
      <c r="BO93" s="72"/>
      <c r="BV93" s="72"/>
      <c r="BW93" s="72"/>
      <c r="BX93" s="72"/>
      <c r="BY93" s="72"/>
      <c r="BZ93" s="72"/>
      <c r="CA93" s="72"/>
      <c r="CB93" s="72"/>
      <c r="CC93" s="72"/>
      <c r="CE93" s="7"/>
      <c r="CF93" s="7"/>
      <c r="CG93" s="7"/>
      <c r="CH93" s="7"/>
      <c r="CI93" s="7"/>
      <c r="CJ93" s="7"/>
      <c r="CK93" s="7"/>
      <c r="CP93" s="37"/>
      <c r="CQ93" s="37"/>
      <c r="CR93" s="37"/>
      <c r="CS93" s="37"/>
      <c r="CT93" s="37"/>
      <c r="CU93" s="37"/>
      <c r="CV93" s="37"/>
      <c r="CW93" s="17"/>
      <c r="CX93" s="37"/>
      <c r="CY93" s="37"/>
      <c r="CZ93" s="37"/>
      <c r="DM93" s="75"/>
      <c r="DN93" s="76"/>
      <c r="DO93" s="76"/>
      <c r="DP93" s="76"/>
      <c r="DQ93" s="76"/>
      <c r="DR93" s="76"/>
      <c r="DS93" s="76"/>
      <c r="DT93" s="76"/>
      <c r="DZ93" s="180"/>
      <c r="EA93" s="56"/>
      <c r="EB93" s="1196" t="s">
        <v>250</v>
      </c>
      <c r="EC93" s="1197"/>
      <c r="ED93" s="1197"/>
      <c r="EE93" s="1197"/>
      <c r="EF93" s="1197"/>
      <c r="EG93" s="1197"/>
      <c r="EH93" s="1197"/>
      <c r="EI93" s="1198"/>
      <c r="EK93" s="2"/>
      <c r="FG93" s="7"/>
      <c r="FH93" s="6"/>
      <c r="FI93" s="6"/>
      <c r="FJ93" s="6"/>
      <c r="FK93" s="6"/>
      <c r="FL93" s="6"/>
      <c r="FM93" s="6"/>
      <c r="FN93" s="6"/>
      <c r="FO93" s="6"/>
      <c r="FP93" s="6"/>
      <c r="FQ93" s="6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7"/>
      <c r="GE93" s="6"/>
      <c r="GF93" s="6"/>
      <c r="GG93" s="6"/>
      <c r="GH93" s="6"/>
      <c r="GI93" s="6"/>
      <c r="GJ93" s="6"/>
      <c r="GK93" s="6"/>
      <c r="GL93" s="6"/>
      <c r="GM93" s="6"/>
      <c r="GN93" s="6"/>
      <c r="HA93" s="7"/>
      <c r="HB93" s="6"/>
      <c r="HC93" s="6"/>
      <c r="HD93" s="6"/>
      <c r="HE93" s="6"/>
      <c r="HF93" s="6"/>
      <c r="HG93" s="6"/>
      <c r="HH93" s="6"/>
      <c r="HI93" s="6"/>
      <c r="HJ93" s="6"/>
      <c r="HK93" s="6"/>
    </row>
    <row r="94" spans="9:219" x14ac:dyDescent="0.35">
      <c r="BH94" s="72"/>
      <c r="BI94" s="72"/>
      <c r="BJ94" s="72"/>
      <c r="BK94" s="72"/>
      <c r="BL94" s="72"/>
      <c r="BM94" s="72"/>
      <c r="BN94" s="72"/>
      <c r="BO94" s="72"/>
      <c r="BV94" s="72"/>
      <c r="BW94" s="72"/>
      <c r="BX94" s="72"/>
      <c r="BY94" s="72"/>
      <c r="BZ94" s="72"/>
      <c r="CA94" s="72"/>
      <c r="CB94" s="72"/>
      <c r="CC94" s="72"/>
      <c r="CE94" s="7"/>
      <c r="CF94" s="7"/>
      <c r="CG94" s="7"/>
      <c r="CH94" s="7"/>
      <c r="CI94" s="7"/>
      <c r="CJ94" s="7"/>
      <c r="CK94" s="7"/>
      <c r="CL94" s="53"/>
      <c r="CM94" s="54"/>
      <c r="CN94" s="54"/>
      <c r="CO94" s="54"/>
      <c r="CP94" s="37"/>
      <c r="CQ94" s="37"/>
      <c r="CR94" s="37"/>
      <c r="CS94" s="37"/>
      <c r="CT94" s="37"/>
      <c r="CU94" s="37"/>
      <c r="CV94" s="37"/>
      <c r="CW94" s="17"/>
      <c r="CX94" s="37"/>
      <c r="CY94" s="37"/>
      <c r="CZ94" s="37"/>
      <c r="DM94" s="75"/>
      <c r="DN94" s="76"/>
      <c r="DO94" s="76"/>
      <c r="DP94" s="76"/>
      <c r="DQ94" s="76"/>
      <c r="DR94" s="76"/>
      <c r="DS94" s="76"/>
      <c r="DT94" s="76"/>
      <c r="DZ94" s="180"/>
      <c r="EA94" s="56"/>
      <c r="EB94" s="56"/>
      <c r="EC94" s="56"/>
      <c r="ED94" s="56"/>
      <c r="EE94" s="56"/>
      <c r="EF94" s="56"/>
      <c r="EG94" s="56"/>
      <c r="EK94" s="2"/>
      <c r="FG94" s="7"/>
      <c r="FH94" s="6"/>
      <c r="FI94" s="6"/>
      <c r="FJ94" s="6"/>
      <c r="FK94" s="6"/>
      <c r="FL94" s="6"/>
      <c r="FM94" s="6"/>
      <c r="FN94" s="6"/>
      <c r="FO94" s="6"/>
      <c r="FP94" s="6"/>
      <c r="FQ94" s="6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7"/>
      <c r="GE94" s="6"/>
      <c r="GF94" s="6"/>
      <c r="GG94" s="6"/>
      <c r="GH94" s="6"/>
      <c r="GI94" s="6"/>
      <c r="GJ94" s="6"/>
      <c r="GK94" s="6"/>
      <c r="GL94" s="6"/>
      <c r="GM94" s="6"/>
      <c r="GN94" s="6"/>
      <c r="HA94" s="7"/>
      <c r="HB94" s="6"/>
      <c r="HC94" s="6"/>
      <c r="HD94" s="6"/>
      <c r="HE94" s="6"/>
      <c r="HF94" s="6"/>
      <c r="HG94" s="6"/>
      <c r="HH94" s="6"/>
      <c r="HI94" s="6"/>
      <c r="HJ94" s="6"/>
      <c r="HK94" s="6"/>
    </row>
    <row r="95" spans="9:219" x14ac:dyDescent="0.35">
      <c r="BH95" s="72"/>
      <c r="BI95" s="72"/>
      <c r="BJ95" s="72"/>
      <c r="BK95" s="72"/>
      <c r="BL95" s="72"/>
      <c r="BM95" s="72"/>
      <c r="BN95" s="72"/>
      <c r="BO95" s="72"/>
      <c r="BV95" s="72"/>
      <c r="BW95" s="72"/>
      <c r="BX95" s="72"/>
      <c r="BY95" s="72"/>
      <c r="BZ95" s="72"/>
      <c r="CA95" s="72"/>
      <c r="CB95" s="72"/>
      <c r="CC95" s="72"/>
      <c r="CE95" s="7"/>
      <c r="CF95" s="7"/>
      <c r="CG95" s="7"/>
      <c r="CH95" s="7"/>
      <c r="CI95" s="7"/>
      <c r="CJ95" s="7"/>
      <c r="CK95" s="7"/>
      <c r="CL95" s="53"/>
      <c r="CM95" s="54"/>
      <c r="CN95" s="54"/>
      <c r="CO95" s="54"/>
      <c r="CP95" s="37"/>
      <c r="CQ95" s="37"/>
      <c r="CR95" s="37"/>
      <c r="CS95" s="37"/>
      <c r="CT95" s="37"/>
      <c r="CU95" s="37"/>
      <c r="CV95" s="37"/>
      <c r="CW95" s="17"/>
      <c r="CX95" s="37"/>
      <c r="CY95" s="37"/>
      <c r="CZ95" s="37"/>
      <c r="DM95" s="75"/>
      <c r="DN95" s="76"/>
      <c r="DO95" s="76"/>
      <c r="DP95" s="76"/>
      <c r="DQ95" s="76"/>
      <c r="DR95" s="76"/>
      <c r="DS95" s="76"/>
      <c r="DT95" s="76"/>
      <c r="DZ95" s="195"/>
      <c r="EA95" s="196"/>
      <c r="EB95" s="196"/>
      <c r="EC95" s="196"/>
      <c r="ED95" s="196"/>
      <c r="EE95" s="196"/>
      <c r="EF95" s="196"/>
      <c r="EG95" s="196"/>
      <c r="EH95" s="1070" t="s">
        <v>251</v>
      </c>
      <c r="EI95" s="1071"/>
      <c r="EJ95" s="1071"/>
      <c r="EK95" s="1072"/>
      <c r="FG95" s="7"/>
      <c r="FH95" s="6"/>
      <c r="FI95" s="6"/>
      <c r="FJ95" s="6"/>
      <c r="FK95" s="6"/>
      <c r="FL95" s="6"/>
      <c r="FM95" s="6"/>
      <c r="FN95" s="6"/>
      <c r="FO95" s="6"/>
      <c r="FP95" s="6"/>
      <c r="FQ95" s="6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7"/>
      <c r="GE95" s="6"/>
      <c r="GF95" s="6"/>
      <c r="GG95" s="6"/>
      <c r="GH95" s="6"/>
      <c r="GI95" s="6"/>
      <c r="GJ95" s="6"/>
      <c r="GK95" s="6"/>
      <c r="GL95" s="6"/>
      <c r="GM95" s="6"/>
      <c r="GN95" s="6"/>
      <c r="HA95" s="7"/>
      <c r="HB95" s="6"/>
      <c r="HC95" s="6"/>
      <c r="HD95" s="6"/>
      <c r="HE95" s="6"/>
      <c r="HF95" s="6"/>
      <c r="HG95" s="6"/>
      <c r="HH95" s="6"/>
      <c r="HI95" s="6"/>
      <c r="HJ95" s="6"/>
      <c r="HK95" s="6"/>
    </row>
    <row r="96" spans="9:219" x14ac:dyDescent="0.35">
      <c r="BH96" s="72"/>
      <c r="BI96" s="72"/>
      <c r="BJ96" s="72"/>
      <c r="BK96" s="72"/>
      <c r="BL96" s="72"/>
      <c r="BM96" s="72"/>
      <c r="BN96" s="72"/>
      <c r="BO96" s="72"/>
      <c r="BV96" s="72"/>
      <c r="BW96" s="72"/>
      <c r="BX96" s="72"/>
      <c r="BY96" s="72"/>
      <c r="BZ96" s="72"/>
      <c r="CA96" s="72"/>
      <c r="CB96" s="72"/>
      <c r="CC96" s="72"/>
      <c r="CE96" s="7"/>
      <c r="CF96" s="7"/>
      <c r="CG96" s="7"/>
      <c r="CH96" s="7"/>
      <c r="CI96" s="7"/>
      <c r="CJ96" s="7"/>
      <c r="CK96" s="7"/>
      <c r="CL96" s="53"/>
      <c r="CM96" s="54"/>
      <c r="CN96" s="54"/>
      <c r="CO96" s="54"/>
      <c r="CP96" s="37"/>
      <c r="CQ96" s="37"/>
      <c r="CR96" s="37"/>
      <c r="CS96" s="37"/>
      <c r="CT96" s="37"/>
      <c r="CU96" s="37"/>
      <c r="CV96" s="37"/>
      <c r="CW96" s="17"/>
      <c r="CX96" s="37"/>
      <c r="CY96" s="37"/>
      <c r="CZ96" s="37"/>
      <c r="DM96" s="75"/>
      <c r="DN96" s="76"/>
      <c r="DO96" s="76"/>
      <c r="DP96" s="76"/>
      <c r="DQ96" s="76"/>
      <c r="DR96" s="76"/>
      <c r="DS96" s="76"/>
      <c r="DT96" s="76"/>
      <c r="DZ96" s="77"/>
      <c r="EA96" s="56"/>
      <c r="EB96" s="56"/>
      <c r="EC96" s="56"/>
      <c r="ED96" s="56"/>
      <c r="EE96" s="56"/>
      <c r="EF96" s="56"/>
      <c r="EG96" s="56"/>
      <c r="FG96" s="7"/>
      <c r="FH96" s="6"/>
      <c r="FI96" s="6"/>
      <c r="FJ96" s="6"/>
      <c r="FK96" s="6"/>
      <c r="FL96" s="6"/>
      <c r="FM96" s="6"/>
      <c r="FN96" s="6"/>
      <c r="FO96" s="6"/>
      <c r="FP96" s="6"/>
      <c r="FQ96" s="6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7"/>
      <c r="GE96" s="6"/>
      <c r="GF96" s="6"/>
      <c r="GG96" s="6"/>
      <c r="GH96" s="6"/>
      <c r="GI96" s="6"/>
      <c r="GJ96" s="6"/>
      <c r="GK96" s="6"/>
      <c r="GL96" s="6"/>
      <c r="GM96" s="6"/>
      <c r="GN96" s="6"/>
      <c r="HA96" s="7"/>
      <c r="HB96" s="6"/>
      <c r="HC96" s="6"/>
      <c r="HD96" s="6"/>
      <c r="HE96" s="6"/>
      <c r="HF96" s="6"/>
      <c r="HG96" s="6"/>
      <c r="HH96" s="6"/>
      <c r="HI96" s="6"/>
      <c r="HJ96" s="6"/>
      <c r="HK96" s="6"/>
    </row>
    <row r="97" spans="11:219" x14ac:dyDescent="0.35">
      <c r="BH97" s="7"/>
      <c r="BI97" s="1112"/>
      <c r="BJ97" s="1112"/>
      <c r="BK97" s="1112"/>
      <c r="BL97" s="1112"/>
      <c r="BM97" s="1112"/>
      <c r="BN97" s="1112"/>
      <c r="BO97" s="1112"/>
      <c r="BV97" s="7"/>
      <c r="BW97" s="1112"/>
      <c r="BX97" s="1112"/>
      <c r="BY97" s="1112"/>
      <c r="BZ97" s="1112"/>
      <c r="CA97" s="1112"/>
      <c r="CB97" s="1112"/>
      <c r="CC97" s="1112"/>
      <c r="CE97" s="1096"/>
      <c r="CF97" s="1096"/>
      <c r="CG97" s="1096"/>
      <c r="CH97" s="1096"/>
      <c r="CI97" s="1096"/>
      <c r="CJ97" s="1096"/>
      <c r="CK97" s="1096"/>
      <c r="CL97" s="1096"/>
      <c r="CM97" s="1096"/>
      <c r="CN97" s="1096"/>
      <c r="CO97" s="1096"/>
      <c r="CW97" s="2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</row>
    <row r="98" spans="11:219" x14ac:dyDescent="0.35">
      <c r="BH98" s="1144"/>
      <c r="BI98" s="1144"/>
      <c r="BJ98" s="1144"/>
      <c r="BK98" s="1144"/>
      <c r="BL98" s="1144"/>
      <c r="BM98" s="1144"/>
      <c r="BN98" s="1144"/>
      <c r="BO98" s="1144"/>
      <c r="BV98" s="1144"/>
      <c r="BW98" s="1144"/>
      <c r="BX98" s="1144"/>
      <c r="BY98" s="1144"/>
      <c r="BZ98" s="1144"/>
      <c r="CA98" s="1144"/>
      <c r="CB98" s="1144"/>
      <c r="CC98" s="1144"/>
      <c r="CT98" s="1126" t="s">
        <v>252</v>
      </c>
      <c r="CU98" s="1127"/>
      <c r="CV98" s="1127"/>
      <c r="CW98" s="1127"/>
      <c r="CX98" s="1127"/>
      <c r="CY98" s="1127"/>
      <c r="CZ98" s="1127"/>
      <c r="DA98" s="1128"/>
      <c r="FG98" s="7"/>
      <c r="FH98" s="6"/>
      <c r="FI98" s="6"/>
      <c r="FJ98" s="6"/>
      <c r="FK98" s="6"/>
      <c r="FL98" s="6"/>
      <c r="FM98" s="6"/>
      <c r="FN98" s="6"/>
      <c r="FO98" s="6"/>
      <c r="FP98" s="6"/>
      <c r="FQ98" s="6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</row>
    <row r="99" spans="11:219" x14ac:dyDescent="0.35">
      <c r="CT99" s="1129"/>
      <c r="CU99" s="1130"/>
      <c r="CV99" s="1130"/>
      <c r="CW99" s="1130"/>
      <c r="CX99" s="1130"/>
      <c r="CY99" s="1130"/>
      <c r="CZ99" s="1130"/>
      <c r="DA99" s="1131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</row>
    <row r="100" spans="11:219" x14ac:dyDescent="0.35">
      <c r="CW100" s="2"/>
      <c r="FG100" s="7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HA100" s="7"/>
      <c r="HB100" s="6"/>
      <c r="HC100" s="6"/>
      <c r="HD100" s="6"/>
      <c r="HE100" s="6"/>
      <c r="HF100" s="6"/>
      <c r="HG100" s="6"/>
      <c r="HH100" s="6"/>
      <c r="HI100" s="6"/>
      <c r="HJ100" s="6"/>
      <c r="HK100" s="6"/>
    </row>
    <row r="101" spans="11:219" x14ac:dyDescent="0.35">
      <c r="CE101" s="7"/>
      <c r="CF101" s="1112"/>
      <c r="CG101" s="1112"/>
      <c r="CH101" s="1112"/>
      <c r="CI101" s="1112"/>
      <c r="CJ101" s="1112"/>
      <c r="CK101" s="1112"/>
      <c r="CL101" s="1112"/>
      <c r="CM101" s="1112"/>
      <c r="CN101" s="1112"/>
      <c r="CO101" s="1112"/>
      <c r="CW101" s="2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</row>
    <row r="102" spans="11:219" x14ac:dyDescent="0.35">
      <c r="CE102" s="1144"/>
      <c r="CF102" s="1144"/>
      <c r="CG102" s="1144"/>
      <c r="CH102" s="1144"/>
      <c r="CI102" s="1144"/>
      <c r="CJ102" s="1144"/>
      <c r="CK102" s="1144"/>
      <c r="CL102" s="1144"/>
      <c r="CM102" s="1144"/>
      <c r="CN102" s="1144"/>
      <c r="CO102" s="1144"/>
      <c r="CW102" s="2"/>
      <c r="FG102" s="7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GD102" s="7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HA102" s="7"/>
      <c r="HB102" s="6"/>
      <c r="HC102" s="6"/>
      <c r="HD102" s="6"/>
      <c r="HE102" s="6"/>
      <c r="HF102" s="6"/>
      <c r="HG102" s="6"/>
      <c r="HH102" s="6"/>
      <c r="HI102" s="6"/>
      <c r="HJ102" s="6"/>
      <c r="HK102" s="6"/>
    </row>
    <row r="103" spans="11:219" x14ac:dyDescent="0.35">
      <c r="CW103" s="2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</row>
    <row r="104" spans="11:219" x14ac:dyDescent="0.35">
      <c r="X104" s="5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12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12"/>
      <c r="CX104" s="5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59"/>
      <c r="DY104" s="45"/>
      <c r="DZ104" s="45"/>
      <c r="FG104" s="7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GD104" s="7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</row>
    <row r="105" spans="11:219" x14ac:dyDescent="0.35"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210">
        <f>SUM(T106+T109+N115+N117+N119+N121+Z115+Z117+Z119+Z121+Z123+Z125+Z127+N123+N125)</f>
        <v>15</v>
      </c>
      <c r="AK105" s="13"/>
      <c r="AW105" s="5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12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210">
        <f>SUM(AY118+AY120+BW118+BW120+CG118+BJ127+BJ129+BJ131+BJ133+BI118+BI120+BV127+BV129+BV131+BV133+BP106+BP108+BZ112+BP114+BV135+BV137+BV139+BV141+BV143+BJ135+BJ137+BJ139+BJ141+BJ143+BV145+BV147+BV149+BV151+BV153+BV155+BV157+BV159+BF112+BP112+BP109)</f>
        <v>35.5</v>
      </c>
      <c r="CW105" s="2"/>
      <c r="CX105" s="13"/>
      <c r="DW105" s="21"/>
      <c r="DX105" s="45"/>
      <c r="DY105" s="45"/>
      <c r="DZ105" s="45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</row>
    <row r="106" spans="11:219" x14ac:dyDescent="0.35">
      <c r="L106" s="13"/>
      <c r="S106" s="6"/>
      <c r="T106" s="156">
        <v>1</v>
      </c>
      <c r="U106" s="1029" t="s">
        <v>253</v>
      </c>
      <c r="V106" s="1030"/>
      <c r="W106" s="1030"/>
      <c r="X106" s="1030"/>
      <c r="Y106" s="1030"/>
      <c r="Z106" s="1030"/>
      <c r="AA106" s="1031"/>
      <c r="AK106" s="13"/>
      <c r="AW106" s="13"/>
      <c r="BP106" s="173">
        <v>0.5</v>
      </c>
      <c r="BQ106" s="1172" t="s">
        <v>146</v>
      </c>
      <c r="BR106" s="1173"/>
      <c r="BS106" s="1173"/>
      <c r="BT106" s="1173"/>
      <c r="BU106" s="1173"/>
      <c r="BV106" s="1173"/>
      <c r="BW106" s="1174"/>
      <c r="CE106" s="222"/>
      <c r="CF106" s="207"/>
      <c r="CG106" s="207"/>
      <c r="CH106" s="207"/>
      <c r="CI106" s="207"/>
      <c r="CJ106" s="207"/>
      <c r="CK106" s="207"/>
      <c r="CL106" s="207"/>
      <c r="CP106" s="2"/>
      <c r="CW106" s="2"/>
      <c r="CX106" s="13"/>
      <c r="DT106" s="79">
        <v>0.5</v>
      </c>
      <c r="DU106" s="1029" t="s">
        <v>147</v>
      </c>
      <c r="DV106" s="1030"/>
      <c r="DW106" s="1030"/>
      <c r="DX106" s="1030"/>
      <c r="DY106" s="1030"/>
      <c r="DZ106" s="1030"/>
      <c r="EA106" s="1031"/>
      <c r="EB106" s="6"/>
      <c r="FG106" s="7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</row>
    <row r="107" spans="11:219" x14ac:dyDescent="0.35">
      <c r="L107" s="13"/>
      <c r="S107" s="76"/>
      <c r="T107" s="1026" t="s">
        <v>254</v>
      </c>
      <c r="U107" s="1027"/>
      <c r="V107" s="1027"/>
      <c r="W107" s="1027"/>
      <c r="X107" s="1027"/>
      <c r="Y107" s="1027"/>
      <c r="Z107" s="1027"/>
      <c r="AA107" s="1028"/>
      <c r="AK107" s="13"/>
      <c r="AW107" s="13"/>
      <c r="BP107" s="1196" t="s">
        <v>149</v>
      </c>
      <c r="BQ107" s="1197"/>
      <c r="BR107" s="1197"/>
      <c r="BS107" s="1197"/>
      <c r="BT107" s="1197"/>
      <c r="BU107" s="1197"/>
      <c r="BV107" s="1197"/>
      <c r="BW107" s="1198"/>
      <c r="CE107" s="220"/>
      <c r="CF107" s="223"/>
      <c r="CG107" s="223"/>
      <c r="CH107" s="223"/>
      <c r="CI107" s="223"/>
      <c r="CJ107" s="223"/>
      <c r="CK107" s="223"/>
      <c r="CL107" s="223"/>
      <c r="CP107" s="2"/>
      <c r="CW107" s="2"/>
      <c r="CX107" s="13"/>
      <c r="DN107" s="5"/>
      <c r="DO107" s="4"/>
      <c r="DP107" s="4"/>
      <c r="DQ107" s="4"/>
      <c r="DR107" s="4"/>
      <c r="DS107" s="4"/>
      <c r="DT107" s="1026" t="s">
        <v>150</v>
      </c>
      <c r="DU107" s="1027"/>
      <c r="DV107" s="1027"/>
      <c r="DW107" s="1027"/>
      <c r="DX107" s="1027"/>
      <c r="DY107" s="1027"/>
      <c r="DZ107" s="1027"/>
      <c r="EA107" s="1028"/>
      <c r="EB107" s="4"/>
      <c r="EC107" s="12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</row>
    <row r="108" spans="11:219" x14ac:dyDescent="0.35">
      <c r="L108" s="13"/>
      <c r="W108" s="66"/>
      <c r="AK108" s="13"/>
      <c r="AW108" s="13"/>
      <c r="BP108" s="218"/>
      <c r="BQ108" s="219"/>
      <c r="BR108" s="219"/>
      <c r="BS108" s="221"/>
      <c r="BT108" s="219"/>
      <c r="BU108" s="219"/>
      <c r="BV108" s="219"/>
      <c r="BW108" s="219"/>
      <c r="CE108" s="219"/>
      <c r="CF108" s="219"/>
      <c r="CG108" s="219"/>
      <c r="CH108" s="219"/>
      <c r="CI108" s="219"/>
      <c r="CJ108" s="219"/>
      <c r="CK108" s="219"/>
      <c r="CL108" s="219"/>
      <c r="CP108" s="2"/>
      <c r="CW108" s="2"/>
      <c r="CX108" s="13"/>
      <c r="DN108" s="13"/>
      <c r="DX108" s="45"/>
      <c r="DY108" s="45"/>
      <c r="DZ108" s="45"/>
      <c r="EC108" s="2"/>
      <c r="FG108" s="7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</row>
    <row r="109" spans="11:219" x14ac:dyDescent="0.35">
      <c r="L109" s="13"/>
      <c r="S109" s="6"/>
      <c r="T109" s="156">
        <v>1</v>
      </c>
      <c r="U109" s="1029" t="s">
        <v>145</v>
      </c>
      <c r="V109" s="1030"/>
      <c r="W109" s="1030"/>
      <c r="X109" s="1030"/>
      <c r="Y109" s="1030"/>
      <c r="Z109" s="1030"/>
      <c r="AA109" s="1031"/>
      <c r="AK109" s="13"/>
      <c r="AW109" s="13"/>
      <c r="BP109" s="230">
        <v>1</v>
      </c>
      <c r="BQ109" s="1057" t="s">
        <v>151</v>
      </c>
      <c r="BR109" s="1058"/>
      <c r="BS109" s="1058"/>
      <c r="BT109" s="1058"/>
      <c r="BU109" s="1058"/>
      <c r="BV109" s="1058"/>
      <c r="BW109" s="1059"/>
      <c r="BX109" s="225"/>
      <c r="BY109" s="3"/>
      <c r="BZ109" s="3"/>
      <c r="CA109" s="3"/>
      <c r="CC109" s="3"/>
      <c r="CD109" s="223"/>
      <c r="CE109" s="223"/>
      <c r="CF109" s="223"/>
      <c r="CH109" s="223"/>
      <c r="CI109" s="223"/>
      <c r="CJ109" s="223"/>
      <c r="CK109" s="223"/>
      <c r="CL109" s="223"/>
      <c r="CP109" s="2"/>
      <c r="CW109" s="2"/>
      <c r="DC109" s="5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5"/>
      <c r="DO109" s="4"/>
      <c r="DP109" s="4"/>
      <c r="DQ109" s="4"/>
      <c r="DR109" s="4"/>
      <c r="DS109" s="4"/>
      <c r="DT109" s="4"/>
      <c r="DU109" s="4"/>
      <c r="DV109" s="4"/>
      <c r="DW109" s="4"/>
      <c r="DX109" s="79" t="e">
        <f>SUM(DJ110+DJ113+DE116+DE118+DE120+DE122+DE124+DE126+DE128+DE130+DE132+DE134+DE136+DE138+DE140+DE144+DE146+DE148+DE142+DO116+DO118+DO120+DO122+DO124+DO126+DO128+DO130+DO132+DO134+DO136+DO138+DO140+#REF!)</f>
        <v>#REF!</v>
      </c>
      <c r="DY109" s="45"/>
      <c r="DZ109" s="65"/>
      <c r="EA109" s="4"/>
      <c r="EB109" s="4"/>
      <c r="EC109" s="12"/>
      <c r="ED109" s="4"/>
      <c r="EE109" s="4"/>
      <c r="EF109" s="4"/>
      <c r="EG109" s="4"/>
      <c r="EH109" s="4"/>
      <c r="EI109" s="4"/>
      <c r="EJ109" s="4"/>
      <c r="EK109" s="210">
        <f>SUM(EB110+EB113+EB116+EB118+EB120+EB122+EB124+EB126+EB128+EB130+EB132+EB134+EB136+EB138+EB140+EB142)</f>
        <v>15.5</v>
      </c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</row>
    <row r="110" spans="11:219" x14ac:dyDescent="0.35">
      <c r="L110" s="13"/>
      <c r="T110" s="1026" t="s">
        <v>255</v>
      </c>
      <c r="U110" s="1027"/>
      <c r="V110" s="1027"/>
      <c r="W110" s="1027"/>
      <c r="X110" s="1027"/>
      <c r="Y110" s="1027"/>
      <c r="Z110" s="1027"/>
      <c r="AA110" s="1028"/>
      <c r="AJ110" s="39"/>
      <c r="AK110" s="134"/>
      <c r="AL110" s="39"/>
      <c r="AM110" s="39"/>
      <c r="AN110" s="39"/>
      <c r="AO110" s="39"/>
      <c r="AP110" s="39"/>
      <c r="AQ110" s="39"/>
      <c r="AR110" s="39"/>
      <c r="AS110" s="38"/>
      <c r="AT110" s="39"/>
      <c r="AU110" s="39"/>
      <c r="AV110" s="39"/>
      <c r="AW110" s="134"/>
      <c r="AX110" s="39"/>
      <c r="BJ110" s="226"/>
      <c r="BK110" s="224"/>
      <c r="BL110" s="224"/>
      <c r="BM110" s="224"/>
      <c r="BN110" s="224"/>
      <c r="BO110" s="224"/>
      <c r="BP110" s="1200" t="s">
        <v>256</v>
      </c>
      <c r="BQ110" s="1201"/>
      <c r="BR110" s="1201"/>
      <c r="BS110" s="1201"/>
      <c r="BT110" s="1201"/>
      <c r="BU110" s="1201"/>
      <c r="BV110" s="1201"/>
      <c r="BW110" s="1202"/>
      <c r="CB110" s="224"/>
      <c r="CC110" s="154"/>
      <c r="CE110" s="207"/>
      <c r="CF110" s="207"/>
      <c r="CG110" s="207"/>
      <c r="CH110" s="207"/>
      <c r="CI110" s="207"/>
      <c r="CJ110" s="207"/>
      <c r="CK110" s="207"/>
      <c r="CL110" s="207"/>
      <c r="CO110" s="39"/>
      <c r="CP110" s="129"/>
      <c r="CQ110" s="39"/>
      <c r="CR110" s="39"/>
      <c r="CS110" s="39"/>
      <c r="CT110" s="39"/>
      <c r="CU110" s="39"/>
      <c r="CV110" s="39"/>
      <c r="CW110" s="69"/>
      <c r="DC110" s="13"/>
      <c r="DJ110" s="236">
        <v>1</v>
      </c>
      <c r="DK110" s="1038" t="s">
        <v>153</v>
      </c>
      <c r="DL110" s="1036"/>
      <c r="DM110" s="1036"/>
      <c r="DN110" s="1036"/>
      <c r="DO110" s="1036"/>
      <c r="DP110" s="1036"/>
      <c r="DQ110" s="1037"/>
      <c r="DR110" s="78"/>
      <c r="DS110" s="78"/>
      <c r="DT110" s="78"/>
      <c r="DU110" s="6"/>
      <c r="DV110" s="6"/>
      <c r="DW110" s="6"/>
      <c r="DX110" s="16"/>
      <c r="DY110" s="6"/>
      <c r="DZ110" s="127"/>
      <c r="EA110" s="6"/>
      <c r="EB110" s="211">
        <v>0.5</v>
      </c>
      <c r="EC110" s="1038" t="s">
        <v>154</v>
      </c>
      <c r="ED110" s="1036"/>
      <c r="EE110" s="1036"/>
      <c r="EF110" s="1036"/>
      <c r="EG110" s="1036"/>
      <c r="EH110" s="1036"/>
      <c r="EI110" s="1037"/>
      <c r="EJ110" s="38"/>
      <c r="EK110" s="2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FG110" s="74"/>
      <c r="FH110" s="6"/>
      <c r="FI110" s="6"/>
      <c r="FJ110" s="6"/>
      <c r="FK110" s="6"/>
      <c r="FL110" s="6"/>
      <c r="FM110" s="6"/>
      <c r="FN110" s="6"/>
    </row>
    <row r="111" spans="11:219" x14ac:dyDescent="0.35">
      <c r="L111" s="13"/>
      <c r="W111" s="12"/>
      <c r="AJ111" s="7"/>
      <c r="AK111" s="40"/>
      <c r="AL111" s="6"/>
      <c r="AM111" s="6"/>
      <c r="AN111" s="6"/>
      <c r="AO111" s="6"/>
      <c r="AP111" s="6"/>
      <c r="AQ111" s="6"/>
      <c r="AR111" s="6"/>
      <c r="AS111" s="7"/>
      <c r="AW111" s="13"/>
      <c r="BJ111" s="150"/>
      <c r="BP111" s="220"/>
      <c r="BQ111" s="208"/>
      <c r="BR111" s="208"/>
      <c r="BS111" s="208"/>
      <c r="BT111" s="208"/>
      <c r="BU111" s="208"/>
      <c r="BV111" s="208"/>
      <c r="BW111" s="208"/>
      <c r="CC111" s="154"/>
      <c r="CE111" s="220"/>
      <c r="CF111" s="220"/>
      <c r="CG111" s="220"/>
      <c r="CH111" s="220"/>
      <c r="CI111" s="220"/>
      <c r="CJ111" s="220"/>
      <c r="CK111" s="220"/>
      <c r="CL111" s="220"/>
      <c r="CQ111" s="13"/>
      <c r="CU111" s="6"/>
      <c r="CV111" s="6"/>
      <c r="CW111" s="16"/>
      <c r="DC111" s="13"/>
      <c r="DJ111" s="1053" t="s">
        <v>257</v>
      </c>
      <c r="DK111" s="1054"/>
      <c r="DL111" s="1054"/>
      <c r="DM111" s="1054"/>
      <c r="DN111" s="1054"/>
      <c r="DO111" s="1054"/>
      <c r="DP111" s="1054"/>
      <c r="DQ111" s="1055"/>
      <c r="DR111" s="78"/>
      <c r="DS111" s="78"/>
      <c r="DT111" s="78"/>
      <c r="DU111" s="45"/>
      <c r="DV111" s="45"/>
      <c r="DW111" s="45"/>
      <c r="DX111" s="62"/>
      <c r="DY111" s="45"/>
      <c r="DZ111" s="128"/>
      <c r="EA111" s="76"/>
      <c r="EB111" s="1053" t="s">
        <v>158</v>
      </c>
      <c r="EC111" s="1054"/>
      <c r="ED111" s="1054"/>
      <c r="EE111" s="1054"/>
      <c r="EF111" s="1054"/>
      <c r="EG111" s="1054"/>
      <c r="EH111" s="1054"/>
      <c r="EI111" s="1055"/>
      <c r="EJ111" s="7"/>
      <c r="EK111" s="2"/>
      <c r="EM111" s="7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FG111" s="75"/>
      <c r="FH111" s="76"/>
      <c r="FI111" s="76"/>
      <c r="FJ111" s="76"/>
      <c r="FK111" s="76"/>
      <c r="FL111" s="76"/>
      <c r="FM111" s="76"/>
      <c r="FN111" s="76"/>
    </row>
    <row r="112" spans="11:219" x14ac:dyDescent="0.35">
      <c r="L112" s="13"/>
      <c r="R112" s="3"/>
      <c r="S112" s="3"/>
      <c r="T112" s="3"/>
      <c r="U112" s="3"/>
      <c r="V112" s="3"/>
      <c r="W112" s="21"/>
      <c r="X112" s="14"/>
      <c r="Y112" s="3"/>
      <c r="Z112" s="3"/>
      <c r="AA112" s="3"/>
      <c r="AB112" s="3"/>
      <c r="AC112" s="3"/>
      <c r="AK112" s="13"/>
      <c r="AM112" s="37"/>
      <c r="AN112" s="37"/>
      <c r="AO112" s="37"/>
      <c r="AP112" s="37"/>
      <c r="AQ112" s="37"/>
      <c r="AR112" s="37"/>
      <c r="AS112" s="37"/>
      <c r="AW112" s="13"/>
      <c r="BF112" s="174">
        <v>1</v>
      </c>
      <c r="BG112" s="1172" t="s">
        <v>258</v>
      </c>
      <c r="BH112" s="1173"/>
      <c r="BI112" s="1173"/>
      <c r="BJ112" s="1173"/>
      <c r="BK112" s="1173"/>
      <c r="BL112" s="1173"/>
      <c r="BM112" s="1174"/>
      <c r="BP112" s="181">
        <v>1</v>
      </c>
      <c r="BQ112" s="1220" t="s">
        <v>259</v>
      </c>
      <c r="BR112" s="1213"/>
      <c r="BS112" s="1213"/>
      <c r="BT112" s="1213"/>
      <c r="BU112" s="1213"/>
      <c r="BV112" s="1213"/>
      <c r="BW112" s="1221"/>
      <c r="BZ112" s="174"/>
      <c r="CA112" s="1218" t="s">
        <v>260</v>
      </c>
      <c r="CB112" s="1218"/>
      <c r="CC112" s="1218"/>
      <c r="CD112" s="1218"/>
      <c r="CE112" s="1218"/>
      <c r="CF112" s="1218"/>
      <c r="CG112" s="1218"/>
      <c r="CH112" s="207"/>
      <c r="CI112" s="207"/>
      <c r="CJ112" s="207"/>
      <c r="CK112" s="207"/>
      <c r="CL112" s="207"/>
      <c r="CQ112" s="13"/>
      <c r="CU112" s="37"/>
      <c r="CV112" s="37"/>
      <c r="CW112" s="17"/>
      <c r="DC112" s="13"/>
      <c r="DM112" s="2"/>
      <c r="DR112" s="78"/>
      <c r="DS112" s="78"/>
      <c r="DT112" s="78"/>
      <c r="DX112" s="62"/>
      <c r="DY112" s="45"/>
      <c r="DZ112" s="128"/>
      <c r="EA112" s="76"/>
      <c r="EB112" s="75"/>
      <c r="EC112" s="76"/>
      <c r="ED112" s="76"/>
      <c r="EE112" s="90"/>
      <c r="EF112" s="76"/>
      <c r="EG112" s="76"/>
      <c r="EH112" s="76"/>
      <c r="EI112" s="76"/>
      <c r="EJ112" s="36"/>
      <c r="EK112" s="2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FG112" s="75"/>
      <c r="FH112" s="76"/>
      <c r="FI112" s="76"/>
      <c r="FJ112" s="76"/>
      <c r="FK112" s="76"/>
      <c r="FL112" s="76"/>
      <c r="FM112" s="76"/>
      <c r="FN112" s="76"/>
      <c r="FR112" s="7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Z112" s="7"/>
      <c r="HA112" s="1112"/>
      <c r="HB112" s="1112"/>
      <c r="HC112" s="1112"/>
      <c r="HD112" s="1112"/>
      <c r="HE112" s="1112"/>
      <c r="HF112" s="1112"/>
      <c r="HG112" s="1112"/>
      <c r="HH112" s="1112"/>
      <c r="HI112" s="1112"/>
      <c r="HJ112" s="1112"/>
    </row>
    <row r="113" spans="12:219" x14ac:dyDescent="0.35">
      <c r="L113" s="13"/>
      <c r="R113" s="205"/>
      <c r="AD113" s="14"/>
      <c r="AK113" s="13"/>
      <c r="AM113" s="6"/>
      <c r="AN113" s="6"/>
      <c r="AO113" s="6"/>
      <c r="AP113" s="6"/>
      <c r="AQ113" s="6"/>
      <c r="AR113" s="6"/>
      <c r="AS113" s="6"/>
      <c r="AW113" s="13"/>
      <c r="BF113" s="1196" t="s">
        <v>261</v>
      </c>
      <c r="BG113" s="1197"/>
      <c r="BH113" s="1197"/>
      <c r="BI113" s="1197"/>
      <c r="BJ113" s="1197"/>
      <c r="BK113" s="1197"/>
      <c r="BL113" s="1197"/>
      <c r="BM113" s="1222"/>
      <c r="BN113" s="227"/>
      <c r="BO113" s="228"/>
      <c r="BP113" s="1200" t="s">
        <v>262</v>
      </c>
      <c r="BQ113" s="1201"/>
      <c r="BR113" s="1201"/>
      <c r="BS113" s="1201"/>
      <c r="BT113" s="1201"/>
      <c r="BU113" s="1201"/>
      <c r="BV113" s="1201"/>
      <c r="BW113" s="1202"/>
      <c r="BX113" s="224"/>
      <c r="BY113" s="224"/>
      <c r="BZ113" s="1219" t="s">
        <v>263</v>
      </c>
      <c r="CA113" s="1219"/>
      <c r="CB113" s="1219"/>
      <c r="CC113" s="1219"/>
      <c r="CD113" s="1219"/>
      <c r="CE113" s="1219"/>
      <c r="CF113" s="1219"/>
      <c r="CG113" s="1219"/>
      <c r="CH113" s="220"/>
      <c r="CI113" s="220"/>
      <c r="CJ113" s="220"/>
      <c r="CK113" s="220"/>
      <c r="CL113" s="220"/>
      <c r="CQ113" s="13"/>
      <c r="CU113" s="6"/>
      <c r="CV113" s="6"/>
      <c r="CW113" s="2"/>
      <c r="DC113" s="13"/>
      <c r="DJ113" s="236">
        <v>1</v>
      </c>
      <c r="DK113" s="1038" t="s">
        <v>167</v>
      </c>
      <c r="DL113" s="1036"/>
      <c r="DM113" s="1036"/>
      <c r="DN113" s="1036"/>
      <c r="DO113" s="1036"/>
      <c r="DP113" s="1036"/>
      <c r="DQ113" s="1037"/>
      <c r="DR113" s="78"/>
      <c r="DS113" s="78"/>
      <c r="DT113" s="78"/>
      <c r="DX113" s="62"/>
      <c r="DY113" s="45"/>
      <c r="DZ113" s="127"/>
      <c r="EA113" s="6"/>
      <c r="EB113" s="236">
        <v>1</v>
      </c>
      <c r="EC113" s="1038" t="s">
        <v>168</v>
      </c>
      <c r="ED113" s="1036"/>
      <c r="EE113" s="1036"/>
      <c r="EF113" s="1036"/>
      <c r="EG113" s="1036"/>
      <c r="EH113" s="1036"/>
      <c r="EI113" s="1037"/>
      <c r="EK113" s="2"/>
      <c r="FA113" s="7"/>
      <c r="FB113" s="6"/>
      <c r="FC113" s="6"/>
      <c r="FD113" s="6"/>
      <c r="FE113" s="6"/>
      <c r="FF113" s="6"/>
      <c r="FG113" s="74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V113" s="7"/>
      <c r="FW113" s="7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HA113" s="7"/>
      <c r="HB113" s="1112"/>
      <c r="HC113" s="1112"/>
      <c r="HD113" s="1112"/>
      <c r="HE113" s="1112"/>
      <c r="HF113" s="1112"/>
      <c r="HG113" s="1112"/>
      <c r="HH113" s="1112"/>
      <c r="HI113" s="1112"/>
      <c r="HJ113" s="1112"/>
      <c r="HK113" s="1112"/>
    </row>
    <row r="114" spans="12:219" x14ac:dyDescent="0.35">
      <c r="L114" s="13"/>
      <c r="N114" s="1209" t="s">
        <v>264</v>
      </c>
      <c r="O114" s="1210"/>
      <c r="P114" s="1210"/>
      <c r="Q114" s="1210"/>
      <c r="R114" s="1210"/>
      <c r="S114" s="1210"/>
      <c r="T114" s="1210"/>
      <c r="U114" s="1210"/>
      <c r="V114" s="1211"/>
      <c r="Z114" s="1175" t="s">
        <v>265</v>
      </c>
      <c r="AA114" s="1176"/>
      <c r="AB114" s="1176"/>
      <c r="AC114" s="1176"/>
      <c r="AD114" s="1176"/>
      <c r="AE114" s="1176"/>
      <c r="AF114" s="1176"/>
      <c r="AG114" s="1176"/>
      <c r="AH114" s="1177"/>
      <c r="AK114" s="13"/>
      <c r="AM114" s="37"/>
      <c r="AN114" s="37"/>
      <c r="AO114" s="37"/>
      <c r="AP114" s="37"/>
      <c r="AQ114" s="37"/>
      <c r="AR114" s="37"/>
      <c r="AS114" s="37"/>
      <c r="AW114" s="13"/>
      <c r="BP114" s="207"/>
      <c r="BQ114" s="207"/>
      <c r="BR114" s="207"/>
      <c r="BS114" s="229"/>
      <c r="BT114" s="207"/>
      <c r="BU114" s="207"/>
      <c r="BV114" s="207"/>
      <c r="BW114" s="207"/>
      <c r="CE114" s="207"/>
      <c r="CF114" s="207"/>
      <c r="CG114" s="207"/>
      <c r="CH114" s="207"/>
      <c r="CI114" s="207"/>
      <c r="CJ114" s="207"/>
      <c r="CK114" s="207"/>
      <c r="CL114" s="207"/>
      <c r="CQ114" s="13"/>
      <c r="CU114" s="37"/>
      <c r="CV114" s="37"/>
      <c r="CW114" s="2"/>
      <c r="DC114" s="13"/>
      <c r="DI114" s="5"/>
      <c r="DJ114" s="1053" t="s">
        <v>266</v>
      </c>
      <c r="DK114" s="1054"/>
      <c r="DL114" s="1054"/>
      <c r="DM114" s="1054"/>
      <c r="DN114" s="1054"/>
      <c r="DO114" s="1054"/>
      <c r="DP114" s="1054"/>
      <c r="DQ114" s="1055"/>
      <c r="DR114" s="81"/>
      <c r="DS114" s="82"/>
      <c r="DT114" s="78"/>
      <c r="DX114" s="62"/>
      <c r="DY114" s="45"/>
      <c r="DZ114" s="128"/>
      <c r="EA114" s="76"/>
      <c r="EB114" s="1053" t="s">
        <v>267</v>
      </c>
      <c r="EC114" s="1054"/>
      <c r="ED114" s="1054"/>
      <c r="EE114" s="1054"/>
      <c r="EF114" s="1054"/>
      <c r="EG114" s="1054"/>
      <c r="EH114" s="1054"/>
      <c r="EI114" s="1055"/>
      <c r="EK114" s="2"/>
      <c r="FA114" s="37"/>
      <c r="FB114" s="37"/>
      <c r="FC114" s="37"/>
      <c r="FD114" s="37"/>
      <c r="FE114" s="37"/>
      <c r="FF114" s="37"/>
      <c r="FG114" s="75"/>
      <c r="FH114" s="76"/>
      <c r="FI114" s="76"/>
      <c r="FJ114" s="76"/>
      <c r="FK114" s="76"/>
      <c r="FL114" s="76"/>
      <c r="FM114" s="76"/>
      <c r="FN114" s="76"/>
      <c r="FO114" s="37"/>
      <c r="FP114" s="37"/>
      <c r="FQ114" s="37"/>
      <c r="FR114" s="37"/>
      <c r="FS114" s="37"/>
      <c r="FT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HA114" s="1096"/>
      <c r="HB114" s="1096"/>
      <c r="HC114" s="1096"/>
      <c r="HD114" s="1096"/>
      <c r="HE114" s="1096"/>
      <c r="HF114" s="1096"/>
      <c r="HG114" s="1096"/>
      <c r="HH114" s="1096"/>
      <c r="HI114" s="1096"/>
      <c r="HJ114" s="1096"/>
      <c r="HK114" s="1096"/>
    </row>
    <row r="115" spans="12:219" x14ac:dyDescent="0.35">
      <c r="L115" s="13"/>
      <c r="N115" s="179">
        <v>1</v>
      </c>
      <c r="O115" s="1212" t="s">
        <v>169</v>
      </c>
      <c r="P115" s="1213"/>
      <c r="Q115" s="1213"/>
      <c r="R115" s="1213"/>
      <c r="S115" s="1213"/>
      <c r="T115" s="1213"/>
      <c r="U115" s="1213"/>
      <c r="V115" s="1214"/>
      <c r="Z115" s="179">
        <v>1</v>
      </c>
      <c r="AA115" s="1178" t="s">
        <v>160</v>
      </c>
      <c r="AB115" s="1179"/>
      <c r="AC115" s="1179"/>
      <c r="AD115" s="1179"/>
      <c r="AE115" s="1179"/>
      <c r="AF115" s="1179"/>
      <c r="AG115" s="1179"/>
      <c r="AH115" s="1180"/>
      <c r="AK115" s="13"/>
      <c r="AW115" s="13"/>
      <c r="BG115" s="3"/>
      <c r="BH115" s="3"/>
      <c r="BI115" s="3"/>
      <c r="BJ115" s="3"/>
      <c r="BK115" s="3"/>
      <c r="BL115" s="3"/>
      <c r="BN115" s="3"/>
      <c r="BO115" s="3"/>
      <c r="BP115" s="231"/>
      <c r="BQ115" s="231"/>
      <c r="BR115" s="231"/>
      <c r="BS115" s="232"/>
      <c r="BT115" s="231"/>
      <c r="BU115" s="231"/>
      <c r="BV115" s="231"/>
      <c r="BW115" s="231"/>
      <c r="CQ115" s="13"/>
      <c r="CW115" s="2"/>
      <c r="DC115" s="13"/>
      <c r="DI115" s="14"/>
      <c r="DK115" s="7"/>
      <c r="DL115" s="7"/>
      <c r="DM115" s="6"/>
      <c r="DN115" s="6"/>
      <c r="DO115" s="6"/>
      <c r="DP115" s="6"/>
      <c r="DQ115" s="6"/>
      <c r="DR115" s="19"/>
      <c r="DS115" s="20"/>
      <c r="DT115" s="6"/>
      <c r="DU115" s="6"/>
      <c r="DV115" s="6"/>
      <c r="DW115" s="6"/>
      <c r="DX115" s="16"/>
      <c r="DY115" s="6"/>
      <c r="DZ115" s="128"/>
      <c r="EA115" s="76"/>
      <c r="EB115" s="75"/>
      <c r="EC115" s="76"/>
      <c r="ED115" s="76"/>
      <c r="EE115" s="217"/>
      <c r="EF115" s="76"/>
      <c r="EG115" s="76"/>
      <c r="EH115" s="76"/>
      <c r="EI115" s="76"/>
      <c r="EK115" s="2"/>
      <c r="FA115" s="7"/>
      <c r="FB115" s="6"/>
      <c r="FC115" s="6"/>
      <c r="FD115" s="6"/>
      <c r="FE115" s="6"/>
      <c r="FF115" s="6"/>
      <c r="FG115" s="75"/>
      <c r="FH115" s="76"/>
      <c r="FI115" s="76"/>
      <c r="FJ115" s="76"/>
      <c r="FK115" s="76"/>
      <c r="FL115" s="76"/>
      <c r="FM115" s="76"/>
      <c r="FN115" s="76"/>
      <c r="FO115" s="6"/>
      <c r="FP115" s="6"/>
      <c r="FQ115" s="6"/>
      <c r="FR115" s="6"/>
      <c r="FS115" s="6"/>
      <c r="FT115" s="6"/>
      <c r="FV115" s="7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HA115" s="7"/>
      <c r="HB115" s="1112"/>
      <c r="HC115" s="1112"/>
      <c r="HD115" s="1112"/>
      <c r="HE115" s="1112"/>
      <c r="HF115" s="1112"/>
      <c r="HG115" s="1112"/>
      <c r="HH115" s="1112"/>
      <c r="HI115" s="1112"/>
      <c r="HJ115" s="1112"/>
      <c r="HK115" s="1112"/>
    </row>
    <row r="116" spans="12:219" x14ac:dyDescent="0.35">
      <c r="L116" s="13"/>
      <c r="N116" s="1181" t="s">
        <v>268</v>
      </c>
      <c r="O116" s="1182"/>
      <c r="P116" s="1182"/>
      <c r="Q116" s="1182"/>
      <c r="R116" s="1182"/>
      <c r="S116" s="1182"/>
      <c r="T116" s="1182"/>
      <c r="U116" s="1182"/>
      <c r="V116" s="1183"/>
      <c r="Z116" s="1181" t="s">
        <v>269</v>
      </c>
      <c r="AA116" s="1182"/>
      <c r="AB116" s="1182"/>
      <c r="AC116" s="1182"/>
      <c r="AD116" s="1182"/>
      <c r="AE116" s="1182"/>
      <c r="AF116" s="1182"/>
      <c r="AG116" s="1182"/>
      <c r="AH116" s="1183"/>
      <c r="AK116" s="13"/>
      <c r="AV116" s="6"/>
      <c r="AW116" s="40"/>
      <c r="AX116" s="6"/>
      <c r="BB116" s="2"/>
      <c r="BC116" s="4"/>
      <c r="BD116" s="4"/>
      <c r="BE116" s="4"/>
      <c r="BF116" s="4"/>
      <c r="BM116" s="238"/>
      <c r="BS116" s="2"/>
      <c r="BX116" s="4"/>
      <c r="BY116" s="4"/>
      <c r="BZ116" s="12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13"/>
      <c r="CO116" s="7"/>
      <c r="CP116" s="16"/>
      <c r="CQ116" s="6"/>
      <c r="CW116" s="2"/>
      <c r="DC116" s="13"/>
      <c r="DE116" s="1">
        <v>1</v>
      </c>
      <c r="DF116" s="1029" t="s">
        <v>183</v>
      </c>
      <c r="DG116" s="1030"/>
      <c r="DH116" s="1030"/>
      <c r="DI116" s="1030"/>
      <c r="DJ116" s="1030"/>
      <c r="DK116" s="1030"/>
      <c r="DL116" s="1031"/>
      <c r="DO116" s="1">
        <v>1</v>
      </c>
      <c r="DP116" s="1029" t="s">
        <v>270</v>
      </c>
      <c r="DQ116" s="1030"/>
      <c r="DR116" s="1030"/>
      <c r="DS116" s="1030"/>
      <c r="DT116" s="1030"/>
      <c r="DU116" s="1030"/>
      <c r="DV116" s="1031"/>
      <c r="DX116" s="2"/>
      <c r="DZ116" s="46"/>
      <c r="EA116" s="6"/>
      <c r="EB116" s="1">
        <v>1</v>
      </c>
      <c r="EC116" s="1029" t="s">
        <v>206</v>
      </c>
      <c r="ED116" s="1030"/>
      <c r="EE116" s="1030"/>
      <c r="EF116" s="1030"/>
      <c r="EG116" s="1030"/>
      <c r="EH116" s="1030"/>
      <c r="EI116" s="1031"/>
      <c r="EK116" s="2"/>
      <c r="FA116" s="37"/>
      <c r="FB116" s="37"/>
      <c r="FC116" s="37"/>
      <c r="FD116" s="37"/>
      <c r="FE116" s="37"/>
      <c r="FF116" s="37"/>
      <c r="FG116" s="7"/>
      <c r="FH116" s="6"/>
      <c r="FI116" s="6"/>
      <c r="FJ116" s="6"/>
      <c r="FK116" s="6"/>
      <c r="FL116" s="6"/>
      <c r="FM116" s="6"/>
      <c r="FN116" s="6"/>
      <c r="FO116" s="37"/>
      <c r="FP116" s="37"/>
      <c r="FQ116" s="37"/>
      <c r="FR116" s="37"/>
      <c r="FS116" s="37"/>
      <c r="FT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HA116" s="1096"/>
      <c r="HB116" s="1096"/>
      <c r="HC116" s="1096"/>
      <c r="HD116" s="1096"/>
      <c r="HE116" s="1096"/>
      <c r="HF116" s="1096"/>
      <c r="HG116" s="1096"/>
      <c r="HH116" s="1096"/>
      <c r="HI116" s="1096"/>
      <c r="HJ116" s="1096"/>
      <c r="HK116" s="1096"/>
    </row>
    <row r="117" spans="12:219" x14ac:dyDescent="0.35">
      <c r="L117" s="13"/>
      <c r="N117" s="204">
        <v>1</v>
      </c>
      <c r="O117" s="1178" t="s">
        <v>169</v>
      </c>
      <c r="P117" s="1179"/>
      <c r="Q117" s="1179"/>
      <c r="R117" s="1179"/>
      <c r="S117" s="1179"/>
      <c r="T117" s="1179"/>
      <c r="U117" s="1179"/>
      <c r="V117" s="1180"/>
      <c r="Z117" s="179">
        <v>1</v>
      </c>
      <c r="AA117" s="1178" t="s">
        <v>170</v>
      </c>
      <c r="AB117" s="1179"/>
      <c r="AC117" s="1179"/>
      <c r="AD117" s="1179"/>
      <c r="AE117" s="1179"/>
      <c r="AF117" s="1179"/>
      <c r="AG117" s="1179"/>
      <c r="AH117" s="1180"/>
      <c r="AK117" s="13"/>
      <c r="AV117" s="37"/>
      <c r="AW117" s="41"/>
      <c r="AX117" s="37"/>
      <c r="AY117" s="1049" t="s">
        <v>163</v>
      </c>
      <c r="AZ117" s="1050"/>
      <c r="BA117" s="1050"/>
      <c r="BB117" s="1050"/>
      <c r="BC117" s="1050"/>
      <c r="BD117" s="1050"/>
      <c r="BE117" s="1050"/>
      <c r="BF117" s="1051"/>
      <c r="BI117" s="1049" t="s">
        <v>213</v>
      </c>
      <c r="BJ117" s="1050"/>
      <c r="BK117" s="1050"/>
      <c r="BL117" s="1050"/>
      <c r="BM117" s="1050"/>
      <c r="BN117" s="1050"/>
      <c r="BO117" s="1050"/>
      <c r="BP117" s="1051"/>
      <c r="BS117" s="2"/>
      <c r="BW117" s="1049" t="s">
        <v>271</v>
      </c>
      <c r="BX117" s="1050"/>
      <c r="BY117" s="1050"/>
      <c r="BZ117" s="1050"/>
      <c r="CA117" s="1050"/>
      <c r="CB117" s="1050"/>
      <c r="CC117" s="1050"/>
      <c r="CD117" s="1051"/>
      <c r="CG117" s="1164" t="s">
        <v>166</v>
      </c>
      <c r="CH117" s="1165"/>
      <c r="CI117" s="1165"/>
      <c r="CJ117" s="1165"/>
      <c r="CK117" s="1165"/>
      <c r="CL117" s="1165"/>
      <c r="CM117" s="1165"/>
      <c r="CN117" s="1166"/>
      <c r="CO117" s="37"/>
      <c r="CP117" s="17"/>
      <c r="CQ117" s="37"/>
      <c r="CW117" s="2"/>
      <c r="DC117" s="13"/>
      <c r="DE117" s="1042" t="s">
        <v>272</v>
      </c>
      <c r="DF117" s="1043"/>
      <c r="DG117" s="1043"/>
      <c r="DH117" s="1043"/>
      <c r="DI117" s="1043"/>
      <c r="DJ117" s="1043"/>
      <c r="DK117" s="1043"/>
      <c r="DL117" s="1044"/>
      <c r="DO117" s="1042" t="s">
        <v>273</v>
      </c>
      <c r="DP117" s="1043"/>
      <c r="DQ117" s="1043"/>
      <c r="DR117" s="1043"/>
      <c r="DS117" s="1043"/>
      <c r="DT117" s="1043"/>
      <c r="DU117" s="1043"/>
      <c r="DV117" s="1044"/>
      <c r="DX117" s="2"/>
      <c r="DZ117" s="41"/>
      <c r="EA117" s="37"/>
      <c r="EB117" s="1042" t="s">
        <v>274</v>
      </c>
      <c r="EC117" s="1043"/>
      <c r="ED117" s="1043"/>
      <c r="EE117" s="1043"/>
      <c r="EF117" s="1043"/>
      <c r="EG117" s="1043"/>
      <c r="EH117" s="1043"/>
      <c r="EI117" s="1044"/>
      <c r="EK117" s="2"/>
      <c r="FA117" s="39"/>
      <c r="FB117" s="39"/>
      <c r="FC117" s="39"/>
      <c r="FD117" s="39"/>
      <c r="FE117" s="39"/>
      <c r="FF117" s="39"/>
      <c r="FG117" s="37"/>
      <c r="FH117" s="37"/>
      <c r="FI117" s="37"/>
      <c r="FJ117" s="37"/>
      <c r="FK117" s="37"/>
      <c r="FL117" s="37"/>
      <c r="FM117" s="37"/>
      <c r="FN117" s="37"/>
      <c r="FO117" s="6"/>
      <c r="FP117" s="6"/>
      <c r="FQ117" s="6"/>
      <c r="FR117" s="6"/>
      <c r="FS117" s="6"/>
      <c r="FT117" s="6"/>
      <c r="FU117" s="39"/>
      <c r="FV117" s="39"/>
      <c r="FW117" s="39"/>
      <c r="FZ117" s="39"/>
      <c r="GA117" s="39"/>
      <c r="GB117" s="39"/>
      <c r="GC117" s="39"/>
      <c r="GD117" s="39"/>
      <c r="GE117" s="39"/>
      <c r="GF117" s="39"/>
      <c r="GG117" s="39"/>
      <c r="GH117" s="39"/>
      <c r="HA117" s="7"/>
      <c r="HB117" s="1112"/>
      <c r="HC117" s="1112"/>
      <c r="HD117" s="1112"/>
      <c r="HE117" s="1112"/>
      <c r="HF117" s="1112"/>
      <c r="HG117" s="1112"/>
      <c r="HH117" s="1112"/>
      <c r="HI117" s="1112"/>
      <c r="HJ117" s="1112"/>
      <c r="HK117" s="1112"/>
    </row>
    <row r="118" spans="12:219" x14ac:dyDescent="0.35">
      <c r="L118" s="13"/>
      <c r="N118" s="1181" t="s">
        <v>275</v>
      </c>
      <c r="O118" s="1182"/>
      <c r="P118" s="1182"/>
      <c r="Q118" s="1182"/>
      <c r="R118" s="1182"/>
      <c r="S118" s="1182"/>
      <c r="T118" s="1182"/>
      <c r="U118" s="1182"/>
      <c r="V118" s="1183"/>
      <c r="Z118" s="1181" t="s">
        <v>276</v>
      </c>
      <c r="AA118" s="1182"/>
      <c r="AB118" s="1182"/>
      <c r="AC118" s="1182"/>
      <c r="AD118" s="1182"/>
      <c r="AE118" s="1182"/>
      <c r="AF118" s="1182"/>
      <c r="AG118" s="1182"/>
      <c r="AH118" s="1183"/>
      <c r="AK118" s="13"/>
      <c r="AW118" s="13"/>
      <c r="AY118" s="144">
        <v>1</v>
      </c>
      <c r="AZ118" s="1038" t="s">
        <v>171</v>
      </c>
      <c r="BA118" s="1036"/>
      <c r="BB118" s="1036"/>
      <c r="BC118" s="1036"/>
      <c r="BD118" s="1036"/>
      <c r="BE118" s="1036"/>
      <c r="BF118" s="1037"/>
      <c r="BI118" s="233">
        <v>1</v>
      </c>
      <c r="BJ118" s="1038" t="s">
        <v>219</v>
      </c>
      <c r="BK118" s="1036"/>
      <c r="BL118" s="1036"/>
      <c r="BM118" s="1036"/>
      <c r="BN118" s="1036"/>
      <c r="BO118" s="1036"/>
      <c r="BP118" s="1037"/>
      <c r="BS118" s="2"/>
      <c r="BW118" s="144">
        <v>1</v>
      </c>
      <c r="BX118" s="1038" t="s">
        <v>172</v>
      </c>
      <c r="BY118" s="1036"/>
      <c r="BZ118" s="1036"/>
      <c r="CA118" s="1036"/>
      <c r="CB118" s="1036"/>
      <c r="CC118" s="1036"/>
      <c r="CD118" s="1037"/>
      <c r="CG118" s="79"/>
      <c r="CH118" s="1029" t="s">
        <v>173</v>
      </c>
      <c r="CI118" s="1030"/>
      <c r="CJ118" s="1030"/>
      <c r="CK118" s="1030"/>
      <c r="CL118" s="1030"/>
      <c r="CM118" s="1030"/>
      <c r="CN118" s="1031"/>
      <c r="CO118" s="7"/>
      <c r="CP118" s="16"/>
      <c r="CQ118" s="6"/>
      <c r="CW118" s="2"/>
      <c r="DC118" s="13"/>
      <c r="DE118" s="212">
        <v>1</v>
      </c>
      <c r="DF118" s="1138" t="s">
        <v>183</v>
      </c>
      <c r="DG118" s="1139"/>
      <c r="DH118" s="1139"/>
      <c r="DI118" s="1139"/>
      <c r="DJ118" s="1139"/>
      <c r="DK118" s="1139"/>
      <c r="DL118" s="1140"/>
      <c r="DO118" s="212">
        <v>1</v>
      </c>
      <c r="DP118" s="1138" t="s">
        <v>270</v>
      </c>
      <c r="DQ118" s="1139"/>
      <c r="DR118" s="1139"/>
      <c r="DS118" s="1139"/>
      <c r="DT118" s="1139"/>
      <c r="DU118" s="1139"/>
      <c r="DV118" s="1140"/>
      <c r="DX118" s="2"/>
      <c r="DZ118" s="46"/>
      <c r="EA118" s="6"/>
      <c r="EB118" s="1">
        <v>1</v>
      </c>
      <c r="EC118" s="1029" t="s">
        <v>206</v>
      </c>
      <c r="ED118" s="1030"/>
      <c r="EE118" s="1030"/>
      <c r="EF118" s="1030"/>
      <c r="EG118" s="1030"/>
      <c r="EH118" s="1030"/>
      <c r="EI118" s="1031"/>
      <c r="EK118" s="2"/>
      <c r="FA118" s="7"/>
      <c r="FB118" s="6"/>
      <c r="FC118" s="6"/>
      <c r="FD118" s="6"/>
      <c r="FE118" s="6"/>
      <c r="FF118" s="6"/>
      <c r="FG118" s="7"/>
      <c r="FH118" s="6"/>
      <c r="FI118" s="6"/>
      <c r="FJ118" s="6"/>
      <c r="FK118" s="6"/>
      <c r="FL118" s="6"/>
      <c r="FM118" s="6"/>
      <c r="FN118" s="6"/>
      <c r="FO118" s="37"/>
      <c r="FP118" s="37"/>
      <c r="FQ118" s="37"/>
      <c r="FR118" s="37"/>
      <c r="FS118" s="37"/>
      <c r="FT118" s="37"/>
      <c r="FU118" s="6"/>
      <c r="FV118" s="6"/>
      <c r="FW118" s="6"/>
      <c r="FZ118" s="6"/>
      <c r="GA118" s="6"/>
      <c r="GB118" s="6"/>
      <c r="GC118" s="6"/>
      <c r="GD118" s="6"/>
      <c r="GE118" s="6"/>
      <c r="GF118" s="6"/>
      <c r="GG118" s="6"/>
      <c r="GH118" s="6"/>
      <c r="HA118" s="1096"/>
      <c r="HB118" s="1096"/>
      <c r="HC118" s="1096"/>
      <c r="HD118" s="1096"/>
      <c r="HE118" s="1096"/>
      <c r="HF118" s="1096"/>
      <c r="HG118" s="1096"/>
      <c r="HH118" s="1096"/>
      <c r="HI118" s="1096"/>
      <c r="HJ118" s="1096"/>
      <c r="HK118" s="1096"/>
    </row>
    <row r="119" spans="12:219" x14ac:dyDescent="0.35">
      <c r="L119" s="13"/>
      <c r="N119" s="204">
        <v>1</v>
      </c>
      <c r="O119" s="1178" t="s">
        <v>169</v>
      </c>
      <c r="P119" s="1179"/>
      <c r="Q119" s="1179"/>
      <c r="R119" s="1179"/>
      <c r="S119" s="1179"/>
      <c r="T119" s="1179"/>
      <c r="U119" s="1179"/>
      <c r="V119" s="1180"/>
      <c r="Z119" s="179">
        <v>1</v>
      </c>
      <c r="AA119" s="1178" t="s">
        <v>170</v>
      </c>
      <c r="AB119" s="1179"/>
      <c r="AC119" s="1179"/>
      <c r="AD119" s="1179"/>
      <c r="AE119" s="1179"/>
      <c r="AF119" s="1179"/>
      <c r="AG119" s="1179"/>
      <c r="AH119" s="1180"/>
      <c r="AK119" s="13"/>
      <c r="AW119" s="13"/>
      <c r="AY119" s="1184" t="s">
        <v>277</v>
      </c>
      <c r="AZ119" s="1185"/>
      <c r="BA119" s="1185"/>
      <c r="BB119" s="1185"/>
      <c r="BC119" s="1185"/>
      <c r="BD119" s="1185"/>
      <c r="BE119" s="1185"/>
      <c r="BF119" s="1186"/>
      <c r="BI119" s="1184" t="s">
        <v>278</v>
      </c>
      <c r="BJ119" s="1185"/>
      <c r="BK119" s="1185"/>
      <c r="BL119" s="1185"/>
      <c r="BM119" s="1185"/>
      <c r="BN119" s="1185"/>
      <c r="BO119" s="1185"/>
      <c r="BP119" s="1186"/>
      <c r="BS119" s="2"/>
      <c r="BW119" s="1184" t="s">
        <v>279</v>
      </c>
      <c r="BX119" s="1185"/>
      <c r="BY119" s="1185"/>
      <c r="BZ119" s="1185"/>
      <c r="CA119" s="1185"/>
      <c r="CB119" s="1185"/>
      <c r="CC119" s="1185"/>
      <c r="CD119" s="1186"/>
      <c r="CG119" s="1181" t="s">
        <v>180</v>
      </c>
      <c r="CH119" s="1182"/>
      <c r="CI119" s="1182"/>
      <c r="CJ119" s="1182"/>
      <c r="CK119" s="1182"/>
      <c r="CL119" s="1182"/>
      <c r="CM119" s="1182"/>
      <c r="CN119" s="1183"/>
      <c r="CO119" s="37"/>
      <c r="CP119" s="17"/>
      <c r="CQ119" s="37"/>
      <c r="CW119" s="2"/>
      <c r="DC119" s="13"/>
      <c r="DE119" s="1042" t="s">
        <v>280</v>
      </c>
      <c r="DF119" s="1043"/>
      <c r="DG119" s="1043"/>
      <c r="DH119" s="1043"/>
      <c r="DI119" s="1043"/>
      <c r="DJ119" s="1043"/>
      <c r="DK119" s="1043"/>
      <c r="DL119" s="1044"/>
      <c r="DO119" s="1042" t="s">
        <v>281</v>
      </c>
      <c r="DP119" s="1043"/>
      <c r="DQ119" s="1043"/>
      <c r="DR119" s="1043"/>
      <c r="DS119" s="1043"/>
      <c r="DT119" s="1043"/>
      <c r="DU119" s="1043"/>
      <c r="DV119" s="1044"/>
      <c r="DX119" s="2"/>
      <c r="DZ119" s="41"/>
      <c r="EA119" s="37"/>
      <c r="EB119" s="1042" t="s">
        <v>282</v>
      </c>
      <c r="EC119" s="1043"/>
      <c r="ED119" s="1043"/>
      <c r="EE119" s="1043"/>
      <c r="EF119" s="1043"/>
      <c r="EG119" s="1043"/>
      <c r="EH119" s="1043"/>
      <c r="EI119" s="1044"/>
      <c r="EK119" s="2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6"/>
      <c r="FP119" s="6"/>
      <c r="FQ119" s="6"/>
      <c r="FR119" s="6"/>
      <c r="FS119" s="6"/>
      <c r="FT119" s="6"/>
      <c r="FU119" s="37"/>
      <c r="FV119" s="37"/>
      <c r="FW119" s="37"/>
      <c r="FZ119" s="37"/>
      <c r="GA119" s="37"/>
      <c r="GB119" s="37"/>
      <c r="GC119" s="37"/>
      <c r="GD119" s="37"/>
      <c r="GE119" s="37"/>
      <c r="GF119" s="37"/>
      <c r="GG119" s="37"/>
      <c r="GH119" s="37"/>
      <c r="HA119" s="7"/>
      <c r="HB119" s="1112"/>
      <c r="HC119" s="1112"/>
      <c r="HD119" s="1112"/>
      <c r="HE119" s="1112"/>
      <c r="HF119" s="1112"/>
      <c r="HG119" s="1112"/>
      <c r="HH119" s="1112"/>
      <c r="HI119" s="1112"/>
      <c r="HJ119" s="1112"/>
      <c r="HK119" s="1112"/>
    </row>
    <row r="120" spans="12:219" x14ac:dyDescent="0.35">
      <c r="L120" s="13"/>
      <c r="N120" s="1181" t="s">
        <v>283</v>
      </c>
      <c r="O120" s="1182"/>
      <c r="P120" s="1182"/>
      <c r="Q120" s="1182"/>
      <c r="R120" s="1182"/>
      <c r="S120" s="1182"/>
      <c r="T120" s="1182"/>
      <c r="U120" s="1182"/>
      <c r="V120" s="1183"/>
      <c r="Z120" s="1181" t="s">
        <v>284</v>
      </c>
      <c r="AA120" s="1182"/>
      <c r="AB120" s="1182"/>
      <c r="AC120" s="1182"/>
      <c r="AD120" s="1182"/>
      <c r="AE120" s="1182"/>
      <c r="AF120" s="1182"/>
      <c r="AG120" s="1182"/>
      <c r="AH120" s="1183"/>
      <c r="AK120" s="13"/>
      <c r="AW120" s="13"/>
      <c r="AY120" s="236">
        <v>1</v>
      </c>
      <c r="AZ120" s="1172" t="s">
        <v>171</v>
      </c>
      <c r="BA120" s="1173"/>
      <c r="BB120" s="1173"/>
      <c r="BC120" s="1173"/>
      <c r="BD120" s="1173"/>
      <c r="BE120" s="1173"/>
      <c r="BF120" s="1174"/>
      <c r="BI120" s="144">
        <v>1</v>
      </c>
      <c r="BJ120" s="1038" t="s">
        <v>285</v>
      </c>
      <c r="BK120" s="1036"/>
      <c r="BL120" s="1036"/>
      <c r="BM120" s="1036"/>
      <c r="BN120" s="1036"/>
      <c r="BO120" s="1036"/>
      <c r="BP120" s="1037"/>
      <c r="BS120" s="2"/>
      <c r="BW120" s="144">
        <v>1</v>
      </c>
      <c r="BX120" s="1172" t="s">
        <v>172</v>
      </c>
      <c r="BY120" s="1173"/>
      <c r="BZ120" s="1173"/>
      <c r="CA120" s="1173"/>
      <c r="CB120" s="1173"/>
      <c r="CC120" s="1173"/>
      <c r="CD120" s="1174"/>
      <c r="CG120" s="7"/>
      <c r="CH120" s="6"/>
      <c r="CI120" s="6"/>
      <c r="CJ120" s="6"/>
      <c r="CK120" s="6"/>
      <c r="CL120" s="6"/>
      <c r="CM120" s="6"/>
      <c r="CN120" s="6"/>
      <c r="CP120" s="2"/>
      <c r="CW120" s="2"/>
      <c r="DC120" s="13"/>
      <c r="DE120" s="212">
        <v>1</v>
      </c>
      <c r="DF120" s="1138" t="s">
        <v>195</v>
      </c>
      <c r="DG120" s="1139"/>
      <c r="DH120" s="1139"/>
      <c r="DI120" s="1139"/>
      <c r="DJ120" s="1139"/>
      <c r="DK120" s="1139"/>
      <c r="DL120" s="1140"/>
      <c r="DO120" s="212">
        <v>1</v>
      </c>
      <c r="DP120" s="1138" t="s">
        <v>270</v>
      </c>
      <c r="DQ120" s="1139"/>
      <c r="DR120" s="1139"/>
      <c r="DS120" s="1139"/>
      <c r="DT120" s="1139"/>
      <c r="DU120" s="1139"/>
      <c r="DV120" s="1140"/>
      <c r="DX120" s="2"/>
      <c r="DZ120" s="46"/>
      <c r="EA120" s="6"/>
      <c r="EB120" s="1">
        <v>1</v>
      </c>
      <c r="EC120" s="1029" t="s">
        <v>206</v>
      </c>
      <c r="ED120" s="1030"/>
      <c r="EE120" s="1030"/>
      <c r="EF120" s="1030"/>
      <c r="EG120" s="1030"/>
      <c r="EH120" s="1030"/>
      <c r="EI120" s="1031"/>
      <c r="EK120" s="2"/>
      <c r="FG120" s="7"/>
      <c r="FH120" s="6"/>
      <c r="FI120" s="6"/>
      <c r="FJ120" s="6"/>
      <c r="FK120" s="6"/>
      <c r="FL120" s="6"/>
      <c r="FM120" s="6"/>
      <c r="FN120" s="6"/>
      <c r="FO120" s="37"/>
      <c r="FP120" s="37"/>
      <c r="FQ120" s="37"/>
      <c r="FR120" s="37"/>
      <c r="FS120" s="37"/>
      <c r="FT120" s="37"/>
      <c r="HA120" s="1096"/>
      <c r="HB120" s="1096"/>
      <c r="HC120" s="1096"/>
      <c r="HD120" s="1096"/>
      <c r="HE120" s="1096"/>
      <c r="HF120" s="1096"/>
      <c r="HG120" s="1096"/>
      <c r="HH120" s="1096"/>
      <c r="HI120" s="1096"/>
      <c r="HJ120" s="1096"/>
      <c r="HK120" s="1096"/>
    </row>
    <row r="121" spans="12:219" x14ac:dyDescent="0.35">
      <c r="L121" s="13"/>
      <c r="N121" s="204">
        <v>1</v>
      </c>
      <c r="O121" s="1178" t="s">
        <v>286</v>
      </c>
      <c r="P121" s="1179"/>
      <c r="Q121" s="1179"/>
      <c r="R121" s="1179"/>
      <c r="S121" s="1179"/>
      <c r="T121" s="1179"/>
      <c r="U121" s="1179"/>
      <c r="V121" s="1180"/>
      <c r="Z121" s="179">
        <v>1</v>
      </c>
      <c r="AA121" s="1178" t="s">
        <v>193</v>
      </c>
      <c r="AB121" s="1179"/>
      <c r="AC121" s="1179"/>
      <c r="AD121" s="1179"/>
      <c r="AE121" s="1179"/>
      <c r="AF121" s="1179"/>
      <c r="AG121" s="1179"/>
      <c r="AH121" s="1180"/>
      <c r="AK121" s="13"/>
      <c r="AW121" s="13"/>
      <c r="AY121" s="1184" t="s">
        <v>287</v>
      </c>
      <c r="AZ121" s="1185"/>
      <c r="BA121" s="1185"/>
      <c r="BB121" s="1185"/>
      <c r="BC121" s="1185"/>
      <c r="BD121" s="1185"/>
      <c r="BE121" s="1185"/>
      <c r="BF121" s="1186"/>
      <c r="BI121" s="1184" t="s">
        <v>288</v>
      </c>
      <c r="BJ121" s="1185"/>
      <c r="BK121" s="1185"/>
      <c r="BL121" s="1185"/>
      <c r="BM121" s="1185"/>
      <c r="BN121" s="1185"/>
      <c r="BO121" s="1185"/>
      <c r="BP121" s="1186"/>
      <c r="BS121" s="2"/>
      <c r="BW121" s="1184" t="s">
        <v>289</v>
      </c>
      <c r="BX121" s="1185"/>
      <c r="BY121" s="1185"/>
      <c r="BZ121" s="1185"/>
      <c r="CA121" s="1185"/>
      <c r="CB121" s="1185"/>
      <c r="CC121" s="1185"/>
      <c r="CD121" s="1186"/>
      <c r="CG121" s="35"/>
      <c r="CH121" s="35"/>
      <c r="CI121" s="35"/>
      <c r="CJ121" s="35"/>
      <c r="CK121" s="35"/>
      <c r="CL121" s="35"/>
      <c r="CM121" s="35"/>
      <c r="CN121" s="35"/>
      <c r="CP121" s="2"/>
      <c r="CW121" s="2"/>
      <c r="DC121" s="13"/>
      <c r="DE121" s="1042" t="s">
        <v>290</v>
      </c>
      <c r="DF121" s="1043"/>
      <c r="DG121" s="1043"/>
      <c r="DH121" s="1043"/>
      <c r="DI121" s="1043"/>
      <c r="DJ121" s="1043"/>
      <c r="DK121" s="1043"/>
      <c r="DL121" s="1044"/>
      <c r="DO121" s="1042" t="s">
        <v>291</v>
      </c>
      <c r="DP121" s="1043"/>
      <c r="DQ121" s="1043"/>
      <c r="DR121" s="1043"/>
      <c r="DS121" s="1043"/>
      <c r="DT121" s="1043"/>
      <c r="DU121" s="1043"/>
      <c r="DV121" s="1044"/>
      <c r="DX121" s="2"/>
      <c r="DZ121" s="41"/>
      <c r="EA121" s="37"/>
      <c r="EB121" s="1042" t="s">
        <v>292</v>
      </c>
      <c r="EC121" s="1043"/>
      <c r="ED121" s="1043"/>
      <c r="EE121" s="1043"/>
      <c r="EF121" s="1043"/>
      <c r="EG121" s="1043"/>
      <c r="EH121" s="1043"/>
      <c r="EI121" s="1044"/>
      <c r="EK121" s="2"/>
      <c r="FG121" s="37"/>
      <c r="FH121" s="37"/>
      <c r="FI121" s="37"/>
      <c r="FJ121" s="37"/>
      <c r="FK121" s="37"/>
      <c r="FL121" s="37"/>
      <c r="FM121" s="37"/>
      <c r="FN121" s="37"/>
      <c r="FV121" s="7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HA121" s="7"/>
      <c r="HB121" s="1112"/>
      <c r="HC121" s="1112"/>
      <c r="HD121" s="1112"/>
      <c r="HE121" s="1112"/>
      <c r="HF121" s="1112"/>
      <c r="HG121" s="1112"/>
      <c r="HH121" s="1112"/>
      <c r="HI121" s="1112"/>
      <c r="HJ121" s="1112"/>
      <c r="HK121" s="1112"/>
    </row>
    <row r="122" spans="12:219" x14ac:dyDescent="0.35">
      <c r="L122" s="13"/>
      <c r="N122" s="1181" t="s">
        <v>293</v>
      </c>
      <c r="O122" s="1182"/>
      <c r="P122" s="1182"/>
      <c r="Q122" s="1182"/>
      <c r="R122" s="1182"/>
      <c r="S122" s="1182"/>
      <c r="T122" s="1182"/>
      <c r="U122" s="1182"/>
      <c r="V122" s="1183"/>
      <c r="Z122" s="1181" t="s">
        <v>294</v>
      </c>
      <c r="AA122" s="1182"/>
      <c r="AB122" s="1182"/>
      <c r="AC122" s="1182"/>
      <c r="AD122" s="1182"/>
      <c r="AE122" s="1182"/>
      <c r="AF122" s="1182"/>
      <c r="AG122" s="1182"/>
      <c r="AH122" s="1183"/>
      <c r="AK122" s="13"/>
      <c r="AW122" s="13"/>
      <c r="BI122" s="35"/>
      <c r="BJ122" s="35"/>
      <c r="BK122" s="35"/>
      <c r="BL122" s="35"/>
      <c r="BM122" s="35"/>
      <c r="BN122" s="35"/>
      <c r="BO122" s="35"/>
      <c r="BP122" s="35"/>
      <c r="BS122" s="2"/>
      <c r="BW122" s="34"/>
      <c r="BX122" s="34"/>
      <c r="BY122" s="34"/>
      <c r="BZ122" s="34"/>
      <c r="CA122" s="34"/>
      <c r="CB122" s="34"/>
      <c r="CC122" s="34"/>
      <c r="CD122" s="34"/>
      <c r="CG122" s="7"/>
      <c r="CH122" s="6"/>
      <c r="CI122" s="6"/>
      <c r="CJ122" s="6"/>
      <c r="CK122" s="6"/>
      <c r="CL122" s="6"/>
      <c r="CM122" s="6"/>
      <c r="CN122" s="6"/>
      <c r="CP122" s="2"/>
      <c r="CW122" s="2"/>
      <c r="DC122" s="13"/>
      <c r="DE122" s="212">
        <v>1</v>
      </c>
      <c r="DF122" s="1138" t="s">
        <v>195</v>
      </c>
      <c r="DG122" s="1139"/>
      <c r="DH122" s="1139"/>
      <c r="DI122" s="1139"/>
      <c r="DJ122" s="1139"/>
      <c r="DK122" s="1139"/>
      <c r="DL122" s="1140"/>
      <c r="DO122" s="212">
        <v>1</v>
      </c>
      <c r="DP122" s="1138" t="s">
        <v>270</v>
      </c>
      <c r="DQ122" s="1139"/>
      <c r="DR122" s="1139"/>
      <c r="DS122" s="1139"/>
      <c r="DT122" s="1139"/>
      <c r="DU122" s="1139"/>
      <c r="DV122" s="1140"/>
      <c r="DX122" s="2"/>
      <c r="DZ122" s="46"/>
      <c r="EA122" s="6"/>
      <c r="EB122" s="1">
        <v>1</v>
      </c>
      <c r="EC122" s="1029" t="s">
        <v>206</v>
      </c>
      <c r="ED122" s="1030"/>
      <c r="EE122" s="1030"/>
      <c r="EF122" s="1030"/>
      <c r="EG122" s="1030"/>
      <c r="EH122" s="1030"/>
      <c r="EI122" s="1031"/>
      <c r="EK122" s="2"/>
      <c r="FG122" s="7"/>
      <c r="FH122" s="6"/>
      <c r="FI122" s="6"/>
      <c r="FJ122" s="6"/>
      <c r="FK122" s="6"/>
      <c r="FL122" s="6"/>
      <c r="FM122" s="6"/>
      <c r="FN122" s="6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HA122" s="1096"/>
      <c r="HB122" s="1096"/>
      <c r="HC122" s="1096"/>
      <c r="HD122" s="1096"/>
      <c r="HE122" s="1096"/>
      <c r="HF122" s="1096"/>
      <c r="HG122" s="1096"/>
      <c r="HH122" s="1096"/>
      <c r="HI122" s="1096"/>
      <c r="HJ122" s="1096"/>
      <c r="HK122" s="1096"/>
    </row>
    <row r="123" spans="12:219" x14ac:dyDescent="0.35">
      <c r="L123" s="13"/>
      <c r="N123" s="179">
        <v>1</v>
      </c>
      <c r="O123" s="1178" t="s">
        <v>181</v>
      </c>
      <c r="P123" s="1179"/>
      <c r="Q123" s="1179"/>
      <c r="R123" s="1179"/>
      <c r="S123" s="1179"/>
      <c r="T123" s="1179"/>
      <c r="U123" s="1179"/>
      <c r="V123" s="1180"/>
      <c r="Z123" s="179">
        <v>1</v>
      </c>
      <c r="AA123" s="1178" t="s">
        <v>193</v>
      </c>
      <c r="AB123" s="1179"/>
      <c r="AC123" s="1179"/>
      <c r="AD123" s="1179"/>
      <c r="AE123" s="1179"/>
      <c r="AF123" s="1179"/>
      <c r="AG123" s="1179"/>
      <c r="AH123" s="1180"/>
      <c r="AK123" s="13"/>
      <c r="AW123" s="13"/>
      <c r="BS123" s="2"/>
      <c r="CG123" s="35"/>
      <c r="CH123" s="35"/>
      <c r="CI123" s="35"/>
      <c r="CJ123" s="35"/>
      <c r="CK123" s="35"/>
      <c r="CL123" s="35"/>
      <c r="CM123" s="35"/>
      <c r="CN123" s="35"/>
      <c r="CP123" s="2"/>
      <c r="CW123" s="2"/>
      <c r="DC123" s="13"/>
      <c r="DE123" s="1042" t="s">
        <v>295</v>
      </c>
      <c r="DF123" s="1043"/>
      <c r="DG123" s="1043"/>
      <c r="DH123" s="1043"/>
      <c r="DI123" s="1043"/>
      <c r="DJ123" s="1043"/>
      <c r="DK123" s="1043"/>
      <c r="DL123" s="1044"/>
      <c r="DO123" s="1042" t="s">
        <v>296</v>
      </c>
      <c r="DP123" s="1043"/>
      <c r="DQ123" s="1043"/>
      <c r="DR123" s="1043"/>
      <c r="DS123" s="1043"/>
      <c r="DT123" s="1043"/>
      <c r="DU123" s="1043"/>
      <c r="DV123" s="1044"/>
      <c r="DX123" s="2"/>
      <c r="DZ123" s="41"/>
      <c r="EA123" s="37"/>
      <c r="EB123" s="1042" t="s">
        <v>297</v>
      </c>
      <c r="EC123" s="1043"/>
      <c r="ED123" s="1043"/>
      <c r="EE123" s="1043"/>
      <c r="EF123" s="1043"/>
      <c r="EG123" s="1043"/>
      <c r="EH123" s="1043"/>
      <c r="EI123" s="1044"/>
      <c r="EK123" s="2"/>
      <c r="FG123" s="37"/>
      <c r="FH123" s="37"/>
      <c r="FI123" s="37"/>
      <c r="FJ123" s="37"/>
      <c r="FK123" s="37"/>
      <c r="FL123" s="37"/>
      <c r="FM123" s="37"/>
      <c r="FN123" s="37"/>
      <c r="FV123" s="7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HA123" s="7"/>
      <c r="HB123" s="1112"/>
      <c r="HC123" s="1112"/>
      <c r="HD123" s="1112"/>
      <c r="HE123" s="1112"/>
      <c r="HF123" s="1112"/>
      <c r="HG123" s="1112"/>
      <c r="HH123" s="1112"/>
      <c r="HI123" s="1112"/>
      <c r="HJ123" s="1112"/>
      <c r="HK123" s="1112"/>
    </row>
    <row r="124" spans="12:219" x14ac:dyDescent="0.35">
      <c r="L124" s="13"/>
      <c r="N124" s="1181" t="s">
        <v>298</v>
      </c>
      <c r="O124" s="1182"/>
      <c r="P124" s="1182"/>
      <c r="Q124" s="1182"/>
      <c r="R124" s="1182"/>
      <c r="S124" s="1182"/>
      <c r="T124" s="1182"/>
      <c r="U124" s="1182"/>
      <c r="V124" s="1183"/>
      <c r="Z124" s="1181" t="s">
        <v>299</v>
      </c>
      <c r="AA124" s="1182"/>
      <c r="AB124" s="1182"/>
      <c r="AC124" s="1182"/>
      <c r="AD124" s="1182"/>
      <c r="AE124" s="1182"/>
      <c r="AF124" s="1182"/>
      <c r="AG124" s="1182"/>
      <c r="AH124" s="1183"/>
      <c r="AK124" s="13"/>
      <c r="AW124" s="13"/>
      <c r="BN124" s="3"/>
      <c r="BO124" s="3"/>
      <c r="BP124" s="3"/>
      <c r="BQ124" s="3"/>
      <c r="BR124" s="3"/>
      <c r="BS124" s="21"/>
      <c r="BT124" s="13"/>
      <c r="BU124" s="3"/>
      <c r="BV124" s="3"/>
      <c r="BW124" s="3"/>
      <c r="BX124" s="3"/>
      <c r="BY124" s="3"/>
      <c r="BZ124" s="3"/>
      <c r="CP124" s="2"/>
      <c r="CW124" s="2"/>
      <c r="DC124" s="13"/>
      <c r="DE124" s="212">
        <v>1</v>
      </c>
      <c r="DF124" s="1138" t="s">
        <v>195</v>
      </c>
      <c r="DG124" s="1139"/>
      <c r="DH124" s="1139"/>
      <c r="DI124" s="1139"/>
      <c r="DJ124" s="1139"/>
      <c r="DK124" s="1139"/>
      <c r="DL124" s="1140"/>
      <c r="DO124" s="212">
        <v>1</v>
      </c>
      <c r="DP124" s="1138" t="s">
        <v>270</v>
      </c>
      <c r="DQ124" s="1139"/>
      <c r="DR124" s="1139"/>
      <c r="DS124" s="1139"/>
      <c r="DT124" s="1139"/>
      <c r="DU124" s="1139"/>
      <c r="DV124" s="1140"/>
      <c r="DX124" s="2"/>
      <c r="DZ124" s="46"/>
      <c r="EA124" s="6"/>
      <c r="EB124" s="1">
        <v>1</v>
      </c>
      <c r="EC124" s="1029" t="s">
        <v>206</v>
      </c>
      <c r="ED124" s="1030"/>
      <c r="EE124" s="1030"/>
      <c r="EF124" s="1030"/>
      <c r="EG124" s="1030"/>
      <c r="EH124" s="1030"/>
      <c r="EI124" s="1031"/>
      <c r="EK124" s="2"/>
      <c r="FG124" s="7"/>
      <c r="FH124" s="6"/>
      <c r="FI124" s="6"/>
      <c r="FJ124" s="6"/>
      <c r="FK124" s="6"/>
      <c r="FL124" s="6"/>
      <c r="FM124" s="6"/>
      <c r="FN124" s="6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HA124" s="1096"/>
      <c r="HB124" s="1096"/>
      <c r="HC124" s="1096"/>
      <c r="HD124" s="1096"/>
      <c r="HE124" s="1096"/>
      <c r="HF124" s="1096"/>
      <c r="HG124" s="1096"/>
      <c r="HH124" s="1096"/>
      <c r="HI124" s="1096"/>
      <c r="HJ124" s="1096"/>
      <c r="HK124" s="1096"/>
    </row>
    <row r="125" spans="12:219" x14ac:dyDescent="0.35">
      <c r="L125" s="13"/>
      <c r="N125" s="179">
        <v>1</v>
      </c>
      <c r="O125" s="1178" t="s">
        <v>181</v>
      </c>
      <c r="P125" s="1179"/>
      <c r="Q125" s="1179"/>
      <c r="R125" s="1179"/>
      <c r="S125" s="1179"/>
      <c r="T125" s="1179"/>
      <c r="U125" s="1179"/>
      <c r="V125" s="1180"/>
      <c r="Z125" s="179">
        <v>1</v>
      </c>
      <c r="AA125" s="1178" t="s">
        <v>194</v>
      </c>
      <c r="AB125" s="1179"/>
      <c r="AC125" s="1179"/>
      <c r="AD125" s="1179"/>
      <c r="AE125" s="1179"/>
      <c r="AF125" s="1179"/>
      <c r="AG125" s="1179"/>
      <c r="AH125" s="1180"/>
      <c r="AK125" s="13"/>
      <c r="AW125" s="13"/>
      <c r="BI125" s="73"/>
      <c r="BJ125" s="73"/>
      <c r="BK125" s="73"/>
      <c r="BL125" s="73"/>
      <c r="BM125" s="239"/>
      <c r="BN125" s="73"/>
      <c r="BO125" s="73"/>
      <c r="BP125" s="73"/>
      <c r="BQ125" s="73"/>
      <c r="BR125" s="73"/>
      <c r="BS125" s="73"/>
      <c r="BT125" s="235"/>
      <c r="BU125" s="73"/>
      <c r="BV125" s="73"/>
      <c r="BW125" s="73"/>
      <c r="BX125" s="73"/>
      <c r="BY125" s="73"/>
      <c r="BZ125" s="73"/>
      <c r="CA125" s="209"/>
      <c r="CB125" s="73"/>
      <c r="CC125" s="73"/>
      <c r="CD125" s="234"/>
      <c r="CP125" s="2"/>
      <c r="CW125" s="2"/>
      <c r="DC125" s="13"/>
      <c r="DE125" s="1042" t="s">
        <v>300</v>
      </c>
      <c r="DF125" s="1043"/>
      <c r="DG125" s="1043"/>
      <c r="DH125" s="1043"/>
      <c r="DI125" s="1043"/>
      <c r="DJ125" s="1043"/>
      <c r="DK125" s="1043"/>
      <c r="DL125" s="1044"/>
      <c r="DO125" s="1045" t="s">
        <v>301</v>
      </c>
      <c r="DP125" s="1046"/>
      <c r="DQ125" s="1046"/>
      <c r="DR125" s="1046"/>
      <c r="DS125" s="1046"/>
      <c r="DT125" s="1046"/>
      <c r="DU125" s="1046"/>
      <c r="DV125" s="1047"/>
      <c r="DX125" s="2"/>
      <c r="DZ125" s="41"/>
      <c r="EA125" s="37"/>
      <c r="EB125" s="1045" t="s">
        <v>131</v>
      </c>
      <c r="EC125" s="1046"/>
      <c r="ED125" s="1046"/>
      <c r="EE125" s="1046"/>
      <c r="EF125" s="1046"/>
      <c r="EG125" s="1046"/>
      <c r="EH125" s="1046"/>
      <c r="EI125" s="1047"/>
      <c r="EK125" s="2"/>
      <c r="FG125" s="37"/>
      <c r="FH125" s="37"/>
      <c r="FI125" s="37"/>
      <c r="FJ125" s="37"/>
      <c r="FK125" s="37"/>
      <c r="FL125" s="37"/>
      <c r="FM125" s="37"/>
      <c r="FN125" s="37"/>
      <c r="FV125" s="7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HA125" s="7"/>
      <c r="HB125" s="1112"/>
      <c r="HC125" s="1112"/>
      <c r="HD125" s="1112"/>
      <c r="HE125" s="1112"/>
      <c r="HF125" s="1112"/>
      <c r="HG125" s="1112"/>
      <c r="HH125" s="1112"/>
      <c r="HI125" s="1112"/>
      <c r="HJ125" s="1112"/>
      <c r="HK125" s="1112"/>
    </row>
    <row r="126" spans="12:219" x14ac:dyDescent="0.35">
      <c r="L126" s="13"/>
      <c r="N126" s="1181" t="s">
        <v>302</v>
      </c>
      <c r="O126" s="1182"/>
      <c r="P126" s="1182"/>
      <c r="Q126" s="1182"/>
      <c r="R126" s="1182"/>
      <c r="S126" s="1182"/>
      <c r="T126" s="1182"/>
      <c r="U126" s="1182"/>
      <c r="V126" s="1183"/>
      <c r="Z126" s="1181" t="s">
        <v>303</v>
      </c>
      <c r="AA126" s="1182"/>
      <c r="AB126" s="1182"/>
      <c r="AC126" s="1182"/>
      <c r="AD126" s="1182"/>
      <c r="AE126" s="1182"/>
      <c r="AF126" s="1182"/>
      <c r="AG126" s="1182"/>
      <c r="AH126" s="1183"/>
      <c r="AK126" s="13"/>
      <c r="AW126" s="13"/>
      <c r="BJ126" s="1049" t="s">
        <v>211</v>
      </c>
      <c r="BK126" s="1050"/>
      <c r="BL126" s="1050"/>
      <c r="BM126" s="1050"/>
      <c r="BN126" s="1050"/>
      <c r="BO126" s="1050"/>
      <c r="BP126" s="1050"/>
      <c r="BQ126" s="1051"/>
      <c r="BV126" s="1049" t="s">
        <v>214</v>
      </c>
      <c r="BW126" s="1050"/>
      <c r="BX126" s="1050"/>
      <c r="BY126" s="1050"/>
      <c r="BZ126" s="1050"/>
      <c r="CA126" s="1050"/>
      <c r="CB126" s="1050"/>
      <c r="CC126" s="1051"/>
      <c r="CP126" s="2"/>
      <c r="CW126" s="2"/>
      <c r="DC126" s="13"/>
      <c r="DE126" s="212">
        <v>1</v>
      </c>
      <c r="DF126" s="1138" t="s">
        <v>195</v>
      </c>
      <c r="DG126" s="1139"/>
      <c r="DH126" s="1139"/>
      <c r="DI126" s="1139"/>
      <c r="DJ126" s="1139"/>
      <c r="DK126" s="1139"/>
      <c r="DL126" s="1140"/>
      <c r="DO126" s="212">
        <v>1</v>
      </c>
      <c r="DP126" s="1138" t="s">
        <v>270</v>
      </c>
      <c r="DQ126" s="1139"/>
      <c r="DR126" s="1139"/>
      <c r="DS126" s="1139"/>
      <c r="DT126" s="1139"/>
      <c r="DU126" s="1139"/>
      <c r="DV126" s="1140"/>
      <c r="DX126" s="2"/>
      <c r="DZ126" s="46"/>
      <c r="EA126" s="6"/>
      <c r="EB126" s="1">
        <v>1</v>
      </c>
      <c r="EC126" s="1029" t="s">
        <v>206</v>
      </c>
      <c r="ED126" s="1030"/>
      <c r="EE126" s="1030"/>
      <c r="EF126" s="1030"/>
      <c r="EG126" s="1030"/>
      <c r="EH126" s="1030"/>
      <c r="EI126" s="1031"/>
      <c r="EK126" s="2"/>
      <c r="FG126" s="7"/>
      <c r="FH126" s="6"/>
      <c r="FI126" s="6"/>
      <c r="FJ126" s="6"/>
      <c r="FK126" s="6"/>
      <c r="FL126" s="6"/>
      <c r="FM126" s="6"/>
      <c r="FN126" s="6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HA126" s="1096"/>
      <c r="HB126" s="1096"/>
      <c r="HC126" s="1096"/>
      <c r="HD126" s="1096"/>
      <c r="HE126" s="1096"/>
      <c r="HF126" s="1096"/>
      <c r="HG126" s="1096"/>
      <c r="HH126" s="1096"/>
      <c r="HI126" s="1096"/>
      <c r="HJ126" s="1096"/>
      <c r="HK126" s="1096"/>
    </row>
    <row r="127" spans="12:219" x14ac:dyDescent="0.35">
      <c r="L127" s="13"/>
      <c r="Z127" s="179">
        <v>1</v>
      </c>
      <c r="AA127" s="1178" t="s">
        <v>193</v>
      </c>
      <c r="AB127" s="1179"/>
      <c r="AC127" s="1179"/>
      <c r="AD127" s="1179"/>
      <c r="AE127" s="1179"/>
      <c r="AF127" s="1179"/>
      <c r="AG127" s="1179"/>
      <c r="AH127" s="1180"/>
      <c r="AK127" s="13"/>
      <c r="AW127" s="13"/>
      <c r="BJ127" s="144">
        <v>1</v>
      </c>
      <c r="BK127" s="1038" t="s">
        <v>218</v>
      </c>
      <c r="BL127" s="1036"/>
      <c r="BM127" s="1036"/>
      <c r="BN127" s="1036"/>
      <c r="BO127" s="1036"/>
      <c r="BP127" s="1036"/>
      <c r="BQ127" s="1037"/>
      <c r="BV127" s="144">
        <v>1</v>
      </c>
      <c r="BW127" s="1038" t="s">
        <v>172</v>
      </c>
      <c r="BX127" s="1036"/>
      <c r="BY127" s="1036"/>
      <c r="BZ127" s="1036"/>
      <c r="CA127" s="1036"/>
      <c r="CB127" s="1036"/>
      <c r="CC127" s="1037"/>
      <c r="CP127" s="2"/>
      <c r="CW127" s="2"/>
      <c r="DC127" s="13"/>
      <c r="DE127" s="1042" t="s">
        <v>304</v>
      </c>
      <c r="DF127" s="1043"/>
      <c r="DG127" s="1043"/>
      <c r="DH127" s="1043"/>
      <c r="DI127" s="1043"/>
      <c r="DJ127" s="1043"/>
      <c r="DK127" s="1043"/>
      <c r="DL127" s="1044"/>
      <c r="DO127" s="1045" t="s">
        <v>305</v>
      </c>
      <c r="DP127" s="1046"/>
      <c r="DQ127" s="1046"/>
      <c r="DR127" s="1046"/>
      <c r="DS127" s="1046"/>
      <c r="DT127" s="1046"/>
      <c r="DU127" s="1046"/>
      <c r="DV127" s="1047"/>
      <c r="DX127" s="2"/>
      <c r="DZ127" s="41"/>
      <c r="EA127" s="37"/>
      <c r="EB127" s="1042" t="s">
        <v>306</v>
      </c>
      <c r="EC127" s="1043"/>
      <c r="ED127" s="1043"/>
      <c r="EE127" s="1043"/>
      <c r="EF127" s="1043"/>
      <c r="EG127" s="1043"/>
      <c r="EH127" s="1043"/>
      <c r="EI127" s="1044"/>
      <c r="EK127" s="2"/>
      <c r="FG127" s="37"/>
      <c r="FH127" s="37"/>
      <c r="FI127" s="37"/>
      <c r="FJ127" s="37"/>
      <c r="FK127" s="37"/>
      <c r="FL127" s="37"/>
      <c r="FM127" s="37"/>
      <c r="FN127" s="37"/>
    </row>
    <row r="128" spans="12:219" x14ac:dyDescent="0.35">
      <c r="L128" s="13"/>
      <c r="Z128" s="1215" t="s">
        <v>131</v>
      </c>
      <c r="AA128" s="1216"/>
      <c r="AB128" s="1216"/>
      <c r="AC128" s="1216"/>
      <c r="AD128" s="1216"/>
      <c r="AE128" s="1216"/>
      <c r="AF128" s="1216"/>
      <c r="AG128" s="1216"/>
      <c r="AH128" s="1217"/>
      <c r="AK128" s="13"/>
      <c r="AW128" s="13"/>
      <c r="BJ128" s="1076" t="s">
        <v>307</v>
      </c>
      <c r="BK128" s="1077"/>
      <c r="BL128" s="1077"/>
      <c r="BM128" s="1077"/>
      <c r="BN128" s="1077"/>
      <c r="BO128" s="1077"/>
      <c r="BP128" s="1077"/>
      <c r="BQ128" s="1078"/>
      <c r="BV128" s="1076" t="s">
        <v>308</v>
      </c>
      <c r="BW128" s="1077"/>
      <c r="BX128" s="1077"/>
      <c r="BY128" s="1077"/>
      <c r="BZ128" s="1077"/>
      <c r="CA128" s="1077"/>
      <c r="CB128" s="1077"/>
      <c r="CC128" s="1078"/>
      <c r="CP128" s="2"/>
      <c r="CW128" s="2"/>
      <c r="DC128" s="13"/>
      <c r="DE128" s="212">
        <v>1</v>
      </c>
      <c r="DF128" s="1138" t="s">
        <v>195</v>
      </c>
      <c r="DG128" s="1139"/>
      <c r="DH128" s="1139"/>
      <c r="DI128" s="1139"/>
      <c r="DJ128" s="1139"/>
      <c r="DK128" s="1139"/>
      <c r="DL128" s="1140"/>
      <c r="DO128" s="212">
        <v>1</v>
      </c>
      <c r="DP128" s="1138" t="s">
        <v>270</v>
      </c>
      <c r="DQ128" s="1139"/>
      <c r="DR128" s="1139"/>
      <c r="DS128" s="1139"/>
      <c r="DT128" s="1139"/>
      <c r="DU128" s="1139"/>
      <c r="DV128" s="1140"/>
      <c r="DX128" s="2"/>
      <c r="DZ128" s="46"/>
      <c r="EA128" s="6"/>
      <c r="EB128" s="1">
        <v>1</v>
      </c>
      <c r="EC128" s="1029" t="s">
        <v>206</v>
      </c>
      <c r="ED128" s="1030"/>
      <c r="EE128" s="1030"/>
      <c r="EF128" s="1030"/>
      <c r="EG128" s="1030"/>
      <c r="EH128" s="1030"/>
      <c r="EI128" s="1031"/>
      <c r="EK128" s="2"/>
      <c r="FG128" s="7"/>
      <c r="FH128" s="6"/>
      <c r="FI128" s="6"/>
      <c r="FJ128" s="6"/>
      <c r="FK128" s="6"/>
      <c r="FL128" s="6"/>
      <c r="FM128" s="6"/>
      <c r="FN128" s="6"/>
    </row>
    <row r="129" spans="12:170" x14ac:dyDescent="0.35"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13"/>
      <c r="AW129" s="13"/>
      <c r="BJ129" s="144">
        <v>1</v>
      </c>
      <c r="BK129" s="1038" t="s">
        <v>172</v>
      </c>
      <c r="BL129" s="1036"/>
      <c r="BM129" s="1036"/>
      <c r="BN129" s="1036"/>
      <c r="BO129" s="1036"/>
      <c r="BP129" s="1036"/>
      <c r="BQ129" s="1037"/>
      <c r="BV129" s="144">
        <v>1</v>
      </c>
      <c r="BW129" s="1038" t="s">
        <v>172</v>
      </c>
      <c r="BX129" s="1036"/>
      <c r="BY129" s="1036"/>
      <c r="BZ129" s="1036"/>
      <c r="CA129" s="1036"/>
      <c r="CB129" s="1036"/>
      <c r="CC129" s="1037"/>
      <c r="CP129" s="2"/>
      <c r="CW129" s="2"/>
      <c r="DC129" s="13"/>
      <c r="DE129" s="1042" t="s">
        <v>309</v>
      </c>
      <c r="DF129" s="1043"/>
      <c r="DG129" s="1043"/>
      <c r="DH129" s="1043"/>
      <c r="DI129" s="1043"/>
      <c r="DJ129" s="1043"/>
      <c r="DK129" s="1043"/>
      <c r="DL129" s="1044"/>
      <c r="DO129" s="1042" t="s">
        <v>310</v>
      </c>
      <c r="DP129" s="1043"/>
      <c r="DQ129" s="1043"/>
      <c r="DR129" s="1043"/>
      <c r="DS129" s="1043"/>
      <c r="DT129" s="1043"/>
      <c r="DU129" s="1043"/>
      <c r="DV129" s="1044"/>
      <c r="DX129" s="2"/>
      <c r="DZ129" s="41"/>
      <c r="EA129" s="37"/>
      <c r="EB129" s="1042" t="s">
        <v>311</v>
      </c>
      <c r="EC129" s="1043"/>
      <c r="ED129" s="1043"/>
      <c r="EE129" s="1043"/>
      <c r="EF129" s="1043"/>
      <c r="EG129" s="1043"/>
      <c r="EH129" s="1043"/>
      <c r="EI129" s="1044"/>
      <c r="EK129" s="2"/>
      <c r="FG129" s="37"/>
      <c r="FH129" s="37"/>
      <c r="FI129" s="37"/>
      <c r="FJ129" s="37"/>
      <c r="FK129" s="37"/>
      <c r="FL129" s="37"/>
      <c r="FM129" s="37"/>
      <c r="FN129" s="37"/>
    </row>
    <row r="130" spans="12:170" x14ac:dyDescent="0.35">
      <c r="AG130" s="1119" t="s">
        <v>220</v>
      </c>
      <c r="AH130" s="1142"/>
      <c r="AI130" s="1142"/>
      <c r="AJ130" s="1143"/>
      <c r="AW130" s="13"/>
      <c r="BJ130" s="1076" t="s">
        <v>312</v>
      </c>
      <c r="BK130" s="1077"/>
      <c r="BL130" s="1077"/>
      <c r="BM130" s="1077"/>
      <c r="BN130" s="1077"/>
      <c r="BO130" s="1077"/>
      <c r="BP130" s="1077"/>
      <c r="BQ130" s="1078"/>
      <c r="BV130" s="1135" t="s">
        <v>313</v>
      </c>
      <c r="BW130" s="1136"/>
      <c r="BX130" s="1136"/>
      <c r="BY130" s="1136"/>
      <c r="BZ130" s="1136"/>
      <c r="CA130" s="1136"/>
      <c r="CB130" s="1136"/>
      <c r="CC130" s="1137"/>
      <c r="CP130" s="2"/>
      <c r="CW130" s="2"/>
      <c r="DC130" s="13"/>
      <c r="DE130" s="212">
        <v>1</v>
      </c>
      <c r="DF130" s="1138" t="s">
        <v>195</v>
      </c>
      <c r="DG130" s="1139"/>
      <c r="DH130" s="1139"/>
      <c r="DI130" s="1139"/>
      <c r="DJ130" s="1139"/>
      <c r="DK130" s="1139"/>
      <c r="DL130" s="1140"/>
      <c r="DO130" s="212">
        <v>1</v>
      </c>
      <c r="DP130" s="1138" t="s">
        <v>270</v>
      </c>
      <c r="DQ130" s="1139"/>
      <c r="DR130" s="1139"/>
      <c r="DS130" s="1139"/>
      <c r="DT130" s="1139"/>
      <c r="DU130" s="1139"/>
      <c r="DV130" s="1140"/>
      <c r="DX130" s="2"/>
      <c r="DZ130" s="46"/>
      <c r="EA130" s="6"/>
      <c r="EB130" s="1">
        <v>1</v>
      </c>
      <c r="EC130" s="1029" t="s">
        <v>206</v>
      </c>
      <c r="ED130" s="1030"/>
      <c r="EE130" s="1030"/>
      <c r="EF130" s="1030"/>
      <c r="EG130" s="1030"/>
      <c r="EH130" s="1030"/>
      <c r="EI130" s="1031"/>
      <c r="EK130" s="2"/>
      <c r="FG130" s="7"/>
      <c r="FH130" s="6"/>
      <c r="FI130" s="6"/>
      <c r="FJ130" s="6"/>
      <c r="FK130" s="6"/>
      <c r="FL130" s="6"/>
      <c r="FM130" s="6"/>
      <c r="FN130" s="6"/>
    </row>
    <row r="131" spans="12:170" x14ac:dyDescent="0.35">
      <c r="AW131" s="13"/>
      <c r="BJ131" s="144">
        <v>1</v>
      </c>
      <c r="BK131" s="1038" t="s">
        <v>172</v>
      </c>
      <c r="BL131" s="1036"/>
      <c r="BM131" s="1036"/>
      <c r="BN131" s="1036"/>
      <c r="BO131" s="1036"/>
      <c r="BP131" s="1036"/>
      <c r="BQ131" s="1037"/>
      <c r="BV131" s="144">
        <v>1</v>
      </c>
      <c r="BW131" s="1038" t="s">
        <v>172</v>
      </c>
      <c r="BX131" s="1036"/>
      <c r="BY131" s="1036"/>
      <c r="BZ131" s="1036"/>
      <c r="CA131" s="1036"/>
      <c r="CB131" s="1036"/>
      <c r="CC131" s="1037"/>
      <c r="CP131" s="2"/>
      <c r="CW131" s="2"/>
      <c r="DC131" s="13"/>
      <c r="DE131" s="1042" t="s">
        <v>314</v>
      </c>
      <c r="DF131" s="1043"/>
      <c r="DG131" s="1043"/>
      <c r="DH131" s="1043"/>
      <c r="DI131" s="1043"/>
      <c r="DJ131" s="1043"/>
      <c r="DK131" s="1043"/>
      <c r="DL131" s="1044"/>
      <c r="DO131" s="1042" t="s">
        <v>315</v>
      </c>
      <c r="DP131" s="1043"/>
      <c r="DQ131" s="1043"/>
      <c r="DR131" s="1043"/>
      <c r="DS131" s="1043"/>
      <c r="DT131" s="1043"/>
      <c r="DU131" s="1043"/>
      <c r="DV131" s="1044"/>
      <c r="DX131" s="2"/>
      <c r="DZ131" s="41"/>
      <c r="EA131" s="37"/>
      <c r="EB131" s="1042" t="s">
        <v>316</v>
      </c>
      <c r="EC131" s="1043"/>
      <c r="ED131" s="1043"/>
      <c r="EE131" s="1043"/>
      <c r="EF131" s="1043"/>
      <c r="EG131" s="1043"/>
      <c r="EH131" s="1043"/>
      <c r="EI131" s="1044"/>
      <c r="EK131" s="2"/>
      <c r="FG131" s="37"/>
      <c r="FH131" s="37"/>
      <c r="FI131" s="37"/>
      <c r="FJ131" s="37"/>
      <c r="FK131" s="37"/>
      <c r="FL131" s="37"/>
      <c r="FM131" s="37"/>
      <c r="FN131" s="37"/>
    </row>
    <row r="132" spans="12:170" x14ac:dyDescent="0.35">
      <c r="AW132" s="13"/>
      <c r="BJ132" s="1076" t="s">
        <v>317</v>
      </c>
      <c r="BK132" s="1077"/>
      <c r="BL132" s="1077"/>
      <c r="BM132" s="1077"/>
      <c r="BN132" s="1077"/>
      <c r="BO132" s="1077"/>
      <c r="BP132" s="1077"/>
      <c r="BQ132" s="1078"/>
      <c r="BV132" s="1076" t="s">
        <v>318</v>
      </c>
      <c r="BW132" s="1077"/>
      <c r="BX132" s="1077"/>
      <c r="BY132" s="1077"/>
      <c r="BZ132" s="1077"/>
      <c r="CA132" s="1077"/>
      <c r="CB132" s="1077"/>
      <c r="CC132" s="1078"/>
      <c r="CP132" s="2"/>
      <c r="CW132" s="2"/>
      <c r="DC132" s="13"/>
      <c r="DE132" s="212">
        <v>1</v>
      </c>
      <c r="DF132" s="1138" t="s">
        <v>195</v>
      </c>
      <c r="DG132" s="1139"/>
      <c r="DH132" s="1139"/>
      <c r="DI132" s="1139"/>
      <c r="DJ132" s="1139"/>
      <c r="DK132" s="1139"/>
      <c r="DL132" s="1140"/>
      <c r="DO132" s="212">
        <v>1</v>
      </c>
      <c r="DP132" s="1138" t="s">
        <v>270</v>
      </c>
      <c r="DQ132" s="1139"/>
      <c r="DR132" s="1139"/>
      <c r="DS132" s="1139"/>
      <c r="DT132" s="1139"/>
      <c r="DU132" s="1139"/>
      <c r="DV132" s="1140"/>
      <c r="DX132" s="2"/>
      <c r="DZ132" s="46"/>
      <c r="EA132" s="6"/>
      <c r="EB132" s="1">
        <v>1</v>
      </c>
      <c r="EC132" s="1029" t="s">
        <v>206</v>
      </c>
      <c r="ED132" s="1030"/>
      <c r="EE132" s="1030"/>
      <c r="EF132" s="1030"/>
      <c r="EG132" s="1030"/>
      <c r="EH132" s="1030"/>
      <c r="EI132" s="1031"/>
      <c r="EK132" s="2"/>
      <c r="FG132" s="7"/>
      <c r="FH132" s="6"/>
      <c r="FI132" s="6"/>
      <c r="FJ132" s="6"/>
      <c r="FK132" s="6"/>
      <c r="FL132" s="6"/>
      <c r="FM132" s="6"/>
      <c r="FN132" s="6"/>
    </row>
    <row r="133" spans="12:170" x14ac:dyDescent="0.35">
      <c r="AW133" s="13"/>
      <c r="BJ133" s="144">
        <v>1</v>
      </c>
      <c r="BK133" s="1038" t="s">
        <v>172</v>
      </c>
      <c r="BL133" s="1036"/>
      <c r="BM133" s="1036"/>
      <c r="BN133" s="1036"/>
      <c r="BO133" s="1036"/>
      <c r="BP133" s="1036"/>
      <c r="BQ133" s="1037"/>
      <c r="BV133" s="144">
        <v>1</v>
      </c>
      <c r="BW133" s="1038" t="s">
        <v>172</v>
      </c>
      <c r="BX133" s="1036"/>
      <c r="BY133" s="1036"/>
      <c r="BZ133" s="1036"/>
      <c r="CA133" s="1036"/>
      <c r="CB133" s="1036"/>
      <c r="CC133" s="1037"/>
      <c r="CP133" s="2"/>
      <c r="CW133" s="2"/>
      <c r="DC133" s="13"/>
      <c r="DE133" s="1042" t="s">
        <v>319</v>
      </c>
      <c r="DF133" s="1043"/>
      <c r="DG133" s="1043"/>
      <c r="DH133" s="1043"/>
      <c r="DI133" s="1043"/>
      <c r="DJ133" s="1043"/>
      <c r="DK133" s="1043"/>
      <c r="DL133" s="1044"/>
      <c r="DO133" s="1042" t="s">
        <v>320</v>
      </c>
      <c r="DP133" s="1043"/>
      <c r="DQ133" s="1043"/>
      <c r="DR133" s="1043"/>
      <c r="DS133" s="1043"/>
      <c r="DT133" s="1043"/>
      <c r="DU133" s="1043"/>
      <c r="DV133" s="1044"/>
      <c r="DX133" s="2"/>
      <c r="DZ133" s="41"/>
      <c r="EA133" s="37"/>
      <c r="EB133" s="1042" t="s">
        <v>321</v>
      </c>
      <c r="EC133" s="1043"/>
      <c r="ED133" s="1043"/>
      <c r="EE133" s="1043"/>
      <c r="EF133" s="1043"/>
      <c r="EG133" s="1043"/>
      <c r="EH133" s="1043"/>
      <c r="EI133" s="1044"/>
      <c r="EK133" s="2"/>
      <c r="FG133" s="37"/>
      <c r="FH133" s="37"/>
      <c r="FI133" s="37"/>
      <c r="FJ133" s="37"/>
      <c r="FK133" s="37"/>
      <c r="FL133" s="37"/>
      <c r="FM133" s="37"/>
      <c r="FN133" s="37"/>
    </row>
    <row r="134" spans="12:170" x14ac:dyDescent="0.35">
      <c r="AW134" s="13"/>
      <c r="BJ134" s="1073" t="s">
        <v>322</v>
      </c>
      <c r="BK134" s="1074"/>
      <c r="BL134" s="1074"/>
      <c r="BM134" s="1074"/>
      <c r="BN134" s="1074"/>
      <c r="BO134" s="1074"/>
      <c r="BP134" s="1074"/>
      <c r="BQ134" s="1075"/>
      <c r="BV134" s="1076" t="s">
        <v>323</v>
      </c>
      <c r="BW134" s="1077"/>
      <c r="BX134" s="1077"/>
      <c r="BY134" s="1077"/>
      <c r="BZ134" s="1077"/>
      <c r="CA134" s="1077"/>
      <c r="CB134" s="1077"/>
      <c r="CC134" s="1078"/>
      <c r="CP134" s="2"/>
      <c r="CW134" s="2"/>
      <c r="DC134" s="13"/>
      <c r="DE134" s="212">
        <v>1</v>
      </c>
      <c r="DF134" s="1138" t="s">
        <v>195</v>
      </c>
      <c r="DG134" s="1139"/>
      <c r="DH134" s="1139"/>
      <c r="DI134" s="1139"/>
      <c r="DJ134" s="1139"/>
      <c r="DK134" s="1139"/>
      <c r="DL134" s="1140"/>
      <c r="DO134" s="212">
        <v>1</v>
      </c>
      <c r="DP134" s="1138" t="s">
        <v>270</v>
      </c>
      <c r="DQ134" s="1139"/>
      <c r="DR134" s="1139"/>
      <c r="DS134" s="1139"/>
      <c r="DT134" s="1139"/>
      <c r="DU134" s="1139"/>
      <c r="DV134" s="1140"/>
      <c r="DX134" s="2"/>
      <c r="DZ134" s="46"/>
      <c r="EA134" s="6"/>
      <c r="EB134" s="1">
        <v>1</v>
      </c>
      <c r="EC134" s="1029" t="s">
        <v>206</v>
      </c>
      <c r="ED134" s="1030"/>
      <c r="EE134" s="1030"/>
      <c r="EF134" s="1030"/>
      <c r="EG134" s="1030"/>
      <c r="EH134" s="1030"/>
      <c r="EI134" s="1031"/>
      <c r="EK134" s="2"/>
      <c r="FG134" s="7"/>
      <c r="FH134" s="6"/>
      <c r="FI134" s="6"/>
      <c r="FJ134" s="6"/>
      <c r="FK134" s="6"/>
      <c r="FL134" s="6"/>
      <c r="FM134" s="6"/>
      <c r="FN134" s="6"/>
    </row>
    <row r="135" spans="12:170" x14ac:dyDescent="0.35">
      <c r="AW135" s="13"/>
      <c r="BJ135" s="144">
        <v>1</v>
      </c>
      <c r="BK135" s="1038" t="s">
        <v>324</v>
      </c>
      <c r="BL135" s="1036"/>
      <c r="BM135" s="1036"/>
      <c r="BN135" s="1036"/>
      <c r="BO135" s="1036"/>
      <c r="BP135" s="1036"/>
      <c r="BQ135" s="1037"/>
      <c r="BV135" s="144">
        <v>1</v>
      </c>
      <c r="BW135" s="1172" t="s">
        <v>172</v>
      </c>
      <c r="BX135" s="1173"/>
      <c r="BY135" s="1173"/>
      <c r="BZ135" s="1173"/>
      <c r="CA135" s="1173"/>
      <c r="CB135" s="1173"/>
      <c r="CC135" s="1174"/>
      <c r="CP135" s="2"/>
      <c r="CW135" s="2"/>
      <c r="DC135" s="13"/>
      <c r="DE135" s="1042" t="s">
        <v>325</v>
      </c>
      <c r="DF135" s="1043"/>
      <c r="DG135" s="1043"/>
      <c r="DH135" s="1043"/>
      <c r="DI135" s="1043"/>
      <c r="DJ135" s="1043"/>
      <c r="DK135" s="1043"/>
      <c r="DL135" s="1044"/>
      <c r="DO135" s="1042" t="s">
        <v>326</v>
      </c>
      <c r="DP135" s="1043"/>
      <c r="DQ135" s="1043"/>
      <c r="DR135" s="1043"/>
      <c r="DS135" s="1043"/>
      <c r="DT135" s="1043"/>
      <c r="DU135" s="1043"/>
      <c r="DV135" s="1044"/>
      <c r="DX135" s="2"/>
      <c r="DZ135" s="41"/>
      <c r="EA135" s="37"/>
      <c r="EB135" s="1042" t="s">
        <v>327</v>
      </c>
      <c r="EC135" s="1043"/>
      <c r="ED135" s="1043"/>
      <c r="EE135" s="1043"/>
      <c r="EF135" s="1043"/>
      <c r="EG135" s="1043"/>
      <c r="EH135" s="1043"/>
      <c r="EI135" s="1044"/>
      <c r="EK135" s="2"/>
      <c r="FG135" s="37"/>
      <c r="FH135" s="37"/>
      <c r="FI135" s="37"/>
      <c r="FJ135" s="37"/>
      <c r="FK135" s="37"/>
      <c r="FL135" s="37"/>
      <c r="FM135" s="37"/>
      <c r="FN135" s="37"/>
    </row>
    <row r="136" spans="12:170" x14ac:dyDescent="0.35">
      <c r="AW136" s="13"/>
      <c r="BJ136" s="1076" t="s">
        <v>328</v>
      </c>
      <c r="BK136" s="1077"/>
      <c r="BL136" s="1077"/>
      <c r="BM136" s="1077"/>
      <c r="BN136" s="1077"/>
      <c r="BO136" s="1077"/>
      <c r="BP136" s="1077"/>
      <c r="BQ136" s="1078"/>
      <c r="BV136" s="1123" t="s">
        <v>329</v>
      </c>
      <c r="BW136" s="1124"/>
      <c r="BX136" s="1124"/>
      <c r="BY136" s="1124"/>
      <c r="BZ136" s="1124"/>
      <c r="CA136" s="1124"/>
      <c r="CB136" s="1124"/>
      <c r="CC136" s="1125"/>
      <c r="CP136" s="2"/>
      <c r="CW136" s="2"/>
      <c r="DC136" s="13"/>
      <c r="DE136" s="212">
        <v>1</v>
      </c>
      <c r="DF136" s="1138" t="s">
        <v>195</v>
      </c>
      <c r="DG136" s="1139"/>
      <c r="DH136" s="1139"/>
      <c r="DI136" s="1139"/>
      <c r="DJ136" s="1139"/>
      <c r="DK136" s="1139"/>
      <c r="DL136" s="1140"/>
      <c r="DO136" s="212">
        <v>1</v>
      </c>
      <c r="DP136" s="1138" t="s">
        <v>270</v>
      </c>
      <c r="DQ136" s="1139"/>
      <c r="DR136" s="1139"/>
      <c r="DS136" s="1139"/>
      <c r="DT136" s="1139"/>
      <c r="DU136" s="1139"/>
      <c r="DV136" s="1140"/>
      <c r="DX136" s="2"/>
      <c r="DZ136" s="46"/>
      <c r="EA136" s="6"/>
      <c r="EB136" s="1">
        <v>1</v>
      </c>
      <c r="EC136" s="1029" t="s">
        <v>206</v>
      </c>
      <c r="ED136" s="1030"/>
      <c r="EE136" s="1030"/>
      <c r="EF136" s="1030"/>
      <c r="EG136" s="1030"/>
      <c r="EH136" s="1030"/>
      <c r="EI136" s="1031"/>
      <c r="EK136" s="2"/>
      <c r="FG136" s="7"/>
      <c r="FH136" s="6"/>
      <c r="FI136" s="6"/>
      <c r="FJ136" s="6"/>
      <c r="FK136" s="6"/>
      <c r="FL136" s="6"/>
      <c r="FM136" s="6"/>
      <c r="FN136" s="6"/>
    </row>
    <row r="137" spans="12:170" x14ac:dyDescent="0.35">
      <c r="AW137" s="13"/>
      <c r="BJ137" s="144">
        <v>1</v>
      </c>
      <c r="BK137" s="1038" t="s">
        <v>324</v>
      </c>
      <c r="BL137" s="1036"/>
      <c r="BM137" s="1036"/>
      <c r="BN137" s="1036"/>
      <c r="BO137" s="1036"/>
      <c r="BP137" s="1036"/>
      <c r="BQ137" s="1037"/>
      <c r="BV137" s="144">
        <v>1</v>
      </c>
      <c r="BW137" s="1038" t="s">
        <v>324</v>
      </c>
      <c r="BX137" s="1036"/>
      <c r="BY137" s="1036"/>
      <c r="BZ137" s="1036"/>
      <c r="CA137" s="1036"/>
      <c r="CB137" s="1036"/>
      <c r="CC137" s="1037"/>
      <c r="CP137" s="2"/>
      <c r="CW137" s="2"/>
      <c r="DC137" s="13"/>
      <c r="DE137" s="1042" t="s">
        <v>330</v>
      </c>
      <c r="DF137" s="1043"/>
      <c r="DG137" s="1043"/>
      <c r="DH137" s="1043"/>
      <c r="DI137" s="1043"/>
      <c r="DJ137" s="1043"/>
      <c r="DK137" s="1043"/>
      <c r="DL137" s="1044"/>
      <c r="DO137" s="1145" t="s">
        <v>331</v>
      </c>
      <c r="DP137" s="1146"/>
      <c r="DQ137" s="1146"/>
      <c r="DR137" s="1146"/>
      <c r="DS137" s="1146"/>
      <c r="DT137" s="1146"/>
      <c r="DU137" s="1146"/>
      <c r="DV137" s="1147"/>
      <c r="DX137" s="2"/>
      <c r="DZ137" s="41"/>
      <c r="EA137" s="37"/>
      <c r="EB137" s="1042" t="s">
        <v>332</v>
      </c>
      <c r="EC137" s="1043"/>
      <c r="ED137" s="1043"/>
      <c r="EE137" s="1043"/>
      <c r="EF137" s="1043"/>
      <c r="EG137" s="1043"/>
      <c r="EH137" s="1043"/>
      <c r="EI137" s="1044"/>
      <c r="EK137" s="2"/>
      <c r="FG137" s="37"/>
      <c r="FH137" s="37"/>
      <c r="FI137" s="37"/>
      <c r="FJ137" s="37"/>
      <c r="FK137" s="37"/>
      <c r="FL137" s="37"/>
      <c r="FM137" s="37"/>
      <c r="FN137" s="37"/>
    </row>
    <row r="138" spans="12:170" x14ac:dyDescent="0.35">
      <c r="AW138" s="13"/>
      <c r="BJ138" s="1076" t="s">
        <v>333</v>
      </c>
      <c r="BK138" s="1077"/>
      <c r="BL138" s="1077"/>
      <c r="BM138" s="1077"/>
      <c r="BN138" s="1077"/>
      <c r="BO138" s="1077"/>
      <c r="BP138" s="1077"/>
      <c r="BQ138" s="1078"/>
      <c r="BV138" s="1076" t="s">
        <v>334</v>
      </c>
      <c r="BW138" s="1077"/>
      <c r="BX138" s="1077"/>
      <c r="BY138" s="1077"/>
      <c r="BZ138" s="1077"/>
      <c r="CA138" s="1077"/>
      <c r="CB138" s="1077"/>
      <c r="CC138" s="1078"/>
      <c r="CP138" s="2"/>
      <c r="CW138" s="2"/>
      <c r="DC138" s="13"/>
      <c r="DE138" s="212">
        <v>1</v>
      </c>
      <c r="DF138" s="1138" t="s">
        <v>195</v>
      </c>
      <c r="DG138" s="1139"/>
      <c r="DH138" s="1139"/>
      <c r="DI138" s="1139"/>
      <c r="DJ138" s="1139"/>
      <c r="DK138" s="1139"/>
      <c r="DL138" s="1140"/>
      <c r="DO138" s="214">
        <v>1</v>
      </c>
      <c r="DP138" s="1148" t="s">
        <v>195</v>
      </c>
      <c r="DQ138" s="1149"/>
      <c r="DR138" s="1149"/>
      <c r="DS138" s="1149"/>
      <c r="DT138" s="1149"/>
      <c r="DU138" s="1149"/>
      <c r="DV138" s="1150"/>
      <c r="DX138" s="2"/>
      <c r="DZ138" s="46"/>
      <c r="EA138" s="6"/>
      <c r="EB138" s="1">
        <v>1</v>
      </c>
      <c r="EC138" s="1029" t="s">
        <v>206</v>
      </c>
      <c r="ED138" s="1030"/>
      <c r="EE138" s="1030"/>
      <c r="EF138" s="1030"/>
      <c r="EG138" s="1030"/>
      <c r="EH138" s="1030"/>
      <c r="EI138" s="1031"/>
      <c r="EK138" s="2"/>
      <c r="FG138" s="7"/>
      <c r="FH138" s="6"/>
      <c r="FI138" s="6"/>
      <c r="FJ138" s="6"/>
      <c r="FK138" s="6"/>
      <c r="FL138" s="6"/>
      <c r="FM138" s="6"/>
      <c r="FN138" s="6"/>
    </row>
    <row r="139" spans="12:170" x14ac:dyDescent="0.35">
      <c r="AW139" s="13"/>
      <c r="BJ139" s="174">
        <v>1</v>
      </c>
      <c r="BK139" s="1172" t="s">
        <v>324</v>
      </c>
      <c r="BL139" s="1173"/>
      <c r="BM139" s="1173"/>
      <c r="BN139" s="1173"/>
      <c r="BO139" s="1173"/>
      <c r="BP139" s="1173"/>
      <c r="BQ139" s="1174"/>
      <c r="BV139" s="144">
        <v>1</v>
      </c>
      <c r="BW139" s="1172" t="s">
        <v>324</v>
      </c>
      <c r="BX139" s="1173"/>
      <c r="BY139" s="1173"/>
      <c r="BZ139" s="1173"/>
      <c r="CA139" s="1173"/>
      <c r="CB139" s="1173"/>
      <c r="CC139" s="1174"/>
      <c r="CP139" s="2"/>
      <c r="CW139" s="2"/>
      <c r="DC139" s="13"/>
      <c r="DE139" s="1042" t="s">
        <v>335</v>
      </c>
      <c r="DF139" s="1043"/>
      <c r="DG139" s="1043"/>
      <c r="DH139" s="1043"/>
      <c r="DI139" s="1043"/>
      <c r="DJ139" s="1043"/>
      <c r="DK139" s="1043"/>
      <c r="DL139" s="1044"/>
      <c r="DO139" s="1151" t="s">
        <v>336</v>
      </c>
      <c r="DP139" s="1152"/>
      <c r="DQ139" s="1152"/>
      <c r="DR139" s="1152"/>
      <c r="DS139" s="1152"/>
      <c r="DT139" s="1152"/>
      <c r="DU139" s="1152"/>
      <c r="DV139" s="1153"/>
      <c r="DX139" s="2"/>
      <c r="DZ139" s="41"/>
      <c r="EA139" s="37"/>
      <c r="EB139" s="1042" t="s">
        <v>337</v>
      </c>
      <c r="EC139" s="1043"/>
      <c r="ED139" s="1043"/>
      <c r="EE139" s="1043"/>
      <c r="EF139" s="1043"/>
      <c r="EG139" s="1043"/>
      <c r="EH139" s="1043"/>
      <c r="EI139" s="1044"/>
      <c r="EK139" s="2"/>
      <c r="FG139" s="37"/>
      <c r="FH139" s="37"/>
      <c r="FI139" s="37"/>
      <c r="FJ139" s="37"/>
      <c r="FK139" s="37"/>
      <c r="FL139" s="37"/>
      <c r="FM139" s="37"/>
      <c r="FN139" s="37"/>
    </row>
    <row r="140" spans="12:170" x14ac:dyDescent="0.35">
      <c r="AW140" s="13"/>
      <c r="BJ140" s="1184" t="s">
        <v>338</v>
      </c>
      <c r="BK140" s="1185"/>
      <c r="BL140" s="1185"/>
      <c r="BM140" s="1185"/>
      <c r="BN140" s="1185"/>
      <c r="BO140" s="1185"/>
      <c r="BP140" s="1185"/>
      <c r="BQ140" s="1186"/>
      <c r="BV140" s="1076" t="s">
        <v>339</v>
      </c>
      <c r="BW140" s="1077"/>
      <c r="BX140" s="1077"/>
      <c r="BY140" s="1077"/>
      <c r="BZ140" s="1077"/>
      <c r="CA140" s="1077"/>
      <c r="CB140" s="1077"/>
      <c r="CC140" s="1078"/>
      <c r="CP140" s="2"/>
      <c r="CX140" s="13"/>
      <c r="DC140" s="13"/>
      <c r="DE140" s="212">
        <v>1</v>
      </c>
      <c r="DF140" s="1138" t="s">
        <v>195</v>
      </c>
      <c r="DG140" s="1139"/>
      <c r="DH140" s="1139"/>
      <c r="DI140" s="1139"/>
      <c r="DJ140" s="1139"/>
      <c r="DK140" s="1139"/>
      <c r="DL140" s="1140"/>
      <c r="DO140" s="216">
        <v>1</v>
      </c>
      <c r="DP140" s="1154" t="s">
        <v>195</v>
      </c>
      <c r="DQ140" s="1155"/>
      <c r="DR140" s="1155"/>
      <c r="DS140" s="1155"/>
      <c r="DT140" s="1155"/>
      <c r="DU140" s="1155"/>
      <c r="DV140" s="1156"/>
      <c r="DX140" s="2"/>
      <c r="DZ140" s="46"/>
      <c r="EA140" s="6"/>
      <c r="EB140" s="1">
        <v>1</v>
      </c>
      <c r="EC140" s="1029" t="s">
        <v>206</v>
      </c>
      <c r="ED140" s="1030"/>
      <c r="EE140" s="1030"/>
      <c r="EF140" s="1030"/>
      <c r="EG140" s="1030"/>
      <c r="EH140" s="1030"/>
      <c r="EI140" s="1031"/>
      <c r="EK140" s="2"/>
      <c r="FG140" s="7"/>
      <c r="FH140" s="6"/>
      <c r="FI140" s="6"/>
      <c r="FJ140" s="6"/>
      <c r="FK140" s="6"/>
      <c r="FL140" s="6"/>
      <c r="FM140" s="6"/>
      <c r="FN140" s="6"/>
    </row>
    <row r="141" spans="12:170" x14ac:dyDescent="0.35">
      <c r="AF141" s="39"/>
      <c r="AG141" s="39"/>
      <c r="AH141" s="39"/>
      <c r="AI141" s="39"/>
      <c r="AJ141" s="39"/>
      <c r="AK141" s="39"/>
      <c r="AL141" s="39"/>
      <c r="AM141" s="39"/>
      <c r="AW141" s="13"/>
      <c r="BJ141" s="174">
        <v>1</v>
      </c>
      <c r="BK141" s="1172" t="s">
        <v>172</v>
      </c>
      <c r="BL141" s="1173"/>
      <c r="BM141" s="1173"/>
      <c r="BN141" s="1173"/>
      <c r="BO141" s="1173"/>
      <c r="BP141" s="1173"/>
      <c r="BQ141" s="1174"/>
      <c r="BV141" s="144">
        <v>1</v>
      </c>
      <c r="BW141" s="1038" t="s">
        <v>324</v>
      </c>
      <c r="BX141" s="1036"/>
      <c r="BY141" s="1036"/>
      <c r="BZ141" s="1036"/>
      <c r="CA141" s="1036"/>
      <c r="CB141" s="1036"/>
      <c r="CC141" s="1037"/>
      <c r="CP141" s="2"/>
      <c r="CW141" s="2"/>
      <c r="DC141" s="13"/>
      <c r="DE141" s="1042" t="s">
        <v>340</v>
      </c>
      <c r="DF141" s="1043"/>
      <c r="DG141" s="1043"/>
      <c r="DH141" s="1043"/>
      <c r="DI141" s="1043"/>
      <c r="DJ141" s="1043"/>
      <c r="DK141" s="1043"/>
      <c r="DL141" s="1044"/>
      <c r="DO141" s="1184" t="s">
        <v>330</v>
      </c>
      <c r="DP141" s="1185"/>
      <c r="DQ141" s="1185"/>
      <c r="DR141" s="1185"/>
      <c r="DS141" s="1185"/>
      <c r="DT141" s="1185"/>
      <c r="DU141" s="1185"/>
      <c r="DV141" s="1186"/>
      <c r="DX141" s="2"/>
      <c r="DZ141" s="41"/>
      <c r="EA141" s="37"/>
      <c r="EB141" s="1157" t="s">
        <v>341</v>
      </c>
      <c r="EC141" s="1158"/>
      <c r="ED141" s="1158"/>
      <c r="EE141" s="1158"/>
      <c r="EF141" s="1158"/>
      <c r="EG141" s="1158"/>
      <c r="EH141" s="1158"/>
      <c r="EI141" s="1159"/>
      <c r="EK141" s="2"/>
      <c r="FG141" s="37"/>
      <c r="FH141" s="37"/>
      <c r="FI141" s="37"/>
      <c r="FJ141" s="37"/>
      <c r="FK141" s="37"/>
      <c r="FL141" s="37"/>
      <c r="FM141" s="37"/>
      <c r="FN141" s="37"/>
    </row>
    <row r="142" spans="12:170" x14ac:dyDescent="0.35">
      <c r="AW142" s="13"/>
      <c r="BJ142" s="1184" t="s">
        <v>342</v>
      </c>
      <c r="BK142" s="1185"/>
      <c r="BL142" s="1185"/>
      <c r="BM142" s="1185"/>
      <c r="BN142" s="1185"/>
      <c r="BO142" s="1185"/>
      <c r="BP142" s="1185"/>
      <c r="BQ142" s="1186"/>
      <c r="BV142" s="1203" t="s">
        <v>343</v>
      </c>
      <c r="BW142" s="1204"/>
      <c r="BX142" s="1204"/>
      <c r="BY142" s="1204"/>
      <c r="BZ142" s="1204"/>
      <c r="CA142" s="1204"/>
      <c r="CB142" s="1204"/>
      <c r="CC142" s="1205"/>
      <c r="CP142" s="2"/>
      <c r="CU142" s="63"/>
      <c r="CV142" s="63"/>
      <c r="CW142" s="64"/>
      <c r="CX142" s="63"/>
      <c r="CY142" s="63"/>
      <c r="CZ142" s="63"/>
      <c r="DA142" s="63"/>
      <c r="DC142" s="13"/>
      <c r="DE142" s="212">
        <v>1</v>
      </c>
      <c r="DF142" s="1138" t="s">
        <v>195</v>
      </c>
      <c r="DG142" s="1139"/>
      <c r="DH142" s="1139"/>
      <c r="DI142" s="1139"/>
      <c r="DJ142" s="1139"/>
      <c r="DK142" s="1139"/>
      <c r="DL142" s="1140"/>
      <c r="DO142" s="211">
        <v>1</v>
      </c>
      <c r="DP142" s="1038" t="s">
        <v>195</v>
      </c>
      <c r="DQ142" s="1036"/>
      <c r="DR142" s="1036"/>
      <c r="DS142" s="1036"/>
      <c r="DT142" s="1036"/>
      <c r="DU142" s="1036"/>
      <c r="DV142" s="1037"/>
      <c r="DX142" s="2"/>
      <c r="DZ142" s="13"/>
      <c r="EB142" s="181">
        <v>1</v>
      </c>
      <c r="EC142" s="1172" t="s">
        <v>206</v>
      </c>
      <c r="ED142" s="1173"/>
      <c r="EE142" s="1173"/>
      <c r="EF142" s="1173"/>
      <c r="EG142" s="1173"/>
      <c r="EH142" s="1173"/>
      <c r="EI142" s="1174"/>
      <c r="EK142" s="2"/>
    </row>
    <row r="143" spans="12:170" x14ac:dyDescent="0.35">
      <c r="AW143" s="13"/>
      <c r="BJ143" s="174">
        <v>1</v>
      </c>
      <c r="BK143" s="1172" t="s">
        <v>172</v>
      </c>
      <c r="BL143" s="1173"/>
      <c r="BM143" s="1173"/>
      <c r="BN143" s="1173"/>
      <c r="BO143" s="1173"/>
      <c r="BP143" s="1173"/>
      <c r="BQ143" s="1174"/>
      <c r="BV143" s="144">
        <v>1</v>
      </c>
      <c r="BW143" s="1038" t="s">
        <v>324</v>
      </c>
      <c r="BX143" s="1036"/>
      <c r="BY143" s="1036"/>
      <c r="BZ143" s="1036"/>
      <c r="CA143" s="1036"/>
      <c r="CB143" s="1036"/>
      <c r="CC143" s="1037"/>
      <c r="CP143" s="2"/>
      <c r="CU143" s="63"/>
      <c r="CV143" s="63"/>
      <c r="CW143" s="64"/>
      <c r="CX143" s="63"/>
      <c r="CY143" s="63"/>
      <c r="CZ143" s="63"/>
      <c r="DA143" s="63"/>
      <c r="DC143" s="13"/>
      <c r="DE143" s="1042" t="s">
        <v>344</v>
      </c>
      <c r="DF143" s="1043"/>
      <c r="DG143" s="1043"/>
      <c r="DH143" s="1043"/>
      <c r="DI143" s="1043"/>
      <c r="DJ143" s="1043"/>
      <c r="DK143" s="1043"/>
      <c r="DL143" s="1044"/>
      <c r="DO143" s="1053" t="s">
        <v>215</v>
      </c>
      <c r="DP143" s="1054"/>
      <c r="DQ143" s="1054"/>
      <c r="DR143" s="1054"/>
      <c r="DS143" s="1054"/>
      <c r="DT143" s="1054"/>
      <c r="DU143" s="1054"/>
      <c r="DV143" s="1055"/>
      <c r="DX143" s="2"/>
      <c r="DZ143" s="150"/>
      <c r="EB143" s="1184" t="s">
        <v>345</v>
      </c>
      <c r="EC143" s="1185"/>
      <c r="ED143" s="1185"/>
      <c r="EE143" s="1185"/>
      <c r="EF143" s="1185"/>
      <c r="EG143" s="1185"/>
      <c r="EH143" s="1185"/>
      <c r="EI143" s="1186"/>
      <c r="EJ143" s="52"/>
      <c r="EK143" s="182"/>
    </row>
    <row r="144" spans="12:170" x14ac:dyDescent="0.35">
      <c r="AW144" s="13"/>
      <c r="BJ144" s="1184" t="s">
        <v>346</v>
      </c>
      <c r="BK144" s="1185"/>
      <c r="BL144" s="1185"/>
      <c r="BM144" s="1185"/>
      <c r="BN144" s="1185"/>
      <c r="BO144" s="1185"/>
      <c r="BP144" s="1185"/>
      <c r="BQ144" s="1186"/>
      <c r="BV144" s="1063" t="s">
        <v>131</v>
      </c>
      <c r="BW144" s="1064"/>
      <c r="BX144" s="1064"/>
      <c r="BY144" s="1064"/>
      <c r="BZ144" s="1064"/>
      <c r="CA144" s="1064"/>
      <c r="CB144" s="1064"/>
      <c r="CC144" s="1065"/>
      <c r="CO144" s="52"/>
      <c r="CP144" s="67"/>
      <c r="CW144" s="2"/>
      <c r="DC144" s="13"/>
      <c r="DE144" s="213">
        <v>1</v>
      </c>
      <c r="DF144" s="1148" t="s">
        <v>195</v>
      </c>
      <c r="DG144" s="1149"/>
      <c r="DH144" s="1149"/>
      <c r="DI144" s="1149"/>
      <c r="DJ144" s="1149"/>
      <c r="DK144" s="1149"/>
      <c r="DL144" s="1150"/>
      <c r="DO144" s="215"/>
      <c r="DP144" s="1141"/>
      <c r="DQ144" s="1141"/>
      <c r="DR144" s="1141"/>
      <c r="DS144" s="1141"/>
      <c r="DT144" s="1141"/>
      <c r="DU144" s="1141"/>
      <c r="DV144" s="1141"/>
      <c r="DX144" s="2"/>
      <c r="DZ144" s="155"/>
      <c r="EA144" s="149"/>
      <c r="EB144" s="149"/>
      <c r="EC144" s="149"/>
      <c r="ED144" s="149"/>
      <c r="EE144" s="149"/>
      <c r="EF144" s="149"/>
      <c r="EG144" s="149"/>
      <c r="EH144" s="149"/>
      <c r="EI144" s="149"/>
      <c r="EJ144" s="149"/>
      <c r="EK144" s="183"/>
    </row>
    <row r="145" spans="49:141" x14ac:dyDescent="0.35">
      <c r="AW145" s="13"/>
      <c r="BV145" s="174">
        <v>1</v>
      </c>
      <c r="BW145" s="1172" t="s">
        <v>172</v>
      </c>
      <c r="BX145" s="1173"/>
      <c r="BY145" s="1173"/>
      <c r="BZ145" s="1173"/>
      <c r="CA145" s="1173"/>
      <c r="CB145" s="1173"/>
      <c r="CC145" s="1174"/>
      <c r="CP145" s="2"/>
      <c r="CW145" s="2"/>
      <c r="DB145" s="2"/>
      <c r="DE145" s="1181" t="s">
        <v>347</v>
      </c>
      <c r="DF145" s="1182"/>
      <c r="DG145" s="1182"/>
      <c r="DH145" s="1182"/>
      <c r="DI145" s="1182"/>
      <c r="DJ145" s="1182"/>
      <c r="DK145" s="1182"/>
      <c r="DL145" s="1183"/>
      <c r="DO145" s="1199"/>
      <c r="DP145" s="1199"/>
      <c r="DQ145" s="1199"/>
      <c r="DR145" s="1199"/>
      <c r="DS145" s="1199"/>
      <c r="DT145" s="1199"/>
      <c r="DU145" s="1199"/>
      <c r="DV145" s="1199"/>
      <c r="DY145" s="13"/>
      <c r="EH145" s="1206" t="s">
        <v>251</v>
      </c>
      <c r="EI145" s="1207"/>
      <c r="EJ145" s="1207"/>
      <c r="EK145" s="1208"/>
    </row>
    <row r="146" spans="49:141" x14ac:dyDescent="0.35">
      <c r="AW146" s="13"/>
      <c r="BV146" s="1203" t="s">
        <v>348</v>
      </c>
      <c r="BW146" s="1204"/>
      <c r="BX146" s="1204"/>
      <c r="BY146" s="1204"/>
      <c r="BZ146" s="1204"/>
      <c r="CA146" s="1204"/>
      <c r="CB146" s="1204"/>
      <c r="CC146" s="1205"/>
      <c r="CP146" s="2"/>
      <c r="CW146" s="2"/>
      <c r="DB146" s="2"/>
      <c r="DE146" s="213">
        <v>1</v>
      </c>
      <c r="DF146" s="1148" t="s">
        <v>195</v>
      </c>
      <c r="DG146" s="1149"/>
      <c r="DH146" s="1149"/>
      <c r="DI146" s="1149"/>
      <c r="DJ146" s="1149"/>
      <c r="DK146" s="1149"/>
      <c r="DL146" s="1150"/>
      <c r="DO146" s="215"/>
      <c r="DP146" s="1141"/>
      <c r="DQ146" s="1141"/>
      <c r="DR146" s="1141"/>
      <c r="DS146" s="1141"/>
      <c r="DT146" s="1141"/>
      <c r="DU146" s="1141"/>
      <c r="DV146" s="1141"/>
      <c r="DY146" s="13"/>
    </row>
    <row r="147" spans="49:141" x14ac:dyDescent="0.35">
      <c r="AW147" s="13"/>
      <c r="BV147" s="174">
        <v>1</v>
      </c>
      <c r="BW147" s="1172" t="s">
        <v>172</v>
      </c>
      <c r="BX147" s="1173"/>
      <c r="BY147" s="1173"/>
      <c r="BZ147" s="1173"/>
      <c r="CA147" s="1173"/>
      <c r="CB147" s="1173"/>
      <c r="CC147" s="1174"/>
      <c r="CP147" s="2"/>
      <c r="CW147" s="2"/>
      <c r="DB147" s="2"/>
      <c r="DE147" s="1181" t="s">
        <v>349</v>
      </c>
      <c r="DF147" s="1182"/>
      <c r="DG147" s="1182"/>
      <c r="DH147" s="1182"/>
      <c r="DI147" s="1182"/>
      <c r="DJ147" s="1182"/>
      <c r="DK147" s="1182"/>
      <c r="DL147" s="1183"/>
      <c r="DO147" s="1199"/>
      <c r="DP147" s="1199"/>
      <c r="DQ147" s="1199"/>
      <c r="DR147" s="1199"/>
      <c r="DS147" s="1199"/>
      <c r="DT147" s="1199"/>
      <c r="DU147" s="1199"/>
      <c r="DV147" s="1199"/>
      <c r="DY147" s="13"/>
    </row>
    <row r="148" spans="49:141" x14ac:dyDescent="0.35">
      <c r="AW148" s="13"/>
      <c r="BV148" s="1184" t="s">
        <v>350</v>
      </c>
      <c r="BW148" s="1185"/>
      <c r="BX148" s="1185"/>
      <c r="BY148" s="1185"/>
      <c r="BZ148" s="1185"/>
      <c r="CA148" s="1185"/>
      <c r="CB148" s="1185"/>
      <c r="CC148" s="1186"/>
      <c r="CP148" s="2"/>
      <c r="CW148" s="2"/>
      <c r="DB148" s="2"/>
      <c r="DE148" s="214">
        <v>1</v>
      </c>
      <c r="DF148" s="1148" t="s">
        <v>195</v>
      </c>
      <c r="DG148" s="1149"/>
      <c r="DH148" s="1149"/>
      <c r="DI148" s="1149"/>
      <c r="DJ148" s="1149"/>
      <c r="DK148" s="1149"/>
      <c r="DL148" s="1150"/>
      <c r="DY148" s="13"/>
    </row>
    <row r="149" spans="49:141" x14ac:dyDescent="0.35">
      <c r="AW149" s="13"/>
      <c r="BV149" s="174">
        <v>1</v>
      </c>
      <c r="BW149" s="1172" t="s">
        <v>324</v>
      </c>
      <c r="BX149" s="1173"/>
      <c r="BY149" s="1173"/>
      <c r="BZ149" s="1173"/>
      <c r="CA149" s="1173"/>
      <c r="CB149" s="1173"/>
      <c r="CC149" s="1174"/>
      <c r="CP149" s="2"/>
      <c r="CW149" s="2"/>
      <c r="DB149" s="2"/>
      <c r="DE149" s="1181" t="s">
        <v>351</v>
      </c>
      <c r="DF149" s="1182"/>
      <c r="DG149" s="1182"/>
      <c r="DH149" s="1182"/>
      <c r="DI149" s="1182"/>
      <c r="DJ149" s="1182"/>
      <c r="DK149" s="1182"/>
      <c r="DL149" s="1183"/>
      <c r="DY149" s="13"/>
    </row>
    <row r="150" spans="49:141" x14ac:dyDescent="0.35">
      <c r="AW150" s="13"/>
      <c r="BV150" s="1184" t="s">
        <v>352</v>
      </c>
      <c r="BW150" s="1185"/>
      <c r="BX150" s="1185"/>
      <c r="BY150" s="1185"/>
      <c r="BZ150" s="1185"/>
      <c r="CA150" s="1185"/>
      <c r="CB150" s="1185"/>
      <c r="CC150" s="1186"/>
      <c r="CP150" s="2"/>
      <c r="CU150" s="63"/>
      <c r="CV150" s="63"/>
      <c r="CW150" s="64"/>
      <c r="CX150" s="63"/>
      <c r="CY150" s="63"/>
      <c r="CZ150" s="63"/>
      <c r="DA150" s="63"/>
      <c r="DB150" s="64"/>
      <c r="DY150" s="13"/>
    </row>
    <row r="151" spans="49:141" x14ac:dyDescent="0.35">
      <c r="AW151" s="13"/>
      <c r="BE151" s="207"/>
      <c r="BF151" s="207"/>
      <c r="BG151" s="207"/>
      <c r="BH151" s="207"/>
      <c r="BI151" s="207"/>
      <c r="BJ151" s="207"/>
      <c r="BV151" s="174">
        <v>1</v>
      </c>
      <c r="BW151" s="1172" t="s">
        <v>324</v>
      </c>
      <c r="BX151" s="1173"/>
      <c r="BY151" s="1173"/>
      <c r="BZ151" s="1173"/>
      <c r="CA151" s="1173"/>
      <c r="CB151" s="1173"/>
      <c r="CC151" s="1174"/>
      <c r="CP151" s="2"/>
      <c r="CX151" s="13"/>
      <c r="DB151" s="2"/>
      <c r="DC151" s="14"/>
      <c r="DD151" s="3"/>
      <c r="DE151" s="3"/>
      <c r="DF151" s="3"/>
      <c r="DG151" s="3"/>
      <c r="DH151" s="3"/>
      <c r="DI151" s="3"/>
      <c r="DJ151" s="3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40"/>
      <c r="DZ151" s="6"/>
      <c r="EA151" s="6"/>
      <c r="EB151" s="6"/>
      <c r="EC151" s="6"/>
    </row>
    <row r="152" spans="49:141" x14ac:dyDescent="0.35">
      <c r="AW152" s="13"/>
      <c r="BE152" s="208"/>
      <c r="BF152" s="208"/>
      <c r="BG152" s="208"/>
      <c r="BH152" s="208"/>
      <c r="BI152" s="208"/>
      <c r="BJ152" s="208"/>
      <c r="BV152" s="1184" t="s">
        <v>353</v>
      </c>
      <c r="BW152" s="1185"/>
      <c r="BX152" s="1185"/>
      <c r="BY152" s="1185"/>
      <c r="BZ152" s="1185"/>
      <c r="CA152" s="1185"/>
      <c r="CB152" s="1185"/>
      <c r="CC152" s="1186"/>
      <c r="CP152" s="2"/>
      <c r="CX152" s="13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1119" t="s">
        <v>354</v>
      </c>
      <c r="DV152" s="1142"/>
      <c r="DW152" s="1142"/>
      <c r="DX152" s="1143"/>
      <c r="DY152" s="6"/>
      <c r="DZ152" s="6"/>
      <c r="EA152" s="6"/>
      <c r="EB152" s="6"/>
      <c r="EC152" s="6"/>
    </row>
    <row r="153" spans="49:141" x14ac:dyDescent="0.35">
      <c r="AW153" s="13"/>
      <c r="BV153" s="174">
        <v>1</v>
      </c>
      <c r="BW153" s="1172" t="s">
        <v>324</v>
      </c>
      <c r="BX153" s="1173"/>
      <c r="BY153" s="1173"/>
      <c r="BZ153" s="1173"/>
      <c r="CA153" s="1173"/>
      <c r="CB153" s="1173"/>
      <c r="CC153" s="1174"/>
      <c r="CP153" s="2"/>
      <c r="CX153" s="13"/>
    </row>
    <row r="154" spans="49:141" x14ac:dyDescent="0.35">
      <c r="AW154" s="13"/>
      <c r="BV154" s="1184" t="s">
        <v>355</v>
      </c>
      <c r="BW154" s="1185"/>
      <c r="BX154" s="1185"/>
      <c r="BY154" s="1185"/>
      <c r="BZ154" s="1185"/>
      <c r="CA154" s="1185"/>
      <c r="CB154" s="1185"/>
      <c r="CC154" s="1186"/>
      <c r="CP154" s="2"/>
      <c r="CX154" s="13"/>
    </row>
    <row r="155" spans="49:141" x14ac:dyDescent="0.35">
      <c r="AW155" s="13"/>
      <c r="BV155" s="174">
        <v>1</v>
      </c>
      <c r="BW155" s="1172" t="s">
        <v>324</v>
      </c>
      <c r="BX155" s="1173"/>
      <c r="BY155" s="1173"/>
      <c r="BZ155" s="1173"/>
      <c r="CA155" s="1173"/>
      <c r="CB155" s="1173"/>
      <c r="CC155" s="1174"/>
      <c r="CP155" s="2"/>
      <c r="CX155" s="13"/>
    </row>
    <row r="156" spans="49:141" x14ac:dyDescent="0.35">
      <c r="AW156" s="13"/>
      <c r="BV156" s="1184" t="s">
        <v>356</v>
      </c>
      <c r="BW156" s="1185"/>
      <c r="BX156" s="1185"/>
      <c r="BY156" s="1185"/>
      <c r="BZ156" s="1185"/>
      <c r="CA156" s="1185"/>
      <c r="CB156" s="1185"/>
      <c r="CC156" s="1186"/>
      <c r="CP156" s="2"/>
      <c r="CX156" s="13"/>
    </row>
    <row r="157" spans="49:141" x14ac:dyDescent="0.35">
      <c r="AW157" s="13"/>
      <c r="BV157" s="240">
        <v>1</v>
      </c>
      <c r="BW157" s="1223" t="s">
        <v>324</v>
      </c>
      <c r="BX157" s="1224"/>
      <c r="BY157" s="1224"/>
      <c r="BZ157" s="1224"/>
      <c r="CA157" s="1224"/>
      <c r="CB157" s="1224"/>
      <c r="CC157" s="1225"/>
      <c r="CP157" s="2"/>
      <c r="CX157" s="13"/>
    </row>
    <row r="158" spans="49:141" x14ac:dyDescent="0.35">
      <c r="AW158" s="13"/>
      <c r="BV158" s="1123" t="s">
        <v>357</v>
      </c>
      <c r="BW158" s="1124"/>
      <c r="BX158" s="1124"/>
      <c r="BY158" s="1124"/>
      <c r="BZ158" s="1124"/>
      <c r="CA158" s="1124"/>
      <c r="CB158" s="1124"/>
      <c r="CC158" s="1125"/>
      <c r="CP158" s="2"/>
      <c r="CX158" s="13"/>
    </row>
    <row r="159" spans="49:141" x14ac:dyDescent="0.35">
      <c r="AW159" s="13"/>
      <c r="BV159" s="174">
        <v>1</v>
      </c>
      <c r="BW159" s="1172" t="s">
        <v>324</v>
      </c>
      <c r="BX159" s="1173"/>
      <c r="BY159" s="1173"/>
      <c r="BZ159" s="1173"/>
      <c r="CA159" s="1173"/>
      <c r="CB159" s="1173"/>
      <c r="CC159" s="1174"/>
      <c r="CP159" s="2"/>
      <c r="CX159" s="13"/>
    </row>
    <row r="160" spans="49:141" x14ac:dyDescent="0.35">
      <c r="AW160" s="13"/>
      <c r="BV160" s="1184" t="s">
        <v>358</v>
      </c>
      <c r="BW160" s="1185"/>
      <c r="BX160" s="1185"/>
      <c r="BY160" s="1185"/>
      <c r="BZ160" s="1185"/>
      <c r="CA160" s="1185"/>
      <c r="CB160" s="1185"/>
      <c r="CC160" s="1186"/>
      <c r="CP160" s="2"/>
      <c r="CX160" s="13"/>
    </row>
    <row r="161" spans="49:182" x14ac:dyDescent="0.35">
      <c r="AW161" s="14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21"/>
      <c r="CX161" s="13"/>
    </row>
    <row r="162" spans="49:182" x14ac:dyDescent="0.35">
      <c r="CM162" s="1119" t="s">
        <v>248</v>
      </c>
      <c r="CN162" s="1142"/>
      <c r="CO162" s="1142"/>
      <c r="CP162" s="1143"/>
      <c r="CX162" s="13"/>
    </row>
    <row r="163" spans="49:182" x14ac:dyDescent="0.35">
      <c r="CX163" s="13"/>
    </row>
    <row r="164" spans="49:182" x14ac:dyDescent="0.35">
      <c r="CX164" s="13"/>
    </row>
    <row r="165" spans="49:182" x14ac:dyDescent="0.35">
      <c r="CX165" s="13"/>
      <c r="FA165" s="7"/>
      <c r="FB165" s="1112"/>
      <c r="FC165" s="1112"/>
      <c r="FD165" s="1112"/>
      <c r="FE165" s="1112"/>
      <c r="FF165" s="1112"/>
      <c r="FG165" s="1112"/>
      <c r="FH165" s="1112"/>
      <c r="FI165" s="1112"/>
      <c r="FJ165" s="1112"/>
      <c r="FK165" s="1112"/>
      <c r="FL165" s="1112"/>
      <c r="FM165" s="1112"/>
    </row>
    <row r="166" spans="49:182" x14ac:dyDescent="0.35">
      <c r="CX166" s="13"/>
      <c r="FA166" s="1096"/>
      <c r="FB166" s="1096"/>
      <c r="FC166" s="1096"/>
      <c r="FD166" s="1096"/>
      <c r="FE166" s="1096"/>
      <c r="FF166" s="1096"/>
      <c r="FG166" s="1096"/>
      <c r="FH166" s="1096"/>
      <c r="FI166" s="1096"/>
      <c r="FJ166" s="1096"/>
      <c r="FK166" s="1096"/>
      <c r="FL166" s="1096"/>
      <c r="FM166" s="1096"/>
    </row>
    <row r="167" spans="49:182" x14ac:dyDescent="0.35">
      <c r="CX167" s="13"/>
    </row>
    <row r="168" spans="49:182" x14ac:dyDescent="0.35">
      <c r="CX168" s="13"/>
    </row>
    <row r="169" spans="49:182" x14ac:dyDescent="0.35">
      <c r="CE169" s="6"/>
      <c r="CF169" s="6"/>
      <c r="CG169" s="6"/>
      <c r="CX169" s="13"/>
    </row>
    <row r="170" spans="49:182" x14ac:dyDescent="0.35">
      <c r="CE170" s="37"/>
      <c r="CF170" s="37"/>
      <c r="CG170" s="37"/>
      <c r="CH170" s="6"/>
      <c r="CI170" s="6"/>
      <c r="CX170" s="13"/>
      <c r="FA170" s="7"/>
      <c r="FB170" s="1112"/>
      <c r="FC170" s="1112"/>
      <c r="FD170" s="1112"/>
      <c r="FE170" s="1112"/>
      <c r="FF170" s="1112"/>
      <c r="FG170" s="1112"/>
      <c r="FH170" s="1112"/>
      <c r="FI170" s="1112"/>
      <c r="FJ170" s="1112"/>
      <c r="FK170" s="1112"/>
      <c r="FL170" s="1112"/>
      <c r="FM170" s="1112"/>
      <c r="FN170" s="7"/>
      <c r="FO170" s="1112"/>
      <c r="FP170" s="1112"/>
      <c r="FQ170" s="1112"/>
      <c r="FR170" s="1112"/>
      <c r="FS170" s="1112"/>
      <c r="FT170" s="1112"/>
      <c r="FU170" s="1112"/>
      <c r="FV170" s="1112"/>
      <c r="FW170" s="1112"/>
      <c r="FX170" s="1112"/>
      <c r="FY170" s="1112"/>
      <c r="FZ170" s="1112"/>
    </row>
    <row r="171" spans="49:182" x14ac:dyDescent="0.35">
      <c r="CE171" s="6"/>
      <c r="CF171" s="6"/>
      <c r="CG171" s="6"/>
      <c r="CH171" s="37"/>
      <c r="CI171" s="37"/>
      <c r="CX171" s="13"/>
      <c r="FA171" s="1096"/>
      <c r="FB171" s="1096"/>
      <c r="FC171" s="1096"/>
      <c r="FD171" s="1096"/>
      <c r="FE171" s="1096"/>
      <c r="FF171" s="1096"/>
      <c r="FG171" s="1096"/>
      <c r="FH171" s="1096"/>
      <c r="FI171" s="1096"/>
      <c r="FJ171" s="1096"/>
      <c r="FK171" s="1096"/>
      <c r="FL171" s="1096"/>
      <c r="FM171" s="1096"/>
      <c r="FN171" s="1096"/>
      <c r="FO171" s="1096"/>
      <c r="FP171" s="1096"/>
      <c r="FQ171" s="1096"/>
      <c r="FR171" s="1096"/>
      <c r="FS171" s="1096"/>
      <c r="FT171" s="1096"/>
      <c r="FU171" s="1096"/>
      <c r="FV171" s="1096"/>
      <c r="FW171" s="1096"/>
      <c r="FX171" s="1096"/>
      <c r="FY171" s="1096"/>
      <c r="FZ171" s="1096"/>
    </row>
    <row r="172" spans="49:182" x14ac:dyDescent="0.35">
      <c r="CE172" s="37"/>
      <c r="CF172" s="37"/>
      <c r="CG172" s="37"/>
      <c r="CX172" s="13"/>
    </row>
    <row r="173" spans="49:182" x14ac:dyDescent="0.35">
      <c r="CU173" s="63"/>
      <c r="CV173" s="63"/>
      <c r="CW173" s="64"/>
      <c r="CX173" s="63"/>
      <c r="CY173" s="63"/>
      <c r="CZ173" s="63"/>
      <c r="DA173" s="63"/>
      <c r="DB173" s="63"/>
      <c r="FN173" s="7"/>
      <c r="FO173" s="1112"/>
      <c r="FP173" s="1112"/>
      <c r="FQ173" s="1112"/>
      <c r="FR173" s="1112"/>
      <c r="FS173" s="1112"/>
      <c r="FT173" s="1112"/>
      <c r="FU173" s="1112"/>
      <c r="FV173" s="1112"/>
      <c r="FW173" s="1112"/>
      <c r="FX173" s="1112"/>
      <c r="FY173" s="1112"/>
      <c r="FZ173" s="1112"/>
    </row>
    <row r="174" spans="49:182" x14ac:dyDescent="0.35">
      <c r="CT174" s="1187" t="s">
        <v>359</v>
      </c>
      <c r="CU174" s="1188"/>
      <c r="CV174" s="1188"/>
      <c r="CW174" s="1188"/>
      <c r="CX174" s="1188"/>
      <c r="CY174" s="1188"/>
      <c r="CZ174" s="1188"/>
      <c r="DA174" s="1189"/>
      <c r="FN174" s="1096"/>
      <c r="FO174" s="1096"/>
      <c r="FP174" s="1096"/>
      <c r="FQ174" s="1096"/>
      <c r="FR174" s="1096"/>
      <c r="FS174" s="1096"/>
      <c r="FT174" s="1096"/>
      <c r="FU174" s="1096"/>
      <c r="FV174" s="1096"/>
      <c r="FW174" s="1096"/>
      <c r="FX174" s="1096"/>
      <c r="FY174" s="1096"/>
      <c r="FZ174" s="1096"/>
    </row>
    <row r="175" spans="49:182" x14ac:dyDescent="0.35">
      <c r="CT175" s="1190"/>
      <c r="CU175" s="1191"/>
      <c r="CV175" s="1191"/>
      <c r="CW175" s="1191"/>
      <c r="CX175" s="1191"/>
      <c r="CY175" s="1191"/>
      <c r="CZ175" s="1191"/>
      <c r="DA175" s="1192"/>
    </row>
    <row r="176" spans="49:182" x14ac:dyDescent="0.35">
      <c r="CW176" s="12"/>
      <c r="FN176" s="7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</row>
    <row r="177" spans="88:182" x14ac:dyDescent="0.35">
      <c r="CW177" s="2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</row>
    <row r="178" spans="88:182" x14ac:dyDescent="0.35">
      <c r="CW178" s="2"/>
      <c r="FN178" s="7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</row>
    <row r="179" spans="88:182" x14ac:dyDescent="0.35">
      <c r="CW179" s="21"/>
      <c r="DX179" s="39"/>
      <c r="DY179" s="1084"/>
      <c r="DZ179" s="1084"/>
      <c r="EA179" s="1084"/>
      <c r="EB179" s="1084"/>
      <c r="EC179" s="1084"/>
      <c r="ED179" s="1084"/>
      <c r="EE179" s="1084"/>
      <c r="EF179" s="1084"/>
      <c r="EG179" s="1084"/>
      <c r="EH179" s="38"/>
      <c r="EK179" s="39"/>
      <c r="EL179" s="39"/>
      <c r="EM179" s="39"/>
      <c r="EQ179" s="1084"/>
      <c r="ER179" s="1084"/>
      <c r="ES179" s="1084"/>
      <c r="ET179" s="1084"/>
      <c r="EU179" s="1084"/>
      <c r="EV179" s="1084"/>
      <c r="EW179" s="1084"/>
      <c r="EX179" s="1084"/>
      <c r="EY179" s="1084"/>
      <c r="EZ179" s="1084"/>
      <c r="FA179" s="1084"/>
      <c r="FB179" s="38"/>
      <c r="FD179" s="1084"/>
      <c r="FE179" s="1084"/>
      <c r="FF179" s="1084"/>
      <c r="FG179" s="1084"/>
      <c r="FH179" s="1084"/>
      <c r="FI179" s="1084"/>
      <c r="FJ179" s="1084"/>
      <c r="FK179" s="1084"/>
      <c r="FL179" s="1084"/>
      <c r="FM179" s="39"/>
      <c r="FN179" s="39"/>
      <c r="FO179" s="1084"/>
      <c r="FP179" s="1084"/>
      <c r="FQ179" s="1084"/>
      <c r="FR179" s="1084"/>
      <c r="FS179" s="1084"/>
      <c r="FT179" s="1084"/>
      <c r="FU179" s="1084"/>
      <c r="FV179" s="1084"/>
      <c r="FW179" s="1084"/>
      <c r="FX179" s="39"/>
      <c r="FY179" s="39"/>
      <c r="FZ179" s="39"/>
    </row>
    <row r="180" spans="88:182" x14ac:dyDescent="0.35">
      <c r="CT180" s="70"/>
      <c r="CU180" s="1029" t="s">
        <v>253</v>
      </c>
      <c r="CV180" s="1030"/>
      <c r="CW180" s="1030"/>
      <c r="CX180" s="1030"/>
      <c r="CY180" s="1030"/>
      <c r="CZ180" s="1030"/>
      <c r="DA180" s="1031"/>
      <c r="DX180" s="7"/>
      <c r="DY180" s="7"/>
      <c r="DZ180" s="1112"/>
      <c r="EA180" s="1112"/>
      <c r="EB180" s="1112"/>
      <c r="EC180" s="1112"/>
      <c r="ED180" s="1112"/>
      <c r="EE180" s="1112"/>
      <c r="EF180" s="1112"/>
      <c r="EG180" s="1112"/>
      <c r="EH180" s="7"/>
      <c r="EK180" s="6"/>
      <c r="EL180" s="6"/>
      <c r="EM180" s="6"/>
      <c r="EQ180" s="7"/>
      <c r="ER180" s="1112"/>
      <c r="ES180" s="1112"/>
      <c r="ET180" s="1112"/>
      <c r="EU180" s="1112"/>
      <c r="EV180" s="1112"/>
      <c r="EW180" s="1112"/>
      <c r="EX180" s="1112"/>
      <c r="EY180" s="1112"/>
      <c r="EZ180" s="1112"/>
      <c r="FA180" s="1112"/>
      <c r="FB180" s="7"/>
      <c r="FD180" s="7"/>
      <c r="FE180" s="1112"/>
      <c r="FF180" s="1112"/>
      <c r="FG180" s="1112"/>
      <c r="FH180" s="1112"/>
      <c r="FI180" s="1112"/>
      <c r="FJ180" s="1112"/>
      <c r="FK180" s="1112"/>
      <c r="FL180" s="1112"/>
      <c r="FM180" s="6"/>
      <c r="FN180" s="6"/>
      <c r="FO180" s="7"/>
      <c r="FP180" s="1112"/>
      <c r="FQ180" s="1112"/>
      <c r="FR180" s="1112"/>
      <c r="FS180" s="1112"/>
      <c r="FT180" s="1112"/>
      <c r="FU180" s="1112"/>
      <c r="FV180" s="1112"/>
      <c r="FW180" s="1112"/>
      <c r="FX180" s="6"/>
      <c r="FY180" s="6"/>
      <c r="FZ180" s="6"/>
    </row>
    <row r="181" spans="88:182" x14ac:dyDescent="0.35">
      <c r="CT181" s="1026" t="s">
        <v>254</v>
      </c>
      <c r="CU181" s="1027"/>
      <c r="CV181" s="1027"/>
      <c r="CW181" s="1027"/>
      <c r="CX181" s="1027"/>
      <c r="CY181" s="1027"/>
      <c r="CZ181" s="1027"/>
      <c r="DA181" s="1028"/>
      <c r="DX181" s="37"/>
      <c r="DY181" s="1096"/>
      <c r="DZ181" s="1096"/>
      <c r="EA181" s="1096"/>
      <c r="EB181" s="1096"/>
      <c r="EC181" s="1096"/>
      <c r="ED181" s="1096"/>
      <c r="EE181" s="1096"/>
      <c r="EF181" s="1096"/>
      <c r="EG181" s="1096"/>
      <c r="EH181" s="36"/>
      <c r="EK181" s="37"/>
      <c r="EL181" s="37"/>
      <c r="EM181" s="37"/>
      <c r="EQ181" s="1096"/>
      <c r="ER181" s="1096"/>
      <c r="ES181" s="1096"/>
      <c r="ET181" s="1096"/>
      <c r="EU181" s="1096"/>
      <c r="EV181" s="1096"/>
      <c r="EW181" s="1096"/>
      <c r="EX181" s="1096"/>
      <c r="EY181" s="1096"/>
      <c r="EZ181" s="1096"/>
      <c r="FA181" s="1096"/>
      <c r="FB181" s="36"/>
      <c r="FD181" s="1096"/>
      <c r="FE181" s="1096"/>
      <c r="FF181" s="1096"/>
      <c r="FG181" s="1096"/>
      <c r="FH181" s="1096"/>
      <c r="FI181" s="1096"/>
      <c r="FJ181" s="1096"/>
      <c r="FK181" s="1096"/>
      <c r="FL181" s="1096"/>
      <c r="FM181" s="37"/>
      <c r="FN181" s="37"/>
      <c r="FO181" s="1096"/>
      <c r="FP181" s="1096"/>
      <c r="FQ181" s="1096"/>
      <c r="FR181" s="1096"/>
      <c r="FS181" s="1096"/>
      <c r="FT181" s="1096"/>
      <c r="FU181" s="1096"/>
      <c r="FV181" s="1096"/>
      <c r="FW181" s="1096"/>
      <c r="FX181" s="37"/>
      <c r="FY181" s="37"/>
      <c r="FZ181" s="37"/>
    </row>
    <row r="182" spans="88:182" x14ac:dyDescent="0.35">
      <c r="CR182" s="3"/>
      <c r="CS182" s="3"/>
      <c r="CT182" s="130"/>
      <c r="CU182" s="91"/>
      <c r="CV182" s="91"/>
      <c r="CW182" s="131"/>
      <c r="CX182" s="56"/>
      <c r="CY182" s="56"/>
      <c r="CZ182" s="56"/>
      <c r="DA182" s="56"/>
      <c r="EQ182" s="7"/>
      <c r="ER182" s="1112"/>
      <c r="ES182" s="1112"/>
      <c r="ET182" s="1112"/>
      <c r="EU182" s="1112"/>
      <c r="EV182" s="1112"/>
      <c r="EW182" s="1112"/>
      <c r="EX182" s="1112"/>
      <c r="EY182" s="1112"/>
      <c r="EZ182" s="1112"/>
      <c r="FA182" s="1112"/>
      <c r="FD182" s="7"/>
      <c r="FE182" s="1112"/>
      <c r="FF182" s="1112"/>
      <c r="FG182" s="1112"/>
      <c r="FH182" s="1112"/>
      <c r="FI182" s="1112"/>
      <c r="FJ182" s="1112"/>
      <c r="FK182" s="1112"/>
      <c r="FL182" s="1112"/>
      <c r="FN182" s="7"/>
      <c r="FO182" s="7"/>
      <c r="FP182" s="1112"/>
      <c r="FQ182" s="1112"/>
      <c r="FR182" s="1112"/>
      <c r="FS182" s="1112"/>
      <c r="FT182" s="1112"/>
      <c r="FU182" s="1112"/>
      <c r="FV182" s="1112"/>
      <c r="FW182" s="1112"/>
      <c r="FX182" s="6"/>
      <c r="FY182" s="6"/>
      <c r="FZ182" s="6"/>
    </row>
    <row r="183" spans="88:182" x14ac:dyDescent="0.35">
      <c r="CQ183" s="2"/>
      <c r="CX183" s="4"/>
      <c r="CY183" s="4"/>
      <c r="CZ183" s="4"/>
      <c r="DA183" s="4"/>
      <c r="DB183" s="4"/>
      <c r="DC183" s="12"/>
      <c r="EQ183" s="1096"/>
      <c r="ER183" s="1096"/>
      <c r="ES183" s="1096"/>
      <c r="ET183" s="1096"/>
      <c r="EU183" s="1096"/>
      <c r="EV183" s="1096"/>
      <c r="EW183" s="1096"/>
      <c r="EX183" s="1096"/>
      <c r="EY183" s="1096"/>
      <c r="EZ183" s="1096"/>
      <c r="FA183" s="1096"/>
      <c r="FD183" s="1096"/>
      <c r="FE183" s="1096"/>
      <c r="FF183" s="1096"/>
      <c r="FG183" s="1096"/>
      <c r="FH183" s="1096"/>
      <c r="FI183" s="1096"/>
      <c r="FJ183" s="1096"/>
      <c r="FK183" s="1096"/>
      <c r="FL183" s="1096"/>
      <c r="FN183" s="37"/>
      <c r="FO183" s="1096"/>
      <c r="FP183" s="1096"/>
      <c r="FQ183" s="1096"/>
      <c r="FR183" s="1096"/>
      <c r="FS183" s="1096"/>
      <c r="FT183" s="1096"/>
      <c r="FU183" s="1096"/>
      <c r="FV183" s="1096"/>
      <c r="FW183" s="1096"/>
      <c r="FX183" s="37"/>
      <c r="FY183" s="37"/>
      <c r="FZ183" s="37"/>
    </row>
    <row r="184" spans="88:182" x14ac:dyDescent="0.35">
      <c r="CM184" s="5"/>
      <c r="CN184" s="4"/>
      <c r="CO184" s="132"/>
      <c r="CP184" s="15"/>
      <c r="CQ184" s="18"/>
      <c r="CR184" s="15"/>
      <c r="CS184" s="15"/>
      <c r="CT184" s="15"/>
      <c r="CU184" s="15"/>
      <c r="CV184" s="82">
        <f>SUM(CN185+CN187)</f>
        <v>2</v>
      </c>
      <c r="CY184" s="133"/>
      <c r="CZ184" s="15"/>
      <c r="DA184" s="15"/>
      <c r="DB184" s="15"/>
      <c r="DC184" s="18"/>
      <c r="DD184" s="15"/>
      <c r="DE184" s="15"/>
      <c r="DF184" s="15"/>
      <c r="DG184" s="4"/>
      <c r="DH184" s="136">
        <f>SUM(CZ185)</f>
        <v>1</v>
      </c>
      <c r="EQ184" s="7"/>
      <c r="ER184" s="1112"/>
      <c r="ES184" s="1112"/>
      <c r="ET184" s="1112"/>
      <c r="EU184" s="1112"/>
      <c r="EV184" s="1112"/>
      <c r="EW184" s="1112"/>
      <c r="EX184" s="1112"/>
      <c r="EY184" s="1112"/>
      <c r="EZ184" s="1112"/>
      <c r="FA184" s="1112"/>
      <c r="FD184" s="7"/>
      <c r="FE184" s="1112"/>
      <c r="FF184" s="1112"/>
      <c r="FG184" s="1112"/>
      <c r="FH184" s="1112"/>
      <c r="FI184" s="1112"/>
      <c r="FJ184" s="1112"/>
      <c r="FK184" s="1112"/>
      <c r="FL184" s="1112"/>
      <c r="FN184" s="6"/>
      <c r="FO184" s="7"/>
      <c r="FP184" s="1112"/>
      <c r="FQ184" s="1112"/>
      <c r="FR184" s="1112"/>
      <c r="FS184" s="1112"/>
      <c r="FT184" s="1112"/>
      <c r="FU184" s="1112"/>
      <c r="FV184" s="1112"/>
      <c r="FW184" s="1112"/>
      <c r="FX184" s="6"/>
      <c r="FY184" s="6"/>
      <c r="FZ184" s="6"/>
    </row>
    <row r="185" spans="88:182" x14ac:dyDescent="0.35">
      <c r="CM185" s="13"/>
      <c r="CN185" s="211">
        <v>1</v>
      </c>
      <c r="CO185" s="1038" t="s">
        <v>184</v>
      </c>
      <c r="CP185" s="1036"/>
      <c r="CQ185" s="1036"/>
      <c r="CR185" s="1036"/>
      <c r="CS185" s="1036"/>
      <c r="CT185" s="1036"/>
      <c r="CU185" s="1037"/>
      <c r="CV185" s="90"/>
      <c r="CY185" s="128"/>
      <c r="CZ185" s="211">
        <v>1</v>
      </c>
      <c r="DA185" s="1038" t="s">
        <v>206</v>
      </c>
      <c r="DB185" s="1036"/>
      <c r="DC185" s="1036"/>
      <c r="DD185" s="1036"/>
      <c r="DE185" s="1036"/>
      <c r="DF185" s="1036"/>
      <c r="DG185" s="1037"/>
      <c r="DH185" s="2"/>
      <c r="EQ185" s="1096"/>
      <c r="ER185" s="1096"/>
      <c r="ES185" s="1096"/>
      <c r="ET185" s="1096"/>
      <c r="EU185" s="1096"/>
      <c r="EV185" s="1096"/>
      <c r="EW185" s="1096"/>
      <c r="EX185" s="1096"/>
      <c r="EY185" s="1096"/>
      <c r="EZ185" s="1096"/>
      <c r="FA185" s="1096"/>
      <c r="FD185" s="1096"/>
      <c r="FE185" s="1096"/>
      <c r="FF185" s="1096"/>
      <c r="FG185" s="1096"/>
      <c r="FH185" s="1096"/>
      <c r="FI185" s="1096"/>
      <c r="FJ185" s="1096"/>
      <c r="FK185" s="1096"/>
      <c r="FL185" s="1096"/>
      <c r="FN185" s="37"/>
      <c r="FO185" s="1096"/>
      <c r="FP185" s="1096"/>
      <c r="FQ185" s="1096"/>
      <c r="FR185" s="1096"/>
      <c r="FS185" s="1096"/>
      <c r="FT185" s="1096"/>
      <c r="FU185" s="1096"/>
      <c r="FV185" s="1096"/>
      <c r="FW185" s="1096"/>
      <c r="FX185" s="37"/>
      <c r="FY185" s="37"/>
      <c r="FZ185" s="37"/>
    </row>
    <row r="186" spans="88:182" x14ac:dyDescent="0.35">
      <c r="CM186" s="13"/>
      <c r="CN186" s="1053" t="s">
        <v>360</v>
      </c>
      <c r="CO186" s="1054"/>
      <c r="CP186" s="1054"/>
      <c r="CQ186" s="1054"/>
      <c r="CR186" s="1054"/>
      <c r="CS186" s="1054"/>
      <c r="CT186" s="1054"/>
      <c r="CU186" s="1055"/>
      <c r="CV186" s="16"/>
      <c r="CW186" s="6"/>
      <c r="CX186" s="6"/>
      <c r="CY186" s="40"/>
      <c r="CZ186" s="1053" t="s">
        <v>361</v>
      </c>
      <c r="DA186" s="1054"/>
      <c r="DB186" s="1054"/>
      <c r="DC186" s="1054"/>
      <c r="DD186" s="1054"/>
      <c r="DE186" s="1054"/>
      <c r="DF186" s="1054"/>
      <c r="DG186" s="1055"/>
      <c r="DH186" s="2"/>
      <c r="EQ186" s="7"/>
      <c r="ER186" s="1112"/>
      <c r="ES186" s="1112"/>
      <c r="ET186" s="1112"/>
      <c r="EU186" s="1112"/>
      <c r="EV186" s="1112"/>
      <c r="EW186" s="1112"/>
      <c r="EX186" s="1112"/>
      <c r="EY186" s="1112"/>
      <c r="EZ186" s="1112"/>
      <c r="FA186" s="1112"/>
      <c r="FB186" s="39"/>
      <c r="FD186" s="7"/>
      <c r="FE186" s="1112"/>
      <c r="FF186" s="1112"/>
      <c r="FG186" s="1112"/>
      <c r="FH186" s="1112"/>
      <c r="FI186" s="1112"/>
      <c r="FJ186" s="1112"/>
      <c r="FK186" s="1112"/>
      <c r="FL186" s="1112"/>
      <c r="FM186" s="39"/>
      <c r="FN186" s="39"/>
      <c r="FO186" s="7"/>
      <c r="FP186" s="1112"/>
      <c r="FQ186" s="1112"/>
      <c r="FR186" s="1112"/>
      <c r="FS186" s="1112"/>
      <c r="FT186" s="1112"/>
      <c r="FU186" s="1112"/>
      <c r="FV186" s="1112"/>
      <c r="FW186" s="1112"/>
      <c r="FX186" s="39"/>
      <c r="FY186" s="39"/>
      <c r="FZ186" s="39"/>
    </row>
    <row r="187" spans="88:182" x14ac:dyDescent="0.35">
      <c r="CJ187" s="6"/>
      <c r="CK187" s="6"/>
      <c r="CL187" s="6"/>
      <c r="CM187" s="40"/>
      <c r="CN187" s="211">
        <v>1</v>
      </c>
      <c r="CO187" s="1038" t="s">
        <v>184</v>
      </c>
      <c r="CP187" s="1036"/>
      <c r="CQ187" s="1036"/>
      <c r="CR187" s="1036"/>
      <c r="CS187" s="1036"/>
      <c r="CT187" s="1036"/>
      <c r="CU187" s="1037"/>
      <c r="CV187" s="90"/>
      <c r="CW187" s="37"/>
      <c r="CX187" s="37"/>
      <c r="CY187" s="84"/>
      <c r="CZ187" s="85"/>
      <c r="DA187" s="3"/>
      <c r="DB187" s="3"/>
      <c r="DC187" s="3"/>
      <c r="DD187" s="3"/>
      <c r="DH187" s="2"/>
      <c r="EQ187" s="1096"/>
      <c r="ER187" s="1096"/>
      <c r="ES187" s="1096"/>
      <c r="ET187" s="1096"/>
      <c r="EU187" s="1096"/>
      <c r="EV187" s="1096"/>
      <c r="EW187" s="1096"/>
      <c r="EX187" s="1096"/>
      <c r="EY187" s="1096"/>
      <c r="EZ187" s="1096"/>
      <c r="FA187" s="1096"/>
      <c r="FB187" s="6"/>
      <c r="FD187" s="1096"/>
      <c r="FE187" s="1096"/>
      <c r="FF187" s="1096"/>
      <c r="FG187" s="1096"/>
      <c r="FH187" s="1096"/>
      <c r="FI187" s="1096"/>
      <c r="FJ187" s="1096"/>
      <c r="FK187" s="1096"/>
      <c r="FL187" s="1096"/>
      <c r="FM187" s="6"/>
      <c r="FN187" s="6"/>
      <c r="FO187" s="1096"/>
      <c r="FP187" s="1096"/>
      <c r="FQ187" s="1096"/>
      <c r="FR187" s="1096"/>
      <c r="FS187" s="1096"/>
      <c r="FT187" s="1096"/>
      <c r="FU187" s="1096"/>
      <c r="FV187" s="1096"/>
      <c r="FW187" s="1096"/>
      <c r="FX187" s="6"/>
      <c r="FY187" s="6"/>
      <c r="FZ187" s="6"/>
    </row>
    <row r="188" spans="88:182" x14ac:dyDescent="0.35">
      <c r="CJ188" s="37"/>
      <c r="CK188" s="37"/>
      <c r="CL188" s="37"/>
      <c r="CM188" s="41"/>
      <c r="CN188" s="1053" t="s">
        <v>362</v>
      </c>
      <c r="CO188" s="1054"/>
      <c r="CP188" s="1054"/>
      <c r="CQ188" s="1054"/>
      <c r="CR188" s="1054"/>
      <c r="CS188" s="1054"/>
      <c r="CT188" s="1054"/>
      <c r="CU188" s="1055"/>
      <c r="CV188" s="2"/>
      <c r="DE188" s="1132" t="s">
        <v>251</v>
      </c>
      <c r="DF188" s="1133"/>
      <c r="DG188" s="1133"/>
      <c r="DH188" s="1134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D188" s="7"/>
      <c r="FE188" s="1112"/>
      <c r="FF188" s="1112"/>
      <c r="FG188" s="1112"/>
      <c r="FH188" s="1112"/>
      <c r="FI188" s="1112"/>
      <c r="FJ188" s="1112"/>
      <c r="FK188" s="1112"/>
      <c r="FL188" s="1112"/>
      <c r="FM188" s="37"/>
      <c r="FN188" s="37"/>
      <c r="FO188" s="37"/>
      <c r="FR188" s="37"/>
      <c r="FS188" s="37"/>
      <c r="FT188" s="37"/>
      <c r="FU188" s="37"/>
      <c r="FV188" s="37"/>
      <c r="FW188" s="37"/>
      <c r="FX188" s="37"/>
      <c r="FY188" s="37"/>
      <c r="FZ188" s="37"/>
    </row>
    <row r="189" spans="88:182" x14ac:dyDescent="0.35">
      <c r="CM189" s="14"/>
      <c r="CN189" s="3"/>
      <c r="CO189" s="3"/>
      <c r="CP189" s="3"/>
      <c r="CQ189" s="3"/>
      <c r="CR189" s="3"/>
      <c r="CV189" s="2"/>
      <c r="FD189" s="1096"/>
      <c r="FE189" s="1096"/>
      <c r="FF189" s="1096"/>
      <c r="FG189" s="1096"/>
      <c r="FH189" s="1096"/>
      <c r="FI189" s="1096"/>
      <c r="FJ189" s="1096"/>
      <c r="FK189" s="1096"/>
      <c r="FL189" s="1096"/>
    </row>
    <row r="190" spans="88:182" x14ac:dyDescent="0.35">
      <c r="CS190" s="1132" t="s">
        <v>354</v>
      </c>
      <c r="CT190" s="1133"/>
      <c r="CU190" s="1133"/>
      <c r="CV190" s="1134"/>
      <c r="FN190" s="7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</row>
    <row r="192" spans="88:182" x14ac:dyDescent="0.35">
      <c r="CJ192" s="6"/>
      <c r="CK192" s="6"/>
      <c r="CL192" s="6"/>
      <c r="CM192" s="6"/>
      <c r="CN192" s="6"/>
      <c r="CO192" s="6"/>
    </row>
    <row r="193" spans="85:93" x14ac:dyDescent="0.35">
      <c r="CJ193" s="37"/>
      <c r="CK193" s="37"/>
      <c r="CL193" s="37"/>
      <c r="CM193" s="37"/>
      <c r="CN193" s="37"/>
      <c r="CO193" s="37"/>
    </row>
    <row r="200" spans="85:93" x14ac:dyDescent="0.35">
      <c r="CG200" s="63"/>
    </row>
    <row r="201" spans="85:93" x14ac:dyDescent="0.35">
      <c r="CG201" s="63"/>
    </row>
    <row r="219" spans="74:133" x14ac:dyDescent="0.35">
      <c r="DK219" s="1112"/>
      <c r="DL219" s="1112"/>
      <c r="DM219" s="1112"/>
      <c r="DN219" s="1112"/>
      <c r="DO219" s="1112"/>
      <c r="DP219" s="1112"/>
      <c r="DQ219" s="1112"/>
      <c r="DR219" s="1112"/>
      <c r="DS219" s="1112"/>
      <c r="DT219" s="1112"/>
      <c r="DU219" s="1112"/>
      <c r="DV219" s="1112"/>
      <c r="DW219" s="1112"/>
      <c r="DX219" s="1112"/>
      <c r="DY219" s="1112"/>
      <c r="DZ219" s="1112"/>
      <c r="EA219" s="1112"/>
      <c r="EB219" s="1112"/>
      <c r="EC219" s="1112"/>
    </row>
    <row r="220" spans="74:133" x14ac:dyDescent="0.35">
      <c r="DK220" s="1112"/>
      <c r="DL220" s="1112"/>
      <c r="DM220" s="1112"/>
      <c r="DN220" s="1112"/>
      <c r="DO220" s="1112"/>
      <c r="DP220" s="1112"/>
      <c r="DQ220" s="1112"/>
      <c r="DR220" s="1112"/>
      <c r="DS220" s="1112"/>
      <c r="DT220" s="1112"/>
      <c r="DU220" s="1112"/>
      <c r="DV220" s="1112"/>
      <c r="DW220" s="1112"/>
      <c r="DX220" s="1112"/>
      <c r="DY220" s="1112"/>
      <c r="DZ220" s="1112"/>
      <c r="EA220" s="1112"/>
      <c r="EB220" s="1112"/>
      <c r="EC220" s="1112"/>
    </row>
    <row r="223" spans="74:133" x14ac:dyDescent="0.35">
      <c r="BV223" s="6"/>
    </row>
    <row r="231" spans="117:132" x14ac:dyDescent="0.35">
      <c r="DM231" s="1084"/>
      <c r="DN231" s="1084"/>
      <c r="DO231" s="1084"/>
      <c r="DP231" s="1084"/>
      <c r="DQ231" s="1084"/>
      <c r="DR231" s="1084"/>
      <c r="DS231" s="1084"/>
      <c r="DT231" s="1084"/>
      <c r="DU231" s="1084"/>
      <c r="DV231" s="1084"/>
      <c r="DW231" s="1084"/>
      <c r="DX231" s="1084"/>
      <c r="DY231" s="1084"/>
      <c r="DZ231" s="1084"/>
      <c r="EA231" s="1084"/>
      <c r="EB231" s="1084"/>
    </row>
    <row r="232" spans="117:132" x14ac:dyDescent="0.35">
      <c r="DM232" s="7"/>
      <c r="DN232" s="1112"/>
      <c r="DO232" s="1112"/>
      <c r="DP232" s="1112"/>
      <c r="DQ232" s="1112"/>
      <c r="DR232" s="1112"/>
      <c r="DS232" s="1112"/>
      <c r="DT232" s="1112"/>
      <c r="DU232" s="1112"/>
      <c r="DV232" s="1112"/>
      <c r="DW232" s="1112"/>
      <c r="DX232" s="1112"/>
      <c r="DY232" s="1112"/>
      <c r="DZ232" s="1112"/>
      <c r="EA232" s="1112"/>
      <c r="EB232" s="1112"/>
    </row>
    <row r="233" spans="117:132" x14ac:dyDescent="0.35">
      <c r="DM233" s="1096"/>
      <c r="DN233" s="1096"/>
      <c r="DO233" s="1096"/>
      <c r="DP233" s="1096"/>
      <c r="DQ233" s="1096"/>
      <c r="DR233" s="1096"/>
      <c r="DS233" s="1096"/>
      <c r="DT233" s="1096"/>
      <c r="DU233" s="1096"/>
      <c r="DV233" s="1096"/>
      <c r="DW233" s="1096"/>
      <c r="DX233" s="1096"/>
      <c r="DY233" s="1096"/>
      <c r="DZ233" s="1096"/>
      <c r="EA233" s="1096"/>
      <c r="EB233" s="1096"/>
    </row>
    <row r="243" spans="111:138" x14ac:dyDescent="0.35">
      <c r="DG243" s="7"/>
      <c r="DH243" s="1112"/>
      <c r="DI243" s="1112"/>
      <c r="DJ243" s="1112"/>
      <c r="DK243" s="1112"/>
      <c r="DL243" s="1112"/>
      <c r="DM243" s="1112"/>
      <c r="DN243" s="1112"/>
      <c r="DO243" s="1112"/>
      <c r="DZ243" s="7"/>
      <c r="EA243" s="1112"/>
      <c r="EB243" s="1112"/>
      <c r="EC243" s="1112"/>
      <c r="ED243" s="1112"/>
      <c r="EE243" s="1112"/>
      <c r="EF243" s="1112"/>
      <c r="EG243" s="1112"/>
      <c r="EH243" s="1112"/>
    </row>
    <row r="244" spans="111:138" x14ac:dyDescent="0.35">
      <c r="DG244" s="1096"/>
      <c r="DH244" s="1096"/>
      <c r="DI244" s="1096"/>
      <c r="DJ244" s="1096"/>
      <c r="DK244" s="1096"/>
      <c r="DL244" s="1096"/>
      <c r="DM244" s="1096"/>
      <c r="DN244" s="1096"/>
      <c r="DO244" s="1096"/>
      <c r="DZ244" s="1096"/>
      <c r="EA244" s="1096"/>
      <c r="EB244" s="1096"/>
      <c r="EC244" s="1096"/>
      <c r="ED244" s="1096"/>
      <c r="EE244" s="1096"/>
      <c r="EF244" s="1096"/>
      <c r="EG244" s="1096"/>
      <c r="EH244" s="1096"/>
    </row>
    <row r="245" spans="111:138" x14ac:dyDescent="0.35">
      <c r="DG245" s="7"/>
      <c r="DH245" s="1112"/>
      <c r="DI245" s="1112"/>
      <c r="DJ245" s="1112"/>
      <c r="DK245" s="1112"/>
      <c r="DL245" s="1112"/>
      <c r="DM245" s="1112"/>
      <c r="DN245" s="1112"/>
      <c r="DO245" s="1112"/>
    </row>
    <row r="246" spans="111:138" x14ac:dyDescent="0.35">
      <c r="DG246" s="1096"/>
      <c r="DH246" s="1096"/>
      <c r="DI246" s="1096"/>
      <c r="DJ246" s="1096"/>
      <c r="DK246" s="1096"/>
      <c r="DL246" s="1096"/>
      <c r="DM246" s="1096"/>
      <c r="DN246" s="1096"/>
      <c r="DO246" s="1096"/>
    </row>
  </sheetData>
  <mergeCells count="606">
    <mergeCell ref="DE143:DL143"/>
    <mergeCell ref="BV144:CC144"/>
    <mergeCell ref="BV160:CC160"/>
    <mergeCell ref="DF144:DL144"/>
    <mergeCell ref="DE145:DL145"/>
    <mergeCell ref="DF146:DL146"/>
    <mergeCell ref="DE147:DL147"/>
    <mergeCell ref="DF148:DL148"/>
    <mergeCell ref="DE149:DL149"/>
    <mergeCell ref="BV150:CC150"/>
    <mergeCell ref="BW147:CC147"/>
    <mergeCell ref="BV148:CC148"/>
    <mergeCell ref="BW145:CC145"/>
    <mergeCell ref="BV146:CC146"/>
    <mergeCell ref="BW155:CC155"/>
    <mergeCell ref="BV156:CC156"/>
    <mergeCell ref="BW157:CC157"/>
    <mergeCell ref="BV158:CC158"/>
    <mergeCell ref="BW159:CC159"/>
    <mergeCell ref="BW149:CC149"/>
    <mergeCell ref="BW143:CC143"/>
    <mergeCell ref="AY119:BF119"/>
    <mergeCell ref="CE97:CO97"/>
    <mergeCell ref="CF101:CO101"/>
    <mergeCell ref="CG117:CN117"/>
    <mergeCell ref="BI119:BP119"/>
    <mergeCell ref="BQ112:BW112"/>
    <mergeCell ref="AZ118:BF118"/>
    <mergeCell ref="BK129:BQ129"/>
    <mergeCell ref="BF113:BM113"/>
    <mergeCell ref="BP110:BW110"/>
    <mergeCell ref="BQ106:BW106"/>
    <mergeCell ref="BP107:BW107"/>
    <mergeCell ref="CE102:CO102"/>
    <mergeCell ref="BJ134:BQ134"/>
    <mergeCell ref="BJ130:BQ130"/>
    <mergeCell ref="BK131:BQ131"/>
    <mergeCell ref="BJ132:BQ132"/>
    <mergeCell ref="BW133:CC133"/>
    <mergeCell ref="BK133:BQ133"/>
    <mergeCell ref="CA112:CG112"/>
    <mergeCell ref="BZ113:CG113"/>
    <mergeCell ref="BW117:CD117"/>
    <mergeCell ref="BX118:CD118"/>
    <mergeCell ref="BG112:BM112"/>
    <mergeCell ref="CG119:CN119"/>
    <mergeCell ref="CH118:CN118"/>
    <mergeCell ref="BI121:BP121"/>
    <mergeCell ref="BW121:CD121"/>
    <mergeCell ref="BX120:CD120"/>
    <mergeCell ref="BV130:CC130"/>
    <mergeCell ref="BW131:CC131"/>
    <mergeCell ref="BW129:CC129"/>
    <mergeCell ref="AA123:AH123"/>
    <mergeCell ref="Z124:AH124"/>
    <mergeCell ref="AA125:AH125"/>
    <mergeCell ref="Z126:AH126"/>
    <mergeCell ref="AA127:AH127"/>
    <mergeCell ref="Z128:AH128"/>
    <mergeCell ref="BK127:BQ127"/>
    <mergeCell ref="BV126:CC126"/>
    <mergeCell ref="BJ128:BQ128"/>
    <mergeCell ref="BJ126:BQ126"/>
    <mergeCell ref="BV128:CC128"/>
    <mergeCell ref="BW127:CC127"/>
    <mergeCell ref="N120:V120"/>
    <mergeCell ref="O121:V121"/>
    <mergeCell ref="N122:V122"/>
    <mergeCell ref="O123:V123"/>
    <mergeCell ref="N124:V124"/>
    <mergeCell ref="O125:V125"/>
    <mergeCell ref="N126:V126"/>
    <mergeCell ref="N114:V114"/>
    <mergeCell ref="O115:V115"/>
    <mergeCell ref="N116:V116"/>
    <mergeCell ref="O117:V117"/>
    <mergeCell ref="N118:V118"/>
    <mergeCell ref="O119:V119"/>
    <mergeCell ref="BJ144:BQ144"/>
    <mergeCell ref="BK141:BQ141"/>
    <mergeCell ref="EH95:EK95"/>
    <mergeCell ref="EC90:EI90"/>
    <mergeCell ref="EB91:EI91"/>
    <mergeCell ref="EC92:EI92"/>
    <mergeCell ref="EB93:EI93"/>
    <mergeCell ref="EH145:EK145"/>
    <mergeCell ref="EC142:EI142"/>
    <mergeCell ref="EB143:EI143"/>
    <mergeCell ref="BV134:CC134"/>
    <mergeCell ref="DP144:DV144"/>
    <mergeCell ref="DO145:DV145"/>
    <mergeCell ref="EC128:EI128"/>
    <mergeCell ref="EB129:EI129"/>
    <mergeCell ref="EC130:EI130"/>
    <mergeCell ref="EB131:EI131"/>
    <mergeCell ref="DF128:DL128"/>
    <mergeCell ref="DE129:DL129"/>
    <mergeCell ref="DF130:DL130"/>
    <mergeCell ref="DE131:DL131"/>
    <mergeCell ref="DF132:DL132"/>
    <mergeCell ref="DE133:DL133"/>
    <mergeCell ref="BJ142:BQ142"/>
    <mergeCell ref="DE141:DL141"/>
    <mergeCell ref="DF142:DL142"/>
    <mergeCell ref="DF138:DL138"/>
    <mergeCell ref="DE139:DL139"/>
    <mergeCell ref="DF140:DL140"/>
    <mergeCell ref="DE137:DL137"/>
    <mergeCell ref="DE135:DL135"/>
    <mergeCell ref="DF136:DL136"/>
    <mergeCell ref="BV140:CC140"/>
    <mergeCell ref="BV142:CC142"/>
    <mergeCell ref="BW141:CC141"/>
    <mergeCell ref="BV79:CC79"/>
    <mergeCell ref="BP113:BW113"/>
    <mergeCell ref="BI117:BP117"/>
    <mergeCell ref="BJ118:BP118"/>
    <mergeCell ref="BW119:CD119"/>
    <mergeCell ref="BI97:BO97"/>
    <mergeCell ref="BH98:BO98"/>
    <mergeCell ref="BI82:BO82"/>
    <mergeCell ref="BH83:BO83"/>
    <mergeCell ref="BV98:CC98"/>
    <mergeCell ref="BW97:CC97"/>
    <mergeCell ref="BV89:CC89"/>
    <mergeCell ref="BK137:BQ137"/>
    <mergeCell ref="BJ138:BQ138"/>
    <mergeCell ref="BW139:CC139"/>
    <mergeCell ref="BW135:CC135"/>
    <mergeCell ref="BV136:CC136"/>
    <mergeCell ref="BW137:CC137"/>
    <mergeCell ref="BV138:CC138"/>
    <mergeCell ref="BK139:BQ139"/>
    <mergeCell ref="BJ136:BQ136"/>
    <mergeCell ref="BK135:BQ135"/>
    <mergeCell ref="EB133:EI133"/>
    <mergeCell ref="EC134:EI134"/>
    <mergeCell ref="EB135:EI135"/>
    <mergeCell ref="DP126:DV126"/>
    <mergeCell ref="DO147:DV147"/>
    <mergeCell ref="EC126:EI126"/>
    <mergeCell ref="EB127:EI127"/>
    <mergeCell ref="EC110:EI110"/>
    <mergeCell ref="EB111:EI111"/>
    <mergeCell ref="EC113:EI113"/>
    <mergeCell ref="EB114:EI114"/>
    <mergeCell ref="EC116:EI116"/>
    <mergeCell ref="EB117:EI117"/>
    <mergeCell ref="EC118:EI118"/>
    <mergeCell ref="EB119:EI119"/>
    <mergeCell ref="EC120:EI120"/>
    <mergeCell ref="EC124:EI124"/>
    <mergeCell ref="EB121:EI121"/>
    <mergeCell ref="EC122:EI122"/>
    <mergeCell ref="EB123:EI123"/>
    <mergeCell ref="DO141:DV141"/>
    <mergeCell ref="DP134:DV134"/>
    <mergeCell ref="DP118:DV118"/>
    <mergeCell ref="EC86:EI86"/>
    <mergeCell ref="EB87:EI87"/>
    <mergeCell ref="DO79:DV79"/>
    <mergeCell ref="DP80:DV80"/>
    <mergeCell ref="DO81:DV81"/>
    <mergeCell ref="DP82:DV82"/>
    <mergeCell ref="DO143:DV143"/>
    <mergeCell ref="DF76:DL76"/>
    <mergeCell ref="DE77:DL77"/>
    <mergeCell ref="DF78:DL78"/>
    <mergeCell ref="EC84:EI84"/>
    <mergeCell ref="EB85:EI85"/>
    <mergeCell ref="EB83:EI83"/>
    <mergeCell ref="EB75:EI75"/>
    <mergeCell ref="EC76:EI76"/>
    <mergeCell ref="EB77:EI77"/>
    <mergeCell ref="EB79:EI79"/>
    <mergeCell ref="EC80:EI80"/>
    <mergeCell ref="EB81:EI81"/>
    <mergeCell ref="EC82:EI82"/>
    <mergeCell ref="DE75:DL75"/>
    <mergeCell ref="DF72:DL72"/>
    <mergeCell ref="DE73:DL73"/>
    <mergeCell ref="DE71:DL71"/>
    <mergeCell ref="EB73:EI73"/>
    <mergeCell ref="DO75:DV75"/>
    <mergeCell ref="EC78:EI78"/>
    <mergeCell ref="DO71:DV71"/>
    <mergeCell ref="DP142:DV142"/>
    <mergeCell ref="DF66:DL66"/>
    <mergeCell ref="EB71:EI71"/>
    <mergeCell ref="EC72:EI72"/>
    <mergeCell ref="DP72:DV72"/>
    <mergeCell ref="DO73:DV73"/>
    <mergeCell ref="DP74:DV74"/>
    <mergeCell ref="EC74:EI74"/>
    <mergeCell ref="DF74:DL74"/>
    <mergeCell ref="EC63:EI63"/>
    <mergeCell ref="EB64:EI64"/>
    <mergeCell ref="EC66:EI66"/>
    <mergeCell ref="EB67:EI67"/>
    <mergeCell ref="EC68:EI68"/>
    <mergeCell ref="EB69:EI69"/>
    <mergeCell ref="EC70:EI70"/>
    <mergeCell ref="CU180:DA180"/>
    <mergeCell ref="DF134:DL134"/>
    <mergeCell ref="DE121:DL121"/>
    <mergeCell ref="DF122:DL122"/>
    <mergeCell ref="DE123:DL123"/>
    <mergeCell ref="DF124:DL124"/>
    <mergeCell ref="DO127:DV127"/>
    <mergeCell ref="DP128:DV128"/>
    <mergeCell ref="DO129:DV129"/>
    <mergeCell ref="DO123:DV123"/>
    <mergeCell ref="DF120:DL120"/>
    <mergeCell ref="DE125:DL125"/>
    <mergeCell ref="DF126:DL126"/>
    <mergeCell ref="DE127:DL127"/>
    <mergeCell ref="DF118:DL118"/>
    <mergeCell ref="DO83:DV83"/>
    <mergeCell ref="DP70:DV70"/>
    <mergeCell ref="CT181:DA181"/>
    <mergeCell ref="Z114:AH114"/>
    <mergeCell ref="AA115:AH115"/>
    <mergeCell ref="Z116:AH116"/>
    <mergeCell ref="AA117:AH117"/>
    <mergeCell ref="Z118:AH118"/>
    <mergeCell ref="AA119:AH119"/>
    <mergeCell ref="Z120:AH120"/>
    <mergeCell ref="AA121:AH121"/>
    <mergeCell ref="Z122:AH122"/>
    <mergeCell ref="BW151:CC151"/>
    <mergeCell ref="BV152:CC152"/>
    <mergeCell ref="BW153:CC153"/>
    <mergeCell ref="BV154:CC154"/>
    <mergeCell ref="AY121:BF121"/>
    <mergeCell ref="AZ120:BF120"/>
    <mergeCell ref="AG130:AJ130"/>
    <mergeCell ref="CT174:DA175"/>
    <mergeCell ref="CM162:CP162"/>
    <mergeCell ref="BJ120:BP120"/>
    <mergeCell ref="BJ140:BQ140"/>
    <mergeCell ref="BK143:BQ143"/>
    <mergeCell ref="AY117:BF117"/>
    <mergeCell ref="BV132:CC132"/>
    <mergeCell ref="T110:AA110"/>
    <mergeCell ref="AY66:BE66"/>
    <mergeCell ref="AX67:BE67"/>
    <mergeCell ref="AX75:BE75"/>
    <mergeCell ref="AY76:BE76"/>
    <mergeCell ref="DO117:DV117"/>
    <mergeCell ref="BI78:BO78"/>
    <mergeCell ref="BH79:BO79"/>
    <mergeCell ref="BV75:CC75"/>
    <mergeCell ref="BW76:CC76"/>
    <mergeCell ref="BV77:CC77"/>
    <mergeCell ref="AY80:BE80"/>
    <mergeCell ref="AX81:BE81"/>
    <mergeCell ref="AY82:BE82"/>
    <mergeCell ref="AX87:BE87"/>
    <mergeCell ref="AY88:BE88"/>
    <mergeCell ref="BH77:BO77"/>
    <mergeCell ref="BI80:BO80"/>
    <mergeCell ref="AX83:BE83"/>
    <mergeCell ref="AY84:BE84"/>
    <mergeCell ref="AX85:BE85"/>
    <mergeCell ref="AY90:BE90"/>
    <mergeCell ref="AX91:BE91"/>
    <mergeCell ref="CF83:CM83"/>
    <mergeCell ref="CG78:CM78"/>
    <mergeCell ref="CF79:CM79"/>
    <mergeCell ref="CG80:CM80"/>
    <mergeCell ref="DF80:DL80"/>
    <mergeCell ref="DE81:DL81"/>
    <mergeCell ref="DP76:DV76"/>
    <mergeCell ref="DO77:DV77"/>
    <mergeCell ref="DP78:DV78"/>
    <mergeCell ref="CG84:CM84"/>
    <mergeCell ref="CG82:CM82"/>
    <mergeCell ref="CF85:CM85"/>
    <mergeCell ref="CF89:CM89"/>
    <mergeCell ref="BH13:BN13"/>
    <mergeCell ref="BG14:BN14"/>
    <mergeCell ref="BO22:BU22"/>
    <mergeCell ref="BN23:BU23"/>
    <mergeCell ref="CE13:CK13"/>
    <mergeCell ref="AX77:BE77"/>
    <mergeCell ref="AY78:BE78"/>
    <mergeCell ref="AX79:BE79"/>
    <mergeCell ref="BO18:BU18"/>
    <mergeCell ref="BN19:BU19"/>
    <mergeCell ref="BO20:BU20"/>
    <mergeCell ref="CD14:CK14"/>
    <mergeCell ref="CE16:CK16"/>
    <mergeCell ref="CD17:CK17"/>
    <mergeCell ref="CE18:CK18"/>
    <mergeCell ref="CD19:CK19"/>
    <mergeCell ref="CE20:CK20"/>
    <mergeCell ref="BN21:BU21"/>
    <mergeCell ref="BV68:CC68"/>
    <mergeCell ref="CF75:CM75"/>
    <mergeCell ref="CG76:CM76"/>
    <mergeCell ref="CF77:CM77"/>
    <mergeCell ref="BW64:CC64"/>
    <mergeCell ref="BH75:BO75"/>
    <mergeCell ref="AK13:AQ13"/>
    <mergeCell ref="AJ14:AQ14"/>
    <mergeCell ref="AK15:AQ15"/>
    <mergeCell ref="AJ16:AQ16"/>
    <mergeCell ref="AP18:AS18"/>
    <mergeCell ref="AG18:AN18"/>
    <mergeCell ref="BA18:BG18"/>
    <mergeCell ref="AZ19:BG19"/>
    <mergeCell ref="BA20:BG20"/>
    <mergeCell ref="BA24:BG24"/>
    <mergeCell ref="AZ25:BG25"/>
    <mergeCell ref="AZ23:BG23"/>
    <mergeCell ref="AZ21:BG21"/>
    <mergeCell ref="BO60:BV60"/>
    <mergeCell ref="BP56:BV56"/>
    <mergeCell ref="BO57:BV57"/>
    <mergeCell ref="BP59:BV59"/>
    <mergeCell ref="CL91:CO91"/>
    <mergeCell ref="CF81:CM81"/>
    <mergeCell ref="CG86:CM86"/>
    <mergeCell ref="CF87:CM87"/>
    <mergeCell ref="CG88:CM88"/>
    <mergeCell ref="BH81:BO81"/>
    <mergeCell ref="CD21:CK21"/>
    <mergeCell ref="CE22:CK22"/>
    <mergeCell ref="BT29:BW29"/>
    <mergeCell ref="BN27:BU27"/>
    <mergeCell ref="BI64:BO64"/>
    <mergeCell ref="BH65:BO65"/>
    <mergeCell ref="BH63:BO63"/>
    <mergeCell ref="BV63:CC63"/>
    <mergeCell ref="CF65:CM65"/>
    <mergeCell ref="CF63:CM63"/>
    <mergeCell ref="CG64:CM64"/>
    <mergeCell ref="CD23:CK23"/>
    <mergeCell ref="CJ25:CM25"/>
    <mergeCell ref="BO24:BU24"/>
    <mergeCell ref="BN25:BU25"/>
    <mergeCell ref="BO26:BU26"/>
    <mergeCell ref="BF33:BI33"/>
    <mergeCell ref="BA22:BG22"/>
    <mergeCell ref="DA185:DG185"/>
    <mergeCell ref="FP186:FW186"/>
    <mergeCell ref="EQ187:FA187"/>
    <mergeCell ref="FD187:FL187"/>
    <mergeCell ref="FO187:FW187"/>
    <mergeCell ref="ER184:FA184"/>
    <mergeCell ref="FE184:FL184"/>
    <mergeCell ref="CS190:CV190"/>
    <mergeCell ref="CO185:CU185"/>
    <mergeCell ref="CN186:CU186"/>
    <mergeCell ref="CO187:CU187"/>
    <mergeCell ref="FP184:FW184"/>
    <mergeCell ref="EQ185:FA185"/>
    <mergeCell ref="FD185:FL185"/>
    <mergeCell ref="FO185:FW185"/>
    <mergeCell ref="CN188:CU188"/>
    <mergeCell ref="DG246:DO246"/>
    <mergeCell ref="FE188:FL188"/>
    <mergeCell ref="FD189:FL189"/>
    <mergeCell ref="DK219:EC220"/>
    <mergeCell ref="DM231:EB231"/>
    <mergeCell ref="DN232:EB232"/>
    <mergeCell ref="DM233:EB233"/>
    <mergeCell ref="ER186:FA186"/>
    <mergeCell ref="FE186:FL186"/>
    <mergeCell ref="DH243:DO243"/>
    <mergeCell ref="EA243:EH243"/>
    <mergeCell ref="DG244:DO244"/>
    <mergeCell ref="DZ244:EH244"/>
    <mergeCell ref="CZ186:DG186"/>
    <mergeCell ref="DE188:DH188"/>
    <mergeCell ref="DH245:DO245"/>
    <mergeCell ref="EQ183:FA183"/>
    <mergeCell ref="FD183:FL183"/>
    <mergeCell ref="FO183:FW183"/>
    <mergeCell ref="FE180:FL180"/>
    <mergeCell ref="FP180:FW180"/>
    <mergeCell ref="ER182:FA182"/>
    <mergeCell ref="FE182:FL182"/>
    <mergeCell ref="FP182:FW182"/>
    <mergeCell ref="EQ179:FA179"/>
    <mergeCell ref="FD179:FL179"/>
    <mergeCell ref="FO179:FW179"/>
    <mergeCell ref="FA166:FM166"/>
    <mergeCell ref="FB170:FM170"/>
    <mergeCell ref="FO170:FZ170"/>
    <mergeCell ref="FA171:FM171"/>
    <mergeCell ref="FN171:FZ171"/>
    <mergeCell ref="DY181:EG181"/>
    <mergeCell ref="EQ181:FA181"/>
    <mergeCell ref="FD181:FL181"/>
    <mergeCell ref="FO181:FW181"/>
    <mergeCell ref="DZ180:EG180"/>
    <mergeCell ref="ER180:FA180"/>
    <mergeCell ref="DY179:EG179"/>
    <mergeCell ref="FO173:FZ173"/>
    <mergeCell ref="FN174:FZ174"/>
    <mergeCell ref="HA126:HK126"/>
    <mergeCell ref="FB165:FM165"/>
    <mergeCell ref="DO135:DV135"/>
    <mergeCell ref="EC132:EI132"/>
    <mergeCell ref="DO121:DV121"/>
    <mergeCell ref="DP136:DV136"/>
    <mergeCell ref="DP146:DV146"/>
    <mergeCell ref="DU152:DX152"/>
    <mergeCell ref="EC136:EI136"/>
    <mergeCell ref="EB137:EI137"/>
    <mergeCell ref="EB125:EI125"/>
    <mergeCell ref="DO137:DV137"/>
    <mergeCell ref="DP138:DV138"/>
    <mergeCell ref="DO139:DV139"/>
    <mergeCell ref="DP140:DV140"/>
    <mergeCell ref="EC138:EI138"/>
    <mergeCell ref="EB139:EI139"/>
    <mergeCell ref="EC140:EI140"/>
    <mergeCell ref="EB141:EI141"/>
    <mergeCell ref="DP130:DV130"/>
    <mergeCell ref="DO131:DV131"/>
    <mergeCell ref="DP132:DV132"/>
    <mergeCell ref="DO133:DV133"/>
    <mergeCell ref="HA114:HK114"/>
    <mergeCell ref="DJ114:DQ114"/>
    <mergeCell ref="HB113:HK113"/>
    <mergeCell ref="HA120:HK120"/>
    <mergeCell ref="HB121:HK121"/>
    <mergeCell ref="HA122:HK122"/>
    <mergeCell ref="HB123:HK123"/>
    <mergeCell ref="HA124:HK124"/>
    <mergeCell ref="HB125:HK125"/>
    <mergeCell ref="DP116:DV116"/>
    <mergeCell ref="DF116:DL116"/>
    <mergeCell ref="DE117:DL117"/>
    <mergeCell ref="DE119:DL119"/>
    <mergeCell ref="DK113:DQ113"/>
    <mergeCell ref="HB117:HK117"/>
    <mergeCell ref="HA118:HK118"/>
    <mergeCell ref="HB119:HK119"/>
    <mergeCell ref="HB115:HK115"/>
    <mergeCell ref="HA116:HK116"/>
    <mergeCell ref="DP124:DV124"/>
    <mergeCell ref="DP122:DV122"/>
    <mergeCell ref="DO125:DV125"/>
    <mergeCell ref="DO119:DV119"/>
    <mergeCell ref="DP120:DV120"/>
    <mergeCell ref="HA112:HJ112"/>
    <mergeCell ref="EY47:FH47"/>
    <mergeCell ref="CU40:DA40"/>
    <mergeCell ref="CT41:DA41"/>
    <mergeCell ref="CU43:DA43"/>
    <mergeCell ref="DF68:DL68"/>
    <mergeCell ref="DE69:DL69"/>
    <mergeCell ref="DF70:DL70"/>
    <mergeCell ref="EZ48:FH48"/>
    <mergeCell ref="EY49:FH49"/>
    <mergeCell ref="CT48:DA49"/>
    <mergeCell ref="EC88:EI88"/>
    <mergeCell ref="EB89:EI89"/>
    <mergeCell ref="DU85:DX85"/>
    <mergeCell ref="DU106:EA106"/>
    <mergeCell ref="DT107:EA107"/>
    <mergeCell ref="DK110:DQ110"/>
    <mergeCell ref="DJ111:DQ111"/>
    <mergeCell ref="DE79:DL79"/>
    <mergeCell ref="CT98:DA99"/>
    <mergeCell ref="DF82:DL82"/>
    <mergeCell ref="DE83:DL83"/>
    <mergeCell ref="DP66:DV66"/>
    <mergeCell ref="DO67:DV67"/>
    <mergeCell ref="CU4:DA4"/>
    <mergeCell ref="CT5:DA5"/>
    <mergeCell ref="CU10:DA10"/>
    <mergeCell ref="CT11:DA11"/>
    <mergeCell ref="DU10:EA10"/>
    <mergeCell ref="DT11:EA11"/>
    <mergeCell ref="DL24:DR24"/>
    <mergeCell ref="ED24:EJ24"/>
    <mergeCell ref="DU24:EA24"/>
    <mergeCell ref="EH15:EN15"/>
    <mergeCell ref="EG16:EN16"/>
    <mergeCell ref="DU20:EA20"/>
    <mergeCell ref="DT21:EA21"/>
    <mergeCell ref="DU17:EA17"/>
    <mergeCell ref="DT18:EA18"/>
    <mergeCell ref="DK23:DR23"/>
    <mergeCell ref="DT23:EA23"/>
    <mergeCell ref="EC23:EJ23"/>
    <mergeCell ref="DJ61:DQ61"/>
    <mergeCell ref="DL3:EC3"/>
    <mergeCell ref="DK4:EC4"/>
    <mergeCell ref="GV13:HD13"/>
    <mergeCell ref="GU14:HD14"/>
    <mergeCell ref="FF10:FL10"/>
    <mergeCell ref="FE11:FL11"/>
    <mergeCell ref="EW15:FC15"/>
    <mergeCell ref="EV16:FC16"/>
    <mergeCell ref="EW18:FC18"/>
    <mergeCell ref="FO15:FU15"/>
    <mergeCell ref="FN16:FU16"/>
    <mergeCell ref="FO20:FU20"/>
    <mergeCell ref="FO18:FU18"/>
    <mergeCell ref="FN19:FU19"/>
    <mergeCell ref="DK25:DR25"/>
    <mergeCell ref="EC25:EJ25"/>
    <mergeCell ref="DL26:DR26"/>
    <mergeCell ref="DK27:DR27"/>
    <mergeCell ref="ED26:EJ26"/>
    <mergeCell ref="EB61:EI61"/>
    <mergeCell ref="EV19:FC19"/>
    <mergeCell ref="FN21:FU21"/>
    <mergeCell ref="FT27:FW27"/>
    <mergeCell ref="EW20:FC20"/>
    <mergeCell ref="EV21:FC21"/>
    <mergeCell ref="GT23:HA23"/>
    <mergeCell ref="FO22:FU22"/>
    <mergeCell ref="FN23:FU23"/>
    <mergeCell ref="FO24:FU24"/>
    <mergeCell ref="FN25:FU25"/>
    <mergeCell ref="FB23:FE23"/>
    <mergeCell ref="GT25:HA25"/>
    <mergeCell ref="GR22:GS22"/>
    <mergeCell ref="GJ27:GR27"/>
    <mergeCell ref="GI28:GR28"/>
    <mergeCell ref="ED28:EJ28"/>
    <mergeCell ref="DU28:EA28"/>
    <mergeCell ref="DT29:EA29"/>
    <mergeCell ref="GJ24:GR24"/>
    <mergeCell ref="GI25:GR25"/>
    <mergeCell ref="EC27:EJ27"/>
    <mergeCell ref="DT25:EA25"/>
    <mergeCell ref="EC29:EJ29"/>
    <mergeCell ref="CT44:DA44"/>
    <mergeCell ref="AZ31:BG31"/>
    <mergeCell ref="BA30:BG30"/>
    <mergeCell ref="BA26:BG26"/>
    <mergeCell ref="AZ27:BG27"/>
    <mergeCell ref="BA28:BG28"/>
    <mergeCell ref="AZ29:BG29"/>
    <mergeCell ref="FW29:FX29"/>
    <mergeCell ref="DT33:EA33"/>
    <mergeCell ref="EM35:EP35"/>
    <mergeCell ref="DU32:EA32"/>
    <mergeCell ref="DU26:EA26"/>
    <mergeCell ref="DT27:EA27"/>
    <mergeCell ref="DU30:EA30"/>
    <mergeCell ref="DT31:EA31"/>
    <mergeCell ref="EC60:EI60"/>
    <mergeCell ref="BQ109:BW109"/>
    <mergeCell ref="AB62:AH62"/>
    <mergeCell ref="AA63:AH63"/>
    <mergeCell ref="AB64:AH64"/>
    <mergeCell ref="AY64:BE64"/>
    <mergeCell ref="AX63:BE63"/>
    <mergeCell ref="U106:AA106"/>
    <mergeCell ref="AB66:AH66"/>
    <mergeCell ref="AA67:AH67"/>
    <mergeCell ref="AX89:BE89"/>
    <mergeCell ref="AY86:BE86"/>
    <mergeCell ref="BH89:BO89"/>
    <mergeCell ref="AA75:AH75"/>
    <mergeCell ref="AF77:AJ77"/>
    <mergeCell ref="T76:AA76"/>
    <mergeCell ref="AX65:BE65"/>
    <mergeCell ref="BW66:CC66"/>
    <mergeCell ref="BV67:CC67"/>
    <mergeCell ref="BH67:BO67"/>
    <mergeCell ref="BI66:BO66"/>
    <mergeCell ref="AA65:AH65"/>
    <mergeCell ref="BV65:CC65"/>
    <mergeCell ref="BW78:CC78"/>
    <mergeCell ref="U56:AA56"/>
    <mergeCell ref="T57:AA57"/>
    <mergeCell ref="DU56:EA56"/>
    <mergeCell ref="DT57:EA57"/>
    <mergeCell ref="N62:T62"/>
    <mergeCell ref="M63:T63"/>
    <mergeCell ref="N64:T64"/>
    <mergeCell ref="M65:T65"/>
    <mergeCell ref="BH69:BO69"/>
    <mergeCell ref="M61:T61"/>
    <mergeCell ref="AA61:AH61"/>
    <mergeCell ref="DE67:DL67"/>
    <mergeCell ref="AB68:AH68"/>
    <mergeCell ref="DK63:DQ63"/>
    <mergeCell ref="DJ64:DQ64"/>
    <mergeCell ref="N66:T66"/>
    <mergeCell ref="BI68:BO68"/>
    <mergeCell ref="AA69:AH69"/>
    <mergeCell ref="M67:T67"/>
    <mergeCell ref="N68:T68"/>
    <mergeCell ref="M69:T69"/>
    <mergeCell ref="DP68:DV68"/>
    <mergeCell ref="DO69:DV69"/>
    <mergeCell ref="DK60:DQ60"/>
    <mergeCell ref="T77:AA77"/>
    <mergeCell ref="T107:AA107"/>
    <mergeCell ref="U109:AA109"/>
    <mergeCell ref="AB70:AH70"/>
    <mergeCell ref="AA71:AH71"/>
    <mergeCell ref="AB72:AH72"/>
    <mergeCell ref="AA73:AH73"/>
    <mergeCell ref="AB74:AH74"/>
    <mergeCell ref="BI76:BO76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7ED1-F07C-4DAC-86D3-21B700CF3655}">
  <sheetPr codeName="Planilha3">
    <tabColor theme="9" tint="0.79998168889431442"/>
  </sheetPr>
  <dimension ref="A2:DC66"/>
  <sheetViews>
    <sheetView showGridLines="0" topLeftCell="A27" zoomScale="55" zoomScaleNormal="55" workbookViewId="0">
      <selection activeCell="AQ67" sqref="AQ67"/>
    </sheetView>
  </sheetViews>
  <sheetFormatPr defaultRowHeight="14.5" x14ac:dyDescent="0.35"/>
  <cols>
    <col min="1" max="1" width="2.26953125" customWidth="1"/>
    <col min="2" max="2" width="4.1796875" customWidth="1"/>
    <col min="3" max="3" width="3" customWidth="1"/>
    <col min="4" max="4" width="2.453125" customWidth="1"/>
    <col min="5" max="5" width="2.1796875" customWidth="1"/>
    <col min="6" max="6" width="2.26953125" customWidth="1"/>
    <col min="7" max="7" width="3.1796875" customWidth="1"/>
    <col min="8" max="8" width="3.7265625" customWidth="1"/>
    <col min="9" max="9" width="4.26953125" customWidth="1"/>
    <col min="10" max="10" width="3" customWidth="1"/>
    <col min="11" max="11" width="3.81640625" customWidth="1"/>
    <col min="12" max="12" width="3.1796875" customWidth="1"/>
    <col min="13" max="13" width="3.453125" customWidth="1"/>
    <col min="14" max="14" width="3.1796875" customWidth="1"/>
    <col min="15" max="15" width="3" customWidth="1"/>
    <col min="16" max="16" width="3.7265625" customWidth="1"/>
    <col min="17" max="17" width="2.453125" customWidth="1"/>
    <col min="18" max="18" width="3.54296875" customWidth="1"/>
    <col min="19" max="19" width="3.1796875" customWidth="1"/>
    <col min="20" max="20" width="2.81640625" customWidth="1"/>
    <col min="21" max="21" width="4" customWidth="1"/>
    <col min="22" max="22" width="2.26953125" customWidth="1"/>
    <col min="23" max="23" width="3.7265625" customWidth="1"/>
    <col min="24" max="24" width="3.26953125" customWidth="1"/>
    <col min="25" max="25" width="4" customWidth="1"/>
    <col min="26" max="27" width="3.54296875" customWidth="1"/>
    <col min="28" max="28" width="3.26953125" customWidth="1"/>
    <col min="29" max="29" width="2.1796875" customWidth="1"/>
    <col min="30" max="30" width="4.453125" customWidth="1"/>
    <col min="31" max="31" width="2.453125" customWidth="1"/>
    <col min="32" max="32" width="2.54296875" customWidth="1"/>
    <col min="33" max="33" width="4.453125" customWidth="1"/>
    <col min="34" max="34" width="7.54296875" customWidth="1"/>
    <col min="35" max="35" width="2.453125" customWidth="1"/>
    <col min="36" max="36" width="3.453125" customWidth="1"/>
    <col min="37" max="37" width="3" customWidth="1"/>
    <col min="38" max="38" width="3.453125" customWidth="1"/>
    <col min="39" max="39" width="2.7265625" customWidth="1"/>
    <col min="40" max="40" width="2.26953125" customWidth="1"/>
    <col min="41" max="41" width="3.54296875" customWidth="1"/>
    <col min="42" max="42" width="3" customWidth="1"/>
    <col min="43" max="43" width="4.453125" customWidth="1"/>
    <col min="44" max="44" width="3.54296875" customWidth="1"/>
    <col min="45" max="45" width="4.1796875" customWidth="1"/>
    <col min="46" max="46" width="3.54296875" customWidth="1"/>
    <col min="47" max="47" width="2.7265625" customWidth="1"/>
    <col min="48" max="48" width="2.54296875" customWidth="1"/>
    <col min="49" max="49" width="3.54296875" customWidth="1"/>
    <col min="50" max="50" width="4" customWidth="1"/>
    <col min="51" max="51" width="4.26953125" customWidth="1"/>
    <col min="52" max="52" width="2.7265625" customWidth="1"/>
    <col min="53" max="53" width="3.26953125" customWidth="1"/>
    <col min="54" max="55" width="3.453125" customWidth="1"/>
    <col min="56" max="56" width="4" customWidth="1"/>
    <col min="57" max="57" width="2.26953125" customWidth="1"/>
    <col min="58" max="58" width="2.54296875" customWidth="1"/>
    <col min="59" max="59" width="4" customWidth="1"/>
    <col min="60" max="60" width="3.7265625" customWidth="1"/>
    <col min="61" max="61" width="4" customWidth="1"/>
    <col min="62" max="62" width="4.1796875" customWidth="1"/>
    <col min="63" max="63" width="4.453125" customWidth="1"/>
    <col min="64" max="64" width="3.26953125" customWidth="1"/>
    <col min="65" max="65" width="2.81640625" customWidth="1"/>
    <col min="66" max="66" width="3.26953125" customWidth="1"/>
    <col min="67" max="67" width="2.453125" customWidth="1"/>
    <col min="68" max="68" width="2.54296875" customWidth="1"/>
    <col min="69" max="70" width="3.81640625" customWidth="1"/>
    <col min="71" max="71" width="2.54296875" customWidth="1"/>
    <col min="72" max="72" width="2.7265625" customWidth="1"/>
    <col min="73" max="73" width="3.7265625" customWidth="1"/>
    <col min="74" max="74" width="3.81640625" customWidth="1"/>
    <col min="75" max="75" width="3.453125" customWidth="1"/>
    <col min="76" max="76" width="2.7265625" customWidth="1"/>
    <col min="77" max="77" width="2.81640625" customWidth="1"/>
    <col min="78" max="78" width="3.26953125" customWidth="1"/>
    <col min="79" max="79" width="2.26953125" customWidth="1"/>
    <col min="80" max="80" width="2.81640625" customWidth="1"/>
    <col min="81" max="81" width="2.1796875" customWidth="1"/>
    <col min="82" max="82" width="2.26953125" customWidth="1"/>
    <col min="83" max="83" width="2.54296875" customWidth="1"/>
    <col min="84" max="84" width="3" customWidth="1"/>
    <col min="85" max="85" width="2.54296875" customWidth="1"/>
    <col min="86" max="86" width="2.1796875" customWidth="1"/>
    <col min="87" max="87" width="1.81640625" customWidth="1"/>
    <col min="88" max="88" width="2.81640625" customWidth="1"/>
    <col min="89" max="89" width="2.453125" customWidth="1"/>
    <col min="90" max="90" width="2.26953125" customWidth="1"/>
    <col min="91" max="91" width="2.453125" customWidth="1"/>
    <col min="92" max="92" width="2.1796875" customWidth="1"/>
    <col min="93" max="93" width="3.26953125" customWidth="1"/>
    <col min="94" max="94" width="2.7265625" customWidth="1"/>
    <col min="95" max="95" width="2.1796875" customWidth="1"/>
    <col min="96" max="96" width="3" customWidth="1"/>
    <col min="97" max="97" width="4" customWidth="1"/>
  </cols>
  <sheetData>
    <row r="2" spans="1:107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92"/>
      <c r="AE2" s="92"/>
      <c r="AF2" s="92"/>
      <c r="AG2" s="92"/>
      <c r="AH2" s="92"/>
      <c r="AI2" s="92"/>
      <c r="AJ2" s="92"/>
      <c r="AK2" s="9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</row>
    <row r="3" spans="1:107" ht="15" customHeight="1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57"/>
      <c r="X3" s="1029" t="s">
        <v>65</v>
      </c>
      <c r="Y3" s="1030"/>
      <c r="Z3" s="1030"/>
      <c r="AA3" s="1030"/>
      <c r="AB3" s="1030"/>
      <c r="AC3" s="1030"/>
      <c r="AD3" s="1031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</row>
    <row r="4" spans="1:107" ht="15" customHeight="1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1086" t="s">
        <v>66</v>
      </c>
      <c r="X4" s="1087"/>
      <c r="Y4" s="1087"/>
      <c r="Z4" s="1087"/>
      <c r="AA4" s="1087"/>
      <c r="AB4" s="1087"/>
      <c r="AC4" s="1087"/>
      <c r="AD4" s="1088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</row>
    <row r="5" spans="1:107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8"/>
      <c r="AA5" s="22"/>
      <c r="AB5" s="22"/>
      <c r="AC5" s="25"/>
      <c r="AD5" s="25"/>
      <c r="AE5" s="22"/>
      <c r="AF5" s="22"/>
      <c r="AG5" s="25"/>
      <c r="AH5" s="25"/>
      <c r="AI5" s="25"/>
      <c r="AJ5" s="25"/>
      <c r="AK5" s="25"/>
      <c r="AL5" s="25"/>
      <c r="AM5" s="25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</row>
    <row r="6" spans="1:107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30"/>
      <c r="AA6" s="23"/>
      <c r="AB6" s="24"/>
      <c r="AC6" s="22"/>
      <c r="AD6" s="22"/>
      <c r="AE6" s="27"/>
      <c r="AF6" s="27"/>
      <c r="AG6" s="22"/>
      <c r="AH6" s="22"/>
      <c r="AI6" s="22"/>
      <c r="AJ6" s="22"/>
      <c r="AK6" s="22"/>
      <c r="AL6" s="22"/>
      <c r="AM6" s="22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8"/>
      <c r="BA6" s="33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8"/>
      <c r="BN6" s="22"/>
      <c r="BO6" s="22"/>
      <c r="BP6" s="22"/>
      <c r="BQ6" s="22"/>
      <c r="BR6" s="22"/>
      <c r="BS6" s="22"/>
      <c r="BT6" s="22"/>
      <c r="BU6" s="94"/>
      <c r="BV6" s="92"/>
      <c r="BW6" s="92"/>
      <c r="BX6" s="92"/>
      <c r="BY6" s="92"/>
      <c r="BZ6" s="92"/>
      <c r="CA6" s="92"/>
      <c r="CB6" s="92"/>
      <c r="CC6" s="92"/>
      <c r="CD6" s="92"/>
      <c r="CE6" s="22"/>
      <c r="CF6" s="22"/>
      <c r="CG6" s="22"/>
      <c r="CH6" s="22"/>
      <c r="CI6" s="2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22"/>
      <c r="CU6" s="22"/>
      <c r="CV6" s="22"/>
      <c r="CW6" s="22"/>
      <c r="CX6" s="22"/>
      <c r="CY6" s="22"/>
      <c r="CZ6" s="22"/>
      <c r="DA6" s="22"/>
      <c r="DB6" s="22"/>
      <c r="DC6" s="22"/>
    </row>
    <row r="7" spans="1:107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31">
        <v>0.5</v>
      </c>
      <c r="X7" s="1230" t="s">
        <v>363</v>
      </c>
      <c r="Y7" s="1230"/>
      <c r="Z7" s="1230"/>
      <c r="AA7" s="1230"/>
      <c r="AB7" s="1230"/>
      <c r="AC7" s="1230"/>
      <c r="AD7" s="1230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119"/>
      <c r="AX7" s="1230" t="s">
        <v>364</v>
      </c>
      <c r="AY7" s="1230"/>
      <c r="AZ7" s="1230"/>
      <c r="BA7" s="1230"/>
      <c r="BB7" s="1230"/>
      <c r="BC7" s="1230"/>
      <c r="BD7" s="1230"/>
      <c r="BE7" s="22"/>
      <c r="BF7" s="22"/>
      <c r="BG7" s="22"/>
      <c r="BH7" s="22"/>
      <c r="BI7" s="22"/>
      <c r="BJ7" s="114"/>
      <c r="BK7" s="1230" t="s">
        <v>365</v>
      </c>
      <c r="BL7" s="1230"/>
      <c r="BM7" s="1230"/>
      <c r="BN7" s="1230"/>
      <c r="BO7" s="1230"/>
      <c r="BP7" s="1230"/>
      <c r="BQ7" s="1230"/>
      <c r="BR7" s="22"/>
      <c r="BS7" s="22"/>
      <c r="BT7" s="22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22"/>
      <c r="CF7" s="22"/>
      <c r="CG7" s="22"/>
      <c r="CH7" s="22"/>
      <c r="CI7" s="22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22"/>
      <c r="CU7" s="22"/>
      <c r="CV7" s="22"/>
      <c r="CW7" s="22"/>
      <c r="CX7" s="22"/>
      <c r="CY7" s="22"/>
      <c r="CZ7" s="22"/>
      <c r="DA7" s="22"/>
      <c r="DB7" s="22"/>
      <c r="DC7" s="22"/>
    </row>
    <row r="8" spans="1:107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1231" t="s">
        <v>70</v>
      </c>
      <c r="X8" s="1231"/>
      <c r="Y8" s="1231"/>
      <c r="Z8" s="1231"/>
      <c r="AA8" s="1231"/>
      <c r="AB8" s="1231"/>
      <c r="AC8" s="1231"/>
      <c r="AD8" s="1231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8"/>
      <c r="AS8" s="22"/>
      <c r="AT8" s="22"/>
      <c r="AU8" s="22"/>
      <c r="AV8" s="22"/>
      <c r="AW8" s="1231" t="s">
        <v>366</v>
      </c>
      <c r="AX8" s="1231"/>
      <c r="AY8" s="1231"/>
      <c r="AZ8" s="1231"/>
      <c r="BA8" s="1231"/>
      <c r="BB8" s="1231"/>
      <c r="BC8" s="1231"/>
      <c r="BD8" s="1231"/>
      <c r="BE8" s="22"/>
      <c r="BF8" s="22"/>
      <c r="BG8" s="22"/>
      <c r="BH8" s="22"/>
      <c r="BI8" s="22"/>
      <c r="BJ8" s="1231" t="s">
        <v>367</v>
      </c>
      <c r="BK8" s="1231"/>
      <c r="BL8" s="1231"/>
      <c r="BM8" s="1231"/>
      <c r="BN8" s="1231"/>
      <c r="BO8" s="1231"/>
      <c r="BP8" s="1231"/>
      <c r="BQ8" s="1231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</row>
    <row r="9" spans="1:107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95"/>
      <c r="X9" s="95"/>
      <c r="Y9" s="95"/>
      <c r="Z9" s="120"/>
      <c r="AA9" s="95"/>
      <c r="AB9" s="95"/>
      <c r="AC9" s="95"/>
      <c r="AD9" s="95"/>
      <c r="AE9" s="22"/>
      <c r="AF9" s="22"/>
      <c r="AG9" s="22"/>
      <c r="AH9" s="22"/>
      <c r="AI9" s="22"/>
      <c r="AJ9" s="22"/>
      <c r="AK9" s="22"/>
      <c r="AL9" s="22"/>
      <c r="AM9" s="22"/>
      <c r="AN9" s="107"/>
      <c r="AO9" s="107"/>
      <c r="AP9" s="107"/>
      <c r="AQ9" s="107"/>
      <c r="AR9" s="122"/>
      <c r="AS9" s="22"/>
      <c r="AT9" s="22"/>
      <c r="AU9" s="22"/>
      <c r="AV9" s="22"/>
      <c r="AW9" s="22"/>
      <c r="AX9" s="22"/>
      <c r="AY9" s="24"/>
      <c r="AZ9" s="32"/>
      <c r="BA9" s="24"/>
      <c r="BB9" s="24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3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</row>
    <row r="10" spans="1:107" x14ac:dyDescent="0.3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1232" t="s">
        <v>368</v>
      </c>
      <c r="Q10" s="1232"/>
      <c r="R10" s="1232"/>
      <c r="S10" s="1232"/>
      <c r="T10" s="1232"/>
      <c r="U10" s="1232"/>
      <c r="V10" s="1232"/>
      <c r="W10" s="1232"/>
      <c r="X10" s="1232"/>
      <c r="Y10" s="1232"/>
      <c r="Z10" s="1232"/>
      <c r="AA10" s="1232"/>
      <c r="AB10" s="1232"/>
      <c r="AC10" s="1232"/>
      <c r="AD10" s="1232"/>
      <c r="AE10" s="1232"/>
      <c r="AF10" s="1232"/>
      <c r="AG10" s="1232"/>
      <c r="AH10" s="1232"/>
      <c r="AI10" s="1232"/>
      <c r="AJ10" s="1232"/>
      <c r="AK10" s="1232"/>
      <c r="AL10" s="22"/>
      <c r="AM10" s="22"/>
      <c r="AN10" s="107"/>
      <c r="AO10" s="107"/>
      <c r="AP10" s="107"/>
      <c r="AQ10" s="107"/>
      <c r="AR10" s="122"/>
      <c r="AS10" s="22"/>
      <c r="AT10" s="22"/>
      <c r="AU10" s="22"/>
      <c r="AV10" s="22"/>
      <c r="AW10" s="22"/>
      <c r="AX10" s="30"/>
      <c r="AY10" s="22"/>
      <c r="AZ10" s="22"/>
      <c r="BA10" s="22"/>
      <c r="BB10" s="30"/>
      <c r="BC10" s="22"/>
      <c r="BD10" s="22"/>
      <c r="BE10" s="22"/>
      <c r="BF10" s="22"/>
      <c r="BG10" s="22"/>
      <c r="BH10" s="22"/>
      <c r="BI10" s="22"/>
      <c r="BJ10" s="22"/>
      <c r="BK10" s="30"/>
      <c r="BL10" s="33"/>
      <c r="BM10" s="27"/>
      <c r="BN10" s="27"/>
      <c r="BO10" s="3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</row>
    <row r="11" spans="1:107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1232" t="s">
        <v>369</v>
      </c>
      <c r="Q11" s="1232"/>
      <c r="R11" s="1232"/>
      <c r="S11" s="1232"/>
      <c r="T11" s="1232"/>
      <c r="U11" s="1232"/>
      <c r="V11" s="1232"/>
      <c r="W11" s="1232"/>
      <c r="X11" s="1232"/>
      <c r="Y11" s="1232"/>
      <c r="Z11" s="1232"/>
      <c r="AA11" s="1232"/>
      <c r="AB11" s="1232"/>
      <c r="AC11" s="1232"/>
      <c r="AD11" s="1232"/>
      <c r="AE11" s="1232"/>
      <c r="AF11" s="1232"/>
      <c r="AG11" s="1232"/>
      <c r="AH11" s="1232"/>
      <c r="AI11" s="1232"/>
      <c r="AJ11" s="1232"/>
      <c r="AK11" s="1232"/>
      <c r="AL11" s="22"/>
      <c r="AM11" s="22"/>
      <c r="AN11" s="96"/>
      <c r="AO11" s="96"/>
      <c r="AP11" s="96"/>
      <c r="AQ11" s="96"/>
      <c r="AR11" s="123"/>
      <c r="AS11" s="22"/>
      <c r="AT11" s="22"/>
      <c r="AU11" s="22"/>
      <c r="AV11" s="22"/>
      <c r="AW11" s="22"/>
      <c r="AX11" s="1235" t="s">
        <v>370</v>
      </c>
      <c r="AY11" s="1236"/>
      <c r="AZ11" s="22"/>
      <c r="BA11" s="22"/>
      <c r="BB11" s="1235" t="s">
        <v>371</v>
      </c>
      <c r="BC11" s="1236"/>
      <c r="BD11" s="22"/>
      <c r="BE11" s="22"/>
      <c r="BF11" s="22"/>
      <c r="BG11" s="22"/>
      <c r="BH11" s="22"/>
      <c r="BI11" s="22"/>
      <c r="BJ11" s="22"/>
      <c r="BK11" s="1235" t="s">
        <v>113</v>
      </c>
      <c r="BL11" s="1236"/>
      <c r="BM11" s="1234"/>
      <c r="BN11" s="29"/>
      <c r="BO11" s="1235" t="s">
        <v>372</v>
      </c>
      <c r="BP11" s="1236"/>
      <c r="BQ11" s="22"/>
      <c r="BR11" s="22"/>
      <c r="BS11" s="22"/>
      <c r="BT11" s="22"/>
      <c r="BU11" s="22"/>
      <c r="BV11" s="22"/>
      <c r="BW11" s="97"/>
      <c r="BX11" s="97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</row>
    <row r="12" spans="1:107" x14ac:dyDescent="0.3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8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9"/>
      <c r="AS12" s="22"/>
      <c r="AT12" s="22"/>
      <c r="AU12" s="22"/>
      <c r="AV12" s="22"/>
      <c r="AW12" s="22"/>
      <c r="AX12" s="1237"/>
      <c r="AY12" s="1238"/>
      <c r="AZ12" s="22"/>
      <c r="BA12" s="22"/>
      <c r="BB12" s="1237"/>
      <c r="BC12" s="1238"/>
      <c r="BD12" s="22"/>
      <c r="BE12" s="22"/>
      <c r="BF12" s="22"/>
      <c r="BG12" s="22"/>
      <c r="BH12" s="22"/>
      <c r="BI12" s="22"/>
      <c r="BJ12" s="22"/>
      <c r="BK12" s="1237"/>
      <c r="BL12" s="1238"/>
      <c r="BM12" s="1234"/>
      <c r="BN12" s="29"/>
      <c r="BO12" s="1237"/>
      <c r="BP12" s="1238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</row>
    <row r="13" spans="1:107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9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9"/>
      <c r="AS13" s="22"/>
      <c r="AT13" s="22"/>
      <c r="AU13" s="22"/>
      <c r="AV13" s="22"/>
      <c r="AW13" s="22"/>
      <c r="AX13" s="1237"/>
      <c r="AY13" s="1238"/>
      <c r="AZ13" s="22"/>
      <c r="BA13" s="22"/>
      <c r="BB13" s="1237"/>
      <c r="BC13" s="1238"/>
      <c r="BD13" s="22"/>
      <c r="BE13" s="22"/>
      <c r="BF13" s="22"/>
      <c r="BG13" s="22"/>
      <c r="BH13" s="22"/>
      <c r="BI13" s="22"/>
      <c r="BJ13" s="22"/>
      <c r="BK13" s="1237"/>
      <c r="BL13" s="1238"/>
      <c r="BM13" s="1234"/>
      <c r="BN13" s="29"/>
      <c r="BO13" s="1237"/>
      <c r="BP13" s="1238"/>
      <c r="BQ13" s="22"/>
      <c r="BR13" s="22"/>
      <c r="BS13" s="22"/>
      <c r="BT13" s="22"/>
      <c r="BU13" s="22"/>
      <c r="BV13" s="22"/>
      <c r="BW13" s="104"/>
      <c r="BX13" s="104"/>
      <c r="BY13" s="22"/>
      <c r="BZ13" s="22"/>
      <c r="CA13" s="104"/>
      <c r="CB13" s="104"/>
      <c r="CC13" s="22"/>
      <c r="CD13" s="22"/>
      <c r="CE13" s="22"/>
      <c r="CF13" s="22"/>
      <c r="CG13" s="22"/>
      <c r="CH13" s="22"/>
      <c r="CI13" s="22"/>
      <c r="CJ13" s="22"/>
      <c r="CK13" s="22"/>
      <c r="CL13" s="104"/>
      <c r="CM13" s="104"/>
      <c r="CN13" s="111"/>
      <c r="CO13" s="22"/>
      <c r="CP13" s="104"/>
      <c r="CQ13" s="10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</row>
    <row r="14" spans="1:107" x14ac:dyDescent="0.35">
      <c r="A14" s="22"/>
      <c r="B14" s="93"/>
      <c r="C14" s="92"/>
      <c r="D14" s="92"/>
      <c r="E14" s="92"/>
      <c r="F14" s="92"/>
      <c r="G14" s="92"/>
      <c r="H14" s="92"/>
      <c r="I14" s="92"/>
      <c r="J14" s="22"/>
      <c r="K14" s="22"/>
      <c r="L14" s="22"/>
      <c r="M14" s="22"/>
      <c r="N14" s="22"/>
      <c r="O14" s="22"/>
      <c r="P14" s="22"/>
      <c r="Q14" s="33"/>
      <c r="R14" s="118"/>
      <c r="S14" s="115"/>
      <c r="T14" s="115"/>
      <c r="U14" s="115"/>
      <c r="V14" s="115"/>
      <c r="W14" s="115"/>
      <c r="X14" s="115"/>
      <c r="Y14" s="115"/>
      <c r="Z14" s="28"/>
      <c r="AA14" s="23"/>
      <c r="AB14" s="24"/>
      <c r="AC14" s="24"/>
      <c r="AD14" s="27"/>
      <c r="AE14" s="27"/>
      <c r="AF14" s="115"/>
      <c r="AG14" s="115"/>
      <c r="AH14" s="115"/>
      <c r="AI14" s="115"/>
      <c r="AJ14" s="117"/>
      <c r="AK14" s="92"/>
      <c r="AL14" s="92"/>
      <c r="AM14" s="92"/>
      <c r="AN14" s="92"/>
      <c r="AO14" s="22"/>
      <c r="AP14" s="22"/>
      <c r="AQ14" s="22"/>
      <c r="AR14" s="29"/>
      <c r="AS14" s="22"/>
      <c r="AT14" s="22"/>
      <c r="AU14" s="22"/>
      <c r="AV14" s="22"/>
      <c r="AW14" s="22"/>
      <c r="AX14" s="1237"/>
      <c r="AY14" s="1238"/>
      <c r="AZ14" s="22"/>
      <c r="BA14" s="22"/>
      <c r="BB14" s="1237"/>
      <c r="BC14" s="1238"/>
      <c r="BD14" s="94"/>
      <c r="BE14" s="92"/>
      <c r="BF14" s="92"/>
      <c r="BG14" s="92"/>
      <c r="BH14" s="92"/>
      <c r="BI14" s="92"/>
      <c r="BJ14" s="92"/>
      <c r="BK14" s="1237"/>
      <c r="BL14" s="1238"/>
      <c r="BM14" s="1234"/>
      <c r="BN14" s="29"/>
      <c r="BO14" s="1237"/>
      <c r="BP14" s="1238"/>
      <c r="BQ14" s="22"/>
      <c r="BR14" s="22"/>
      <c r="BS14" s="22"/>
      <c r="BT14" s="22"/>
      <c r="BU14" s="22"/>
      <c r="BV14" s="22"/>
      <c r="BW14" s="104"/>
      <c r="BX14" s="104"/>
      <c r="BY14" s="22"/>
      <c r="BZ14" s="22"/>
      <c r="CA14" s="104"/>
      <c r="CB14" s="104"/>
      <c r="CC14" s="22"/>
      <c r="CD14" s="22"/>
      <c r="CE14" s="22"/>
      <c r="CF14" s="22"/>
      <c r="CG14" s="22"/>
      <c r="CH14" s="22"/>
      <c r="CI14" s="22"/>
      <c r="CJ14" s="22"/>
      <c r="CK14" s="22"/>
      <c r="CL14" s="104"/>
      <c r="CM14" s="104"/>
      <c r="CN14" s="111"/>
      <c r="CO14" s="22"/>
      <c r="CP14" s="104"/>
      <c r="CQ14" s="104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</row>
    <row r="15" spans="1:107" x14ac:dyDescent="0.35">
      <c r="A15" s="92"/>
      <c r="B15" s="92"/>
      <c r="C15" s="92"/>
      <c r="D15" s="92"/>
      <c r="E15" s="110"/>
      <c r="F15" s="110"/>
      <c r="G15" s="92"/>
      <c r="H15" s="92"/>
      <c r="I15" s="92"/>
      <c r="J15" s="92"/>
      <c r="K15" s="22"/>
      <c r="L15" s="22"/>
      <c r="M15" s="114"/>
      <c r="N15" s="1230"/>
      <c r="O15" s="1230"/>
      <c r="P15" s="1230"/>
      <c r="Q15" s="1230"/>
      <c r="R15" s="1230"/>
      <c r="S15" s="1230"/>
      <c r="T15" s="1230"/>
      <c r="U15" s="110"/>
      <c r="V15" s="110"/>
      <c r="W15" s="269">
        <f>'FG-ORGANOGRAMA-741'!BG13</f>
        <v>0.5</v>
      </c>
      <c r="X15" s="1230" t="s">
        <v>74</v>
      </c>
      <c r="Y15" s="1230"/>
      <c r="Z15" s="1230"/>
      <c r="AA15" s="1230"/>
      <c r="AB15" s="1230"/>
      <c r="AC15" s="1230"/>
      <c r="AD15" s="1230"/>
      <c r="AE15" s="22"/>
      <c r="AF15" s="110"/>
      <c r="AG15" s="269">
        <f>'FG-ORGANOGRAMA-741'!CD13</f>
        <v>1</v>
      </c>
      <c r="AH15" s="1230" t="s">
        <v>373</v>
      </c>
      <c r="AI15" s="1230"/>
      <c r="AJ15" s="1230"/>
      <c r="AK15" s="1230"/>
      <c r="AL15" s="1230"/>
      <c r="AM15" s="1230"/>
      <c r="AN15" s="1230"/>
      <c r="AO15" s="22"/>
      <c r="AP15" s="22"/>
      <c r="AQ15" s="22"/>
      <c r="AR15" s="29"/>
      <c r="AS15" s="22"/>
      <c r="AT15" s="22"/>
      <c r="AU15" s="22"/>
      <c r="AV15" s="22"/>
      <c r="AW15" s="22"/>
      <c r="AX15" s="1237"/>
      <c r="AY15" s="1238"/>
      <c r="AZ15" s="22"/>
      <c r="BA15" s="22"/>
      <c r="BB15" s="1237"/>
      <c r="BC15" s="1238"/>
      <c r="BD15" s="110"/>
      <c r="BE15" s="110"/>
      <c r="BF15" s="110"/>
      <c r="BG15" s="110"/>
      <c r="BH15" s="110"/>
      <c r="BI15" s="110"/>
      <c r="BJ15" s="110"/>
      <c r="BK15" s="1237"/>
      <c r="BL15" s="1238"/>
      <c r="BM15" s="1234"/>
      <c r="BN15" s="29"/>
      <c r="BO15" s="1237"/>
      <c r="BP15" s="1238"/>
      <c r="BQ15" s="22"/>
      <c r="BR15" s="22"/>
      <c r="BS15" s="22"/>
      <c r="BT15" s="22"/>
      <c r="BU15" s="22"/>
      <c r="BV15" s="22"/>
      <c r="BW15" s="104"/>
      <c r="BX15" s="104"/>
      <c r="BY15" s="22"/>
      <c r="BZ15" s="22"/>
      <c r="CA15" s="104"/>
      <c r="CB15" s="104"/>
      <c r="CC15" s="22"/>
      <c r="CD15" s="22"/>
      <c r="CE15" s="22"/>
      <c r="CF15" s="22"/>
      <c r="CG15" s="22"/>
      <c r="CH15" s="22"/>
      <c r="CI15" s="22"/>
      <c r="CJ15" s="22"/>
      <c r="CK15" s="22"/>
      <c r="CL15" s="104"/>
      <c r="CM15" s="104"/>
      <c r="CN15" s="111"/>
      <c r="CO15" s="22"/>
      <c r="CP15" s="104"/>
      <c r="CQ15" s="104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</row>
    <row r="16" spans="1:107" x14ac:dyDescent="0.35">
      <c r="A16" s="108"/>
      <c r="B16" s="108"/>
      <c r="C16" s="108"/>
      <c r="D16" s="108"/>
      <c r="E16" s="22"/>
      <c r="F16" s="22"/>
      <c r="G16" s="108"/>
      <c r="H16" s="108"/>
      <c r="I16" s="108"/>
      <c r="J16" s="108"/>
      <c r="K16" s="22"/>
      <c r="L16" s="22"/>
      <c r="M16" s="1245"/>
      <c r="N16" s="1245"/>
      <c r="O16" s="1245"/>
      <c r="P16" s="1245"/>
      <c r="Q16" s="1245"/>
      <c r="R16" s="1245"/>
      <c r="S16" s="1245"/>
      <c r="T16" s="1245"/>
      <c r="U16" s="22"/>
      <c r="V16" s="22"/>
      <c r="W16" s="1231" t="s">
        <v>77</v>
      </c>
      <c r="X16" s="1231"/>
      <c r="Y16" s="1231"/>
      <c r="Z16" s="1231"/>
      <c r="AA16" s="1231"/>
      <c r="AB16" s="1231"/>
      <c r="AC16" s="1231"/>
      <c r="AD16" s="1231"/>
      <c r="AE16" s="22"/>
      <c r="AF16" s="22"/>
      <c r="AG16" s="1246" t="s">
        <v>78</v>
      </c>
      <c r="AH16" s="1246"/>
      <c r="AI16" s="1246"/>
      <c r="AJ16" s="1246"/>
      <c r="AK16" s="1246"/>
      <c r="AL16" s="1246"/>
      <c r="AM16" s="1246"/>
      <c r="AN16" s="1246"/>
      <c r="AO16" s="22"/>
      <c r="AP16" s="22"/>
      <c r="AQ16" s="22"/>
      <c r="AR16" s="29"/>
      <c r="AS16" s="22"/>
      <c r="AT16" s="22"/>
      <c r="AU16" s="22"/>
      <c r="AV16" s="22"/>
      <c r="AW16" s="22"/>
      <c r="AX16" s="1237"/>
      <c r="AY16" s="1238"/>
      <c r="AZ16" s="22"/>
      <c r="BA16" s="22"/>
      <c r="BB16" s="1237"/>
      <c r="BC16" s="1238"/>
      <c r="BD16" s="22"/>
      <c r="BE16" s="22"/>
      <c r="BF16" s="22"/>
      <c r="BG16" s="22"/>
      <c r="BH16" s="22"/>
      <c r="BI16" s="22"/>
      <c r="BJ16" s="22"/>
      <c r="BK16" s="1237"/>
      <c r="BL16" s="1238"/>
      <c r="BM16" s="1234"/>
      <c r="BN16" s="29"/>
      <c r="BO16" s="1237"/>
      <c r="BP16" s="1238"/>
      <c r="BQ16" s="22"/>
      <c r="BR16" s="22"/>
      <c r="BS16" s="22"/>
      <c r="BT16" s="22"/>
      <c r="BU16" s="22"/>
      <c r="BV16" s="22"/>
      <c r="BW16" s="104"/>
      <c r="BX16" s="104"/>
      <c r="BY16" s="22"/>
      <c r="BZ16" s="22"/>
      <c r="CA16" s="104"/>
      <c r="CB16" s="104"/>
      <c r="CC16" s="22"/>
      <c r="CD16" s="22"/>
      <c r="CE16" s="22"/>
      <c r="CF16" s="22"/>
      <c r="CG16" s="22"/>
      <c r="CH16" s="22"/>
      <c r="CI16" s="22"/>
      <c r="CJ16" s="22"/>
      <c r="CK16" s="22"/>
      <c r="CL16" s="104"/>
      <c r="CM16" s="104"/>
      <c r="CN16" s="111"/>
      <c r="CO16" s="22"/>
      <c r="CP16" s="104"/>
      <c r="CQ16" s="104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</row>
    <row r="17" spans="1:107" x14ac:dyDescent="0.35">
      <c r="A17" s="104"/>
      <c r="B17" s="104"/>
      <c r="C17" s="104"/>
      <c r="D17" s="22"/>
      <c r="E17" s="104"/>
      <c r="F17" s="104"/>
      <c r="G17" s="22"/>
      <c r="H17" s="104"/>
      <c r="I17" s="104"/>
      <c r="J17" s="22"/>
      <c r="K17" s="22"/>
      <c r="L17" s="22"/>
      <c r="M17" s="22"/>
      <c r="N17" s="22"/>
      <c r="O17" s="22"/>
      <c r="P17" s="116"/>
      <c r="Q17" s="104"/>
      <c r="R17" s="104"/>
      <c r="S17" s="104"/>
      <c r="T17" s="22"/>
      <c r="U17" s="104"/>
      <c r="V17" s="104"/>
      <c r="W17" s="22"/>
      <c r="X17" s="116"/>
      <c r="Y17" s="104"/>
      <c r="Z17" s="22"/>
      <c r="AA17" s="32"/>
      <c r="AB17" s="22"/>
      <c r="AC17" s="22"/>
      <c r="AD17" s="22"/>
      <c r="AE17" s="22"/>
      <c r="AF17" s="22"/>
      <c r="AG17" s="22"/>
      <c r="AH17" s="22"/>
      <c r="AI17" s="22"/>
      <c r="AJ17" s="116"/>
      <c r="AK17" s="104"/>
      <c r="AL17" s="22"/>
      <c r="AM17" s="22"/>
      <c r="AN17" s="22"/>
      <c r="AO17" s="22"/>
      <c r="AP17" s="22"/>
      <c r="AQ17" s="22"/>
      <c r="AR17" s="29"/>
      <c r="AS17" s="22"/>
      <c r="AT17" s="22"/>
      <c r="AU17" s="22"/>
      <c r="AV17" s="22"/>
      <c r="AW17" s="22"/>
      <c r="AX17" s="1237"/>
      <c r="AY17" s="1238"/>
      <c r="AZ17" s="22"/>
      <c r="BA17" s="22"/>
      <c r="BB17" s="1237"/>
      <c r="BC17" s="1238"/>
      <c r="BD17" s="22"/>
      <c r="BE17" s="22"/>
      <c r="BF17" s="22"/>
      <c r="BG17" s="22"/>
      <c r="BH17" s="22"/>
      <c r="BI17" s="22"/>
      <c r="BJ17" s="22"/>
      <c r="BK17" s="1237"/>
      <c r="BL17" s="1238"/>
      <c r="BM17" s="1234"/>
      <c r="BN17" s="29"/>
      <c r="BO17" s="1237"/>
      <c r="BP17" s="1238"/>
      <c r="BQ17" s="22"/>
      <c r="BR17" s="22"/>
      <c r="BS17" s="22"/>
      <c r="BT17" s="22"/>
      <c r="BU17" s="22"/>
      <c r="BV17" s="22"/>
      <c r="BW17" s="104"/>
      <c r="BX17" s="104"/>
      <c r="BY17" s="22"/>
      <c r="BZ17" s="22"/>
      <c r="CA17" s="104"/>
      <c r="CB17" s="104"/>
      <c r="CC17" s="22"/>
      <c r="CD17" s="22"/>
      <c r="CE17" s="22"/>
      <c r="CF17" s="22"/>
      <c r="CG17" s="22"/>
      <c r="CH17" s="22"/>
      <c r="CI17" s="22"/>
      <c r="CJ17" s="22"/>
      <c r="CK17" s="22"/>
      <c r="CL17" s="104"/>
      <c r="CM17" s="104"/>
      <c r="CN17" s="111"/>
      <c r="CO17" s="22"/>
      <c r="CP17" s="104"/>
      <c r="CQ17" s="104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</row>
    <row r="18" spans="1:107" x14ac:dyDescent="0.35">
      <c r="A18" s="104"/>
      <c r="B18" s="104"/>
      <c r="C18" s="104"/>
      <c r="D18" s="22"/>
      <c r="E18" s="104"/>
      <c r="F18" s="104"/>
      <c r="G18" s="22"/>
      <c r="H18" s="104"/>
      <c r="I18" s="104"/>
      <c r="J18" s="22"/>
      <c r="K18" s="22"/>
      <c r="L18" s="22"/>
      <c r="M18" s="22"/>
      <c r="N18" s="22"/>
      <c r="O18" s="22"/>
      <c r="P18" s="1235" t="s">
        <v>374</v>
      </c>
      <c r="Q18" s="1236"/>
      <c r="R18" s="104"/>
      <c r="S18" s="104"/>
      <c r="T18" s="22"/>
      <c r="U18" s="104"/>
      <c r="V18" s="104"/>
      <c r="W18" s="22"/>
      <c r="X18" s="1235" t="s">
        <v>375</v>
      </c>
      <c r="Y18" s="1236"/>
      <c r="Z18" s="22"/>
      <c r="AA18" s="1235" t="s">
        <v>376</v>
      </c>
      <c r="AB18" s="1236"/>
      <c r="AC18" s="22"/>
      <c r="AD18" s="22"/>
      <c r="AE18" s="22"/>
      <c r="AF18" s="22"/>
      <c r="AG18" s="22"/>
      <c r="AH18" s="22"/>
      <c r="AI18" s="22"/>
      <c r="AJ18" s="1235" t="s">
        <v>377</v>
      </c>
      <c r="AK18" s="1236"/>
      <c r="AL18" s="22"/>
      <c r="AM18" s="22"/>
      <c r="AN18" s="22"/>
      <c r="AO18" s="22"/>
      <c r="AP18" s="22"/>
      <c r="AQ18" s="92"/>
      <c r="AR18" s="29"/>
      <c r="AS18" s="22"/>
      <c r="AT18" s="94"/>
      <c r="AU18" s="92"/>
      <c r="AV18" s="92"/>
      <c r="AW18" s="92"/>
      <c r="AX18" s="1237"/>
      <c r="AY18" s="1238"/>
      <c r="AZ18" s="22"/>
      <c r="BA18" s="22"/>
      <c r="BB18" s="1237"/>
      <c r="BC18" s="1238"/>
      <c r="BD18" s="22"/>
      <c r="BE18" s="22"/>
      <c r="BF18" s="22"/>
      <c r="BG18" s="22"/>
      <c r="BH18" s="22"/>
      <c r="BI18" s="22"/>
      <c r="BJ18" s="22"/>
      <c r="BK18" s="1237"/>
      <c r="BL18" s="1238"/>
      <c r="BM18" s="1234"/>
      <c r="BN18" s="22"/>
      <c r="BO18" s="1237"/>
      <c r="BP18" s="1238"/>
      <c r="BQ18" s="22"/>
      <c r="BR18" s="22"/>
      <c r="BS18" s="22"/>
      <c r="BT18" s="22"/>
      <c r="BU18" s="22"/>
      <c r="BV18" s="22"/>
      <c r="BW18" s="104"/>
      <c r="BX18" s="104"/>
      <c r="BY18" s="22"/>
      <c r="BZ18" s="22"/>
      <c r="CA18" s="104"/>
      <c r="CB18" s="104"/>
      <c r="CC18" s="22"/>
      <c r="CD18" s="22"/>
      <c r="CE18" s="22"/>
      <c r="CF18" s="22"/>
      <c r="CG18" s="22"/>
      <c r="CH18" s="22"/>
      <c r="CI18" s="22"/>
      <c r="CJ18" s="22"/>
      <c r="CK18" s="22"/>
      <c r="CL18" s="104"/>
      <c r="CM18" s="104"/>
      <c r="CN18" s="111"/>
      <c r="CO18" s="22"/>
      <c r="CP18" s="104"/>
      <c r="CQ18" s="104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</row>
    <row r="19" spans="1:107" x14ac:dyDescent="0.35">
      <c r="A19" s="104"/>
      <c r="B19" s="104"/>
      <c r="C19" s="104"/>
      <c r="D19" s="22"/>
      <c r="E19" s="104"/>
      <c r="F19" s="104"/>
      <c r="G19" s="22"/>
      <c r="H19" s="104"/>
      <c r="I19" s="104"/>
      <c r="J19" s="22"/>
      <c r="K19" s="22"/>
      <c r="L19" s="22"/>
      <c r="M19" s="22"/>
      <c r="N19" s="22"/>
      <c r="O19" s="22"/>
      <c r="P19" s="1237"/>
      <c r="Q19" s="1238"/>
      <c r="R19" s="104"/>
      <c r="S19" s="104"/>
      <c r="T19" s="22"/>
      <c r="U19" s="104"/>
      <c r="V19" s="104"/>
      <c r="W19" s="22"/>
      <c r="X19" s="1237"/>
      <c r="Y19" s="1238"/>
      <c r="Z19" s="22"/>
      <c r="AA19" s="1237"/>
      <c r="AB19" s="1238"/>
      <c r="AC19" s="22"/>
      <c r="AD19" s="22"/>
      <c r="AE19" s="22"/>
      <c r="AF19" s="22"/>
      <c r="AG19" s="22"/>
      <c r="AH19" s="22"/>
      <c r="AI19" s="22"/>
      <c r="AJ19" s="1237"/>
      <c r="AK19" s="1238"/>
      <c r="AL19" s="22"/>
      <c r="AM19" s="22"/>
      <c r="AN19" s="22"/>
      <c r="AO19" s="107"/>
      <c r="AP19" s="107"/>
      <c r="AQ19" s="110"/>
      <c r="AR19" s="29"/>
      <c r="AS19" s="22"/>
      <c r="AT19" s="110"/>
      <c r="AU19" s="110"/>
      <c r="AV19" s="110"/>
      <c r="AW19" s="110"/>
      <c r="AX19" s="1239"/>
      <c r="AY19" s="1240"/>
      <c r="AZ19" s="22"/>
      <c r="BA19" s="22"/>
      <c r="BB19" s="1239"/>
      <c r="BC19" s="1240"/>
      <c r="BD19" s="22"/>
      <c r="BE19" s="22"/>
      <c r="BF19" s="22"/>
      <c r="BG19" s="22"/>
      <c r="BH19" s="22"/>
      <c r="BI19" s="22"/>
      <c r="BJ19" s="22"/>
      <c r="BK19" s="1239"/>
      <c r="BL19" s="1240"/>
      <c r="BM19" s="1234"/>
      <c r="BN19" s="22"/>
      <c r="BO19" s="1239"/>
      <c r="BP19" s="1240"/>
      <c r="BQ19" s="22"/>
      <c r="BR19" s="22"/>
      <c r="BS19" s="22"/>
      <c r="BT19" s="22"/>
      <c r="BU19" s="22"/>
      <c r="BV19" s="22"/>
      <c r="BW19" s="104"/>
      <c r="BX19" s="104"/>
      <c r="BY19" s="22"/>
      <c r="BZ19" s="22"/>
      <c r="CA19" s="104"/>
      <c r="CB19" s="104"/>
      <c r="CC19" s="22"/>
      <c r="CD19" s="22"/>
      <c r="CE19" s="22"/>
      <c r="CF19" s="22"/>
      <c r="CG19" s="22"/>
      <c r="CH19" s="22"/>
      <c r="CI19" s="22"/>
      <c r="CJ19" s="22"/>
      <c r="CK19" s="97"/>
      <c r="CL19" s="104"/>
      <c r="CM19" s="104"/>
      <c r="CN19" s="111"/>
      <c r="CO19" s="22"/>
      <c r="CP19" s="104"/>
      <c r="CQ19" s="104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</row>
    <row r="20" spans="1:107" x14ac:dyDescent="0.35">
      <c r="A20" s="104"/>
      <c r="B20" s="104"/>
      <c r="C20" s="104"/>
      <c r="D20" s="22"/>
      <c r="E20" s="104"/>
      <c r="F20" s="104"/>
      <c r="G20" s="22"/>
      <c r="H20" s="104"/>
      <c r="I20" s="104"/>
      <c r="J20" s="22"/>
      <c r="K20" s="22"/>
      <c r="L20" s="22"/>
      <c r="M20" s="22"/>
      <c r="N20" s="22"/>
      <c r="O20" s="22"/>
      <c r="P20" s="1237"/>
      <c r="Q20" s="1238"/>
      <c r="R20" s="104"/>
      <c r="S20" s="104"/>
      <c r="T20" s="22"/>
      <c r="U20" s="104"/>
      <c r="V20" s="104"/>
      <c r="W20" s="22"/>
      <c r="X20" s="1237"/>
      <c r="Y20" s="1238"/>
      <c r="Z20" s="22"/>
      <c r="AA20" s="1237"/>
      <c r="AB20" s="1238"/>
      <c r="AC20" s="22"/>
      <c r="AD20" s="22"/>
      <c r="AE20" s="22"/>
      <c r="AF20" s="22"/>
      <c r="AG20" s="22"/>
      <c r="AH20" s="22"/>
      <c r="AI20" s="22"/>
      <c r="AJ20" s="1237"/>
      <c r="AK20" s="1238"/>
      <c r="AL20" s="22"/>
      <c r="AM20" s="22"/>
      <c r="AN20" s="22"/>
      <c r="AO20" s="107"/>
      <c r="AP20" s="107"/>
      <c r="AQ20" s="22"/>
      <c r="AR20" s="29"/>
      <c r="AS20" s="22"/>
      <c r="AT20" s="22"/>
      <c r="AU20" s="22"/>
      <c r="AV20" s="22"/>
      <c r="AW20" s="22"/>
      <c r="AX20" s="32"/>
      <c r="AY20" s="22"/>
      <c r="AZ20" s="22"/>
      <c r="BA20" s="22"/>
      <c r="BB20" s="32"/>
      <c r="BC20" s="22"/>
      <c r="BD20" s="22"/>
      <c r="BE20" s="104"/>
      <c r="BF20" s="104"/>
      <c r="BG20" s="22"/>
      <c r="BH20" s="22"/>
      <c r="BI20" s="22"/>
      <c r="BJ20" s="22"/>
      <c r="BK20" s="32"/>
      <c r="BL20" s="22"/>
      <c r="BM20" s="22"/>
      <c r="BN20" s="22"/>
      <c r="BO20" s="32"/>
      <c r="BP20" s="22"/>
      <c r="BQ20" s="22"/>
      <c r="BR20" s="22"/>
      <c r="BS20" s="22"/>
      <c r="BT20" s="22"/>
      <c r="BU20" s="22"/>
      <c r="BV20" s="22"/>
      <c r="BW20" s="104"/>
      <c r="BX20" s="104"/>
      <c r="BY20" s="22"/>
      <c r="BZ20" s="22"/>
      <c r="CA20" s="104"/>
      <c r="CB20" s="104"/>
      <c r="CC20" s="22"/>
      <c r="CD20" s="22"/>
      <c r="CE20" s="22"/>
      <c r="CF20" s="22"/>
      <c r="CG20" s="22"/>
      <c r="CH20" s="22"/>
      <c r="CI20" s="22"/>
      <c r="CJ20" s="22"/>
      <c r="CK20" s="22"/>
      <c r="CL20" s="104"/>
      <c r="CM20" s="104"/>
      <c r="CN20" s="111"/>
      <c r="CO20" s="22"/>
      <c r="CP20" s="104"/>
      <c r="CQ20" s="104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</row>
    <row r="21" spans="1:107" x14ac:dyDescent="0.35">
      <c r="A21" s="104"/>
      <c r="B21" s="104"/>
      <c r="C21" s="104"/>
      <c r="D21" s="22"/>
      <c r="E21" s="104"/>
      <c r="F21" s="104"/>
      <c r="G21" s="22"/>
      <c r="H21" s="104"/>
      <c r="I21" s="104"/>
      <c r="J21" s="22"/>
      <c r="K21" s="22"/>
      <c r="L21" s="22"/>
      <c r="M21" s="22"/>
      <c r="N21" s="22"/>
      <c r="O21" s="22"/>
      <c r="P21" s="1237"/>
      <c r="Q21" s="1238"/>
      <c r="R21" s="104"/>
      <c r="S21" s="104"/>
      <c r="T21" s="22"/>
      <c r="U21" s="104"/>
      <c r="V21" s="104"/>
      <c r="W21" s="22"/>
      <c r="X21" s="1237"/>
      <c r="Y21" s="1238"/>
      <c r="Z21" s="22"/>
      <c r="AA21" s="1237"/>
      <c r="AB21" s="1238"/>
      <c r="AC21" s="22"/>
      <c r="AD21" s="22"/>
      <c r="AE21" s="22"/>
      <c r="AF21" s="22"/>
      <c r="AG21" s="22"/>
      <c r="AH21" s="22"/>
      <c r="AI21" s="22"/>
      <c r="AJ21" s="1237"/>
      <c r="AK21" s="1238"/>
      <c r="AL21" s="22"/>
      <c r="AM21" s="22"/>
      <c r="AN21" s="22"/>
      <c r="AO21" s="96"/>
      <c r="AP21" s="96"/>
      <c r="AQ21" s="104"/>
      <c r="AR21" s="29"/>
      <c r="AS21" s="22"/>
      <c r="AT21" s="22"/>
      <c r="AU21" s="22"/>
      <c r="AV21" s="22"/>
      <c r="AW21" s="22"/>
      <c r="AX21" s="1247">
        <f>'FG-ORGANOGRAMA-741'!EP14</f>
        <v>9.5</v>
      </c>
      <c r="AY21" s="1248"/>
      <c r="AZ21" s="22"/>
      <c r="BA21" s="22"/>
      <c r="BB21" s="1233">
        <v>0</v>
      </c>
      <c r="BC21" s="1227"/>
      <c r="BD21" s="22"/>
      <c r="BE21" s="104"/>
      <c r="BF21" s="104"/>
      <c r="BG21" s="22"/>
      <c r="BH21" s="22"/>
      <c r="BI21" s="22"/>
      <c r="BJ21" s="22"/>
      <c r="BK21" s="1233">
        <f>'FG-ORGANOGRAMA-741'!EV18</f>
        <v>1</v>
      </c>
      <c r="BL21" s="1227"/>
      <c r="BM21" s="22"/>
      <c r="BN21" s="22"/>
      <c r="BO21" s="1233">
        <f>'FG-ORGANOGRAMA-741'!FW14</f>
        <v>3</v>
      </c>
      <c r="BP21" s="1227"/>
      <c r="BQ21" s="22"/>
      <c r="BR21" s="22"/>
      <c r="BS21" s="22"/>
      <c r="BT21" s="22"/>
      <c r="BU21" s="22"/>
      <c r="BV21" s="22"/>
      <c r="BW21" s="104"/>
      <c r="BX21" s="104"/>
      <c r="BY21" s="22"/>
      <c r="BZ21" s="22"/>
      <c r="CA21" s="104"/>
      <c r="CB21" s="104"/>
      <c r="CC21" s="22"/>
      <c r="CD21" s="22"/>
      <c r="CE21" s="22"/>
      <c r="CF21" s="22"/>
      <c r="CG21" s="22"/>
      <c r="CH21" s="22"/>
      <c r="CI21" s="22"/>
      <c r="CJ21" s="22"/>
      <c r="CK21" s="112"/>
      <c r="CL21" s="104"/>
      <c r="CM21" s="104"/>
      <c r="CN21" s="111"/>
      <c r="CO21" s="22"/>
      <c r="CP21" s="104"/>
      <c r="CQ21" s="104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</row>
    <row r="22" spans="1:107" x14ac:dyDescent="0.35">
      <c r="A22" s="104"/>
      <c r="B22" s="104"/>
      <c r="C22" s="104"/>
      <c r="D22" s="22"/>
      <c r="E22" s="104"/>
      <c r="F22" s="104"/>
      <c r="G22" s="22"/>
      <c r="H22" s="104"/>
      <c r="I22" s="104"/>
      <c r="J22" s="22"/>
      <c r="K22" s="22"/>
      <c r="L22" s="22"/>
      <c r="M22" s="22"/>
      <c r="N22" s="22"/>
      <c r="O22" s="22"/>
      <c r="P22" s="1237"/>
      <c r="Q22" s="1238"/>
      <c r="R22" s="104"/>
      <c r="S22" s="104"/>
      <c r="T22" s="22"/>
      <c r="U22" s="104"/>
      <c r="V22" s="104"/>
      <c r="W22" s="22"/>
      <c r="X22" s="1237"/>
      <c r="Y22" s="1238"/>
      <c r="Z22" s="22"/>
      <c r="AA22" s="1237"/>
      <c r="AB22" s="1238"/>
      <c r="AC22" s="22"/>
      <c r="AD22" s="22"/>
      <c r="AE22" s="22"/>
      <c r="AF22" s="22"/>
      <c r="AG22" s="22"/>
      <c r="AH22" s="22"/>
      <c r="AI22" s="22"/>
      <c r="AJ22" s="1237"/>
      <c r="AK22" s="1238"/>
      <c r="AL22" s="22"/>
      <c r="AM22" s="22"/>
      <c r="AN22" s="22"/>
      <c r="AO22" s="22"/>
      <c r="AP22" s="22"/>
      <c r="AQ22" s="104"/>
      <c r="AR22" s="29"/>
      <c r="AS22" s="22"/>
      <c r="AT22" s="22"/>
      <c r="AU22" s="22"/>
      <c r="AV22" s="22"/>
      <c r="AW22" s="22"/>
      <c r="AX22" s="1249"/>
      <c r="AY22" s="1250"/>
      <c r="AZ22" s="22"/>
      <c r="BA22" s="22"/>
      <c r="BB22" s="1228"/>
      <c r="BC22" s="1229"/>
      <c r="BD22" s="22"/>
      <c r="BE22" s="104"/>
      <c r="BF22" s="104"/>
      <c r="BG22" s="22"/>
      <c r="BH22" s="22"/>
      <c r="BI22" s="22"/>
      <c r="BJ22" s="22"/>
      <c r="BK22" s="1228"/>
      <c r="BL22" s="1229"/>
      <c r="BM22" s="22"/>
      <c r="BN22" s="22"/>
      <c r="BO22" s="1228"/>
      <c r="BP22" s="1229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11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</row>
    <row r="23" spans="1:107" x14ac:dyDescent="0.35">
      <c r="A23" s="104"/>
      <c r="B23" s="104"/>
      <c r="C23" s="104"/>
      <c r="D23" s="22"/>
      <c r="E23" s="104"/>
      <c r="F23" s="104"/>
      <c r="G23" s="22"/>
      <c r="H23" s="104"/>
      <c r="I23" s="104"/>
      <c r="J23" s="22"/>
      <c r="K23" s="22"/>
      <c r="L23" s="22"/>
      <c r="M23" s="22"/>
      <c r="N23" s="22"/>
      <c r="O23" s="22"/>
      <c r="P23" s="1237"/>
      <c r="Q23" s="1238"/>
      <c r="R23" s="104"/>
      <c r="S23" s="104"/>
      <c r="T23" s="22"/>
      <c r="U23" s="104"/>
      <c r="V23" s="104"/>
      <c r="W23" s="22"/>
      <c r="X23" s="1237"/>
      <c r="Y23" s="1238"/>
      <c r="Z23" s="22"/>
      <c r="AA23" s="1237"/>
      <c r="AB23" s="1238"/>
      <c r="AC23" s="22"/>
      <c r="AD23" s="22"/>
      <c r="AE23" s="22"/>
      <c r="AF23" s="22"/>
      <c r="AG23" s="22"/>
      <c r="AH23" s="22"/>
      <c r="AI23" s="22"/>
      <c r="AJ23" s="1237"/>
      <c r="AK23" s="1238"/>
      <c r="AL23" s="22"/>
      <c r="AM23" s="22"/>
      <c r="AN23" s="22"/>
      <c r="AO23" s="22"/>
      <c r="AP23" s="22"/>
      <c r="AQ23" s="104"/>
      <c r="AR23" s="29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104"/>
      <c r="BF23" s="104"/>
      <c r="BG23" s="22"/>
      <c r="BH23" s="22"/>
      <c r="BI23" s="22"/>
      <c r="BJ23" s="22"/>
      <c r="BK23" s="104"/>
      <c r="BL23" s="104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113"/>
      <c r="BX23" s="113"/>
      <c r="BY23" s="22"/>
      <c r="BZ23" s="22"/>
      <c r="CA23" s="106"/>
      <c r="CB23" s="106"/>
      <c r="CC23" s="22"/>
      <c r="CD23" s="22"/>
      <c r="CE23" s="22"/>
      <c r="CF23" s="22"/>
      <c r="CG23" s="22"/>
      <c r="CH23" s="22"/>
      <c r="CI23" s="22"/>
      <c r="CJ23" s="22"/>
      <c r="CK23" s="112"/>
      <c r="CL23" s="106"/>
      <c r="CM23" s="106"/>
      <c r="CN23" s="22"/>
      <c r="CO23" s="22"/>
      <c r="CP23" s="106"/>
      <c r="CQ23" s="106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</row>
    <row r="24" spans="1:107" x14ac:dyDescent="0.35">
      <c r="A24" s="104"/>
      <c r="B24" s="104"/>
      <c r="C24" s="104"/>
      <c r="D24" s="22"/>
      <c r="E24" s="104"/>
      <c r="F24" s="104"/>
      <c r="G24" s="22"/>
      <c r="H24" s="104"/>
      <c r="I24" s="104"/>
      <c r="J24" s="22"/>
      <c r="K24" s="22"/>
      <c r="L24" s="22"/>
      <c r="M24" s="22"/>
      <c r="N24" s="22"/>
      <c r="O24" s="22"/>
      <c r="P24" s="1237"/>
      <c r="Q24" s="1238"/>
      <c r="R24" s="104"/>
      <c r="S24" s="104"/>
      <c r="T24" s="22"/>
      <c r="U24" s="104"/>
      <c r="V24" s="104"/>
      <c r="W24" s="22"/>
      <c r="X24" s="1237"/>
      <c r="Y24" s="1238"/>
      <c r="Z24" s="22"/>
      <c r="AA24" s="1237"/>
      <c r="AB24" s="1238"/>
      <c r="AC24" s="22"/>
      <c r="AD24" s="22"/>
      <c r="AE24" s="22"/>
      <c r="AF24" s="22"/>
      <c r="AG24" s="22"/>
      <c r="AH24" s="22"/>
      <c r="AI24" s="22"/>
      <c r="AJ24" s="1237"/>
      <c r="AK24" s="1238"/>
      <c r="AL24" s="22"/>
      <c r="AM24" s="22"/>
      <c r="AN24" s="22"/>
      <c r="AO24" s="6"/>
      <c r="AP24" s="22"/>
      <c r="AQ24" s="104"/>
      <c r="AR24" s="29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104"/>
      <c r="BF24" s="104"/>
      <c r="BG24" s="22"/>
      <c r="BH24" s="22"/>
      <c r="BI24" s="22"/>
      <c r="BJ24" s="22"/>
      <c r="BK24" s="104"/>
      <c r="BL24" s="104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113"/>
      <c r="BX24" s="113"/>
      <c r="BY24" s="22"/>
      <c r="BZ24" s="22"/>
      <c r="CA24" s="106"/>
      <c r="CB24" s="106"/>
      <c r="CC24" s="22"/>
      <c r="CD24" s="22"/>
      <c r="CE24" s="22"/>
      <c r="CF24" s="22"/>
      <c r="CG24" s="22"/>
      <c r="CH24" s="22"/>
      <c r="CI24" s="22"/>
      <c r="CJ24" s="22"/>
      <c r="CK24" s="112"/>
      <c r="CL24" s="106"/>
      <c r="CM24" s="106"/>
      <c r="CN24" s="22"/>
      <c r="CO24" s="22"/>
      <c r="CP24" s="106"/>
      <c r="CQ24" s="106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</row>
    <row r="25" spans="1:107" x14ac:dyDescent="0.35">
      <c r="A25" s="104"/>
      <c r="B25" s="104"/>
      <c r="C25" s="104"/>
      <c r="D25" s="22"/>
      <c r="E25" s="104"/>
      <c r="F25" s="104"/>
      <c r="G25" s="22"/>
      <c r="H25" s="104"/>
      <c r="I25" s="104"/>
      <c r="J25" s="22"/>
      <c r="K25" s="22"/>
      <c r="L25" s="22"/>
      <c r="M25" s="22"/>
      <c r="N25" s="22"/>
      <c r="O25" s="22"/>
      <c r="P25" s="1237"/>
      <c r="Q25" s="1238"/>
      <c r="R25" s="104"/>
      <c r="S25" s="104"/>
      <c r="T25" s="22"/>
      <c r="U25" s="104"/>
      <c r="V25" s="104"/>
      <c r="W25" s="22"/>
      <c r="X25" s="1237"/>
      <c r="Y25" s="1238"/>
      <c r="Z25" s="22"/>
      <c r="AA25" s="1237"/>
      <c r="AB25" s="1238"/>
      <c r="AC25" s="22"/>
      <c r="AD25" s="22"/>
      <c r="AE25" s="22"/>
      <c r="AF25" s="22"/>
      <c r="AG25" s="22"/>
      <c r="AH25" s="22"/>
      <c r="AI25" s="22"/>
      <c r="AJ25" s="1237"/>
      <c r="AK25" s="1238"/>
      <c r="AL25" s="22"/>
      <c r="AM25" s="22"/>
      <c r="AN25" s="22"/>
      <c r="AO25" s="45"/>
      <c r="AP25" s="22"/>
      <c r="AQ25" s="104"/>
      <c r="AR25" s="29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104"/>
      <c r="BF25" s="104"/>
      <c r="BG25" s="22"/>
      <c r="BH25" s="22"/>
      <c r="BI25" s="22"/>
      <c r="BJ25" s="22"/>
      <c r="BK25" s="104"/>
      <c r="BL25" s="104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11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</row>
    <row r="26" spans="1:107" x14ac:dyDescent="0.35">
      <c r="A26" s="104"/>
      <c r="B26" s="22"/>
      <c r="C26" s="22"/>
      <c r="D26" s="22"/>
      <c r="E26" s="22"/>
      <c r="F26" s="22"/>
      <c r="G26" s="22"/>
      <c r="H26" s="104"/>
      <c r="I26" s="104"/>
      <c r="J26" s="22"/>
      <c r="K26" s="22"/>
      <c r="L26" s="22"/>
      <c r="M26" s="22"/>
      <c r="N26" s="22"/>
      <c r="O26" s="22"/>
      <c r="P26" s="1239"/>
      <c r="Q26" s="1240"/>
      <c r="R26" s="22"/>
      <c r="S26" s="22"/>
      <c r="T26" s="22"/>
      <c r="U26" s="22"/>
      <c r="V26" s="22"/>
      <c r="W26" s="22"/>
      <c r="X26" s="1239"/>
      <c r="Y26" s="1240"/>
      <c r="Z26" s="22"/>
      <c r="AA26" s="1239"/>
      <c r="AB26" s="1240"/>
      <c r="AC26" s="22"/>
      <c r="AD26" s="22"/>
      <c r="AE26" s="22"/>
      <c r="AF26" s="22"/>
      <c r="AG26" s="22"/>
      <c r="AH26" s="22"/>
      <c r="AI26" s="22"/>
      <c r="AJ26" s="1239"/>
      <c r="AK26" s="1240"/>
      <c r="AL26" s="22"/>
      <c r="AM26" s="22"/>
      <c r="AN26" s="22"/>
      <c r="AO26" s="22"/>
      <c r="AP26" s="22"/>
      <c r="AQ26" s="104"/>
      <c r="AR26" s="29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104"/>
      <c r="BF26" s="104"/>
      <c r="BG26" s="22"/>
      <c r="BH26" s="22"/>
      <c r="BI26" s="22"/>
      <c r="BJ26" s="22"/>
      <c r="BK26" s="104"/>
      <c r="BL26" s="104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11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</row>
    <row r="27" spans="1:107" x14ac:dyDescent="0.35">
      <c r="A27" s="22"/>
      <c r="B27" s="109"/>
      <c r="C27" s="106"/>
      <c r="D27" s="22"/>
      <c r="E27" s="105"/>
      <c r="F27" s="106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3"/>
      <c r="R27" s="109"/>
      <c r="S27" s="106"/>
      <c r="T27" s="22"/>
      <c r="U27" s="105"/>
      <c r="V27" s="106"/>
      <c r="W27" s="22"/>
      <c r="X27" s="22"/>
      <c r="Y27" s="23"/>
      <c r="Z27" s="22"/>
      <c r="AA27" s="22"/>
      <c r="AB27" s="23"/>
      <c r="AC27" s="22"/>
      <c r="AD27" s="22"/>
      <c r="AE27" s="22"/>
      <c r="AF27" s="22"/>
      <c r="AG27" s="22"/>
      <c r="AH27" s="22"/>
      <c r="AI27" s="22"/>
      <c r="AJ27" s="22"/>
      <c r="AK27" s="23"/>
      <c r="AL27" s="22"/>
      <c r="AM27" s="22"/>
      <c r="AN27" s="22"/>
      <c r="AO27" s="22"/>
      <c r="AP27" s="22"/>
      <c r="AQ27" s="104"/>
      <c r="AR27" s="29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104"/>
      <c r="BF27" s="104"/>
      <c r="BG27" s="22"/>
      <c r="BH27" s="22"/>
      <c r="BI27" s="22"/>
      <c r="BJ27" s="22"/>
      <c r="BK27" s="104"/>
      <c r="BL27" s="104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11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</row>
    <row r="28" spans="1:107" x14ac:dyDescent="0.35">
      <c r="A28" s="106"/>
      <c r="B28" s="106"/>
      <c r="C28" s="106"/>
      <c r="D28" s="22"/>
      <c r="E28" s="106"/>
      <c r="F28" s="106"/>
      <c r="G28" s="22"/>
      <c r="H28" s="106"/>
      <c r="I28" s="106"/>
      <c r="J28" s="22"/>
      <c r="K28" s="22"/>
      <c r="L28" s="22"/>
      <c r="M28" s="22"/>
      <c r="N28" s="22"/>
      <c r="O28" s="22"/>
      <c r="P28" s="1226">
        <f>'FG-ORGANOGRAMA-741'!AS12</f>
        <v>1</v>
      </c>
      <c r="Q28" s="1227"/>
      <c r="R28" s="106"/>
      <c r="S28" s="106"/>
      <c r="T28" s="22"/>
      <c r="U28" s="106"/>
      <c r="V28" s="106"/>
      <c r="W28" s="22"/>
      <c r="X28" s="1233">
        <f>'FG-ORGANOGRAMA-741'!AZ22+'FG-ORGANOGRAMA-741'!AZ24+'FG-ORGANOGRAMA-741'!AZ26+'FG-ORGANOGRAMA-741'!AZ28+'FG-ORGANOGRAMA-741'!AZ30</f>
        <v>4</v>
      </c>
      <c r="Y28" s="1227"/>
      <c r="Z28" s="22"/>
      <c r="AA28" s="1233">
        <f>SUM('FG-ORGANOGRAMA-741'!BI17,'FG-ORGANOGRAMA-741'!BW17)</f>
        <v>9.5</v>
      </c>
      <c r="AB28" s="1227"/>
      <c r="AC28" s="22"/>
      <c r="AD28" s="22"/>
      <c r="AE28" s="22"/>
      <c r="AF28" s="22"/>
      <c r="AG28" s="22"/>
      <c r="AH28" s="22"/>
      <c r="AI28" s="22"/>
      <c r="AJ28" s="1226">
        <f>'FG-ORGANOGRAMA-741'!CM12</f>
        <v>5</v>
      </c>
      <c r="AK28" s="1227"/>
      <c r="AL28" s="22"/>
      <c r="AM28" s="22"/>
      <c r="AN28" s="22"/>
      <c r="AO28" s="22"/>
      <c r="AP28" s="22"/>
      <c r="AQ28" s="104"/>
      <c r="AR28" s="29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104"/>
      <c r="BF28" s="104"/>
      <c r="BG28" s="22"/>
      <c r="BH28" s="22"/>
      <c r="BI28" s="22"/>
      <c r="BJ28" s="22"/>
      <c r="BK28" s="104"/>
      <c r="BL28" s="104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11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</row>
    <row r="29" spans="1:107" x14ac:dyDescent="0.35">
      <c r="A29" s="106"/>
      <c r="B29" s="98"/>
      <c r="C29" s="98"/>
      <c r="D29" s="22"/>
      <c r="E29" s="98"/>
      <c r="F29" s="22"/>
      <c r="G29" s="22"/>
      <c r="H29" s="106"/>
      <c r="I29" s="106"/>
      <c r="J29" s="22"/>
      <c r="K29" s="22"/>
      <c r="L29" s="22"/>
      <c r="M29" s="22"/>
      <c r="N29" s="22"/>
      <c r="O29" s="22"/>
      <c r="P29" s="1228"/>
      <c r="Q29" s="1229"/>
      <c r="R29" s="98"/>
      <c r="S29" s="98"/>
      <c r="T29" s="22"/>
      <c r="U29" s="98"/>
      <c r="V29" s="22"/>
      <c r="W29" s="22"/>
      <c r="X29" s="1228"/>
      <c r="Y29" s="1229"/>
      <c r="Z29" s="22"/>
      <c r="AA29" s="1228"/>
      <c r="AB29" s="1229"/>
      <c r="AC29" s="22"/>
      <c r="AD29" s="22"/>
      <c r="AE29" s="22"/>
      <c r="AF29" s="22"/>
      <c r="AG29" s="22"/>
      <c r="AH29" s="22"/>
      <c r="AI29" s="22"/>
      <c r="AJ29" s="1228"/>
      <c r="AK29" s="1229"/>
      <c r="AL29" s="22"/>
      <c r="AM29" s="22"/>
      <c r="AN29" s="22"/>
      <c r="AO29" s="22"/>
      <c r="AP29" s="22"/>
      <c r="AQ29" s="104"/>
      <c r="AR29" s="29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11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</row>
    <row r="30" spans="1:107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9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106"/>
      <c r="BF30" s="106"/>
      <c r="BG30" s="22"/>
      <c r="BH30" s="22"/>
      <c r="BI30" s="22"/>
      <c r="BJ30" s="22"/>
      <c r="BK30" s="106"/>
      <c r="BL30" s="106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</row>
    <row r="31" spans="1:107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9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106"/>
      <c r="BF31" s="106"/>
      <c r="BG31" s="22"/>
      <c r="BH31" s="22"/>
      <c r="BI31" s="22"/>
      <c r="BJ31" s="22"/>
      <c r="BK31" s="106"/>
      <c r="BL31" s="106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</row>
    <row r="32" spans="1:107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106"/>
      <c r="AI32" s="106"/>
      <c r="AJ32" s="22"/>
      <c r="AK32" s="22"/>
      <c r="AL32" s="106"/>
      <c r="AM32" s="106"/>
      <c r="AN32" s="22"/>
      <c r="AO32" s="22"/>
      <c r="AP32" s="106"/>
      <c r="AQ32" s="106"/>
      <c r="AR32" s="29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106"/>
      <c r="BF32" s="106"/>
      <c r="BG32" s="22"/>
      <c r="BH32" s="22"/>
      <c r="BI32" s="22"/>
      <c r="BJ32" s="22"/>
      <c r="BK32" s="106"/>
      <c r="BL32" s="106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</row>
    <row r="33" spans="1:107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106"/>
      <c r="AI33" s="106"/>
      <c r="AJ33" s="22"/>
      <c r="AK33" s="22"/>
      <c r="AL33" s="106"/>
      <c r="AM33" s="106"/>
      <c r="AN33" s="22"/>
      <c r="AO33" s="57">
        <v>1</v>
      </c>
      <c r="AP33" s="1029" t="s">
        <v>140</v>
      </c>
      <c r="AQ33" s="1030"/>
      <c r="AR33" s="1030"/>
      <c r="AS33" s="1030"/>
      <c r="AT33" s="1030"/>
      <c r="AU33" s="1030"/>
      <c r="AV33" s="1031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</row>
    <row r="34" spans="1:107" ht="15" customHeight="1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7"/>
      <c r="X34" s="6"/>
      <c r="Y34" s="6"/>
      <c r="Z34" s="6"/>
      <c r="AA34" s="6"/>
      <c r="AB34" s="6"/>
      <c r="AC34" s="6"/>
      <c r="AD34" s="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1246" t="s">
        <v>141</v>
      </c>
      <c r="AP34" s="1246"/>
      <c r="AQ34" s="1246"/>
      <c r="AR34" s="1246"/>
      <c r="AS34" s="1246"/>
      <c r="AT34" s="1246"/>
      <c r="AU34" s="1246"/>
      <c r="AV34" s="1246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</row>
    <row r="35" spans="1:107" ht="15" customHeight="1" x14ac:dyDescent="0.35">
      <c r="A35" s="22"/>
      <c r="B35" s="22"/>
      <c r="C35" s="22"/>
      <c r="D35" s="22"/>
      <c r="E35" s="22"/>
      <c r="F35" s="22"/>
      <c r="G35" s="22"/>
      <c r="H35" s="104"/>
      <c r="I35" s="104"/>
      <c r="J35" s="22"/>
      <c r="K35" s="22"/>
      <c r="L35" s="22"/>
      <c r="M35" s="22"/>
      <c r="N35" s="22"/>
      <c r="O35" s="22"/>
      <c r="P35" s="22"/>
      <c r="Q35" s="22"/>
      <c r="R35" s="22"/>
      <c r="S35" s="104"/>
      <c r="T35" s="104"/>
      <c r="U35" s="22"/>
      <c r="V35" s="22"/>
      <c r="W35" s="37"/>
      <c r="X35" s="37"/>
      <c r="Y35" s="37"/>
      <c r="Z35" s="37"/>
      <c r="AA35" s="37"/>
      <c r="AB35" s="37"/>
      <c r="AC35" s="37"/>
      <c r="AD35" s="37"/>
      <c r="AE35" s="22"/>
      <c r="AF35" s="22"/>
      <c r="AG35" s="22"/>
      <c r="AH35" s="22"/>
      <c r="AI35" s="22"/>
      <c r="AJ35" s="22"/>
      <c r="AK35" s="22"/>
      <c r="AL35" s="22"/>
      <c r="AM35" s="104"/>
      <c r="AN35" s="104"/>
      <c r="AO35" s="22"/>
      <c r="AP35" s="22"/>
      <c r="AQ35" s="22"/>
      <c r="AR35" s="32"/>
      <c r="AS35" s="22"/>
      <c r="AT35" s="22"/>
      <c r="AU35" s="22"/>
      <c r="AV35" s="104"/>
      <c r="AW35" s="104"/>
      <c r="AX35" s="104"/>
      <c r="AY35" s="22"/>
      <c r="AZ35" s="104"/>
      <c r="BA35" s="104"/>
      <c r="BB35" s="22"/>
      <c r="BC35" s="22"/>
      <c r="BD35" s="22"/>
      <c r="BE35" s="22"/>
      <c r="BF35" s="22"/>
      <c r="BG35" s="22"/>
      <c r="BH35" s="22"/>
      <c r="BI35" s="22"/>
      <c r="BJ35" s="104"/>
      <c r="BK35" s="104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104"/>
      <c r="BW35" s="104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</row>
    <row r="36" spans="1:107" x14ac:dyDescent="0.35">
      <c r="A36" s="22"/>
      <c r="B36" s="22"/>
      <c r="C36" s="22"/>
      <c r="D36" s="22"/>
      <c r="E36" s="22"/>
      <c r="F36" s="22"/>
      <c r="G36" s="22"/>
      <c r="H36" s="104"/>
      <c r="I36" s="104"/>
      <c r="J36" s="22"/>
      <c r="K36" s="22"/>
      <c r="L36" s="22"/>
      <c r="M36" s="22"/>
      <c r="N36" s="22"/>
      <c r="O36" s="22"/>
      <c r="P36" s="22"/>
      <c r="Q36" s="22"/>
      <c r="R36" s="22"/>
      <c r="S36" s="104"/>
      <c r="T36" s="104"/>
      <c r="U36" s="22"/>
      <c r="V36" s="22"/>
      <c r="W36" s="22"/>
      <c r="X36" s="22"/>
      <c r="Y36" s="22"/>
      <c r="Z36" s="22"/>
      <c r="AA36" s="22"/>
      <c r="AB36" s="22"/>
      <c r="AC36" s="22"/>
      <c r="AD36" s="104"/>
      <c r="AE36" s="22"/>
      <c r="AF36" s="22"/>
      <c r="AG36" s="22"/>
      <c r="AH36" s="22"/>
      <c r="AI36" s="22"/>
      <c r="AJ36" s="22"/>
      <c r="AK36" s="22"/>
      <c r="AL36" s="22"/>
      <c r="AM36" s="104"/>
      <c r="AN36" s="104"/>
      <c r="AO36" s="57">
        <v>1</v>
      </c>
      <c r="AP36" s="1029" t="s">
        <v>142</v>
      </c>
      <c r="AQ36" s="1030"/>
      <c r="AR36" s="1030"/>
      <c r="AS36" s="1030"/>
      <c r="AT36" s="1030"/>
      <c r="AU36" s="1030"/>
      <c r="AV36" s="1031"/>
      <c r="AW36" s="104"/>
      <c r="AX36" s="104"/>
      <c r="AY36" s="22"/>
      <c r="AZ36" s="104"/>
      <c r="BA36" s="104"/>
      <c r="BB36" s="22"/>
      <c r="BC36" s="22"/>
      <c r="BD36" s="22"/>
      <c r="BE36" s="22"/>
      <c r="BF36" s="22"/>
      <c r="BG36" s="22"/>
      <c r="BH36" s="22"/>
      <c r="BI36" s="22"/>
      <c r="BJ36" s="104"/>
      <c r="BK36" s="104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104"/>
      <c r="BW36" s="104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</row>
    <row r="37" spans="1:107" ht="15" customHeight="1" x14ac:dyDescent="0.35">
      <c r="A37" s="22"/>
      <c r="B37" s="22"/>
      <c r="C37" s="22"/>
      <c r="D37" s="22"/>
      <c r="E37" s="22"/>
      <c r="F37" s="22"/>
      <c r="G37" s="22"/>
      <c r="H37" s="104"/>
      <c r="I37" s="104"/>
      <c r="J37" s="22"/>
      <c r="K37" s="22"/>
      <c r="L37" s="22"/>
      <c r="M37" s="22"/>
      <c r="N37" s="22"/>
      <c r="O37" s="22"/>
      <c r="P37" s="22"/>
      <c r="Q37" s="22"/>
      <c r="R37" s="22"/>
      <c r="S37" s="104"/>
      <c r="T37" s="104"/>
      <c r="U37" s="22"/>
      <c r="V37" s="22"/>
      <c r="W37" s="7"/>
      <c r="X37" s="6"/>
      <c r="Y37" s="6"/>
      <c r="Z37" s="6"/>
      <c r="AA37" s="6"/>
      <c r="AB37" s="6"/>
      <c r="AC37" s="6"/>
      <c r="AD37" s="6"/>
      <c r="AE37" s="22"/>
      <c r="AF37" s="22"/>
      <c r="AG37" s="22"/>
      <c r="AH37" s="22"/>
      <c r="AI37" s="22"/>
      <c r="AJ37" s="22"/>
      <c r="AK37" s="22"/>
      <c r="AL37" s="22"/>
      <c r="AM37" s="104"/>
      <c r="AN37" s="104"/>
      <c r="AO37" s="1123" t="s">
        <v>143</v>
      </c>
      <c r="AP37" s="1124"/>
      <c r="AQ37" s="1124"/>
      <c r="AR37" s="1124"/>
      <c r="AS37" s="1124"/>
      <c r="AT37" s="1124"/>
      <c r="AU37" s="1124"/>
      <c r="AV37" s="1125"/>
      <c r="AW37" s="104"/>
      <c r="AX37" s="104"/>
      <c r="AY37" s="22"/>
      <c r="AZ37" s="104"/>
      <c r="BA37" s="104"/>
      <c r="BB37" s="22"/>
      <c r="BC37" s="22"/>
      <c r="BD37" s="22"/>
      <c r="BE37" s="22"/>
      <c r="BF37" s="22"/>
      <c r="BG37" s="22"/>
      <c r="BH37" s="22"/>
      <c r="BI37" s="22"/>
      <c r="BJ37" s="104"/>
      <c r="BK37" s="104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104"/>
      <c r="BW37" s="104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</row>
    <row r="38" spans="1:107" ht="15" customHeight="1" x14ac:dyDescent="0.35">
      <c r="A38" s="22"/>
      <c r="B38" s="22"/>
      <c r="C38" s="22"/>
      <c r="D38" s="22"/>
      <c r="E38" s="22"/>
      <c r="F38" s="22"/>
      <c r="G38" s="22"/>
      <c r="H38" s="104"/>
      <c r="I38" s="104"/>
      <c r="J38" s="22"/>
      <c r="K38" s="22"/>
      <c r="L38" s="22"/>
      <c r="M38" s="22"/>
      <c r="N38" s="22"/>
      <c r="O38" s="22"/>
      <c r="P38" s="22"/>
      <c r="Q38" s="22"/>
      <c r="R38" s="22"/>
      <c r="S38" s="104"/>
      <c r="T38" s="104"/>
      <c r="U38" s="22"/>
      <c r="V38" s="22"/>
      <c r="W38" s="7"/>
      <c r="X38" s="6"/>
      <c r="Y38" s="6"/>
      <c r="Z38" s="6"/>
      <c r="AA38" s="6"/>
      <c r="AB38" s="6"/>
      <c r="AC38" s="6"/>
      <c r="AD38" s="6"/>
      <c r="AE38" s="22"/>
      <c r="AF38" s="22"/>
      <c r="AG38" s="22"/>
      <c r="AH38" s="22"/>
      <c r="AI38" s="22"/>
      <c r="AJ38" s="22"/>
      <c r="AK38" s="22"/>
      <c r="AL38" s="22"/>
      <c r="AM38" s="104"/>
      <c r="AN38" s="104"/>
      <c r="AO38" s="34"/>
      <c r="AP38" s="34"/>
      <c r="AQ38" s="34"/>
      <c r="AR38" s="126"/>
      <c r="AS38" s="34"/>
      <c r="AT38" s="34"/>
      <c r="AU38" s="34"/>
      <c r="AV38" s="34"/>
      <c r="AW38" s="104"/>
      <c r="AX38" s="104"/>
      <c r="AY38" s="22"/>
      <c r="AZ38" s="104"/>
      <c r="BA38" s="104"/>
      <c r="BB38" s="22"/>
      <c r="BC38" s="22"/>
      <c r="BD38" s="22"/>
      <c r="BE38" s="22"/>
      <c r="BF38" s="22"/>
      <c r="BG38" s="22"/>
      <c r="BH38" s="22"/>
      <c r="BI38" s="22"/>
      <c r="BJ38" s="104"/>
      <c r="BK38" s="104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104"/>
      <c r="BW38" s="104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</row>
    <row r="39" spans="1:107" ht="15" customHeight="1" x14ac:dyDescent="0.35">
      <c r="A39" s="22"/>
      <c r="B39" s="22"/>
      <c r="C39" s="22"/>
      <c r="D39" s="22"/>
      <c r="E39" s="22"/>
      <c r="F39" s="22"/>
      <c r="G39" s="22"/>
      <c r="H39" s="104"/>
      <c r="I39" s="104"/>
      <c r="J39" s="22"/>
      <c r="K39" s="22"/>
      <c r="L39" s="22"/>
      <c r="M39" s="22"/>
      <c r="N39" s="22"/>
      <c r="O39" s="22"/>
      <c r="P39" s="22"/>
      <c r="Q39" s="22"/>
      <c r="R39" s="22"/>
      <c r="S39" s="104"/>
      <c r="T39" s="104"/>
      <c r="U39" s="22"/>
      <c r="V39" s="33"/>
      <c r="W39" s="11"/>
      <c r="X39" s="11"/>
      <c r="Y39" s="11"/>
      <c r="Z39" s="11"/>
      <c r="AA39" s="11"/>
      <c r="AB39" s="11"/>
      <c r="AC39" s="11"/>
      <c r="AD39" s="11"/>
      <c r="AE39" s="27"/>
      <c r="AF39" s="27"/>
      <c r="AG39" s="27"/>
      <c r="AH39" s="27"/>
      <c r="AI39" s="27"/>
      <c r="AJ39" s="27"/>
      <c r="AK39" s="27"/>
      <c r="AL39" s="27"/>
      <c r="AM39" s="121"/>
      <c r="AN39" s="121"/>
      <c r="AO39" s="27"/>
      <c r="AP39" s="27"/>
      <c r="AQ39" s="27"/>
      <c r="AR39" s="28"/>
      <c r="AS39" s="33"/>
      <c r="AT39" s="27"/>
      <c r="AU39" s="27"/>
      <c r="AV39" s="27"/>
      <c r="AW39" s="121"/>
      <c r="AX39" s="121"/>
      <c r="AY39" s="27"/>
      <c r="AZ39" s="121"/>
      <c r="BA39" s="121"/>
      <c r="BB39" s="27"/>
      <c r="BC39" s="27"/>
      <c r="BD39" s="27"/>
      <c r="BE39" s="27"/>
      <c r="BF39" s="27"/>
      <c r="BG39" s="27"/>
      <c r="BH39" s="27"/>
      <c r="BI39" s="27"/>
      <c r="BJ39" s="121"/>
      <c r="BK39" s="121"/>
      <c r="BL39" s="27"/>
      <c r="BM39" s="27"/>
      <c r="BN39" s="27"/>
      <c r="BO39" s="28"/>
      <c r="BP39" s="22"/>
      <c r="BQ39" s="22"/>
      <c r="BR39" s="22"/>
      <c r="BS39" s="22"/>
      <c r="BT39" s="22"/>
      <c r="BU39" s="22"/>
      <c r="BV39" s="104"/>
      <c r="BW39" s="104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</row>
    <row r="40" spans="1:107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04"/>
      <c r="P40" s="104"/>
      <c r="Q40" s="22"/>
      <c r="R40" s="22"/>
      <c r="S40" s="22"/>
      <c r="T40" s="1241" t="s">
        <v>378</v>
      </c>
      <c r="U40" s="1242"/>
      <c r="V40" s="1242"/>
      <c r="W40" s="1243"/>
      <c r="X40" s="22"/>
      <c r="Y40" s="22"/>
      <c r="Z40" s="104"/>
      <c r="AA40" s="104"/>
      <c r="AB40" s="22"/>
      <c r="AC40" s="22"/>
      <c r="AD40" s="22"/>
      <c r="AE40" s="22"/>
      <c r="AF40" s="1244"/>
      <c r="AG40" s="1244"/>
      <c r="AH40" s="1244"/>
      <c r="AI40" s="1244"/>
      <c r="AJ40" s="22"/>
      <c r="AK40" s="22"/>
      <c r="AL40" s="22"/>
      <c r="AM40" s="104"/>
      <c r="AN40" s="104"/>
      <c r="AO40" s="22"/>
      <c r="AP40" s="22"/>
      <c r="AQ40" s="1241" t="s">
        <v>379</v>
      </c>
      <c r="AR40" s="1242"/>
      <c r="AS40" s="1242"/>
      <c r="AT40" s="1243"/>
      <c r="AU40" s="22"/>
      <c r="AV40" s="22"/>
      <c r="AW40" s="104"/>
      <c r="AX40" s="104"/>
      <c r="AY40" s="22"/>
      <c r="AZ40" s="104"/>
      <c r="BA40" s="104"/>
      <c r="BB40" s="22"/>
      <c r="BC40" s="22"/>
      <c r="BD40" s="22"/>
      <c r="BE40" s="22"/>
      <c r="BF40" s="22"/>
      <c r="BG40" s="22"/>
      <c r="BH40" s="22"/>
      <c r="BI40" s="104"/>
      <c r="BJ40" s="104"/>
      <c r="BK40" s="22"/>
      <c r="BL40" s="22"/>
      <c r="BM40" s="22"/>
      <c r="BN40" s="1241" t="s">
        <v>252</v>
      </c>
      <c r="BO40" s="1242"/>
      <c r="BP40" s="1242"/>
      <c r="BQ40" s="1243"/>
      <c r="BR40" s="22"/>
      <c r="BS40" s="22"/>
      <c r="BT40" s="104"/>
      <c r="BU40" s="104"/>
      <c r="BV40" s="22"/>
      <c r="BW40" s="22"/>
      <c r="BX40" s="22"/>
      <c r="BY40" s="22"/>
      <c r="BZ40" s="1244"/>
      <c r="CA40" s="1244"/>
      <c r="CB40" s="1244"/>
      <c r="CC40" s="1244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</row>
    <row r="41" spans="1:107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04"/>
      <c r="P41" s="104"/>
      <c r="Q41" s="22"/>
      <c r="R41" s="22"/>
      <c r="S41" s="22"/>
      <c r="T41" s="22"/>
      <c r="U41" s="28"/>
      <c r="V41" s="22"/>
      <c r="W41" s="22"/>
      <c r="X41" s="22"/>
      <c r="Y41" s="22"/>
      <c r="Z41" s="104"/>
      <c r="AA41" s="104"/>
      <c r="AB41" s="22"/>
      <c r="AC41" s="22"/>
      <c r="AD41" s="22"/>
      <c r="AE41" s="22"/>
      <c r="AF41" s="22"/>
      <c r="AG41" s="22"/>
      <c r="AH41" s="22"/>
      <c r="AI41" s="22"/>
      <c r="AJ41" s="22"/>
      <c r="AK41" s="125"/>
      <c r="AL41" s="125"/>
      <c r="AM41" s="125"/>
      <c r="AN41" s="125"/>
      <c r="AO41" s="22"/>
      <c r="AP41" s="22"/>
      <c r="AQ41" s="22"/>
      <c r="AR41" s="28"/>
      <c r="AS41" s="104"/>
      <c r="AT41" s="104"/>
      <c r="AU41" s="22"/>
      <c r="AV41" s="22"/>
      <c r="AW41" s="104"/>
      <c r="AX41" s="104"/>
      <c r="AY41" s="22"/>
      <c r="AZ41" s="104"/>
      <c r="BA41" s="104"/>
      <c r="BB41" s="22"/>
      <c r="BC41" s="22"/>
      <c r="BD41" s="22"/>
      <c r="BE41" s="22"/>
      <c r="BF41" s="22"/>
      <c r="BG41" s="22"/>
      <c r="BH41" s="22"/>
      <c r="BI41" s="104"/>
      <c r="BJ41" s="104"/>
      <c r="BK41" s="22"/>
      <c r="BL41" s="22"/>
      <c r="BM41" s="22"/>
      <c r="BN41" s="22"/>
      <c r="BO41" s="28"/>
      <c r="BP41" s="22"/>
      <c r="BQ41" s="22"/>
      <c r="BR41" s="22"/>
      <c r="BS41" s="22"/>
      <c r="BT41" s="104"/>
      <c r="BU41" s="104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</row>
    <row r="42" spans="1:107" x14ac:dyDescent="0.35">
      <c r="A42" s="22"/>
      <c r="B42" s="22"/>
      <c r="C42" s="22"/>
      <c r="D42" s="22"/>
      <c r="E42" s="22"/>
      <c r="F42" s="22"/>
      <c r="G42" s="22"/>
      <c r="H42" s="6"/>
      <c r="I42" s="6"/>
      <c r="J42" s="6"/>
      <c r="K42" s="6"/>
      <c r="L42" s="124"/>
      <c r="M42" s="15"/>
      <c r="N42" s="15"/>
      <c r="O42" s="121"/>
      <c r="P42" s="121"/>
      <c r="Q42" s="27"/>
      <c r="R42" s="27"/>
      <c r="S42" s="27"/>
      <c r="T42" s="27"/>
      <c r="U42" s="28"/>
      <c r="V42" s="33"/>
      <c r="W42" s="27"/>
      <c r="X42" s="27"/>
      <c r="Y42" s="27"/>
      <c r="Z42" s="121"/>
      <c r="AA42" s="121"/>
      <c r="AB42" s="27"/>
      <c r="AC42" s="27"/>
      <c r="AD42" s="27"/>
      <c r="AE42" s="28"/>
      <c r="AF42" s="22"/>
      <c r="AG42" s="22"/>
      <c r="AH42" s="22"/>
      <c r="AI42" s="22"/>
      <c r="AJ42" s="22"/>
      <c r="AK42" s="22"/>
      <c r="AL42" s="22"/>
      <c r="AM42" s="104"/>
      <c r="AN42" s="104"/>
      <c r="AO42" s="22"/>
      <c r="AP42" s="22"/>
      <c r="AQ42" s="22"/>
      <c r="AR42" s="29"/>
      <c r="AS42" s="104"/>
      <c r="AT42" s="104"/>
      <c r="AU42" s="22"/>
      <c r="AV42" s="22"/>
      <c r="AW42" s="104"/>
      <c r="AX42" s="104"/>
      <c r="AY42" s="22"/>
      <c r="AZ42" s="104"/>
      <c r="BA42" s="104"/>
      <c r="BB42" s="6"/>
      <c r="BC42" s="6"/>
      <c r="BD42" s="6"/>
      <c r="BE42" s="6"/>
      <c r="BF42" s="124"/>
      <c r="BG42" s="15"/>
      <c r="BH42" s="15"/>
      <c r="BI42" s="121"/>
      <c r="BJ42" s="121"/>
      <c r="BK42" s="27"/>
      <c r="BL42" s="27"/>
      <c r="BM42" s="27"/>
      <c r="BN42" s="27"/>
      <c r="BO42" s="28"/>
      <c r="BP42" s="33"/>
      <c r="BQ42" s="27"/>
      <c r="BR42" s="27"/>
      <c r="BS42" s="27"/>
      <c r="BT42" s="121"/>
      <c r="BU42" s="121"/>
      <c r="BV42" s="27"/>
      <c r="BW42" s="27"/>
      <c r="BX42" s="27"/>
      <c r="BY42" s="28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</row>
    <row r="43" spans="1:107" x14ac:dyDescent="0.35">
      <c r="A43" s="6"/>
      <c r="B43" s="6"/>
      <c r="C43" s="6"/>
      <c r="D43" s="6"/>
      <c r="E43" s="6"/>
      <c r="F43" s="6"/>
      <c r="G43" s="6"/>
      <c r="H43" s="45"/>
      <c r="I43" s="45"/>
      <c r="J43" s="45"/>
      <c r="K43" s="45"/>
      <c r="L43" s="59"/>
      <c r="M43" s="45"/>
      <c r="N43" s="45"/>
      <c r="O43" s="104"/>
      <c r="P43" s="104"/>
      <c r="Q43" s="22"/>
      <c r="R43" s="22"/>
      <c r="S43" s="22"/>
      <c r="T43" s="22"/>
      <c r="U43" s="29"/>
      <c r="V43" s="26"/>
      <c r="W43" s="22"/>
      <c r="X43" s="22"/>
      <c r="Y43" s="22"/>
      <c r="Z43" s="104"/>
      <c r="AA43" s="104"/>
      <c r="AB43" s="22"/>
      <c r="AC43" s="22"/>
      <c r="AD43" s="22"/>
      <c r="AE43" s="29"/>
      <c r="AF43" s="22"/>
      <c r="AG43" s="22"/>
      <c r="AH43" s="22"/>
      <c r="AI43" s="22"/>
      <c r="AJ43" s="22"/>
      <c r="AK43" s="22"/>
      <c r="AL43" s="22"/>
      <c r="AM43" s="22"/>
      <c r="AN43" s="104"/>
      <c r="AO43" s="22"/>
      <c r="AP43" s="22"/>
      <c r="AQ43" s="22"/>
      <c r="AR43" s="30"/>
      <c r="AS43" s="104"/>
      <c r="AT43" s="104"/>
      <c r="AU43" s="22"/>
      <c r="AV43" s="22"/>
      <c r="AW43" s="104"/>
      <c r="AX43" s="104"/>
      <c r="AY43" s="22"/>
      <c r="AZ43" s="104"/>
      <c r="BA43" s="104"/>
      <c r="BB43" s="45"/>
      <c r="BC43" s="45"/>
      <c r="BD43" s="45"/>
      <c r="BE43" s="45"/>
      <c r="BF43" s="59"/>
      <c r="BG43" s="45"/>
      <c r="BH43" s="45"/>
      <c r="BI43" s="104"/>
      <c r="BJ43" s="104"/>
      <c r="BK43" s="22"/>
      <c r="BL43" s="22"/>
      <c r="BM43" s="22"/>
      <c r="BN43" s="22"/>
      <c r="BO43" s="29"/>
      <c r="BP43" s="26"/>
      <c r="BQ43" s="22"/>
      <c r="BR43" s="22"/>
      <c r="BS43" s="22"/>
      <c r="BT43" s="104"/>
      <c r="BU43" s="104"/>
      <c r="BV43" s="22"/>
      <c r="BW43" s="22"/>
      <c r="BX43" s="22"/>
      <c r="BY43" s="29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</row>
    <row r="44" spans="1:107" x14ac:dyDescent="0.35">
      <c r="A44" s="45"/>
      <c r="B44" s="45"/>
      <c r="C44" s="45"/>
      <c r="D44" s="45"/>
      <c r="E44" s="45"/>
      <c r="F44" s="45"/>
      <c r="G44" s="45"/>
      <c r="H44" s="57">
        <v>0.5</v>
      </c>
      <c r="I44" s="1029" t="s">
        <v>253</v>
      </c>
      <c r="J44" s="1030"/>
      <c r="K44" s="1030"/>
      <c r="L44" s="1030"/>
      <c r="M44" s="1030"/>
      <c r="N44" s="1030"/>
      <c r="O44" s="1031"/>
      <c r="P44" s="22"/>
      <c r="Q44" s="22"/>
      <c r="R44" s="57">
        <v>0.5</v>
      </c>
      <c r="S44" s="1029" t="s">
        <v>380</v>
      </c>
      <c r="T44" s="1030"/>
      <c r="U44" s="1030"/>
      <c r="V44" s="1030"/>
      <c r="W44" s="1030"/>
      <c r="X44" s="1030"/>
      <c r="Y44" s="1031"/>
      <c r="Z44" s="22"/>
      <c r="AA44" s="22"/>
      <c r="AB44" s="57">
        <v>0.5</v>
      </c>
      <c r="AC44" s="1029" t="s">
        <v>147</v>
      </c>
      <c r="AD44" s="1030"/>
      <c r="AE44" s="1030"/>
      <c r="AF44" s="1030"/>
      <c r="AG44" s="1030"/>
      <c r="AH44" s="1030"/>
      <c r="AI44" s="1031"/>
      <c r="AJ44" s="22"/>
      <c r="AK44" s="22"/>
      <c r="AL44" s="22"/>
      <c r="AM44" s="22"/>
      <c r="AN44" s="104"/>
      <c r="AO44" s="57"/>
      <c r="AP44" s="1029" t="s">
        <v>253</v>
      </c>
      <c r="AQ44" s="1030"/>
      <c r="AR44" s="1030"/>
      <c r="AS44" s="1030"/>
      <c r="AT44" s="1030"/>
      <c r="AU44" s="1030"/>
      <c r="AV44" s="1031"/>
      <c r="AW44" s="104"/>
      <c r="AX44" s="104"/>
      <c r="AY44" s="22"/>
      <c r="AZ44" s="104"/>
      <c r="BA44" s="104"/>
      <c r="BB44" s="57">
        <v>0.5</v>
      </c>
      <c r="BC44" s="1029" t="s">
        <v>253</v>
      </c>
      <c r="BD44" s="1030"/>
      <c r="BE44" s="1030"/>
      <c r="BF44" s="1030"/>
      <c r="BG44" s="1030"/>
      <c r="BH44" s="1030"/>
      <c r="BI44" s="1031"/>
      <c r="BJ44" s="22"/>
      <c r="BK44" s="22"/>
      <c r="BL44" s="57">
        <v>0.5</v>
      </c>
      <c r="BM44" s="1029" t="s">
        <v>380</v>
      </c>
      <c r="BN44" s="1030"/>
      <c r="BO44" s="1030"/>
      <c r="BP44" s="1030"/>
      <c r="BQ44" s="1030"/>
      <c r="BR44" s="1030"/>
      <c r="BS44" s="1031"/>
      <c r="BT44" s="22"/>
      <c r="BU44" s="22"/>
      <c r="BV44" s="57">
        <v>0.5</v>
      </c>
      <c r="BW44" s="1029" t="s">
        <v>147</v>
      </c>
      <c r="BX44" s="1030"/>
      <c r="BY44" s="1030"/>
      <c r="BZ44" s="1030"/>
      <c r="CA44" s="1030"/>
      <c r="CB44" s="1030"/>
      <c r="CC44" s="1031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</row>
    <row r="45" spans="1:107" x14ac:dyDescent="0.35">
      <c r="A45" s="7"/>
      <c r="B45" s="6"/>
      <c r="C45" s="6"/>
      <c r="D45" s="6"/>
      <c r="E45" s="6"/>
      <c r="F45" s="6"/>
      <c r="G45" s="6"/>
      <c r="H45" s="1086" t="s">
        <v>254</v>
      </c>
      <c r="I45" s="1087"/>
      <c r="J45" s="1087"/>
      <c r="K45" s="1087"/>
      <c r="L45" s="1087"/>
      <c r="M45" s="1087"/>
      <c r="N45" s="1087"/>
      <c r="O45" s="1088"/>
      <c r="P45" s="106"/>
      <c r="Q45" s="22"/>
      <c r="R45" s="1196" t="s">
        <v>149</v>
      </c>
      <c r="S45" s="1197"/>
      <c r="T45" s="1197"/>
      <c r="U45" s="1197"/>
      <c r="V45" s="1197"/>
      <c r="W45" s="1197"/>
      <c r="X45" s="1197"/>
      <c r="Y45" s="1198"/>
      <c r="Z45" s="105"/>
      <c r="AA45" s="106"/>
      <c r="AB45" s="1086" t="s">
        <v>150</v>
      </c>
      <c r="AC45" s="1087"/>
      <c r="AD45" s="1087"/>
      <c r="AE45" s="1087"/>
      <c r="AF45" s="1087"/>
      <c r="AG45" s="1087"/>
      <c r="AH45" s="1087"/>
      <c r="AI45" s="1088"/>
      <c r="AJ45" s="22"/>
      <c r="AK45" s="22"/>
      <c r="AL45" s="22"/>
      <c r="AM45" s="22"/>
      <c r="AN45" s="6"/>
      <c r="AO45" s="1086" t="s">
        <v>254</v>
      </c>
      <c r="AP45" s="1087"/>
      <c r="AQ45" s="1087"/>
      <c r="AR45" s="1087"/>
      <c r="AS45" s="1087"/>
      <c r="AT45" s="1087"/>
      <c r="AU45" s="1087"/>
      <c r="AV45" s="1088"/>
      <c r="AW45" s="22"/>
      <c r="AX45" s="22"/>
      <c r="AY45" s="22"/>
      <c r="AZ45" s="22"/>
      <c r="BA45" s="22"/>
      <c r="BB45" s="1086" t="s">
        <v>254</v>
      </c>
      <c r="BC45" s="1087"/>
      <c r="BD45" s="1087"/>
      <c r="BE45" s="1087"/>
      <c r="BF45" s="1087"/>
      <c r="BG45" s="1087"/>
      <c r="BH45" s="1087"/>
      <c r="BI45" s="1088"/>
      <c r="BJ45" s="106"/>
      <c r="BK45" s="22"/>
      <c r="BL45" s="1196" t="s">
        <v>149</v>
      </c>
      <c r="BM45" s="1197"/>
      <c r="BN45" s="1197"/>
      <c r="BO45" s="1197"/>
      <c r="BP45" s="1197"/>
      <c r="BQ45" s="1197"/>
      <c r="BR45" s="1197"/>
      <c r="BS45" s="1198"/>
      <c r="BT45" s="105"/>
      <c r="BU45" s="106"/>
      <c r="BV45" s="1086" t="s">
        <v>150</v>
      </c>
      <c r="BW45" s="1087"/>
      <c r="BX45" s="1087"/>
      <c r="BY45" s="1087"/>
      <c r="BZ45" s="1087"/>
      <c r="CA45" s="1087"/>
      <c r="CB45" s="1087"/>
      <c r="CC45" s="1088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</row>
    <row r="46" spans="1:107" ht="15" customHeight="1" x14ac:dyDescent="0.6">
      <c r="A46" s="37"/>
      <c r="B46" s="37"/>
      <c r="C46" s="37"/>
      <c r="D46" s="37"/>
      <c r="E46" s="37"/>
      <c r="F46" s="37"/>
      <c r="G46" s="37"/>
      <c r="H46" s="22"/>
      <c r="I46" s="22"/>
      <c r="J46" s="22"/>
      <c r="K46" s="32"/>
      <c r="L46" s="22"/>
      <c r="M46" s="22"/>
      <c r="N46" s="45"/>
      <c r="O46" s="106"/>
      <c r="P46" s="106"/>
      <c r="Q46" s="22"/>
      <c r="R46" s="22"/>
      <c r="S46" s="22"/>
      <c r="T46" s="22"/>
      <c r="U46" s="32"/>
      <c r="V46" s="22"/>
      <c r="W46" s="22"/>
      <c r="X46" s="22"/>
      <c r="Y46" s="22"/>
      <c r="Z46" s="106"/>
      <c r="AA46" s="106"/>
      <c r="AB46" s="22"/>
      <c r="AC46" s="22"/>
      <c r="AD46" s="30"/>
      <c r="AE46" s="22"/>
      <c r="AF46" s="22"/>
      <c r="AG46" s="30"/>
      <c r="AH46" s="22"/>
      <c r="AI46" s="22"/>
      <c r="AJ46" s="22"/>
      <c r="AK46" s="22"/>
      <c r="AL46" s="22"/>
      <c r="AM46" s="22"/>
      <c r="AN46" s="37"/>
      <c r="AO46" s="22"/>
      <c r="AP46" s="30"/>
      <c r="AQ46" s="22"/>
      <c r="AR46" s="22"/>
      <c r="AS46" s="30"/>
      <c r="AT46" s="22"/>
      <c r="AU46" s="22"/>
      <c r="AV46" s="22"/>
      <c r="AW46" s="105"/>
      <c r="AX46" s="106"/>
      <c r="AY46" s="22"/>
      <c r="AZ46" s="105"/>
      <c r="BA46" s="106"/>
      <c r="BB46" s="22"/>
      <c r="BC46" s="22"/>
      <c r="BD46" s="22"/>
      <c r="BE46" s="32"/>
      <c r="BF46" s="22"/>
      <c r="BG46" s="22"/>
      <c r="BH46" s="45"/>
      <c r="BI46" s="106"/>
      <c r="BJ46" s="106"/>
      <c r="BK46" s="22"/>
      <c r="BL46" s="22"/>
      <c r="BM46" s="22"/>
      <c r="BN46" s="22"/>
      <c r="BO46" s="32"/>
      <c r="BP46" s="22"/>
      <c r="BQ46" s="22"/>
      <c r="BR46" s="22"/>
      <c r="BS46" s="22"/>
      <c r="BT46" s="106"/>
      <c r="BU46" s="106"/>
      <c r="BV46" s="22"/>
      <c r="BW46" s="22"/>
      <c r="BX46" s="30"/>
      <c r="BY46" s="22"/>
      <c r="BZ46" s="22"/>
      <c r="CA46" s="30"/>
      <c r="CB46" s="22"/>
      <c r="CC46" s="22"/>
      <c r="CD46" s="22"/>
      <c r="CE46" s="102"/>
      <c r="CF46" s="102"/>
      <c r="CG46" s="102"/>
      <c r="CH46" s="102"/>
      <c r="CI46" s="102"/>
      <c r="CJ46" s="103"/>
      <c r="CK46" s="103"/>
      <c r="CL46" s="103"/>
      <c r="CM46" s="103"/>
      <c r="CN46" s="103"/>
      <c r="CO46" s="103"/>
      <c r="CP46" s="103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22"/>
    </row>
    <row r="47" spans="1:107" ht="18" customHeight="1" x14ac:dyDescent="0.6">
      <c r="A47" s="22"/>
      <c r="B47" s="22"/>
      <c r="C47" s="22"/>
      <c r="D47" s="22"/>
      <c r="E47" s="22"/>
      <c r="F47" s="22"/>
      <c r="G47" s="45"/>
      <c r="H47" s="22"/>
      <c r="I47" s="22"/>
      <c r="J47" s="22"/>
      <c r="K47" s="1262" t="s">
        <v>381</v>
      </c>
      <c r="L47" s="1262"/>
      <c r="M47" s="22"/>
      <c r="N47" s="22"/>
      <c r="O47" s="100"/>
      <c r="P47" s="22"/>
      <c r="Q47" s="100"/>
      <c r="R47" s="100"/>
      <c r="S47" s="22"/>
      <c r="T47" s="22"/>
      <c r="U47" s="1262" t="s">
        <v>382</v>
      </c>
      <c r="V47" s="1262"/>
      <c r="W47" s="22"/>
      <c r="X47" s="22"/>
      <c r="Y47" s="22"/>
      <c r="Z47" s="100"/>
      <c r="AA47" s="100"/>
      <c r="AB47" s="22"/>
      <c r="AC47" s="22"/>
      <c r="AD47" s="1235" t="s">
        <v>383</v>
      </c>
      <c r="AE47" s="1236"/>
      <c r="AF47" s="22"/>
      <c r="AG47" s="1235" t="s">
        <v>384</v>
      </c>
      <c r="AH47" s="1236"/>
      <c r="AI47" s="22"/>
      <c r="AJ47" s="22"/>
      <c r="AK47" s="22"/>
      <c r="AL47" s="22"/>
      <c r="AM47" s="22"/>
      <c r="AN47" s="22"/>
      <c r="AO47" s="22"/>
      <c r="AP47" s="1235" t="s">
        <v>383</v>
      </c>
      <c r="AQ47" s="1236"/>
      <c r="AR47" s="22"/>
      <c r="AS47" s="1235" t="s">
        <v>384</v>
      </c>
      <c r="AT47" s="1236"/>
      <c r="AU47" s="100"/>
      <c r="AV47" s="100"/>
      <c r="AW47" s="106"/>
      <c r="AX47" s="106"/>
      <c r="AY47" s="22"/>
      <c r="AZ47" s="106"/>
      <c r="BA47" s="106"/>
      <c r="BB47" s="22"/>
      <c r="BC47" s="22"/>
      <c r="BD47" s="22"/>
      <c r="BE47" s="1262" t="s">
        <v>381</v>
      </c>
      <c r="BF47" s="1262"/>
      <c r="BG47" s="22"/>
      <c r="BH47" s="22"/>
      <c r="BI47" s="100"/>
      <c r="BJ47" s="22"/>
      <c r="BK47" s="100"/>
      <c r="BL47" s="100"/>
      <c r="BM47" s="22"/>
      <c r="BN47" s="22"/>
      <c r="BO47" s="1262" t="s">
        <v>382</v>
      </c>
      <c r="BP47" s="1262"/>
      <c r="BQ47" s="22"/>
      <c r="BR47" s="22"/>
      <c r="BS47" s="22"/>
      <c r="BT47" s="100"/>
      <c r="BU47" s="100"/>
      <c r="BV47" s="22"/>
      <c r="BW47" s="22"/>
      <c r="BX47" s="1235" t="s">
        <v>383</v>
      </c>
      <c r="BY47" s="1236"/>
      <c r="BZ47" s="22"/>
      <c r="CA47" s="1235" t="s">
        <v>384</v>
      </c>
      <c r="CB47" s="1236"/>
      <c r="CC47" s="22"/>
      <c r="CD47" s="22"/>
      <c r="CE47" s="102"/>
      <c r="CF47" s="102"/>
      <c r="CG47" s="102"/>
      <c r="CH47" s="102"/>
      <c r="CI47" s="102"/>
      <c r="CJ47" s="103"/>
      <c r="CK47" s="103"/>
      <c r="CL47" s="103"/>
      <c r="CM47" s="103"/>
      <c r="CN47" s="103"/>
      <c r="CO47" s="103"/>
      <c r="CP47" s="103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99"/>
    </row>
    <row r="48" spans="1:107" x14ac:dyDescent="0.35">
      <c r="A48" s="22"/>
      <c r="B48" s="22"/>
      <c r="C48" s="22"/>
      <c r="D48" s="104"/>
      <c r="E48" s="104"/>
      <c r="F48" s="22"/>
      <c r="G48" s="22"/>
      <c r="H48" s="22"/>
      <c r="I48" s="22"/>
      <c r="J48" s="22"/>
      <c r="K48" s="1262"/>
      <c r="L48" s="1262"/>
      <c r="M48" s="22"/>
      <c r="N48" s="22"/>
      <c r="O48" s="22"/>
      <c r="P48" s="22"/>
      <c r="Q48" s="22"/>
      <c r="R48" s="22"/>
      <c r="S48" s="22"/>
      <c r="T48" s="22"/>
      <c r="U48" s="1262"/>
      <c r="V48" s="1262"/>
      <c r="W48" s="22"/>
      <c r="X48" s="22"/>
      <c r="Y48" s="22"/>
      <c r="Z48" s="22"/>
      <c r="AA48" s="22"/>
      <c r="AB48" s="22"/>
      <c r="AC48" s="22"/>
      <c r="AD48" s="1237"/>
      <c r="AE48" s="1238"/>
      <c r="AF48" s="22"/>
      <c r="AG48" s="1237"/>
      <c r="AH48" s="1238"/>
      <c r="AI48" s="22"/>
      <c r="AJ48" s="22"/>
      <c r="AK48" s="22"/>
      <c r="AL48" s="22"/>
      <c r="AM48" s="22"/>
      <c r="AN48" s="104"/>
      <c r="AO48" s="22"/>
      <c r="AP48" s="1237"/>
      <c r="AQ48" s="1238"/>
      <c r="AR48" s="22"/>
      <c r="AS48" s="1237"/>
      <c r="AT48" s="1238"/>
      <c r="AU48" s="22"/>
      <c r="AV48" s="22"/>
      <c r="AW48" s="22"/>
      <c r="AX48" s="22"/>
      <c r="AY48" s="100"/>
      <c r="AZ48" s="100"/>
      <c r="BA48" s="22"/>
      <c r="BB48" s="22"/>
      <c r="BC48" s="22"/>
      <c r="BD48" s="22"/>
      <c r="BE48" s="1262"/>
      <c r="BF48" s="1262"/>
      <c r="BG48" s="22"/>
      <c r="BH48" s="22"/>
      <c r="BI48" s="22"/>
      <c r="BJ48" s="22"/>
      <c r="BK48" s="22"/>
      <c r="BL48" s="22"/>
      <c r="BM48" s="22"/>
      <c r="BN48" s="22"/>
      <c r="BO48" s="1262"/>
      <c r="BP48" s="1262"/>
      <c r="BQ48" s="22"/>
      <c r="BR48" s="22"/>
      <c r="BS48" s="22"/>
      <c r="BT48" s="22"/>
      <c r="BU48" s="22"/>
      <c r="BV48" s="22"/>
      <c r="BW48" s="22"/>
      <c r="BX48" s="1237"/>
      <c r="BY48" s="1238"/>
      <c r="BZ48" s="22"/>
      <c r="CA48" s="1237"/>
      <c r="CB48" s="1238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101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</row>
    <row r="49" spans="1:107" x14ac:dyDescent="0.35">
      <c r="A49" s="22"/>
      <c r="B49" s="22"/>
      <c r="C49" s="22"/>
      <c r="D49" s="104"/>
      <c r="E49" s="104"/>
      <c r="F49" s="22"/>
      <c r="G49" s="22"/>
      <c r="H49" s="22"/>
      <c r="I49" s="22"/>
      <c r="J49" s="22"/>
      <c r="K49" s="1262"/>
      <c r="L49" s="1262"/>
      <c r="M49" s="22"/>
      <c r="N49" s="22"/>
      <c r="U49" s="1262"/>
      <c r="V49" s="1262"/>
      <c r="AD49" s="1237"/>
      <c r="AE49" s="1238"/>
      <c r="AF49" s="22"/>
      <c r="AG49" s="1237"/>
      <c r="AH49" s="1238"/>
      <c r="AK49" s="22"/>
      <c r="AL49" s="22"/>
      <c r="AM49" s="22"/>
      <c r="AN49" s="104"/>
      <c r="AP49" s="1237"/>
      <c r="AQ49" s="1238"/>
      <c r="AR49" s="22"/>
      <c r="AS49" s="1237"/>
      <c r="AT49" s="1238"/>
      <c r="AW49" s="22"/>
      <c r="AX49" s="22"/>
      <c r="AY49" s="22"/>
      <c r="AZ49" s="22"/>
      <c r="BA49" s="22"/>
      <c r="BB49" s="22"/>
      <c r="BC49" s="22"/>
      <c r="BD49" s="22"/>
      <c r="BE49" s="1262"/>
      <c r="BF49" s="1262"/>
      <c r="BG49" s="22"/>
      <c r="BH49" s="22"/>
      <c r="BO49" s="1262"/>
      <c r="BP49" s="1262"/>
      <c r="BX49" s="1237"/>
      <c r="BY49" s="1238"/>
      <c r="BZ49" s="22"/>
      <c r="CA49" s="1237"/>
      <c r="CB49" s="1238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</row>
    <row r="50" spans="1:107" x14ac:dyDescent="0.35">
      <c r="A50" s="22"/>
      <c r="B50" s="22"/>
      <c r="C50" s="22"/>
      <c r="D50" s="104"/>
      <c r="E50" s="104"/>
      <c r="F50" s="22"/>
      <c r="G50" s="22"/>
      <c r="H50" s="22"/>
      <c r="I50" s="22"/>
      <c r="J50" s="22"/>
      <c r="K50" s="1262"/>
      <c r="L50" s="1262"/>
      <c r="M50" s="22"/>
      <c r="N50" s="22"/>
      <c r="U50" s="1262"/>
      <c r="V50" s="1262"/>
      <c r="AD50" s="1237"/>
      <c r="AE50" s="1238"/>
      <c r="AF50" s="22"/>
      <c r="AG50" s="1237"/>
      <c r="AH50" s="1238"/>
      <c r="AK50" s="22"/>
      <c r="AL50" s="22"/>
      <c r="AM50" s="22"/>
      <c r="AN50" s="104"/>
      <c r="AP50" s="1237"/>
      <c r="AQ50" s="1238"/>
      <c r="AR50" s="22"/>
      <c r="AS50" s="1237"/>
      <c r="AT50" s="1238"/>
      <c r="BB50" s="22"/>
      <c r="BC50" s="22"/>
      <c r="BD50" s="22"/>
      <c r="BE50" s="1262"/>
      <c r="BF50" s="1262"/>
      <c r="BG50" s="22"/>
      <c r="BH50" s="22"/>
      <c r="BO50" s="1262"/>
      <c r="BP50" s="1262"/>
      <c r="BX50" s="1237"/>
      <c r="BY50" s="1238"/>
      <c r="BZ50" s="22"/>
      <c r="CA50" s="1237"/>
      <c r="CB50" s="1238"/>
    </row>
    <row r="51" spans="1:107" x14ac:dyDescent="0.35">
      <c r="A51" s="22"/>
      <c r="B51" s="22"/>
      <c r="C51" s="22"/>
      <c r="D51" s="104"/>
      <c r="E51" s="104"/>
      <c r="F51" s="22"/>
      <c r="G51" s="22"/>
      <c r="H51" s="22"/>
      <c r="I51" s="22"/>
      <c r="J51" s="22"/>
      <c r="K51" s="1262"/>
      <c r="L51" s="1262"/>
      <c r="M51" s="22"/>
      <c r="N51" s="22"/>
      <c r="U51" s="1262"/>
      <c r="V51" s="1262"/>
      <c r="AD51" s="1237"/>
      <c r="AE51" s="1238"/>
      <c r="AF51" s="22"/>
      <c r="AG51" s="1237"/>
      <c r="AH51" s="1238"/>
      <c r="AK51" s="22"/>
      <c r="AL51" s="22"/>
      <c r="AM51" s="22"/>
      <c r="AN51" s="104"/>
      <c r="AP51" s="1237"/>
      <c r="AQ51" s="1238"/>
      <c r="AR51" s="22"/>
      <c r="AS51" s="1237"/>
      <c r="AT51" s="1238"/>
      <c r="BB51" s="22"/>
      <c r="BC51" s="22"/>
      <c r="BD51" s="22"/>
      <c r="BE51" s="1262"/>
      <c r="BF51" s="1262"/>
      <c r="BG51" s="22"/>
      <c r="BH51" s="22"/>
      <c r="BO51" s="1262"/>
      <c r="BP51" s="1262"/>
      <c r="BX51" s="1237"/>
      <c r="BY51" s="1238"/>
      <c r="BZ51" s="22"/>
      <c r="CA51" s="1237"/>
      <c r="CB51" s="1238"/>
    </row>
    <row r="52" spans="1:107" x14ac:dyDescent="0.35">
      <c r="A52" s="22"/>
      <c r="B52" s="22"/>
      <c r="C52" s="22"/>
      <c r="D52" s="104"/>
      <c r="E52" s="104"/>
      <c r="F52" s="22"/>
      <c r="G52" s="22"/>
      <c r="H52" s="22"/>
      <c r="I52" s="22"/>
      <c r="J52" s="22"/>
      <c r="K52" s="1262"/>
      <c r="L52" s="1262"/>
      <c r="M52" s="22"/>
      <c r="N52" s="22"/>
      <c r="U52" s="1262"/>
      <c r="V52" s="1262"/>
      <c r="AD52" s="1237"/>
      <c r="AE52" s="1238"/>
      <c r="AF52" s="22"/>
      <c r="AG52" s="1237"/>
      <c r="AH52" s="1238"/>
      <c r="AK52" s="22"/>
      <c r="AL52" s="22"/>
      <c r="AM52" s="22"/>
      <c r="AN52" s="104"/>
      <c r="AP52" s="1237"/>
      <c r="AQ52" s="1238"/>
      <c r="AR52" s="22"/>
      <c r="AS52" s="1237"/>
      <c r="AT52" s="1238"/>
      <c r="BB52" s="22"/>
      <c r="BC52" s="22"/>
      <c r="BD52" s="22"/>
      <c r="BE52" s="1262"/>
      <c r="BF52" s="1262"/>
      <c r="BG52" s="22"/>
      <c r="BH52" s="22"/>
      <c r="BO52" s="1262"/>
      <c r="BP52" s="1262"/>
      <c r="BX52" s="1237"/>
      <c r="BY52" s="1238"/>
      <c r="BZ52" s="22"/>
      <c r="CA52" s="1237"/>
      <c r="CB52" s="1238"/>
    </row>
    <row r="53" spans="1:107" x14ac:dyDescent="0.35">
      <c r="A53" s="22"/>
      <c r="B53" s="22"/>
      <c r="C53" s="22"/>
      <c r="D53" s="104"/>
      <c r="E53" s="104"/>
      <c r="F53" s="22"/>
      <c r="G53" s="22"/>
      <c r="H53" s="22"/>
      <c r="I53" s="22"/>
      <c r="J53" s="22"/>
      <c r="K53" s="1262"/>
      <c r="L53" s="1262"/>
      <c r="M53" s="22"/>
      <c r="N53" s="22"/>
      <c r="U53" s="1262"/>
      <c r="V53" s="1262"/>
      <c r="AD53" s="1237"/>
      <c r="AE53" s="1238"/>
      <c r="AF53" s="22"/>
      <c r="AG53" s="1237"/>
      <c r="AH53" s="1238"/>
      <c r="AK53" s="22"/>
      <c r="AL53" s="22"/>
      <c r="AM53" s="22"/>
      <c r="AN53" s="104"/>
      <c r="AP53" s="1237"/>
      <c r="AQ53" s="1238"/>
      <c r="AR53" s="22"/>
      <c r="AS53" s="1237"/>
      <c r="AT53" s="1238"/>
      <c r="BB53" s="22"/>
      <c r="BC53" s="22"/>
      <c r="BD53" s="22"/>
      <c r="BE53" s="1262"/>
      <c r="BF53" s="1262"/>
      <c r="BG53" s="22"/>
      <c r="BH53" s="22"/>
      <c r="BO53" s="1262"/>
      <c r="BP53" s="1262"/>
      <c r="BX53" s="1237"/>
      <c r="BY53" s="1238"/>
      <c r="BZ53" s="22"/>
      <c r="CA53" s="1237"/>
      <c r="CB53" s="1238"/>
    </row>
    <row r="54" spans="1:107" x14ac:dyDescent="0.35">
      <c r="A54" s="22"/>
      <c r="B54" s="22"/>
      <c r="C54" s="22"/>
      <c r="D54" s="104"/>
      <c r="E54" s="104"/>
      <c r="F54" s="22"/>
      <c r="G54" s="22"/>
      <c r="H54" s="22"/>
      <c r="I54" s="22"/>
      <c r="J54" s="22"/>
      <c r="K54" s="1262"/>
      <c r="L54" s="1262"/>
      <c r="M54" s="22"/>
      <c r="N54" s="22"/>
      <c r="U54" s="1262"/>
      <c r="V54" s="1262"/>
      <c r="AD54" s="1237"/>
      <c r="AE54" s="1238"/>
      <c r="AF54" s="22"/>
      <c r="AG54" s="1237"/>
      <c r="AH54" s="1238"/>
      <c r="AK54" s="22"/>
      <c r="AL54" s="22"/>
      <c r="AM54" s="22"/>
      <c r="AN54" s="104"/>
      <c r="AP54" s="1237"/>
      <c r="AQ54" s="1238"/>
      <c r="AR54" s="22"/>
      <c r="AS54" s="1237"/>
      <c r="AT54" s="1238"/>
      <c r="BB54" s="22"/>
      <c r="BC54" s="22"/>
      <c r="BD54" s="22"/>
      <c r="BE54" s="1262"/>
      <c r="BF54" s="1262"/>
      <c r="BG54" s="22"/>
      <c r="BH54" s="22"/>
      <c r="BO54" s="1262"/>
      <c r="BP54" s="1262"/>
      <c r="BX54" s="1237"/>
      <c r="BY54" s="1238"/>
      <c r="BZ54" s="22"/>
      <c r="CA54" s="1237"/>
      <c r="CB54" s="1238"/>
    </row>
    <row r="55" spans="1:107" x14ac:dyDescent="0.35">
      <c r="A55" s="22"/>
      <c r="B55" s="22"/>
      <c r="C55" s="22"/>
      <c r="D55" s="104"/>
      <c r="E55" s="104"/>
      <c r="F55" s="22"/>
      <c r="G55" s="22"/>
      <c r="H55" s="22"/>
      <c r="I55" s="22"/>
      <c r="J55" s="22"/>
      <c r="K55" s="1262"/>
      <c r="L55" s="1262"/>
      <c r="M55" s="22"/>
      <c r="N55" s="22"/>
      <c r="U55" s="1262"/>
      <c r="V55" s="1262"/>
      <c r="AD55" s="1239"/>
      <c r="AE55" s="1240"/>
      <c r="AF55" s="22"/>
      <c r="AG55" s="1239"/>
      <c r="AH55" s="1240"/>
      <c r="AK55" s="22"/>
      <c r="AL55" s="22"/>
      <c r="AM55" s="22"/>
      <c r="AN55" s="104"/>
      <c r="AP55" s="1239"/>
      <c r="AQ55" s="1240"/>
      <c r="AR55" s="22"/>
      <c r="AS55" s="1239"/>
      <c r="AT55" s="1240"/>
      <c r="BB55" s="22"/>
      <c r="BC55" s="22"/>
      <c r="BD55" s="22"/>
      <c r="BE55" s="1262"/>
      <c r="BF55" s="1262"/>
      <c r="BG55" s="22"/>
      <c r="BH55" s="22"/>
      <c r="BO55" s="1262"/>
      <c r="BP55" s="1262"/>
      <c r="BX55" s="1239"/>
      <c r="BY55" s="1240"/>
      <c r="BZ55" s="22"/>
      <c r="CA55" s="1239"/>
      <c r="CB55" s="1240"/>
    </row>
    <row r="56" spans="1:107" x14ac:dyDescent="0.35">
      <c r="A56" s="22"/>
      <c r="B56" s="22"/>
      <c r="C56" s="22"/>
      <c r="D56" s="104"/>
      <c r="E56" s="104"/>
      <c r="F56" s="22"/>
      <c r="G56" s="22"/>
      <c r="H56" s="22"/>
      <c r="I56" s="22"/>
      <c r="J56" s="22"/>
      <c r="K56" s="22"/>
      <c r="L56" s="23"/>
      <c r="M56" s="22"/>
      <c r="N56" s="22"/>
      <c r="U56" s="22"/>
      <c r="V56" s="23"/>
      <c r="AD56" s="32"/>
      <c r="AE56" s="22"/>
      <c r="AF56" s="22"/>
      <c r="AG56" s="32"/>
      <c r="AH56" s="22"/>
      <c r="AK56" s="22"/>
      <c r="AL56" s="22"/>
      <c r="AM56" s="22"/>
      <c r="AN56" s="104"/>
      <c r="AP56" s="32"/>
      <c r="AQ56" s="22"/>
      <c r="AR56" s="22"/>
      <c r="AS56" s="32"/>
      <c r="AT56" s="22"/>
      <c r="BB56" s="22"/>
      <c r="BC56" s="22"/>
      <c r="BD56" s="22"/>
      <c r="BE56" s="22"/>
      <c r="BF56" s="23"/>
      <c r="BG56" s="22"/>
      <c r="BH56" s="22"/>
      <c r="BO56" s="22"/>
      <c r="BP56" s="23"/>
      <c r="BX56" s="32"/>
      <c r="BY56" s="22"/>
      <c r="BZ56" s="22"/>
      <c r="CA56" s="32"/>
      <c r="CB56" s="22"/>
    </row>
    <row r="57" spans="1:107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261">
        <f>'FG-ORGANOGRAMA-741'!AJ55</f>
        <v>12</v>
      </c>
      <c r="L57" s="1227"/>
      <c r="M57" s="22"/>
      <c r="N57" s="22"/>
      <c r="U57" s="1261">
        <f>'FG-ORGANOGRAMA-741'!CO55</f>
        <v>25.5</v>
      </c>
      <c r="V57" s="1227"/>
      <c r="AD57" s="1261">
        <f>'FG-ORGANOGRAMA-741'!DX59</f>
        <v>20</v>
      </c>
      <c r="AE57" s="1227"/>
      <c r="AF57" s="22"/>
      <c r="AG57" s="1261">
        <f>'FG-ORGANOGRAMA-741'!EK59</f>
        <v>15.5</v>
      </c>
      <c r="AH57" s="1227"/>
      <c r="AK57" s="22"/>
      <c r="AL57" s="22"/>
      <c r="AM57" s="22"/>
      <c r="AN57" s="22"/>
      <c r="AP57" s="1261">
        <f>'FG-ORGANOGRAMA-741'!CV184</f>
        <v>2</v>
      </c>
      <c r="AQ57" s="1227"/>
      <c r="AR57" s="22"/>
      <c r="AS57" s="1261">
        <f>'FG-ORGANOGRAMA-741'!DH184</f>
        <v>1</v>
      </c>
      <c r="AT57" s="1227"/>
      <c r="BB57" s="22"/>
      <c r="BC57" s="22"/>
      <c r="BD57" s="22"/>
      <c r="BE57" s="1261">
        <f>'FG-ORGANOGRAMA-741'!AJ105</f>
        <v>15</v>
      </c>
      <c r="BF57" s="1227"/>
      <c r="BG57" s="22"/>
      <c r="BH57" s="22"/>
      <c r="BO57" s="1261">
        <f>'FG-ORGANOGRAMA-741'!CP105</f>
        <v>35.5</v>
      </c>
      <c r="BP57" s="1227"/>
      <c r="BX57" s="1261" t="e">
        <f>'FG-ORGANOGRAMA-741'!DX109</f>
        <v>#REF!</v>
      </c>
      <c r="BY57" s="1227"/>
      <c r="BZ57" s="22"/>
      <c r="CA57" s="1261">
        <f>'FG-ORGANOGRAMA-741'!EK109</f>
        <v>15.5</v>
      </c>
      <c r="CB57" s="1227"/>
    </row>
    <row r="58" spans="1:107" x14ac:dyDescent="0.35">
      <c r="A58" s="22"/>
      <c r="B58" s="22"/>
      <c r="C58" s="22"/>
      <c r="D58" s="105"/>
      <c r="E58" s="106"/>
      <c r="F58" s="22"/>
      <c r="G58" s="22"/>
      <c r="H58" s="22"/>
      <c r="I58" s="22"/>
      <c r="J58" s="22"/>
      <c r="K58" s="1228"/>
      <c r="L58" s="1229"/>
      <c r="M58" s="22"/>
      <c r="N58" s="22"/>
      <c r="U58" s="1228"/>
      <c r="V58" s="1229"/>
      <c r="AD58" s="1228"/>
      <c r="AE58" s="1229"/>
      <c r="AF58" s="22"/>
      <c r="AG58" s="1228"/>
      <c r="AH58" s="1229"/>
      <c r="AK58" s="22"/>
      <c r="AL58" s="22"/>
      <c r="AM58" s="22"/>
      <c r="AN58" s="106"/>
      <c r="AP58" s="1228"/>
      <c r="AQ58" s="1229"/>
      <c r="AR58" s="22"/>
      <c r="AS58" s="1228"/>
      <c r="AT58" s="1229"/>
      <c r="BB58" s="22"/>
      <c r="BC58" s="22"/>
      <c r="BD58" s="22"/>
      <c r="BE58" s="1228"/>
      <c r="BF58" s="1229"/>
      <c r="BG58" s="22"/>
      <c r="BH58" s="22"/>
      <c r="BO58" s="1228"/>
      <c r="BP58" s="1229"/>
      <c r="BX58" s="1228"/>
      <c r="BY58" s="1229"/>
      <c r="BZ58" s="22"/>
      <c r="CA58" s="1228"/>
      <c r="CB58" s="1229"/>
    </row>
    <row r="59" spans="1:107" x14ac:dyDescent="0.35">
      <c r="A59" s="22"/>
      <c r="B59" s="22"/>
      <c r="C59" s="22"/>
      <c r="D59" s="106"/>
      <c r="E59" s="106"/>
      <c r="F59" s="22"/>
      <c r="G59" s="22"/>
      <c r="N59" s="106"/>
      <c r="O59" s="106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106"/>
    </row>
    <row r="60" spans="1:107" x14ac:dyDescent="0.35">
      <c r="A60" s="22"/>
      <c r="B60" s="22"/>
      <c r="C60" s="22"/>
      <c r="D60" s="106"/>
      <c r="E60" s="106"/>
      <c r="F60" s="22"/>
      <c r="G60" s="22"/>
      <c r="W60" s="106"/>
      <c r="X60" s="106"/>
      <c r="Y60" s="22"/>
      <c r="Z60" s="106"/>
      <c r="AA60" s="106"/>
    </row>
    <row r="64" spans="1:107" ht="15" customHeight="1" x14ac:dyDescent="0.35">
      <c r="AM64" s="1258" t="s">
        <v>385</v>
      </c>
      <c r="AN64" s="1252"/>
      <c r="AO64" s="1252"/>
      <c r="AP64" s="1252"/>
      <c r="AQ64" s="1251" t="e">
        <f>SUM(W3+W7+M15+W15+AG15+P28+X28+AA28+AJ28+AW7+AX21+BB21+BJ7+BK21+BO21+AO33+AO36+H44+R44+AB44+K57+U57+AD57+AG57+AO44+AP57+AS57+BB44+BE57+BL44+BO57+BV44+BX57+CA57)</f>
        <v>#REF!</v>
      </c>
      <c r="AR64" s="1252"/>
      <c r="AS64" s="1252"/>
      <c r="AT64" s="1252"/>
      <c r="AU64" s="1252"/>
      <c r="AV64" s="1252"/>
      <c r="AW64" s="1252"/>
      <c r="AX64" s="1253"/>
    </row>
    <row r="65" spans="39:50" ht="15" customHeight="1" x14ac:dyDescent="0.35">
      <c r="AM65" s="1259"/>
      <c r="AN65" s="1254"/>
      <c r="AO65" s="1254"/>
      <c r="AP65" s="1254"/>
      <c r="AQ65" s="1254"/>
      <c r="AR65" s="1254"/>
      <c r="AS65" s="1254"/>
      <c r="AT65" s="1254"/>
      <c r="AU65" s="1254"/>
      <c r="AV65" s="1254"/>
      <c r="AW65" s="1254"/>
      <c r="AX65" s="1255"/>
    </row>
    <row r="66" spans="39:50" ht="15" customHeight="1" x14ac:dyDescent="0.35">
      <c r="AM66" s="1260"/>
      <c r="AN66" s="1256"/>
      <c r="AO66" s="1256"/>
      <c r="AP66" s="1256"/>
      <c r="AQ66" s="1256"/>
      <c r="AR66" s="1256"/>
      <c r="AS66" s="1256"/>
      <c r="AT66" s="1256"/>
      <c r="AU66" s="1256"/>
      <c r="AV66" s="1256"/>
      <c r="AW66" s="1256"/>
      <c r="AX66" s="1257"/>
    </row>
  </sheetData>
  <mergeCells count="78">
    <mergeCell ref="BE57:BF58"/>
    <mergeCell ref="BO57:BP58"/>
    <mergeCell ref="BX57:BY58"/>
    <mergeCell ref="CA57:CB58"/>
    <mergeCell ref="BN40:BQ40"/>
    <mergeCell ref="BZ40:CC40"/>
    <mergeCell ref="BC44:BI44"/>
    <mergeCell ref="BM44:BS44"/>
    <mergeCell ref="BW44:CC44"/>
    <mergeCell ref="BB45:BI45"/>
    <mergeCell ref="BL45:BS45"/>
    <mergeCell ref="BV45:CC45"/>
    <mergeCell ref="BE47:BF55"/>
    <mergeCell ref="BO47:BP55"/>
    <mergeCell ref="BX47:BY55"/>
    <mergeCell ref="CA47:CB55"/>
    <mergeCell ref="K57:L58"/>
    <mergeCell ref="U57:V58"/>
    <mergeCell ref="AD57:AE58"/>
    <mergeCell ref="AG57:AH58"/>
    <mergeCell ref="AC44:AI44"/>
    <mergeCell ref="H45:O45"/>
    <mergeCell ref="R45:Y45"/>
    <mergeCell ref="AB45:AI45"/>
    <mergeCell ref="K47:L55"/>
    <mergeCell ref="U47:V55"/>
    <mergeCell ref="AD47:AE55"/>
    <mergeCell ref="AG47:AH55"/>
    <mergeCell ref="I44:O44"/>
    <mergeCell ref="S44:Y44"/>
    <mergeCell ref="AQ64:AX66"/>
    <mergeCell ref="AM64:AP66"/>
    <mergeCell ref="AP33:AV33"/>
    <mergeCell ref="AO34:AV34"/>
    <mergeCell ref="AP36:AV36"/>
    <mergeCell ref="AO37:AV37"/>
    <mergeCell ref="AP47:AQ55"/>
    <mergeCell ref="AS47:AT55"/>
    <mergeCell ref="AP57:AQ58"/>
    <mergeCell ref="AS57:AT58"/>
    <mergeCell ref="AQ40:AT40"/>
    <mergeCell ref="AP44:AV44"/>
    <mergeCell ref="AO45:AV45"/>
    <mergeCell ref="T40:W40"/>
    <mergeCell ref="AF40:AI40"/>
    <mergeCell ref="BK11:BL19"/>
    <mergeCell ref="AH15:AN15"/>
    <mergeCell ref="M16:T16"/>
    <mergeCell ref="W16:AD16"/>
    <mergeCell ref="AG16:AN16"/>
    <mergeCell ref="P18:Q26"/>
    <mergeCell ref="X18:Y26"/>
    <mergeCell ref="AJ18:AK26"/>
    <mergeCell ref="AA18:AB26"/>
    <mergeCell ref="N15:T15"/>
    <mergeCell ref="X15:AD15"/>
    <mergeCell ref="AA28:AB29"/>
    <mergeCell ref="BB11:BC19"/>
    <mergeCell ref="AX21:AY22"/>
    <mergeCell ref="BB21:BC22"/>
    <mergeCell ref="X3:AD3"/>
    <mergeCell ref="W4:AD4"/>
    <mergeCell ref="AX7:BD7"/>
    <mergeCell ref="BK7:BQ7"/>
    <mergeCell ref="BM11:BM19"/>
    <mergeCell ref="BO11:BP19"/>
    <mergeCell ref="BK21:BL22"/>
    <mergeCell ref="BO21:BP22"/>
    <mergeCell ref="AW8:BD8"/>
    <mergeCell ref="BJ8:BQ8"/>
    <mergeCell ref="AX11:AY19"/>
    <mergeCell ref="P28:Q29"/>
    <mergeCell ref="X7:AD7"/>
    <mergeCell ref="W8:AD8"/>
    <mergeCell ref="P10:AK10"/>
    <mergeCell ref="P11:AK11"/>
    <mergeCell ref="X28:Y29"/>
    <mergeCell ref="AJ28:AK2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B89C-0EFB-44AD-9D67-A717CDD34BBD}">
  <sheetPr codeName="Planilha5">
    <tabColor theme="9" tint="0.79998168889431442"/>
  </sheetPr>
  <dimension ref="A1:Z184"/>
  <sheetViews>
    <sheetView topLeftCell="A151" zoomScale="85" zoomScaleNormal="85" workbookViewId="0">
      <selection activeCell="J187" sqref="J187"/>
    </sheetView>
  </sheetViews>
  <sheetFormatPr defaultColWidth="0.81640625" defaultRowHeight="14.5" x14ac:dyDescent="0.35"/>
  <cols>
    <col min="1" max="1" width="26.26953125" customWidth="1"/>
    <col min="2" max="2" width="35.54296875" bestFit="1" customWidth="1"/>
    <col min="3" max="3" width="34.54296875" bestFit="1" customWidth="1"/>
    <col min="4" max="4" width="35.453125" bestFit="1" customWidth="1"/>
    <col min="5" max="5" width="13.1796875" bestFit="1" customWidth="1"/>
    <col min="6" max="6" width="11.81640625" customWidth="1"/>
    <col min="7" max="7" width="10.26953125" customWidth="1"/>
  </cols>
  <sheetData>
    <row r="1" spans="1:26" ht="40" customHeight="1" x14ac:dyDescent="0.35">
      <c r="A1" s="1002" t="s">
        <v>386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</row>
    <row r="2" spans="1:26" ht="18" customHeight="1" x14ac:dyDescent="0.35">
      <c r="A2" s="1003" t="s">
        <v>387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</row>
    <row r="4" spans="1:26" ht="24" customHeight="1" x14ac:dyDescent="0.4">
      <c r="B4" s="1004" t="s">
        <v>388</v>
      </c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</row>
    <row r="5" spans="1:26" x14ac:dyDescent="0.35">
      <c r="B5" s="187" t="s">
        <v>389</v>
      </c>
      <c r="C5" s="253" cm="1">
        <f t="array" ref="C5">SUMPRODUCT(ISNUMBER(SEARCH("741",'EFETIVO 11.05.2026'!$H$2:$H$712))*(('EFETIVO 11.05.2026'!$G$2:$G$712="A")+('EFETIVO 11.05.2026'!$G$2:$G$712="D")+('EFETIVO 11.05.2026'!$G$2:$G$712="F")+('EFETIVO 11.05.2026'!$G$2:$G$712="P")+('EFETIVO 11.05.2026'!$G$2:$G$712="T")+('EFETIVO 11.05.2026'!$G$2:$G$712="M")))</f>
        <v>278</v>
      </c>
    </row>
    <row r="6" spans="1:26" x14ac:dyDescent="0.35">
      <c r="B6" s="189" t="s">
        <v>390</v>
      </c>
      <c r="C6" s="254" cm="1">
        <f t="array" ref="C6">SUMPRODUCT(ISNUMBER(SEARCH("741",'EFETIVO 11.05.2026'!$H$2:$H$712))*('EFETIVO 11.05.2026'!$G$2:$G$712="A"))</f>
        <v>185</v>
      </c>
    </row>
    <row r="7" spans="1:26" x14ac:dyDescent="0.35">
      <c r="B7" s="189" t="s">
        <v>391</v>
      </c>
      <c r="C7" s="254" cm="1">
        <f t="array" ref="C7">SUMPRODUCT(ISNUMBER(SEARCH("741",'EFETIVO 11.05.2026'!$H$2:$H$712))*('EFETIVO 11.05.2026'!$G$2:$G$712="D"))</f>
        <v>87</v>
      </c>
    </row>
    <row r="8" spans="1:26" x14ac:dyDescent="0.35">
      <c r="B8" s="189" t="s">
        <v>392</v>
      </c>
      <c r="C8" s="255">
        <f>IFERROR(C7/C5,0)</f>
        <v>0.31294964028776978</v>
      </c>
    </row>
    <row r="9" spans="1:26" ht="15" thickBot="1" x14ac:dyDescent="0.4">
      <c r="B9" s="241" t="s">
        <v>393</v>
      </c>
      <c r="C9" s="256" cm="1">
        <f t="array" ref="C9">SUMPRODUCT(ISNUMBER(SEARCH("741",'EFETIVO 11.05.2026'!$H$2:$H$712))*(('EFETIVO 11.05.2026'!$G$2:$G$712="F")+('EFETIVO 11.05.2026'!$G$2:$G$712="P")+('EFETIVO 11.05.2026'!$G$2:$G$712="T")+('EFETIVO 11.05.2026'!$G$2:$G$712="M")))</f>
        <v>6</v>
      </c>
    </row>
    <row r="10" spans="1:26" x14ac:dyDescent="0.35">
      <c r="B10" s="243" t="s">
        <v>394</v>
      </c>
      <c r="C10" s="257" cm="1">
        <f t="array" ref="C10">SUMPRODUCT(--(C14:C71&gt;0))</f>
        <v>50</v>
      </c>
    </row>
    <row r="11" spans="1:26" ht="24" customHeight="1" x14ac:dyDescent="0.4">
      <c r="B11" s="1265" t="s">
        <v>395</v>
      </c>
      <c r="C11" s="1265"/>
      <c r="D11" s="1265"/>
      <c r="E11" s="1265"/>
      <c r="F11" s="1265"/>
      <c r="G11" s="1011"/>
      <c r="H11" s="1011"/>
      <c r="I11" s="1011"/>
      <c r="J11" s="1011"/>
      <c r="K11" s="1011"/>
      <c r="L11" s="1011"/>
      <c r="M11" s="1011"/>
      <c r="N11" s="1011"/>
    </row>
    <row r="13" spans="1:26" ht="22" customHeight="1" x14ac:dyDescent="0.35">
      <c r="B13" s="172" t="s">
        <v>396</v>
      </c>
      <c r="C13" s="172" t="s">
        <v>397</v>
      </c>
      <c r="D13" s="172" t="s">
        <v>398</v>
      </c>
      <c r="E13" s="172" t="s">
        <v>399</v>
      </c>
      <c r="F13" s="244" t="s">
        <v>400</v>
      </c>
    </row>
    <row r="14" spans="1:26" x14ac:dyDescent="0.35">
      <c r="B14" s="177" t="s">
        <v>401</v>
      </c>
      <c r="C14" s="175" cm="1">
        <f t="array" ref="C14">SUMPRODUCT(ISNUMBER(SEARCH("741",'EFETIVO 11.05.2026'!$H$2:$H$712))*('EFETIVO 11.05.2026'!$G$2:$G$712="A")*('EFETIVO 11.05.2026'!$C$2:$C$712="AJUDANTE DE CALDEIRARIA"))</f>
        <v>0</v>
      </c>
      <c r="D14" s="175" cm="1">
        <f t="array" ref="D14">SUMPRODUCT(ISNUMBER(SEARCH("741",'EFETIVO 11.05.2026'!$H$2:$H$712))*('EFETIVO 11.05.2026'!$G$2:$G$712="D")*('EFETIVO 11.05.2026'!$C$2:$C$712="AJUDANTE DE CALDEIRARIA"))</f>
        <v>1</v>
      </c>
      <c r="E14" s="192">
        <f t="shared" ref="E14:E45" si="0">IFERROR(C14/$C$6,0)</f>
        <v>0</v>
      </c>
      <c r="F14" s="245" cm="1">
        <f t="array" ref="F14">SUMPRODUCT(ISNUMBER(SEARCH("741",'EFETIVO 11.05.2026'!$H$2:$H$712))*(('EFETIVO 11.05.2026'!$G$2:$G$712="F")+('EFETIVO 11.05.2026'!$G$2:$G$712="P")+('EFETIVO 11.05.2026'!$G$2:$G$712="T")+('EFETIVO 11.05.2026'!$G$2:$G$712="M"))*('EFETIVO 11.05.2026'!$C$2:$C$712=$B14))</f>
        <v>0</v>
      </c>
    </row>
    <row r="15" spans="1:26" x14ac:dyDescent="0.35">
      <c r="B15" s="177" t="s">
        <v>402</v>
      </c>
      <c r="C15" s="175" cm="1">
        <f t="array" ref="C15">SUMPRODUCT(ISNUMBER(SEARCH("741",'EFETIVO 11.05.2026'!$H$2:$H$712))*('EFETIVO 11.05.2026'!$G$2:$G$712="A")*('EFETIVO 11.05.2026'!$C$2:$C$712="AJUDANTE DE ELETRICA PREDIAL"))</f>
        <v>4</v>
      </c>
      <c r="D15" s="175" cm="1">
        <f t="array" ref="D15">SUMPRODUCT(ISNUMBER(SEARCH("741",'EFETIVO 11.05.2026'!$H$2:$H$712))*('EFETIVO 11.05.2026'!$G$2:$G$712="D")*('EFETIVO 11.05.2026'!$C$2:$C$712="AJUDANTE DE ELETRICA PREDIAL"))</f>
        <v>0</v>
      </c>
      <c r="E15" s="192">
        <f t="shared" si="0"/>
        <v>2.1621621621621623E-2</v>
      </c>
      <c r="F15" s="246" cm="1">
        <f t="array" ref="F15">SUMPRODUCT(ISNUMBER(SEARCH("741",'EFETIVO 11.05.2026'!$H$2:$H$712))*(('EFETIVO 11.05.2026'!$G$2:$G$712="F")+('EFETIVO 11.05.2026'!$G$2:$G$712="P")+('EFETIVO 11.05.2026'!$G$2:$G$712="T")+('EFETIVO 11.05.2026'!$G$2:$G$712="M"))*('EFETIVO 11.05.2026'!$C$2:$C$712=$B15))</f>
        <v>0</v>
      </c>
    </row>
    <row r="16" spans="1:26" x14ac:dyDescent="0.35">
      <c r="B16" s="177" t="s">
        <v>403</v>
      </c>
      <c r="C16" s="175" cm="1">
        <f t="array" ref="C16">SUMPRODUCT(ISNUMBER(SEARCH("741",'EFETIVO 11.05.2026'!$H$2:$H$712))*('EFETIVO 11.05.2026'!$G$2:$G$712="A")*('EFETIVO 11.05.2026'!$C$2:$C$712="AJUDANTE DE ELETROMECANICA PREDIAL"))</f>
        <v>3</v>
      </c>
      <c r="D16" s="175" cm="1">
        <f t="array" ref="D16">SUMPRODUCT(ISNUMBER(SEARCH("741",'EFETIVO 11.05.2026'!$H$2:$H$712))*('EFETIVO 11.05.2026'!$G$2:$G$712="D")*('EFETIVO 11.05.2026'!$C$2:$C$712="AJUDANTE DE ELETROMECANICA PREDIAL"))</f>
        <v>2</v>
      </c>
      <c r="E16" s="192">
        <f t="shared" si="0"/>
        <v>1.6216216216216217E-2</v>
      </c>
      <c r="F16" s="246" cm="1">
        <f t="array" ref="F16">SUMPRODUCT(ISNUMBER(SEARCH("741",'EFETIVO 11.05.2026'!$H$2:$H$712))*(('EFETIVO 11.05.2026'!$G$2:$G$712="F")+('EFETIVO 11.05.2026'!$G$2:$G$712="P")+('EFETIVO 11.05.2026'!$G$2:$G$712="T")+('EFETIVO 11.05.2026'!$G$2:$G$712="M"))*('EFETIVO 11.05.2026'!$C$2:$C$712=$B16))</f>
        <v>0</v>
      </c>
    </row>
    <row r="17" spans="2:6" x14ac:dyDescent="0.35">
      <c r="B17" s="177" t="s">
        <v>404</v>
      </c>
      <c r="C17" s="175" cm="1">
        <f t="array" ref="C17">SUMPRODUCT(ISNUMBER(SEARCH("741",'EFETIVO 11.05.2026'!$H$2:$H$712))*('EFETIVO 11.05.2026'!$G$2:$G$712="A")*('EFETIVO 11.05.2026'!$C$2:$C$712="AJUDANTE DE MANUTENCAO ELETRICA"))</f>
        <v>1</v>
      </c>
      <c r="D17" s="175" cm="1">
        <f t="array" ref="D17">SUMPRODUCT(ISNUMBER(SEARCH("741",'EFETIVO 11.05.2026'!$H$2:$H$712))*('EFETIVO 11.05.2026'!$G$2:$G$712="D")*('EFETIVO 11.05.2026'!$C$2:$C$712="AJUDANTE DE MANUTENCAO ELETRICA"))</f>
        <v>0</v>
      </c>
      <c r="E17" s="192">
        <f t="shared" si="0"/>
        <v>5.4054054054054057E-3</v>
      </c>
      <c r="F17" s="246" cm="1">
        <f t="array" ref="F17">SUMPRODUCT(ISNUMBER(SEARCH("741",'EFETIVO 11.05.2026'!$H$2:$H$712))*(('EFETIVO 11.05.2026'!$G$2:$G$712="F")+('EFETIVO 11.05.2026'!$G$2:$G$712="P")+('EFETIVO 11.05.2026'!$G$2:$G$712="T")+('EFETIVO 11.05.2026'!$G$2:$G$712="M"))*('EFETIVO 11.05.2026'!$C$2:$C$712=$B17))</f>
        <v>0</v>
      </c>
    </row>
    <row r="18" spans="2:6" x14ac:dyDescent="0.35">
      <c r="B18" s="177" t="s">
        <v>405</v>
      </c>
      <c r="C18" s="175" cm="1">
        <f t="array" ref="C18">SUMPRODUCT(ISNUMBER(SEARCH("741",'EFETIVO 11.05.2026'!$H$2:$H$712))*('EFETIVO 11.05.2026'!$G$2:$G$712="A")*('EFETIVO 11.05.2026'!$C$2:$C$712="AJUDANTE DE MECANICA PREDIAL"))</f>
        <v>2</v>
      </c>
      <c r="D18" s="175" cm="1">
        <f t="array" ref="D18">SUMPRODUCT(ISNUMBER(SEARCH("741",'EFETIVO 11.05.2026'!$H$2:$H$712))*('EFETIVO 11.05.2026'!$G$2:$G$712="D")*('EFETIVO 11.05.2026'!$C$2:$C$712="AJUDANTE DE MECANICA PREDIAL"))</f>
        <v>0</v>
      </c>
      <c r="E18" s="192">
        <f t="shared" si="0"/>
        <v>1.0810810810810811E-2</v>
      </c>
      <c r="F18" s="246" cm="1">
        <f t="array" ref="F18">SUMPRODUCT(ISNUMBER(SEARCH("741",'EFETIVO 11.05.2026'!$H$2:$H$712))*(('EFETIVO 11.05.2026'!$G$2:$G$712="F")+('EFETIVO 11.05.2026'!$G$2:$G$712="P")+('EFETIVO 11.05.2026'!$G$2:$G$712="T")+('EFETIVO 11.05.2026'!$G$2:$G$712="M"))*('EFETIVO 11.05.2026'!$C$2:$C$712=$B18))</f>
        <v>0</v>
      </c>
    </row>
    <row r="19" spans="2:6" x14ac:dyDescent="0.35">
      <c r="B19" s="177" t="s">
        <v>406</v>
      </c>
      <c r="C19" s="175" cm="1">
        <f t="array" ref="C19">SUMPRODUCT(ISNUMBER(SEARCH("741",'EFETIVO 11.05.2026'!$H$2:$H$712))*('EFETIVO 11.05.2026'!$G$2:$G$712="A")*('EFETIVO 11.05.2026'!$C$2:$C$712="AJUDANTE DE PEDREIRO"))</f>
        <v>0</v>
      </c>
      <c r="D19" s="175" cm="1">
        <f t="array" ref="D19">SUMPRODUCT(ISNUMBER(SEARCH("741",'EFETIVO 11.05.2026'!$H$2:$H$712))*('EFETIVO 11.05.2026'!$G$2:$G$712="D")*('EFETIVO 11.05.2026'!$C$2:$C$712="AJUDANTE DE PEDREIRO"))</f>
        <v>2</v>
      </c>
      <c r="E19" s="192">
        <f t="shared" si="0"/>
        <v>0</v>
      </c>
      <c r="F19" s="246" cm="1">
        <f t="array" ref="F19">SUMPRODUCT(ISNUMBER(SEARCH("741",'EFETIVO 11.05.2026'!$H$2:$H$712))*(('EFETIVO 11.05.2026'!$G$2:$G$712="F")+('EFETIVO 11.05.2026'!$G$2:$G$712="P")+('EFETIVO 11.05.2026'!$G$2:$G$712="T")+('EFETIVO 11.05.2026'!$G$2:$G$712="M"))*('EFETIVO 11.05.2026'!$C$2:$C$712=$B19))</f>
        <v>0</v>
      </c>
    </row>
    <row r="20" spans="2:6" x14ac:dyDescent="0.35">
      <c r="B20" s="177" t="s">
        <v>407</v>
      </c>
      <c r="C20" s="175" cm="1">
        <f t="array" ref="C20">SUMPRODUCT(ISNUMBER(SEARCH("741",'EFETIVO 11.05.2026'!$H$2:$H$712))*('EFETIVO 11.05.2026'!$G$2:$G$712="A")*('EFETIVO 11.05.2026'!$C$2:$C$712="AJUDANTE DE PINTURA"))</f>
        <v>2</v>
      </c>
      <c r="D20" s="175" cm="1">
        <f t="array" ref="D20">SUMPRODUCT(ISNUMBER(SEARCH("741",'EFETIVO 11.05.2026'!$H$2:$H$712))*('EFETIVO 11.05.2026'!$G$2:$G$712="D")*('EFETIVO 11.05.2026'!$C$2:$C$712="AJUDANTE DE PINTURA"))</f>
        <v>4</v>
      </c>
      <c r="E20" s="192">
        <f t="shared" si="0"/>
        <v>1.0810810810810811E-2</v>
      </c>
      <c r="F20" s="246" cm="1">
        <f t="array" ref="F20">SUMPRODUCT(ISNUMBER(SEARCH("741",'EFETIVO 11.05.2026'!$H$2:$H$712))*(('EFETIVO 11.05.2026'!$G$2:$G$712="F")+('EFETIVO 11.05.2026'!$G$2:$G$712="P")+('EFETIVO 11.05.2026'!$G$2:$G$712="T")+('EFETIVO 11.05.2026'!$G$2:$G$712="M"))*('EFETIVO 11.05.2026'!$C$2:$C$712=$B20))</f>
        <v>0</v>
      </c>
    </row>
    <row r="21" spans="2:6" x14ac:dyDescent="0.35">
      <c r="B21" s="177" t="s">
        <v>408</v>
      </c>
      <c r="C21" s="175" cm="1">
        <f t="array" ref="C21">SUMPRODUCT(ISNUMBER(SEARCH("741",'EFETIVO 11.05.2026'!$H$2:$H$712))*('EFETIVO 11.05.2026'!$G$2:$G$712="A")*('EFETIVO 11.05.2026'!$C$2:$C$712="AJUDANTE DE PINTURA INDUSTRIAL"))</f>
        <v>0</v>
      </c>
      <c r="D21" s="175" cm="1">
        <f t="array" ref="D21">SUMPRODUCT(ISNUMBER(SEARCH("741",'EFETIVO 11.05.2026'!$H$2:$H$712))*('EFETIVO 11.05.2026'!$G$2:$G$712="D")*('EFETIVO 11.05.2026'!$C$2:$C$712="AJUDANTE DE PINTURA INDUSTRIAL"))</f>
        <v>1</v>
      </c>
      <c r="E21" s="192">
        <f t="shared" si="0"/>
        <v>0</v>
      </c>
      <c r="F21" s="246" cm="1">
        <f t="array" ref="F21">SUMPRODUCT(ISNUMBER(SEARCH("741",'EFETIVO 11.05.2026'!$H$2:$H$712))*(('EFETIVO 11.05.2026'!$G$2:$G$712="F")+('EFETIVO 11.05.2026'!$G$2:$G$712="P")+('EFETIVO 11.05.2026'!$G$2:$G$712="T")+('EFETIVO 11.05.2026'!$G$2:$G$712="M"))*('EFETIVO 11.05.2026'!$C$2:$C$712=$B21))</f>
        <v>0</v>
      </c>
    </row>
    <row r="22" spans="2:6" x14ac:dyDescent="0.35">
      <c r="B22" s="177" t="s">
        <v>409</v>
      </c>
      <c r="C22" s="175" cm="1">
        <f t="array" ref="C22">SUMPRODUCT(ISNUMBER(SEARCH("741",'EFETIVO 11.05.2026'!$H$2:$H$712))*('EFETIVO 11.05.2026'!$G$2:$G$712="A")*('EFETIVO 11.05.2026'!$C$2:$C$712="ALMOXARIFE"))</f>
        <v>2</v>
      </c>
      <c r="D22" s="175" cm="1">
        <f t="array" ref="D22">SUMPRODUCT(ISNUMBER(SEARCH("741",'EFETIVO 11.05.2026'!$H$2:$H$712))*('EFETIVO 11.05.2026'!$G$2:$G$712="D")*('EFETIVO 11.05.2026'!$C$2:$C$712="ALMOXARIFE"))</f>
        <v>0</v>
      </c>
      <c r="E22" s="192">
        <f t="shared" si="0"/>
        <v>1.0810810810810811E-2</v>
      </c>
      <c r="F22" s="246" cm="1">
        <f t="array" ref="F22">SUMPRODUCT(ISNUMBER(SEARCH("741",'EFETIVO 11.05.2026'!$H$2:$H$712))*(('EFETIVO 11.05.2026'!$G$2:$G$712="F")+('EFETIVO 11.05.2026'!$G$2:$G$712="P")+('EFETIVO 11.05.2026'!$G$2:$G$712="T")+('EFETIVO 11.05.2026'!$G$2:$G$712="M"))*('EFETIVO 11.05.2026'!$C$2:$C$712=$B22))</f>
        <v>0</v>
      </c>
    </row>
    <row r="23" spans="2:6" x14ac:dyDescent="0.35">
      <c r="B23" s="177" t="s">
        <v>410</v>
      </c>
      <c r="C23" s="175" cm="1">
        <f t="array" ref="C23">SUMPRODUCT(ISNUMBER(SEARCH("741",'EFETIVO 11.05.2026'!$H$2:$H$712))*('EFETIVO 11.05.2026'!$G$2:$G$712="A")*('EFETIVO 11.05.2026'!$C$2:$C$712="ARTIFICE"))</f>
        <v>20</v>
      </c>
      <c r="D23" s="175" cm="1">
        <f t="array" ref="D23">SUMPRODUCT(ISNUMBER(SEARCH("741",'EFETIVO 11.05.2026'!$H$2:$H$712))*('EFETIVO 11.05.2026'!$G$2:$G$712="D")*('EFETIVO 11.05.2026'!$C$2:$C$712="ARTIFICE"))</f>
        <v>2</v>
      </c>
      <c r="E23" s="192">
        <f t="shared" si="0"/>
        <v>0.10810810810810811</v>
      </c>
      <c r="F23" s="246" cm="1">
        <f t="array" ref="F23">SUMPRODUCT(ISNUMBER(SEARCH("741",'EFETIVO 11.05.2026'!$H$2:$H$712))*(('EFETIVO 11.05.2026'!$G$2:$G$712="F")+('EFETIVO 11.05.2026'!$G$2:$G$712="P")+('EFETIVO 11.05.2026'!$G$2:$G$712="T")+('EFETIVO 11.05.2026'!$G$2:$G$712="M"))*('EFETIVO 11.05.2026'!$C$2:$C$712=$B23))</f>
        <v>2</v>
      </c>
    </row>
    <row r="24" spans="2:6" x14ac:dyDescent="0.35">
      <c r="B24" s="177" t="s">
        <v>411</v>
      </c>
      <c r="C24" s="175" cm="1">
        <f t="array" ref="C24">SUMPRODUCT(ISNUMBER(SEARCH("741",'EFETIVO 11.05.2026'!$H$2:$H$712))*('EFETIVO 11.05.2026'!$G$2:$G$712="A")*('EFETIVO 11.05.2026'!$C$2:$C$712="ASSISTENTE ADMINISTRATIVO"))</f>
        <v>3</v>
      </c>
      <c r="D24" s="175" cm="1">
        <f t="array" ref="D24">SUMPRODUCT(ISNUMBER(SEARCH("741",'EFETIVO 11.05.2026'!$H$2:$H$712))*('EFETIVO 11.05.2026'!$G$2:$G$712="D")*('EFETIVO 11.05.2026'!$C$2:$C$712="ASSISTENTE ADMINISTRATIVO"))</f>
        <v>0</v>
      </c>
      <c r="E24" s="192">
        <f t="shared" si="0"/>
        <v>1.6216216216216217E-2</v>
      </c>
      <c r="F24" s="246" cm="1">
        <f t="array" ref="F24">SUMPRODUCT(ISNUMBER(SEARCH("741",'EFETIVO 11.05.2026'!$H$2:$H$712))*(('EFETIVO 11.05.2026'!$G$2:$G$712="F")+('EFETIVO 11.05.2026'!$G$2:$G$712="P")+('EFETIVO 11.05.2026'!$G$2:$G$712="T")+('EFETIVO 11.05.2026'!$G$2:$G$712="M"))*('EFETIVO 11.05.2026'!$C$2:$C$712=$B24))</f>
        <v>0</v>
      </c>
    </row>
    <row r="25" spans="2:6" x14ac:dyDescent="0.35">
      <c r="B25" s="177" t="s">
        <v>412</v>
      </c>
      <c r="C25" s="175" cm="1">
        <f t="array" ref="C25">SUMPRODUCT(ISNUMBER(SEARCH("741",'EFETIVO 11.05.2026'!$H$2:$H$712))*('EFETIVO 11.05.2026'!$G$2:$G$712="A")*('EFETIVO 11.05.2026'!$C$2:$C$712="ASSISTENTE DE LOGISTICA I"))</f>
        <v>2</v>
      </c>
      <c r="D25" s="175" cm="1">
        <f t="array" ref="D25">SUMPRODUCT(ISNUMBER(SEARCH("741",'EFETIVO 11.05.2026'!$H$2:$H$712))*('EFETIVO 11.05.2026'!$G$2:$G$712="D")*('EFETIVO 11.05.2026'!$C$2:$C$712="ASSISTENTE DE LOGISTICA I"))</f>
        <v>0</v>
      </c>
      <c r="E25" s="192">
        <f t="shared" si="0"/>
        <v>1.0810810810810811E-2</v>
      </c>
      <c r="F25" s="246" cm="1">
        <f t="array" ref="F25">SUMPRODUCT(ISNUMBER(SEARCH("741",'EFETIVO 11.05.2026'!$H$2:$H$712))*(('EFETIVO 11.05.2026'!$G$2:$G$712="F")+('EFETIVO 11.05.2026'!$G$2:$G$712="P")+('EFETIVO 11.05.2026'!$G$2:$G$712="T")+('EFETIVO 11.05.2026'!$G$2:$G$712="M"))*('EFETIVO 11.05.2026'!$C$2:$C$712=$B25))</f>
        <v>0</v>
      </c>
    </row>
    <row r="26" spans="2:6" x14ac:dyDescent="0.35">
      <c r="B26" s="177" t="s">
        <v>413</v>
      </c>
      <c r="C26" s="175" cm="1">
        <f t="array" ref="C26">SUMPRODUCT(ISNUMBER(SEARCH("741",'EFETIVO 11.05.2026'!$H$2:$H$712))*('EFETIVO 11.05.2026'!$G$2:$G$712="A")*('EFETIVO 11.05.2026'!$C$2:$C$712="AUXILIAR ADMINISTRATIVO"))</f>
        <v>2</v>
      </c>
      <c r="D26" s="175" cm="1">
        <f t="array" ref="D26">SUMPRODUCT(ISNUMBER(SEARCH("741",'EFETIVO 11.05.2026'!$H$2:$H$712))*('EFETIVO 11.05.2026'!$G$2:$G$712="D")*('EFETIVO 11.05.2026'!$C$2:$C$712="AUXILIAR ADMINISTRATIVO"))</f>
        <v>1</v>
      </c>
      <c r="E26" s="192">
        <f t="shared" si="0"/>
        <v>1.0810810810810811E-2</v>
      </c>
      <c r="F26" s="246" cm="1">
        <f t="array" ref="F26">SUMPRODUCT(ISNUMBER(SEARCH("741",'EFETIVO 11.05.2026'!$H$2:$H$712))*(('EFETIVO 11.05.2026'!$G$2:$G$712="F")+('EFETIVO 11.05.2026'!$G$2:$G$712="P")+('EFETIVO 11.05.2026'!$G$2:$G$712="T")+('EFETIVO 11.05.2026'!$G$2:$G$712="M"))*('EFETIVO 11.05.2026'!$C$2:$C$712=$B26))</f>
        <v>0</v>
      </c>
    </row>
    <row r="27" spans="2:6" x14ac:dyDescent="0.35">
      <c r="B27" s="177" t="s">
        <v>414</v>
      </c>
      <c r="C27" s="175" cm="1">
        <f t="array" ref="C27">SUMPRODUCT(ISNUMBER(SEARCH("741",'EFETIVO 11.05.2026'!$H$2:$H$712))*('EFETIVO 11.05.2026'!$G$2:$G$712="A")*('EFETIVO 11.05.2026'!$C$2:$C$712="AUXILIAR DE ALMOXARIFADO"))</f>
        <v>2</v>
      </c>
      <c r="D27" s="175" cm="1">
        <f t="array" ref="D27">SUMPRODUCT(ISNUMBER(SEARCH("741",'EFETIVO 11.05.2026'!$H$2:$H$712))*('EFETIVO 11.05.2026'!$G$2:$G$712="D")*('EFETIVO 11.05.2026'!$C$2:$C$712="AUXILIAR DE ALMOXARIFADO"))</f>
        <v>0</v>
      </c>
      <c r="E27" s="192">
        <f t="shared" si="0"/>
        <v>1.0810810810810811E-2</v>
      </c>
      <c r="F27" s="246" cm="1">
        <f t="array" ref="F27">SUMPRODUCT(ISNUMBER(SEARCH("741",'EFETIVO 11.05.2026'!$H$2:$H$712))*(('EFETIVO 11.05.2026'!$G$2:$G$712="F")+('EFETIVO 11.05.2026'!$G$2:$G$712="P")+('EFETIVO 11.05.2026'!$G$2:$G$712="T")+('EFETIVO 11.05.2026'!$G$2:$G$712="M"))*('EFETIVO 11.05.2026'!$C$2:$C$712=$B27))</f>
        <v>0</v>
      </c>
    </row>
    <row r="28" spans="2:6" x14ac:dyDescent="0.35">
      <c r="B28" s="177" t="s">
        <v>415</v>
      </c>
      <c r="C28" s="175" cm="1">
        <f t="array" ref="C28">SUMPRODUCT(ISNUMBER(SEARCH("741",'EFETIVO 11.05.2026'!$H$2:$H$712))*('EFETIVO 11.05.2026'!$G$2:$G$712="A")*('EFETIVO 11.05.2026'!$C$2:$C$712="AUXILIAR DE ALMOXARIFE"))</f>
        <v>0</v>
      </c>
      <c r="D28" s="175" cm="1">
        <f t="array" ref="D28">SUMPRODUCT(ISNUMBER(SEARCH("741",'EFETIVO 11.05.2026'!$H$2:$H$712))*('EFETIVO 11.05.2026'!$G$2:$G$712="D")*('EFETIVO 11.05.2026'!$C$2:$C$712="AUXILIAR DE ALMOXARIFE"))</f>
        <v>2</v>
      </c>
      <c r="E28" s="192">
        <f t="shared" si="0"/>
        <v>0</v>
      </c>
      <c r="F28" s="246" cm="1">
        <f t="array" ref="F28">SUMPRODUCT(ISNUMBER(SEARCH("741",'EFETIVO 11.05.2026'!$H$2:$H$712))*(('EFETIVO 11.05.2026'!$G$2:$G$712="F")+('EFETIVO 11.05.2026'!$G$2:$G$712="P")+('EFETIVO 11.05.2026'!$G$2:$G$712="T")+('EFETIVO 11.05.2026'!$G$2:$G$712="M"))*('EFETIVO 11.05.2026'!$C$2:$C$712=$B28))</f>
        <v>0</v>
      </c>
    </row>
    <row r="29" spans="2:6" x14ac:dyDescent="0.35">
      <c r="B29" s="177" t="s">
        <v>416</v>
      </c>
      <c r="C29" s="175" cm="1">
        <f t="array" ref="C29">SUMPRODUCT(ISNUMBER(SEARCH("741",'EFETIVO 11.05.2026'!$H$2:$H$712))*('EFETIVO 11.05.2026'!$G$2:$G$712="A")*('EFETIVO 11.05.2026'!$C$2:$C$712="AUXILIAR DE JARDINAGEM"))</f>
        <v>23</v>
      </c>
      <c r="D29" s="175" cm="1">
        <f t="array" ref="D29">SUMPRODUCT(ISNUMBER(SEARCH("741",'EFETIVO 11.05.2026'!$H$2:$H$712))*('EFETIVO 11.05.2026'!$G$2:$G$712="D")*('EFETIVO 11.05.2026'!$C$2:$C$712="AUXILIAR DE JARDINAGEM"))</f>
        <v>7</v>
      </c>
      <c r="E29" s="192">
        <f t="shared" si="0"/>
        <v>0.12432432432432433</v>
      </c>
      <c r="F29" s="246" cm="1">
        <f t="array" ref="F29">SUMPRODUCT(ISNUMBER(SEARCH("741",'EFETIVO 11.05.2026'!$H$2:$H$712))*(('EFETIVO 11.05.2026'!$G$2:$G$712="F")+('EFETIVO 11.05.2026'!$G$2:$G$712="P")+('EFETIVO 11.05.2026'!$G$2:$G$712="T")+('EFETIVO 11.05.2026'!$G$2:$G$712="M"))*('EFETIVO 11.05.2026'!$C$2:$C$712=$B29))</f>
        <v>1</v>
      </c>
    </row>
    <row r="30" spans="2:6" x14ac:dyDescent="0.35">
      <c r="B30" s="177" t="s">
        <v>417</v>
      </c>
      <c r="C30" s="175" cm="1">
        <f t="array" ref="C30">SUMPRODUCT(ISNUMBER(SEARCH("741",'EFETIVO 11.05.2026'!$H$2:$H$712))*('EFETIVO 11.05.2026'!$G$2:$G$712="A")*('EFETIVO 11.05.2026'!$C$2:$C$712="AUXILIAR DE MANUTENCAO CIVIL"))</f>
        <v>12</v>
      </c>
      <c r="D30" s="175" cm="1">
        <f t="array" ref="D30">SUMPRODUCT(ISNUMBER(SEARCH("741",'EFETIVO 11.05.2026'!$H$2:$H$712))*('EFETIVO 11.05.2026'!$G$2:$G$712="D")*('EFETIVO 11.05.2026'!$C$2:$C$712="AUXILIAR DE MANUTENCAO CIVIL"))</f>
        <v>5</v>
      </c>
      <c r="E30" s="192">
        <f t="shared" si="0"/>
        <v>6.4864864864864868E-2</v>
      </c>
      <c r="F30" s="246" cm="1">
        <f t="array" ref="F30">SUMPRODUCT(ISNUMBER(SEARCH("741",'EFETIVO 11.05.2026'!$H$2:$H$712))*(('EFETIVO 11.05.2026'!$G$2:$G$712="F")+('EFETIVO 11.05.2026'!$G$2:$G$712="P")+('EFETIVO 11.05.2026'!$G$2:$G$712="T")+('EFETIVO 11.05.2026'!$G$2:$G$712="M"))*('EFETIVO 11.05.2026'!$C$2:$C$712=$B30))</f>
        <v>1</v>
      </c>
    </row>
    <row r="31" spans="2:6" x14ac:dyDescent="0.35">
      <c r="B31" s="177" t="s">
        <v>418</v>
      </c>
      <c r="C31" s="175" cm="1">
        <f t="array" ref="C31">SUMPRODUCT(ISNUMBER(SEARCH("741",'EFETIVO 11.05.2026'!$H$2:$H$712))*('EFETIVO 11.05.2026'!$G$2:$G$712="A")*('EFETIVO 11.05.2026'!$C$2:$C$712="AUXILIAR DE MANUTENCAO EM CALDEIRARIA"))</f>
        <v>1</v>
      </c>
      <c r="D31" s="175" cm="1">
        <f t="array" ref="D31">SUMPRODUCT(ISNUMBER(SEARCH("741",'EFETIVO 11.05.2026'!$H$2:$H$712))*('EFETIVO 11.05.2026'!$G$2:$G$712="D")*('EFETIVO 11.05.2026'!$C$2:$C$712="AUXILIAR DE MANUTENCAO EM CALDEIRARIA"))</f>
        <v>0</v>
      </c>
      <c r="E31" s="192">
        <f t="shared" si="0"/>
        <v>5.4054054054054057E-3</v>
      </c>
      <c r="F31" s="246" cm="1">
        <f t="array" ref="F31">SUMPRODUCT(ISNUMBER(SEARCH("741",'EFETIVO 11.05.2026'!$H$2:$H$712))*(('EFETIVO 11.05.2026'!$G$2:$G$712="F")+('EFETIVO 11.05.2026'!$G$2:$G$712="P")+('EFETIVO 11.05.2026'!$G$2:$G$712="T")+('EFETIVO 11.05.2026'!$G$2:$G$712="M"))*('EFETIVO 11.05.2026'!$C$2:$C$712=$B31))</f>
        <v>0</v>
      </c>
    </row>
    <row r="32" spans="2:6" x14ac:dyDescent="0.35">
      <c r="B32" s="177" t="s">
        <v>419</v>
      </c>
      <c r="C32" s="175" cm="1">
        <f t="array" ref="C32">SUMPRODUCT(ISNUMBER(SEARCH("741",'EFETIVO 11.05.2026'!$H$2:$H$712))*('EFETIVO 11.05.2026'!$G$2:$G$712="A")*('EFETIVO 11.05.2026'!$C$2:$C$712="AUXILIAR DE SEGURANCA DO TRABALHO"))</f>
        <v>2</v>
      </c>
      <c r="D32" s="175" cm="1">
        <f t="array" ref="D32">SUMPRODUCT(ISNUMBER(SEARCH("741",'EFETIVO 11.05.2026'!$H$2:$H$712))*('EFETIVO 11.05.2026'!$G$2:$G$712="D")*('EFETIVO 11.05.2026'!$C$2:$C$712="AUXILIAR DE SEGURANCA DO TRABALHO"))</f>
        <v>2</v>
      </c>
      <c r="E32" s="192">
        <f t="shared" si="0"/>
        <v>1.0810810810810811E-2</v>
      </c>
      <c r="F32" s="246" cm="1">
        <f t="array" ref="F32">SUMPRODUCT(ISNUMBER(SEARCH("741",'EFETIVO 11.05.2026'!$H$2:$H$712))*(('EFETIVO 11.05.2026'!$G$2:$G$712="F")+('EFETIVO 11.05.2026'!$G$2:$G$712="P")+('EFETIVO 11.05.2026'!$G$2:$G$712="T")+('EFETIVO 11.05.2026'!$G$2:$G$712="M"))*('EFETIVO 11.05.2026'!$C$2:$C$712=$B32))</f>
        <v>0</v>
      </c>
    </row>
    <row r="33" spans="2:6" x14ac:dyDescent="0.35">
      <c r="B33" s="177" t="s">
        <v>420</v>
      </c>
      <c r="C33" s="175" cm="1">
        <f t="array" ref="C33">SUMPRODUCT(ISNUMBER(SEARCH("741",'EFETIVO 11.05.2026'!$H$2:$H$712))*('EFETIVO 11.05.2026'!$G$2:$G$712="A")*('EFETIVO 11.05.2026'!$C$2:$C$712="AUXILIAR DE SERVICOS GERAIS"))</f>
        <v>27</v>
      </c>
      <c r="D33" s="175" cm="1">
        <f t="array" ref="D33">SUMPRODUCT(ISNUMBER(SEARCH("741",'EFETIVO 11.05.2026'!$H$2:$H$712))*('EFETIVO 11.05.2026'!$G$2:$G$712="D")*('EFETIVO 11.05.2026'!$C$2:$C$712="AUXILIAR DE SERVICOS GERAIS"))</f>
        <v>11</v>
      </c>
      <c r="E33" s="192">
        <f t="shared" si="0"/>
        <v>0.14594594594594595</v>
      </c>
      <c r="F33" s="246" cm="1">
        <f t="array" ref="F33">SUMPRODUCT(ISNUMBER(SEARCH("741",'EFETIVO 11.05.2026'!$H$2:$H$712))*(('EFETIVO 11.05.2026'!$G$2:$G$712="F")+('EFETIVO 11.05.2026'!$G$2:$G$712="P")+('EFETIVO 11.05.2026'!$G$2:$G$712="T")+('EFETIVO 11.05.2026'!$G$2:$G$712="M"))*('EFETIVO 11.05.2026'!$C$2:$C$712=$B33))</f>
        <v>1</v>
      </c>
    </row>
    <row r="34" spans="2:6" x14ac:dyDescent="0.35">
      <c r="B34" s="177" t="s">
        <v>421</v>
      </c>
      <c r="C34" s="175" cm="1">
        <f t="array" ref="C34">SUMPRODUCT(ISNUMBER(SEARCH("741",'EFETIVO 11.05.2026'!$H$2:$H$712))*('EFETIVO 11.05.2026'!$G$2:$G$712="A")*('EFETIVO 11.05.2026'!$C$2:$C$712="BOMBEIRO HIDRAULICO"))</f>
        <v>0</v>
      </c>
      <c r="D34" s="175" cm="1">
        <f t="array" ref="D34">SUMPRODUCT(ISNUMBER(SEARCH("741",'EFETIVO 11.05.2026'!$H$2:$H$712))*('EFETIVO 11.05.2026'!$G$2:$G$712="D")*('EFETIVO 11.05.2026'!$C$2:$C$712="BOMBEIRO HIDRAULICO"))</f>
        <v>1</v>
      </c>
      <c r="E34" s="192">
        <f t="shared" si="0"/>
        <v>0</v>
      </c>
      <c r="F34" s="246" cm="1">
        <f t="array" ref="F34">SUMPRODUCT(ISNUMBER(SEARCH("741",'EFETIVO 11.05.2026'!$H$2:$H$712))*(('EFETIVO 11.05.2026'!$G$2:$G$712="F")+('EFETIVO 11.05.2026'!$G$2:$G$712="P")+('EFETIVO 11.05.2026'!$G$2:$G$712="T")+('EFETIVO 11.05.2026'!$G$2:$G$712="M"))*('EFETIVO 11.05.2026'!$C$2:$C$712=$B34))</f>
        <v>0</v>
      </c>
    </row>
    <row r="35" spans="2:6" x14ac:dyDescent="0.35">
      <c r="B35" s="177" t="s">
        <v>422</v>
      </c>
      <c r="C35" s="175" cm="1">
        <f t="array" ref="C35">SUMPRODUCT(ISNUMBER(SEARCH("741",'EFETIVO 11.05.2026'!$H$2:$H$712))*('EFETIVO 11.05.2026'!$G$2:$G$712="A")*('EFETIVO 11.05.2026'!$C$2:$C$712="CADISTA I"))</f>
        <v>1</v>
      </c>
      <c r="D35" s="175" cm="1">
        <f t="array" ref="D35">SUMPRODUCT(ISNUMBER(SEARCH("741",'EFETIVO 11.05.2026'!$H$2:$H$712))*('EFETIVO 11.05.2026'!$G$2:$G$712="D")*('EFETIVO 11.05.2026'!$C$2:$C$712="CADISTA I"))</f>
        <v>0</v>
      </c>
      <c r="E35" s="192">
        <f t="shared" si="0"/>
        <v>5.4054054054054057E-3</v>
      </c>
      <c r="F35" s="246" cm="1">
        <f t="array" ref="F35">SUMPRODUCT(ISNUMBER(SEARCH("741",'EFETIVO 11.05.2026'!$H$2:$H$712))*(('EFETIVO 11.05.2026'!$G$2:$G$712="F")+('EFETIVO 11.05.2026'!$G$2:$G$712="P")+('EFETIVO 11.05.2026'!$G$2:$G$712="T")+('EFETIVO 11.05.2026'!$G$2:$G$712="M"))*('EFETIVO 11.05.2026'!$C$2:$C$712=$B35))</f>
        <v>0</v>
      </c>
    </row>
    <row r="36" spans="2:6" x14ac:dyDescent="0.35">
      <c r="B36" s="177" t="s">
        <v>423</v>
      </c>
      <c r="C36" s="175" cm="1">
        <f t="array" ref="C36">SUMPRODUCT(ISNUMBER(SEARCH("741",'EFETIVO 11.05.2026'!$H$2:$H$712))*('EFETIVO 11.05.2026'!$G$2:$G$712="A")*('EFETIVO 11.05.2026'!$C$2:$C$712="CALDEIREIRO"))</f>
        <v>2</v>
      </c>
      <c r="D36" s="175" cm="1">
        <f t="array" ref="D36">SUMPRODUCT(ISNUMBER(SEARCH("741",'EFETIVO 11.05.2026'!$H$2:$H$712))*('EFETIVO 11.05.2026'!$G$2:$G$712="D")*('EFETIVO 11.05.2026'!$C$2:$C$712="CALDEIREIRO"))</f>
        <v>1</v>
      </c>
      <c r="E36" s="192">
        <f t="shared" si="0"/>
        <v>1.0810810810810811E-2</v>
      </c>
      <c r="F36" s="246" cm="1">
        <f t="array" ref="F36">SUMPRODUCT(ISNUMBER(SEARCH("741",'EFETIVO 11.05.2026'!$H$2:$H$712))*(('EFETIVO 11.05.2026'!$G$2:$G$712="F")+('EFETIVO 11.05.2026'!$G$2:$G$712="P")+('EFETIVO 11.05.2026'!$G$2:$G$712="T")+('EFETIVO 11.05.2026'!$G$2:$G$712="M"))*('EFETIVO 11.05.2026'!$C$2:$C$712=$B36))</f>
        <v>0</v>
      </c>
    </row>
    <row r="37" spans="2:6" x14ac:dyDescent="0.35">
      <c r="B37" s="177" t="s">
        <v>424</v>
      </c>
      <c r="C37" s="175" cm="1">
        <f t="array" ref="C37">SUMPRODUCT(ISNUMBER(SEARCH("741",'EFETIVO 11.05.2026'!$H$2:$H$712))*('EFETIVO 11.05.2026'!$G$2:$G$712="A")*('EFETIVO 11.05.2026'!$C$2:$C$712="CARPINTEIRO"))</f>
        <v>0</v>
      </c>
      <c r="D37" s="175" cm="1">
        <f t="array" ref="D37">SUMPRODUCT(ISNUMBER(SEARCH("741",'EFETIVO 11.05.2026'!$H$2:$H$712))*('EFETIVO 11.05.2026'!$G$2:$G$712="D")*('EFETIVO 11.05.2026'!$C$2:$C$712="CARPINTEIRO"))</f>
        <v>1</v>
      </c>
      <c r="E37" s="192">
        <f t="shared" si="0"/>
        <v>0</v>
      </c>
      <c r="F37" s="246" cm="1">
        <f t="array" ref="F37">SUMPRODUCT(ISNUMBER(SEARCH("741",'EFETIVO 11.05.2026'!$H$2:$H$712))*(('EFETIVO 11.05.2026'!$G$2:$G$712="F")+('EFETIVO 11.05.2026'!$G$2:$G$712="P")+('EFETIVO 11.05.2026'!$G$2:$G$712="T")+('EFETIVO 11.05.2026'!$G$2:$G$712="M"))*('EFETIVO 11.05.2026'!$C$2:$C$712=$B37))</f>
        <v>0</v>
      </c>
    </row>
    <row r="38" spans="2:6" x14ac:dyDescent="0.35">
      <c r="B38" s="177" t="s">
        <v>425</v>
      </c>
      <c r="C38" s="175" cm="1">
        <f t="array" ref="C38">SUMPRODUCT(ISNUMBER(SEARCH("741",'EFETIVO 11.05.2026'!$H$2:$H$712))*('EFETIVO 11.05.2026'!$G$2:$G$712="A")*('EFETIVO 11.05.2026'!$C$2:$C$712="COMPRADOR"))</f>
        <v>2</v>
      </c>
      <c r="D38" s="175" cm="1">
        <f t="array" ref="D38">SUMPRODUCT(ISNUMBER(SEARCH("741",'EFETIVO 11.05.2026'!$H$2:$H$712))*('EFETIVO 11.05.2026'!$G$2:$G$712="D")*('EFETIVO 11.05.2026'!$C$2:$C$712="COMPRADOR"))</f>
        <v>0</v>
      </c>
      <c r="E38" s="192">
        <f t="shared" si="0"/>
        <v>1.0810810810810811E-2</v>
      </c>
      <c r="F38" s="246" cm="1">
        <f t="array" ref="F38">SUMPRODUCT(ISNUMBER(SEARCH("741",'EFETIVO 11.05.2026'!$H$2:$H$712))*(('EFETIVO 11.05.2026'!$G$2:$G$712="F")+('EFETIVO 11.05.2026'!$G$2:$G$712="P")+('EFETIVO 11.05.2026'!$G$2:$G$712="T")+('EFETIVO 11.05.2026'!$G$2:$G$712="M"))*('EFETIVO 11.05.2026'!$C$2:$C$712=$B38))</f>
        <v>0</v>
      </c>
    </row>
    <row r="39" spans="2:6" x14ac:dyDescent="0.35">
      <c r="B39" s="177" t="s">
        <v>426</v>
      </c>
      <c r="C39" s="175" cm="1">
        <f t="array" ref="C39">SUMPRODUCT(ISNUMBER(SEARCH("741",'EFETIVO 11.05.2026'!$H$2:$H$712))*('EFETIVO 11.05.2026'!$G$2:$G$712="A")*('EFETIVO 11.05.2026'!$C$2:$C$712="COORDENADOR DE MANUTENCAO"))</f>
        <v>1</v>
      </c>
      <c r="D39" s="175" cm="1">
        <f t="array" ref="D39">SUMPRODUCT(ISNUMBER(SEARCH("741",'EFETIVO 11.05.2026'!$H$2:$H$712))*('EFETIVO 11.05.2026'!$G$2:$G$712="D")*('EFETIVO 11.05.2026'!$C$2:$C$712="COORDENADOR DE MANUTENCAO"))</f>
        <v>1</v>
      </c>
      <c r="E39" s="192">
        <f t="shared" si="0"/>
        <v>5.4054054054054057E-3</v>
      </c>
      <c r="F39" s="246" cm="1">
        <f t="array" ref="F39">SUMPRODUCT(ISNUMBER(SEARCH("741",'EFETIVO 11.05.2026'!$H$2:$H$712))*(('EFETIVO 11.05.2026'!$G$2:$G$712="F")+('EFETIVO 11.05.2026'!$G$2:$G$712="P")+('EFETIVO 11.05.2026'!$G$2:$G$712="T")+('EFETIVO 11.05.2026'!$G$2:$G$712="M"))*('EFETIVO 11.05.2026'!$C$2:$C$712=$B39))</f>
        <v>0</v>
      </c>
    </row>
    <row r="40" spans="2:6" x14ac:dyDescent="0.35">
      <c r="B40" s="177" t="s">
        <v>427</v>
      </c>
      <c r="C40" s="175" cm="1">
        <f t="array" ref="C40">SUMPRODUCT(ISNUMBER(SEARCH("741",'EFETIVO 11.05.2026'!$H$2:$H$712))*('EFETIVO 11.05.2026'!$G$2:$G$712="A")*('EFETIVO 11.05.2026'!$C$2:$C$712="ELETRICISTA PREDIAL"))</f>
        <v>4</v>
      </c>
      <c r="D40" s="175" cm="1">
        <f t="array" ref="D40">SUMPRODUCT(ISNUMBER(SEARCH("741",'EFETIVO 11.05.2026'!$H$2:$H$712))*('EFETIVO 11.05.2026'!$G$2:$G$712="D")*('EFETIVO 11.05.2026'!$C$2:$C$712="ELETRICISTA PREDIAL"))</f>
        <v>4</v>
      </c>
      <c r="E40" s="192">
        <f t="shared" si="0"/>
        <v>2.1621621621621623E-2</v>
      </c>
      <c r="F40" s="246" cm="1">
        <f t="array" ref="F40">SUMPRODUCT(ISNUMBER(SEARCH("741",'EFETIVO 11.05.2026'!$H$2:$H$712))*(('EFETIVO 11.05.2026'!$G$2:$G$712="F")+('EFETIVO 11.05.2026'!$G$2:$G$712="P")+('EFETIVO 11.05.2026'!$G$2:$G$712="T")+('EFETIVO 11.05.2026'!$G$2:$G$712="M"))*('EFETIVO 11.05.2026'!$C$2:$C$712=$B40))</f>
        <v>0</v>
      </c>
    </row>
    <row r="41" spans="2:6" x14ac:dyDescent="0.35">
      <c r="B41" s="177" t="s">
        <v>428</v>
      </c>
      <c r="C41" s="175" cm="1">
        <f t="array" ref="C41">SUMPRODUCT(ISNUMBER(SEARCH("741",'EFETIVO 11.05.2026'!$H$2:$H$712))*('EFETIVO 11.05.2026'!$G$2:$G$712="A")*('EFETIVO 11.05.2026'!$C$2:$C$712="ENCARREGADO CIVIL"))</f>
        <v>1</v>
      </c>
      <c r="D41" s="175" cm="1">
        <f t="array" ref="D41">SUMPRODUCT(ISNUMBER(SEARCH("741",'EFETIVO 11.05.2026'!$H$2:$H$712))*('EFETIVO 11.05.2026'!$G$2:$G$712="D")*('EFETIVO 11.05.2026'!$C$2:$C$712="ENCARREGADO CIVIL"))</f>
        <v>4</v>
      </c>
      <c r="E41" s="192">
        <f t="shared" si="0"/>
        <v>5.4054054054054057E-3</v>
      </c>
      <c r="F41" s="246" cm="1">
        <f t="array" ref="F41">SUMPRODUCT(ISNUMBER(SEARCH("741",'EFETIVO 11.05.2026'!$H$2:$H$712))*(('EFETIVO 11.05.2026'!$G$2:$G$712="F")+('EFETIVO 11.05.2026'!$G$2:$G$712="P")+('EFETIVO 11.05.2026'!$G$2:$G$712="T")+('EFETIVO 11.05.2026'!$G$2:$G$712="M"))*('EFETIVO 11.05.2026'!$C$2:$C$712=$B41))</f>
        <v>0</v>
      </c>
    </row>
    <row r="42" spans="2:6" x14ac:dyDescent="0.35">
      <c r="B42" s="177" t="s">
        <v>429</v>
      </c>
      <c r="C42" s="175" cm="1">
        <f t="array" ref="C42">SUMPRODUCT(ISNUMBER(SEARCH("741",'EFETIVO 11.05.2026'!$H$2:$H$712))*('EFETIVO 11.05.2026'!$G$2:$G$712="A")*('EFETIVO 11.05.2026'!$C$2:$C$712="ENCARREGADO DE AREAS VERDES"))</f>
        <v>2</v>
      </c>
      <c r="D42" s="175" cm="1">
        <f t="array" ref="D42">SUMPRODUCT(ISNUMBER(SEARCH("741",'EFETIVO 11.05.2026'!$H$2:$H$712))*('EFETIVO 11.05.2026'!$G$2:$G$712="D")*('EFETIVO 11.05.2026'!$C$2:$C$712="ENCARREGADO DE AREAS VERDES"))</f>
        <v>0</v>
      </c>
      <c r="E42" s="192">
        <f t="shared" si="0"/>
        <v>1.0810810810810811E-2</v>
      </c>
      <c r="F42" s="246" cm="1">
        <f t="array" ref="F42">SUMPRODUCT(ISNUMBER(SEARCH("741",'EFETIVO 11.05.2026'!$H$2:$H$712))*(('EFETIVO 11.05.2026'!$G$2:$G$712="F")+('EFETIVO 11.05.2026'!$G$2:$G$712="P")+('EFETIVO 11.05.2026'!$G$2:$G$712="T")+('EFETIVO 11.05.2026'!$G$2:$G$712="M"))*('EFETIVO 11.05.2026'!$C$2:$C$712=$B42))</f>
        <v>0</v>
      </c>
    </row>
    <row r="43" spans="2:6" x14ac:dyDescent="0.35">
      <c r="B43" s="177" t="s">
        <v>430</v>
      </c>
      <c r="C43" s="175" cm="1">
        <f t="array" ref="C43">SUMPRODUCT(ISNUMBER(SEARCH("741",'EFETIVO 11.05.2026'!$H$2:$H$712))*('EFETIVO 11.05.2026'!$G$2:$G$712="A")*('EFETIVO 11.05.2026'!$C$2:$C$712="ENCARREGADO DE CONSERVACAO E LIMPEZA"))</f>
        <v>2</v>
      </c>
      <c r="D43" s="175" cm="1">
        <f t="array" ref="D43">SUMPRODUCT(ISNUMBER(SEARCH("741",'EFETIVO 11.05.2026'!$H$2:$H$712))*('EFETIVO 11.05.2026'!$G$2:$G$712="D")*('EFETIVO 11.05.2026'!$C$2:$C$712="ENCARREGADO DE CONSERVACAO E LIMPEZA"))</f>
        <v>0</v>
      </c>
      <c r="E43" s="192">
        <f t="shared" si="0"/>
        <v>1.0810810810810811E-2</v>
      </c>
      <c r="F43" s="246" cm="1">
        <f t="array" ref="F43">SUMPRODUCT(ISNUMBER(SEARCH("741",'EFETIVO 11.05.2026'!$H$2:$H$712))*(('EFETIVO 11.05.2026'!$G$2:$G$712="F")+('EFETIVO 11.05.2026'!$G$2:$G$712="P")+('EFETIVO 11.05.2026'!$G$2:$G$712="T")+('EFETIVO 11.05.2026'!$G$2:$G$712="M"))*('EFETIVO 11.05.2026'!$C$2:$C$712=$B43))</f>
        <v>0</v>
      </c>
    </row>
    <row r="44" spans="2:6" x14ac:dyDescent="0.35">
      <c r="B44" s="177" t="s">
        <v>431</v>
      </c>
      <c r="C44" s="175" cm="1">
        <f t="array" ref="C44">SUMPRODUCT(ISNUMBER(SEARCH("741",'EFETIVO 11.05.2026'!$H$2:$H$712))*('EFETIVO 11.05.2026'!$G$2:$G$712="A")*('EFETIVO 11.05.2026'!$C$2:$C$712="ENGENHEIRO AGRONOMO"))</f>
        <v>1</v>
      </c>
      <c r="D44" s="175" cm="1">
        <f t="array" ref="D44">SUMPRODUCT(ISNUMBER(SEARCH("741",'EFETIVO 11.05.2026'!$H$2:$H$712))*('EFETIVO 11.05.2026'!$G$2:$G$712="D")*('EFETIVO 11.05.2026'!$C$2:$C$712="ENGENHEIRO AGRONOMO"))</f>
        <v>1</v>
      </c>
      <c r="E44" s="192">
        <f t="shared" si="0"/>
        <v>5.4054054054054057E-3</v>
      </c>
      <c r="F44" s="246" cm="1">
        <f t="array" ref="F44">SUMPRODUCT(ISNUMBER(SEARCH("741",'EFETIVO 11.05.2026'!$H$2:$H$712))*(('EFETIVO 11.05.2026'!$G$2:$G$712="F")+('EFETIVO 11.05.2026'!$G$2:$G$712="P")+('EFETIVO 11.05.2026'!$G$2:$G$712="T")+('EFETIVO 11.05.2026'!$G$2:$G$712="M"))*('EFETIVO 11.05.2026'!$C$2:$C$712=$B44))</f>
        <v>0</v>
      </c>
    </row>
    <row r="45" spans="2:6" x14ac:dyDescent="0.35">
      <c r="B45" s="177" t="s">
        <v>432</v>
      </c>
      <c r="C45" s="175" cm="1">
        <f t="array" ref="C45">SUMPRODUCT(ISNUMBER(SEARCH("741",'EFETIVO 11.05.2026'!$H$2:$H$712))*('EFETIVO 11.05.2026'!$G$2:$G$712="A")*('EFETIVO 11.05.2026'!$C$2:$C$712="ENGENHEIRO CIVIL"))</f>
        <v>1</v>
      </c>
      <c r="D45" s="175" cm="1">
        <f t="array" ref="D45">SUMPRODUCT(ISNUMBER(SEARCH("741",'EFETIVO 11.05.2026'!$H$2:$H$712))*('EFETIVO 11.05.2026'!$G$2:$G$712="D")*('EFETIVO 11.05.2026'!$C$2:$C$712="ENGENHEIRO CIVIL"))</f>
        <v>1</v>
      </c>
      <c r="E45" s="192">
        <f t="shared" si="0"/>
        <v>5.4054054054054057E-3</v>
      </c>
      <c r="F45" s="246" cm="1">
        <f t="array" ref="F45">SUMPRODUCT(ISNUMBER(SEARCH("741",'EFETIVO 11.05.2026'!$H$2:$H$712))*(('EFETIVO 11.05.2026'!$G$2:$G$712="F")+('EFETIVO 11.05.2026'!$G$2:$G$712="P")+('EFETIVO 11.05.2026'!$G$2:$G$712="T")+('EFETIVO 11.05.2026'!$G$2:$G$712="M"))*('EFETIVO 11.05.2026'!$C$2:$C$712=$B45))</f>
        <v>0</v>
      </c>
    </row>
    <row r="46" spans="2:6" x14ac:dyDescent="0.35">
      <c r="B46" s="177" t="s">
        <v>433</v>
      </c>
      <c r="C46" s="175" cm="1">
        <f t="array" ref="C46">SUMPRODUCT(ISNUMBER(SEARCH("741",'EFETIVO 11.05.2026'!$H$2:$H$712))*('EFETIVO 11.05.2026'!$G$2:$G$712="A")*('EFETIVO 11.05.2026'!$C$2:$C$712="ESTIVAS"))</f>
        <v>0</v>
      </c>
      <c r="D46" s="175" cm="1">
        <f t="array" ref="D46">SUMPRODUCT(ISNUMBER(SEARCH("741",'EFETIVO 11.05.2026'!$H$2:$H$712))*('EFETIVO 11.05.2026'!$G$2:$G$712="D")*('EFETIVO 11.05.2026'!$C$2:$C$712="ESTIVAS"))</f>
        <v>1</v>
      </c>
      <c r="E46" s="192">
        <f t="shared" ref="E46:E72" si="1">IFERROR(C46/$C$6,0)</f>
        <v>0</v>
      </c>
      <c r="F46" s="246" cm="1">
        <f t="array" ref="F46">SUMPRODUCT(ISNUMBER(SEARCH("741",'EFETIVO 11.05.2026'!$H$2:$H$712))*(('EFETIVO 11.05.2026'!$G$2:$G$712="F")+('EFETIVO 11.05.2026'!$G$2:$G$712="P")+('EFETIVO 11.05.2026'!$G$2:$G$712="T")+('EFETIVO 11.05.2026'!$G$2:$G$712="M"))*('EFETIVO 11.05.2026'!$C$2:$C$712=$B46))</f>
        <v>0</v>
      </c>
    </row>
    <row r="47" spans="2:6" x14ac:dyDescent="0.35">
      <c r="B47" s="177" t="s">
        <v>434</v>
      </c>
      <c r="C47" s="175" cm="1">
        <f t="array" ref="C47">SUMPRODUCT(ISNUMBER(SEARCH("741",'EFETIVO 11.05.2026'!$H$2:$H$712))*('EFETIVO 11.05.2026'!$G$2:$G$712="A")*('EFETIVO 11.05.2026'!$C$2:$C$712="GERENTE DE PROJETO"))</f>
        <v>1</v>
      </c>
      <c r="D47" s="175" cm="1">
        <f t="array" ref="D47">SUMPRODUCT(ISNUMBER(SEARCH("741",'EFETIVO 11.05.2026'!$H$2:$H$712))*('EFETIVO 11.05.2026'!$G$2:$G$712="D")*('EFETIVO 11.05.2026'!$C$2:$C$712="GERENTE DE PROJETO"))</f>
        <v>1</v>
      </c>
      <c r="E47" s="192">
        <f t="shared" si="1"/>
        <v>5.4054054054054057E-3</v>
      </c>
      <c r="F47" s="246" cm="1">
        <f t="array" ref="F47">SUMPRODUCT(ISNUMBER(SEARCH("741",'EFETIVO 11.05.2026'!$H$2:$H$712))*(('EFETIVO 11.05.2026'!$G$2:$G$712="F")+('EFETIVO 11.05.2026'!$G$2:$G$712="P")+('EFETIVO 11.05.2026'!$G$2:$G$712="T")+('EFETIVO 11.05.2026'!$G$2:$G$712="M"))*('EFETIVO 11.05.2026'!$C$2:$C$712=$B47))</f>
        <v>0</v>
      </c>
    </row>
    <row r="48" spans="2:6" x14ac:dyDescent="0.35">
      <c r="B48" s="177" t="s">
        <v>435</v>
      </c>
      <c r="C48" s="175" cm="1">
        <f t="array" ref="C48">SUMPRODUCT(ISNUMBER(SEARCH("741",'EFETIVO 11.05.2026'!$H$2:$H$712))*('EFETIVO 11.05.2026'!$G$2:$G$712="A")*('EFETIVO 11.05.2026'!$C$2:$C$712="GERENTE DE PROJETO I"))</f>
        <v>1</v>
      </c>
      <c r="D48" s="175" cm="1">
        <f t="array" ref="D48">SUMPRODUCT(ISNUMBER(SEARCH("741",'EFETIVO 11.05.2026'!$H$2:$H$712))*('EFETIVO 11.05.2026'!$G$2:$G$712="D")*('EFETIVO 11.05.2026'!$C$2:$C$712="GERENTE DE PROJETO I"))</f>
        <v>0</v>
      </c>
      <c r="E48" s="192">
        <f t="shared" si="1"/>
        <v>5.4054054054054057E-3</v>
      </c>
      <c r="F48" s="246" cm="1">
        <f t="array" ref="F48">SUMPRODUCT(ISNUMBER(SEARCH("741",'EFETIVO 11.05.2026'!$H$2:$H$712))*(('EFETIVO 11.05.2026'!$G$2:$G$712="F")+('EFETIVO 11.05.2026'!$G$2:$G$712="P")+('EFETIVO 11.05.2026'!$G$2:$G$712="T")+('EFETIVO 11.05.2026'!$G$2:$G$712="M"))*('EFETIVO 11.05.2026'!$C$2:$C$712=$B48))</f>
        <v>0</v>
      </c>
    </row>
    <row r="49" spans="2:6" x14ac:dyDescent="0.35">
      <c r="B49" s="177" t="s">
        <v>436</v>
      </c>
      <c r="C49" s="175" cm="1">
        <f t="array" ref="C49">SUMPRODUCT(ISNUMBER(SEARCH("741",'EFETIVO 11.05.2026'!$H$2:$H$712))*('EFETIVO 11.05.2026'!$G$2:$G$712="A")*('EFETIVO 11.05.2026'!$C$2:$C$712="JARDINEIRO"))</f>
        <v>3</v>
      </c>
      <c r="D49" s="175" cm="1">
        <f t="array" ref="D49">SUMPRODUCT(ISNUMBER(SEARCH("741",'EFETIVO 11.05.2026'!$H$2:$H$712))*('EFETIVO 11.05.2026'!$G$2:$G$712="D")*('EFETIVO 11.05.2026'!$C$2:$C$712="JARDINEIRO"))</f>
        <v>0</v>
      </c>
      <c r="E49" s="192">
        <f t="shared" si="1"/>
        <v>1.6216216216216217E-2</v>
      </c>
      <c r="F49" s="246" cm="1">
        <f t="array" ref="F49">SUMPRODUCT(ISNUMBER(SEARCH("741",'EFETIVO 11.05.2026'!$H$2:$H$712))*(('EFETIVO 11.05.2026'!$G$2:$G$712="F")+('EFETIVO 11.05.2026'!$G$2:$G$712="P")+('EFETIVO 11.05.2026'!$G$2:$G$712="T")+('EFETIVO 11.05.2026'!$G$2:$G$712="M"))*('EFETIVO 11.05.2026'!$C$2:$C$712=$B49))</f>
        <v>0</v>
      </c>
    </row>
    <row r="50" spans="2:6" x14ac:dyDescent="0.35">
      <c r="B50" s="177" t="s">
        <v>437</v>
      </c>
      <c r="C50" s="175" cm="1">
        <f t="array" ref="C50">SUMPRODUCT(ISNUMBER(SEARCH("741",'EFETIVO 11.05.2026'!$H$2:$H$712))*('EFETIVO 11.05.2026'!$G$2:$G$712="A")*('EFETIVO 11.05.2026'!$C$2:$C$712="MECANICO"))</f>
        <v>4</v>
      </c>
      <c r="D50" s="175" cm="1">
        <f t="array" ref="D50">SUMPRODUCT(ISNUMBER(SEARCH("741",'EFETIVO 11.05.2026'!$H$2:$H$712))*('EFETIVO 11.05.2026'!$G$2:$G$712="D")*('EFETIVO 11.05.2026'!$C$2:$C$712="MECANICO"))</f>
        <v>2</v>
      </c>
      <c r="E50" s="192">
        <f t="shared" si="1"/>
        <v>2.1621621621621623E-2</v>
      </c>
      <c r="F50" s="246" cm="1">
        <f t="array" ref="F50">SUMPRODUCT(ISNUMBER(SEARCH("741",'EFETIVO 11.05.2026'!$H$2:$H$712))*(('EFETIVO 11.05.2026'!$G$2:$G$712="F")+('EFETIVO 11.05.2026'!$G$2:$G$712="P")+('EFETIVO 11.05.2026'!$G$2:$G$712="T")+('EFETIVO 11.05.2026'!$G$2:$G$712="M"))*('EFETIVO 11.05.2026'!$C$2:$C$712=$B50))</f>
        <v>0</v>
      </c>
    </row>
    <row r="51" spans="2:6" x14ac:dyDescent="0.35">
      <c r="B51" s="177" t="s">
        <v>438</v>
      </c>
      <c r="C51" s="175" cm="1">
        <f t="array" ref="C51">SUMPRODUCT(ISNUMBER(SEARCH("741",'EFETIVO 11.05.2026'!$H$2:$H$712))*('EFETIVO 11.05.2026'!$G$2:$G$712="A")*('EFETIVO 11.05.2026'!$C$2:$C$712="MECANICO DE REFRIGERACAO I"))</f>
        <v>1</v>
      </c>
      <c r="D51" s="175" cm="1">
        <f t="array" ref="D51">SUMPRODUCT(ISNUMBER(SEARCH("741",'EFETIVO 11.05.2026'!$H$2:$H$712))*('EFETIVO 11.05.2026'!$G$2:$G$712="D")*('EFETIVO 11.05.2026'!$C$2:$C$712="MECANICO DE REFRIGERACAO I"))</f>
        <v>1</v>
      </c>
      <c r="E51" s="192">
        <f t="shared" si="1"/>
        <v>5.4054054054054057E-3</v>
      </c>
      <c r="F51" s="246" cm="1">
        <f t="array" ref="F51">SUMPRODUCT(ISNUMBER(SEARCH("741",'EFETIVO 11.05.2026'!$H$2:$H$712))*(('EFETIVO 11.05.2026'!$G$2:$G$712="F")+('EFETIVO 11.05.2026'!$G$2:$G$712="P")+('EFETIVO 11.05.2026'!$G$2:$G$712="T")+('EFETIVO 11.05.2026'!$G$2:$G$712="M"))*('EFETIVO 11.05.2026'!$C$2:$C$712=$B51))</f>
        <v>0</v>
      </c>
    </row>
    <row r="52" spans="2:6" x14ac:dyDescent="0.35">
      <c r="B52" s="177" t="s">
        <v>439</v>
      </c>
      <c r="C52" s="175" cm="1">
        <f t="array" ref="C52">SUMPRODUCT(ISNUMBER(SEARCH("741",'EFETIVO 11.05.2026'!$H$2:$H$712))*('EFETIVO 11.05.2026'!$G$2:$G$712="A")*('EFETIVO 11.05.2026'!$C$2:$C$712="MONTADOR DE ANDAIMES"))</f>
        <v>3</v>
      </c>
      <c r="D52" s="175" cm="1">
        <f t="array" ref="D52">SUMPRODUCT(ISNUMBER(SEARCH("741",'EFETIVO 11.05.2026'!$H$2:$H$712))*('EFETIVO 11.05.2026'!$G$2:$G$712="D")*('EFETIVO 11.05.2026'!$C$2:$C$712="MONTADOR DE ANDAIMES"))</f>
        <v>4</v>
      </c>
      <c r="E52" s="192">
        <f t="shared" si="1"/>
        <v>1.6216216216216217E-2</v>
      </c>
      <c r="F52" s="246" cm="1">
        <f t="array" ref="F52">SUMPRODUCT(ISNUMBER(SEARCH("741",'EFETIVO 11.05.2026'!$H$2:$H$712))*(('EFETIVO 11.05.2026'!$G$2:$G$712="F")+('EFETIVO 11.05.2026'!$G$2:$G$712="P")+('EFETIVO 11.05.2026'!$G$2:$G$712="T")+('EFETIVO 11.05.2026'!$G$2:$G$712="M"))*('EFETIVO 11.05.2026'!$C$2:$C$712=$B52))</f>
        <v>0</v>
      </c>
    </row>
    <row r="53" spans="2:6" x14ac:dyDescent="0.35">
      <c r="B53" s="177" t="s">
        <v>440</v>
      </c>
      <c r="C53" s="175" cm="1">
        <f t="array" ref="C53">SUMPRODUCT(ISNUMBER(SEARCH("741",'EFETIVO 11.05.2026'!$H$2:$H$712))*('EFETIVO 11.05.2026'!$G$2:$G$712="A")*('EFETIVO 11.05.2026'!$C$2:$C$712="MOTORISTA"))</f>
        <v>3</v>
      </c>
      <c r="D53" s="175" cm="1">
        <f t="array" ref="D53">SUMPRODUCT(ISNUMBER(SEARCH("741",'EFETIVO 11.05.2026'!$H$2:$H$712))*('EFETIVO 11.05.2026'!$G$2:$G$712="D")*('EFETIVO 11.05.2026'!$C$2:$C$712="MOTORISTA"))</f>
        <v>0</v>
      </c>
      <c r="E53" s="192">
        <f t="shared" si="1"/>
        <v>1.6216216216216217E-2</v>
      </c>
      <c r="F53" s="246" cm="1">
        <f t="array" ref="F53">SUMPRODUCT(ISNUMBER(SEARCH("741",'EFETIVO 11.05.2026'!$H$2:$H$712))*(('EFETIVO 11.05.2026'!$G$2:$G$712="F")+('EFETIVO 11.05.2026'!$G$2:$G$712="P")+('EFETIVO 11.05.2026'!$G$2:$G$712="T")+('EFETIVO 11.05.2026'!$G$2:$G$712="M"))*('EFETIVO 11.05.2026'!$C$2:$C$712=$B53))</f>
        <v>0</v>
      </c>
    </row>
    <row r="54" spans="2:6" x14ac:dyDescent="0.35">
      <c r="B54" s="177" t="s">
        <v>441</v>
      </c>
      <c r="C54" s="175" cm="1">
        <f t="array" ref="C54">SUMPRODUCT(ISNUMBER(SEARCH("741",'EFETIVO 11.05.2026'!$H$2:$H$712))*('EFETIVO 11.05.2026'!$G$2:$G$712="A")*('EFETIVO 11.05.2026'!$C$2:$C$712="OPERADOR DE ROCADEIRA"))</f>
        <v>19</v>
      </c>
      <c r="D54" s="175" cm="1">
        <f t="array" ref="D54">SUMPRODUCT(ISNUMBER(SEARCH("741",'EFETIVO 11.05.2026'!$H$2:$H$712))*('EFETIVO 11.05.2026'!$G$2:$G$712="D")*('EFETIVO 11.05.2026'!$C$2:$C$712="OPERADOR DE ROCADEIRA"))</f>
        <v>5</v>
      </c>
      <c r="E54" s="192">
        <f t="shared" si="1"/>
        <v>0.10270270270270271</v>
      </c>
      <c r="F54" s="246" cm="1">
        <f t="array" ref="F54">SUMPRODUCT(ISNUMBER(SEARCH("741",'EFETIVO 11.05.2026'!$H$2:$H$712))*(('EFETIVO 11.05.2026'!$G$2:$G$712="F")+('EFETIVO 11.05.2026'!$G$2:$G$712="P")+('EFETIVO 11.05.2026'!$G$2:$G$712="T")+('EFETIVO 11.05.2026'!$G$2:$G$712="M"))*('EFETIVO 11.05.2026'!$C$2:$C$712=$B54))</f>
        <v>0</v>
      </c>
    </row>
    <row r="55" spans="2:6" x14ac:dyDescent="0.35">
      <c r="B55" s="177" t="s">
        <v>442</v>
      </c>
      <c r="C55" s="175" cm="1">
        <f t="array" ref="C55">SUMPRODUCT(ISNUMBER(SEARCH("741",'EFETIVO 11.05.2026'!$H$2:$H$712))*('EFETIVO 11.05.2026'!$G$2:$G$712="A")*('EFETIVO 11.05.2026'!$C$2:$C$712="OPERADOR DE RPAS"))</f>
        <v>1</v>
      </c>
      <c r="D55" s="175" cm="1">
        <f t="array" ref="D55">SUMPRODUCT(ISNUMBER(SEARCH("741",'EFETIVO 11.05.2026'!$H$2:$H$712))*('EFETIVO 11.05.2026'!$G$2:$G$712="D")*('EFETIVO 11.05.2026'!$C$2:$C$712="OPERADOR DE RPAS"))</f>
        <v>0</v>
      </c>
      <c r="E55" s="192">
        <f t="shared" si="1"/>
        <v>5.4054054054054057E-3</v>
      </c>
      <c r="F55" s="246" cm="1">
        <f t="array" ref="F55">SUMPRODUCT(ISNUMBER(SEARCH("741",'EFETIVO 11.05.2026'!$H$2:$H$712))*(('EFETIVO 11.05.2026'!$G$2:$G$712="F")+('EFETIVO 11.05.2026'!$G$2:$G$712="P")+('EFETIVO 11.05.2026'!$G$2:$G$712="T")+('EFETIVO 11.05.2026'!$G$2:$G$712="M"))*('EFETIVO 11.05.2026'!$C$2:$C$712=$B55))</f>
        <v>0</v>
      </c>
    </row>
    <row r="56" spans="2:6" x14ac:dyDescent="0.35">
      <c r="B56" s="177" t="s">
        <v>443</v>
      </c>
      <c r="C56" s="175" cm="1">
        <f t="array" ref="C56">SUMPRODUCT(ISNUMBER(SEARCH("741",'EFETIVO 11.05.2026'!$H$2:$H$712))*('EFETIVO 11.05.2026'!$G$2:$G$712="A")*('EFETIVO 11.05.2026'!$C$2:$C$712="PINTOR"))</f>
        <v>1</v>
      </c>
      <c r="D56" s="175" cm="1">
        <f t="array" ref="D56">SUMPRODUCT(ISNUMBER(SEARCH("741",'EFETIVO 11.05.2026'!$H$2:$H$712))*('EFETIVO 11.05.2026'!$G$2:$G$712="D")*('EFETIVO 11.05.2026'!$C$2:$C$712="PINTOR"))</f>
        <v>3</v>
      </c>
      <c r="E56" s="192">
        <f t="shared" si="1"/>
        <v>5.4054054054054057E-3</v>
      </c>
      <c r="F56" s="246" cm="1">
        <f t="array" ref="F56">SUMPRODUCT(ISNUMBER(SEARCH("741",'EFETIVO 11.05.2026'!$H$2:$H$712))*(('EFETIVO 11.05.2026'!$G$2:$G$712="F")+('EFETIVO 11.05.2026'!$G$2:$G$712="P")+('EFETIVO 11.05.2026'!$G$2:$G$712="T")+('EFETIVO 11.05.2026'!$G$2:$G$712="M"))*('EFETIVO 11.05.2026'!$C$2:$C$712=$B56))</f>
        <v>0</v>
      </c>
    </row>
    <row r="57" spans="2:6" x14ac:dyDescent="0.35">
      <c r="B57" s="177" t="s">
        <v>444</v>
      </c>
      <c r="C57" s="175" cm="1">
        <f t="array" ref="C57">SUMPRODUCT(ISNUMBER(SEARCH("741",'EFETIVO 11.05.2026'!$H$2:$H$712))*('EFETIVO 11.05.2026'!$G$2:$G$712="A")*('EFETIVO 11.05.2026'!$C$2:$C$712="PINTOR INDUSTRIAL"))</f>
        <v>2</v>
      </c>
      <c r="D57" s="175" cm="1">
        <f t="array" ref="D57">SUMPRODUCT(ISNUMBER(SEARCH("741",'EFETIVO 11.05.2026'!$H$2:$H$712))*('EFETIVO 11.05.2026'!$G$2:$G$712="D")*('EFETIVO 11.05.2026'!$C$2:$C$712="PINTOR INDUSTRIAL"))</f>
        <v>5</v>
      </c>
      <c r="E57" s="192">
        <f t="shared" si="1"/>
        <v>1.0810810810810811E-2</v>
      </c>
      <c r="F57" s="246" cm="1">
        <f t="array" ref="F57">SUMPRODUCT(ISNUMBER(SEARCH("741",'EFETIVO 11.05.2026'!$H$2:$H$712))*(('EFETIVO 11.05.2026'!$G$2:$G$712="F")+('EFETIVO 11.05.2026'!$G$2:$G$712="P")+('EFETIVO 11.05.2026'!$G$2:$G$712="T")+('EFETIVO 11.05.2026'!$G$2:$G$712="M"))*('EFETIVO 11.05.2026'!$C$2:$C$712=$B57))</f>
        <v>0</v>
      </c>
    </row>
    <row r="58" spans="2:6" x14ac:dyDescent="0.35">
      <c r="B58" s="177" t="s">
        <v>445</v>
      </c>
      <c r="C58" s="175" cm="1">
        <f t="array" ref="C58">SUMPRODUCT(ISNUMBER(SEARCH("741",'EFETIVO 11.05.2026'!$H$2:$H$712))*('EFETIVO 11.05.2026'!$G$2:$G$712="A")*('EFETIVO 11.05.2026'!$C$2:$C$712="PLANEJADOR"))</f>
        <v>1</v>
      </c>
      <c r="D58" s="175" cm="1">
        <f t="array" ref="D58">SUMPRODUCT(ISNUMBER(SEARCH("741",'EFETIVO 11.05.2026'!$H$2:$H$712))*('EFETIVO 11.05.2026'!$G$2:$G$712="D")*('EFETIVO 11.05.2026'!$C$2:$C$712="PLANEJADOR"))</f>
        <v>2</v>
      </c>
      <c r="E58" s="192">
        <f t="shared" si="1"/>
        <v>5.4054054054054057E-3</v>
      </c>
      <c r="F58" s="246" cm="1">
        <f t="array" ref="F58">SUMPRODUCT(ISNUMBER(SEARCH("741",'EFETIVO 11.05.2026'!$H$2:$H$712))*(('EFETIVO 11.05.2026'!$G$2:$G$712="F")+('EFETIVO 11.05.2026'!$G$2:$G$712="P")+('EFETIVO 11.05.2026'!$G$2:$G$712="T")+('EFETIVO 11.05.2026'!$G$2:$G$712="M"))*('EFETIVO 11.05.2026'!$C$2:$C$712=$B58))</f>
        <v>1</v>
      </c>
    </row>
    <row r="59" spans="2:6" x14ac:dyDescent="0.35">
      <c r="B59" s="177" t="s">
        <v>446</v>
      </c>
      <c r="C59" s="175" cm="1">
        <f t="array" ref="C59">SUMPRODUCT(ISNUMBER(SEARCH("741",'EFETIVO 11.05.2026'!$H$2:$H$712))*('EFETIVO 11.05.2026'!$G$2:$G$712="A")*('EFETIVO 11.05.2026'!$C$2:$C$712="SUPERVISOR ADMINISTRATIVO"))</f>
        <v>1</v>
      </c>
      <c r="D59" s="175" cm="1">
        <f t="array" ref="D59">SUMPRODUCT(ISNUMBER(SEARCH("741",'EFETIVO 11.05.2026'!$H$2:$H$712))*('EFETIVO 11.05.2026'!$G$2:$G$712="D")*('EFETIVO 11.05.2026'!$C$2:$C$712="SUPERVISOR ADMINISTRATIVO"))</f>
        <v>0</v>
      </c>
      <c r="E59" s="192">
        <f t="shared" si="1"/>
        <v>5.4054054054054057E-3</v>
      </c>
      <c r="F59" s="246" cm="1">
        <f t="array" ref="F59">SUMPRODUCT(ISNUMBER(SEARCH("741",'EFETIVO 11.05.2026'!$H$2:$H$712))*(('EFETIVO 11.05.2026'!$G$2:$G$712="F")+('EFETIVO 11.05.2026'!$G$2:$G$712="P")+('EFETIVO 11.05.2026'!$G$2:$G$712="T")+('EFETIVO 11.05.2026'!$G$2:$G$712="M"))*('EFETIVO 11.05.2026'!$C$2:$C$712=$B59))</f>
        <v>0</v>
      </c>
    </row>
    <row r="60" spans="2:6" x14ac:dyDescent="0.35">
      <c r="B60" s="177" t="s">
        <v>447</v>
      </c>
      <c r="C60" s="175" cm="1">
        <f t="array" ref="C60">SUMPRODUCT(ISNUMBER(SEARCH("741",'EFETIVO 11.05.2026'!$H$2:$H$712))*('EFETIVO 11.05.2026'!$G$2:$G$712="A")*('EFETIVO 11.05.2026'!$C$2:$C$712="SUPERVISOR DE AREAS VERDES"))</f>
        <v>2</v>
      </c>
      <c r="D60" s="175" cm="1">
        <f t="array" ref="D60">SUMPRODUCT(ISNUMBER(SEARCH("741",'EFETIVO 11.05.2026'!$H$2:$H$712))*('EFETIVO 11.05.2026'!$G$2:$G$712="D")*('EFETIVO 11.05.2026'!$C$2:$C$712="SUPERVISOR DE AREAS VERDES"))</f>
        <v>0</v>
      </c>
      <c r="E60" s="192">
        <f t="shared" si="1"/>
        <v>1.0810810810810811E-2</v>
      </c>
      <c r="F60" s="246" cm="1">
        <f t="array" ref="F60">SUMPRODUCT(ISNUMBER(SEARCH("741",'EFETIVO 11.05.2026'!$H$2:$H$712))*(('EFETIVO 11.05.2026'!$G$2:$G$712="F")+('EFETIVO 11.05.2026'!$G$2:$G$712="P")+('EFETIVO 11.05.2026'!$G$2:$G$712="T")+('EFETIVO 11.05.2026'!$G$2:$G$712="M"))*('EFETIVO 11.05.2026'!$C$2:$C$712=$B60))</f>
        <v>0</v>
      </c>
    </row>
    <row r="61" spans="2:6" x14ac:dyDescent="0.35">
      <c r="B61" s="177" t="s">
        <v>448</v>
      </c>
      <c r="C61" s="175" cm="1">
        <f t="array" ref="C61">SUMPRODUCT(ISNUMBER(SEARCH("741",'EFETIVO 11.05.2026'!$H$2:$H$712))*('EFETIVO 11.05.2026'!$G$2:$G$712="A")*('EFETIVO 11.05.2026'!$C$2:$C$712="SUPERVISOR DE ELETRICA"))</f>
        <v>2</v>
      </c>
      <c r="D61" s="175" cm="1">
        <f t="array" ref="D61">SUMPRODUCT(ISNUMBER(SEARCH("741",'EFETIVO 11.05.2026'!$H$2:$H$712))*('EFETIVO 11.05.2026'!$G$2:$G$712="D")*('EFETIVO 11.05.2026'!$C$2:$C$712="SUPERVISOR DE ELETRICA"))</f>
        <v>0</v>
      </c>
      <c r="E61" s="192">
        <f t="shared" si="1"/>
        <v>1.0810810810810811E-2</v>
      </c>
      <c r="F61" s="246" cm="1">
        <f t="array" ref="F61">SUMPRODUCT(ISNUMBER(SEARCH("741",'EFETIVO 11.05.2026'!$H$2:$H$712))*(('EFETIVO 11.05.2026'!$G$2:$G$712="F")+('EFETIVO 11.05.2026'!$G$2:$G$712="P")+('EFETIVO 11.05.2026'!$G$2:$G$712="T")+('EFETIVO 11.05.2026'!$G$2:$G$712="M"))*('EFETIVO 11.05.2026'!$C$2:$C$712=$B61))</f>
        <v>0</v>
      </c>
    </row>
    <row r="62" spans="2:6" x14ac:dyDescent="0.35">
      <c r="B62" s="177" t="s">
        <v>449</v>
      </c>
      <c r="C62" s="175" cm="1">
        <f t="array" ref="C62">SUMPRODUCT(ISNUMBER(SEARCH("741",'EFETIVO 11.05.2026'!$H$2:$H$712))*('EFETIVO 11.05.2026'!$G$2:$G$712="A")*('EFETIVO 11.05.2026'!$C$2:$C$712="SUPERVISOR DE ELETRICA PREDIAL"))</f>
        <v>0</v>
      </c>
      <c r="D62" s="175" cm="1">
        <f t="array" ref="D62">SUMPRODUCT(ISNUMBER(SEARCH("741",'EFETIVO 11.05.2026'!$H$2:$H$712))*('EFETIVO 11.05.2026'!$G$2:$G$712="D")*('EFETIVO 11.05.2026'!$C$2:$C$712="SUPERVISOR DE ELETRICA PREDIAL"))</f>
        <v>1</v>
      </c>
      <c r="E62" s="192">
        <f t="shared" si="1"/>
        <v>0</v>
      </c>
      <c r="F62" s="246" cm="1">
        <f t="array" ref="F62">SUMPRODUCT(ISNUMBER(SEARCH("741",'EFETIVO 11.05.2026'!$H$2:$H$712))*(('EFETIVO 11.05.2026'!$G$2:$G$712="F")+('EFETIVO 11.05.2026'!$G$2:$G$712="P")+('EFETIVO 11.05.2026'!$G$2:$G$712="T")+('EFETIVO 11.05.2026'!$G$2:$G$712="M"))*('EFETIVO 11.05.2026'!$C$2:$C$712=$B62))</f>
        <v>0</v>
      </c>
    </row>
    <row r="63" spans="2:6" x14ac:dyDescent="0.35">
      <c r="B63" s="177" t="s">
        <v>450</v>
      </c>
      <c r="C63" s="175" cm="1">
        <f t="array" ref="C63">SUMPRODUCT(ISNUMBER(SEARCH("741",'EFETIVO 11.05.2026'!$H$2:$H$712))*('EFETIVO 11.05.2026'!$G$2:$G$712="A")*('EFETIVO 11.05.2026'!$C$2:$C$712="SUPERVISOR DE LIMPEZA E CONSERVACAO"))</f>
        <v>1</v>
      </c>
      <c r="D63" s="175" cm="1">
        <f t="array" ref="D63">SUMPRODUCT(ISNUMBER(SEARCH("741",'EFETIVO 11.05.2026'!$H$2:$H$712))*('EFETIVO 11.05.2026'!$G$2:$G$712="D")*('EFETIVO 11.05.2026'!$C$2:$C$712="SUPERVISOR DE LIMPEZA E CONSERVACAO"))</f>
        <v>0</v>
      </c>
      <c r="E63" s="192">
        <f t="shared" si="1"/>
        <v>5.4054054054054057E-3</v>
      </c>
      <c r="F63" s="246" cm="1">
        <f t="array" ref="F63">SUMPRODUCT(ISNUMBER(SEARCH("741",'EFETIVO 11.05.2026'!$H$2:$H$712))*(('EFETIVO 11.05.2026'!$G$2:$G$712="F")+('EFETIVO 11.05.2026'!$G$2:$G$712="P")+('EFETIVO 11.05.2026'!$G$2:$G$712="T")+('EFETIVO 11.05.2026'!$G$2:$G$712="M"))*('EFETIVO 11.05.2026'!$C$2:$C$712=$B63))</f>
        <v>0</v>
      </c>
    </row>
    <row r="64" spans="2:6" x14ac:dyDescent="0.35">
      <c r="B64" s="177" t="s">
        <v>451</v>
      </c>
      <c r="C64" s="175" cm="1">
        <f t="array" ref="C64">SUMPRODUCT(ISNUMBER(SEARCH("741",'EFETIVO 11.05.2026'!$H$2:$H$712))*('EFETIVO 11.05.2026'!$G$2:$G$712="A")*('EFETIVO 11.05.2026'!$C$2:$C$712="SUPERVISOR DE MANUTENCAO CIVIL"))</f>
        <v>1</v>
      </c>
      <c r="D64" s="175" cm="1">
        <f t="array" ref="D64">SUMPRODUCT(ISNUMBER(SEARCH("741",'EFETIVO 11.05.2026'!$H$2:$H$712))*('EFETIVO 11.05.2026'!$G$2:$G$712="D")*('EFETIVO 11.05.2026'!$C$2:$C$712="SUPERVISOR DE MANUTENCAO CIVIL"))</f>
        <v>0</v>
      </c>
      <c r="E64" s="192">
        <f t="shared" si="1"/>
        <v>5.4054054054054057E-3</v>
      </c>
      <c r="F64" s="246" cm="1">
        <f t="array" ref="F64">SUMPRODUCT(ISNUMBER(SEARCH("741",'EFETIVO 11.05.2026'!$H$2:$H$712))*(('EFETIVO 11.05.2026'!$G$2:$G$712="F")+('EFETIVO 11.05.2026'!$G$2:$G$712="P")+('EFETIVO 11.05.2026'!$G$2:$G$712="T")+('EFETIVO 11.05.2026'!$G$2:$G$712="M"))*('EFETIVO 11.05.2026'!$C$2:$C$712=$B64))</f>
        <v>0</v>
      </c>
    </row>
    <row r="65" spans="2:14" x14ac:dyDescent="0.35">
      <c r="B65" s="177" t="s">
        <v>452</v>
      </c>
      <c r="C65" s="175" cm="1">
        <f t="array" ref="C65">SUMPRODUCT(ISNUMBER(SEARCH("741",'EFETIVO 11.05.2026'!$H$2:$H$712))*('EFETIVO 11.05.2026'!$G$2:$G$712="A")*('EFETIVO 11.05.2026'!$C$2:$C$712="SUPERVISOR DE MANUTENCAO II"))</f>
        <v>1</v>
      </c>
      <c r="D65" s="175" cm="1">
        <f t="array" ref="D65">SUMPRODUCT(ISNUMBER(SEARCH("741",'EFETIVO 11.05.2026'!$H$2:$H$712))*('EFETIVO 11.05.2026'!$G$2:$G$712="D")*('EFETIVO 11.05.2026'!$C$2:$C$712="SUPERVISOR DE MANUTENCAO II"))</f>
        <v>0</v>
      </c>
      <c r="E65" s="192">
        <f t="shared" si="1"/>
        <v>5.4054054054054057E-3</v>
      </c>
      <c r="F65" s="246" cm="1">
        <f t="array" ref="F65">SUMPRODUCT(ISNUMBER(SEARCH("741",'EFETIVO 11.05.2026'!$H$2:$H$712))*(('EFETIVO 11.05.2026'!$G$2:$G$712="F")+('EFETIVO 11.05.2026'!$G$2:$G$712="P")+('EFETIVO 11.05.2026'!$G$2:$G$712="T")+('EFETIVO 11.05.2026'!$G$2:$G$712="M"))*('EFETIVO 11.05.2026'!$C$2:$C$712=$B65))</f>
        <v>0</v>
      </c>
    </row>
    <row r="66" spans="2:14" x14ac:dyDescent="0.35">
      <c r="B66" s="177" t="s">
        <v>453</v>
      </c>
      <c r="C66" s="175" cm="1">
        <f t="array" ref="C66">SUMPRODUCT(ISNUMBER(SEARCH("741",'EFETIVO 11.05.2026'!$H$2:$H$712))*('EFETIVO 11.05.2026'!$G$2:$G$712="A")*('EFETIVO 11.05.2026'!$C$2:$C$712="SUPERVISOR DE PLANEJAMENTO"))</f>
        <v>1</v>
      </c>
      <c r="D66" s="175" cm="1">
        <f t="array" ref="D66">SUMPRODUCT(ISNUMBER(SEARCH("741",'EFETIVO 11.05.2026'!$H$2:$H$712))*('EFETIVO 11.05.2026'!$G$2:$G$712="D")*('EFETIVO 11.05.2026'!$C$2:$C$712="SUPERVISOR DE PLANEJAMENTO"))</f>
        <v>0</v>
      </c>
      <c r="E66" s="192">
        <f t="shared" si="1"/>
        <v>5.4054054054054057E-3</v>
      </c>
      <c r="F66" s="246" cm="1">
        <f t="array" ref="F66">SUMPRODUCT(ISNUMBER(SEARCH("741",'EFETIVO 11.05.2026'!$H$2:$H$712))*(('EFETIVO 11.05.2026'!$G$2:$G$712="F")+('EFETIVO 11.05.2026'!$G$2:$G$712="P")+('EFETIVO 11.05.2026'!$G$2:$G$712="T")+('EFETIVO 11.05.2026'!$G$2:$G$712="M"))*('EFETIVO 11.05.2026'!$C$2:$C$712=$B66))</f>
        <v>0</v>
      </c>
    </row>
    <row r="67" spans="2:14" x14ac:dyDescent="0.35">
      <c r="B67" s="177" t="s">
        <v>454</v>
      </c>
      <c r="C67" s="175" cm="1">
        <f t="array" ref="C67">SUMPRODUCT(ISNUMBER(SEARCH("741",'EFETIVO 11.05.2026'!$H$2:$H$712))*('EFETIVO 11.05.2026'!$G$2:$G$712="A")*('EFETIVO 11.05.2026'!$C$2:$C$712="SUPERVISOR DE SMS"))</f>
        <v>1</v>
      </c>
      <c r="D67" s="175" cm="1">
        <f t="array" ref="D67">SUMPRODUCT(ISNUMBER(SEARCH("741",'EFETIVO 11.05.2026'!$H$2:$H$712))*('EFETIVO 11.05.2026'!$G$2:$G$712="D")*('EFETIVO 11.05.2026'!$C$2:$C$712="SUPERVISOR DE SMS"))</f>
        <v>0</v>
      </c>
      <c r="E67" s="192">
        <f t="shared" si="1"/>
        <v>5.4054054054054057E-3</v>
      </c>
      <c r="F67" s="246" cm="1">
        <f t="array" ref="F67">SUMPRODUCT(ISNUMBER(SEARCH("741",'EFETIVO 11.05.2026'!$H$2:$H$712))*(('EFETIVO 11.05.2026'!$G$2:$G$712="F")+('EFETIVO 11.05.2026'!$G$2:$G$712="P")+('EFETIVO 11.05.2026'!$G$2:$G$712="T")+('EFETIVO 11.05.2026'!$G$2:$G$712="M"))*('EFETIVO 11.05.2026'!$C$2:$C$712=$B67))</f>
        <v>0</v>
      </c>
    </row>
    <row r="68" spans="2:14" x14ac:dyDescent="0.35">
      <c r="B68" s="177" t="s">
        <v>455</v>
      </c>
      <c r="C68" s="175" cm="1">
        <f t="array" ref="C68">SUMPRODUCT(ISNUMBER(SEARCH("741",'EFETIVO 11.05.2026'!$H$2:$H$712))*('EFETIVO 11.05.2026'!$G$2:$G$712="A")*('EFETIVO 11.05.2026'!$C$2:$C$712="TECNICO DE EDIFICACOES"))</f>
        <v>2</v>
      </c>
      <c r="D68" s="175" cm="1">
        <f t="array" ref="D68">SUMPRODUCT(ISNUMBER(SEARCH("741",'EFETIVO 11.05.2026'!$H$2:$H$712))*('EFETIVO 11.05.2026'!$G$2:$G$712="D")*('EFETIVO 11.05.2026'!$C$2:$C$712="TECNICO DE EDIFICACOES"))</f>
        <v>2</v>
      </c>
      <c r="E68" s="192">
        <f t="shared" si="1"/>
        <v>1.0810810810810811E-2</v>
      </c>
      <c r="F68" s="246" cm="1">
        <f t="array" ref="F68">SUMPRODUCT(ISNUMBER(SEARCH("741",'EFETIVO 11.05.2026'!$H$2:$H$712))*(('EFETIVO 11.05.2026'!$G$2:$G$712="F")+('EFETIVO 11.05.2026'!$G$2:$G$712="P")+('EFETIVO 11.05.2026'!$G$2:$G$712="T")+('EFETIVO 11.05.2026'!$G$2:$G$712="M"))*('EFETIVO 11.05.2026'!$C$2:$C$712=$B68))</f>
        <v>0</v>
      </c>
    </row>
    <row r="69" spans="2:14" x14ac:dyDescent="0.35">
      <c r="B69" s="177" t="s">
        <v>456</v>
      </c>
      <c r="C69" s="175" cm="1">
        <f t="array" ref="C69">SUMPRODUCT(ISNUMBER(SEARCH("741",'EFETIVO 11.05.2026'!$H$2:$H$712))*('EFETIVO 11.05.2026'!$G$2:$G$712="A")*('EFETIVO 11.05.2026'!$C$2:$C$712="TECNICO DE MECANICA"))</f>
        <v>1</v>
      </c>
      <c r="D69" s="175" cm="1">
        <f t="array" ref="D69">SUMPRODUCT(ISNUMBER(SEARCH("741",'EFETIVO 11.05.2026'!$H$2:$H$712))*('EFETIVO 11.05.2026'!$G$2:$G$712="D")*('EFETIVO 11.05.2026'!$C$2:$C$712="TECNICO DE MECANICA"))</f>
        <v>0</v>
      </c>
      <c r="E69" s="192">
        <f t="shared" si="1"/>
        <v>5.4054054054054057E-3</v>
      </c>
      <c r="F69" s="246" cm="1">
        <f t="array" ref="F69">SUMPRODUCT(ISNUMBER(SEARCH("741",'EFETIVO 11.05.2026'!$H$2:$H$712))*(('EFETIVO 11.05.2026'!$G$2:$G$712="F")+('EFETIVO 11.05.2026'!$G$2:$G$712="P")+('EFETIVO 11.05.2026'!$G$2:$G$712="T")+('EFETIVO 11.05.2026'!$G$2:$G$712="M"))*('EFETIVO 11.05.2026'!$C$2:$C$712=$B69))</f>
        <v>0</v>
      </c>
    </row>
    <row r="70" spans="2:14" x14ac:dyDescent="0.35">
      <c r="B70" s="177" t="s">
        <v>457</v>
      </c>
      <c r="C70" s="175" cm="1">
        <f t="array" ref="C70">SUMPRODUCT(ISNUMBER(SEARCH("741",'EFETIVO 11.05.2026'!$H$2:$H$712))*('EFETIVO 11.05.2026'!$G$2:$G$712="A")*('EFETIVO 11.05.2026'!$C$2:$C$712="TECNICO DE SEGURANCA DO TRABALHO"))</f>
        <v>5</v>
      </c>
      <c r="D70" s="175" cm="1">
        <f t="array" ref="D70">SUMPRODUCT(ISNUMBER(SEARCH("741",'EFETIVO 11.05.2026'!$H$2:$H$712))*('EFETIVO 11.05.2026'!$G$2:$G$712="D")*('EFETIVO 11.05.2026'!$C$2:$C$712="TECNICO DE SEGURANCA DO TRABALHO"))</f>
        <v>5</v>
      </c>
      <c r="E70" s="192">
        <f t="shared" si="1"/>
        <v>2.7027027027027029E-2</v>
      </c>
      <c r="F70" s="246" cm="1">
        <f t="array" ref="F70">SUMPRODUCT(ISNUMBER(SEARCH("741",'EFETIVO 11.05.2026'!$H$2:$H$712))*(('EFETIVO 11.05.2026'!$G$2:$G$712="F")+('EFETIVO 11.05.2026'!$G$2:$G$712="P")+('EFETIVO 11.05.2026'!$G$2:$G$712="T")+('EFETIVO 11.05.2026'!$G$2:$G$712="M"))*('EFETIVO 11.05.2026'!$C$2:$C$712=$B70))</f>
        <v>0</v>
      </c>
    </row>
    <row r="71" spans="2:14" x14ac:dyDescent="0.35">
      <c r="B71" s="177" t="s">
        <v>458</v>
      </c>
      <c r="C71" s="175" cm="1">
        <f t="array" ref="C71">SUMPRODUCT(ISNUMBER(SEARCH("741",'EFETIVO 11.05.2026'!$H$2:$H$712))*('EFETIVO 11.05.2026'!$G$2:$G$712="A")*('EFETIVO 11.05.2026'!$C$2:$C$712="TECNICO EM ELETROTECNICA"))</f>
        <v>2</v>
      </c>
      <c r="D71" s="175" cm="1">
        <f t="array" ref="D71">SUMPRODUCT(ISNUMBER(SEARCH("741",'EFETIVO 11.05.2026'!$H$2:$H$712))*('EFETIVO 11.05.2026'!$G$2:$G$712="D")*('EFETIVO 11.05.2026'!$C$2:$C$712="TECNICO EM ELETROTECNICA"))</f>
        <v>1</v>
      </c>
      <c r="E71" s="192">
        <f t="shared" si="1"/>
        <v>1.0810810810810811E-2</v>
      </c>
      <c r="F71" s="246" cm="1">
        <f t="array" ref="F71">SUMPRODUCT(ISNUMBER(SEARCH("741",'EFETIVO 11.05.2026'!$H$2:$H$712))*(('EFETIVO 11.05.2026'!$G$2:$G$712="F")+('EFETIVO 11.05.2026'!$G$2:$G$712="P")+('EFETIVO 11.05.2026'!$G$2:$G$712="T")+('EFETIVO 11.05.2026'!$G$2:$G$712="M"))*('EFETIVO 11.05.2026'!$C$2:$C$712=$B71))</f>
        <v>0</v>
      </c>
    </row>
    <row r="72" spans="2:14" ht="15" thickBot="1" x14ac:dyDescent="0.4">
      <c r="B72" s="193" t="s">
        <v>459</v>
      </c>
      <c r="C72" s="193">
        <f>C6</f>
        <v>185</v>
      </c>
      <c r="D72" s="193">
        <f>C7</f>
        <v>87</v>
      </c>
      <c r="E72" s="194">
        <f t="shared" si="1"/>
        <v>1</v>
      </c>
      <c r="F72" s="244">
        <f>SUM(F14:F71)</f>
        <v>6</v>
      </c>
    </row>
    <row r="75" spans="2:14" ht="24" customHeight="1" x14ac:dyDescent="0.4">
      <c r="B75" s="1011" t="s">
        <v>460</v>
      </c>
      <c r="C75" s="1011"/>
      <c r="D75" s="1011"/>
      <c r="E75" s="1011"/>
      <c r="F75" s="1011"/>
      <c r="G75" s="1011"/>
      <c r="H75" s="1011"/>
      <c r="I75" s="1011"/>
      <c r="J75" s="1011"/>
      <c r="K75" s="1011"/>
      <c r="L75" s="1011"/>
      <c r="M75" s="1011"/>
      <c r="N75" s="1011"/>
    </row>
    <row r="76" spans="2:14" ht="20.149999999999999" customHeight="1" x14ac:dyDescent="0.35">
      <c r="B76" s="1263" t="s">
        <v>461</v>
      </c>
      <c r="C76" s="1263"/>
      <c r="D76" s="1263"/>
      <c r="E76" s="1263"/>
      <c r="F76" s="1263"/>
      <c r="G76" s="1263"/>
      <c r="H76" s="1263"/>
      <c r="I76" s="1263"/>
      <c r="J76" s="1263"/>
      <c r="K76" s="1263"/>
      <c r="L76" s="1263"/>
      <c r="M76" s="1263"/>
      <c r="N76" s="1263"/>
    </row>
    <row r="78" spans="2:14" ht="22" customHeight="1" x14ac:dyDescent="0.35">
      <c r="B78" s="172" t="s">
        <v>462</v>
      </c>
      <c r="C78" s="172" t="s">
        <v>463</v>
      </c>
      <c r="D78" s="172" t="s">
        <v>464</v>
      </c>
      <c r="E78" s="244" t="s">
        <v>465</v>
      </c>
      <c r="F78" s="244" t="s">
        <v>466</v>
      </c>
    </row>
    <row r="79" spans="2:14" x14ac:dyDescent="0.35">
      <c r="B79" s="177" t="s">
        <v>467</v>
      </c>
      <c r="C79" s="175" cm="1">
        <f t="array" ref="C79">SUMPRODUCT(ISNUMBER(SEARCH("741",'EFETIVO 11.05.2026'!$H$2:$H$712))*('EFETIVO 11.05.2026'!$G$2:$G$712="A")*('EFETIVO 11.05.2026'!$I$2:$I$712=""))</f>
        <v>1</v>
      </c>
      <c r="D79" s="175" cm="1">
        <f t="array" ref="D79">SUMPRODUCT(ISNUMBER(SEARCH("741",'EFETIVO 11.05.2026'!$H$2:$H$712))*('EFETIVO 11.05.2026'!$G$2:$G$712="D")*('EFETIVO 11.05.2026'!$I$2:$I$712=""))</f>
        <v>85</v>
      </c>
      <c r="E79" s="247" cm="1">
        <f t="array" ref="E79">SUMPRODUCT(ISNUMBER(SEARCH("741",'EFETIVO 11.05.2026'!$H$2:$H$712))*(('EFETIVO 11.05.2026'!$G$2:$G$712="F")+('EFETIVO 11.05.2026'!$G$2:$G$712="P")+('EFETIVO 11.05.2026'!$G$2:$G$712="T")+('EFETIVO 11.05.2026'!$G$2:$G$712="M"))*('EFETIVO 11.05.2026'!$I$2:$I$712=""))</f>
        <v>0</v>
      </c>
      <c r="F79" s="247">
        <f>C79+D79+E79</f>
        <v>86</v>
      </c>
    </row>
    <row r="80" spans="2:14" x14ac:dyDescent="0.35">
      <c r="B80" s="177" t="s">
        <v>468</v>
      </c>
      <c r="C80" s="175" cm="1">
        <f t="array" ref="C80">SUMPRODUCT(ISNUMBER(SEARCH("741",'EFETIVO 11.05.2026'!$H$2:$H$712))*('EFETIVO 11.05.2026'!$G$2:$G$712="A")*('EFETIVO 11.05.2026'!$I$2:$I$712="AE"))</f>
        <v>83</v>
      </c>
      <c r="D80" s="175" cm="1">
        <f t="array" ref="D80">SUMPRODUCT(ISNUMBER(SEARCH("741",'EFETIVO 11.05.2026'!$H$2:$H$712))*('EFETIVO 11.05.2026'!$G$2:$G$712="D")*('EFETIVO 11.05.2026'!$I$2:$I$712="AE"))</f>
        <v>0</v>
      </c>
      <c r="E80" s="245" cm="1">
        <f t="array" ref="E80">SUMPRODUCT(ISNUMBER(SEARCH("741",'EFETIVO 11.05.2026'!$H$2:$H$712))*(('EFETIVO 11.05.2026'!$G$2:$G$712="F")+('EFETIVO 11.05.2026'!$G$2:$G$712="P")+('EFETIVO 11.05.2026'!$G$2:$G$712="T")+('EFETIVO 11.05.2026'!$G$2:$G$712="M"))*('EFETIVO 11.05.2026'!$I$2:$I$712="AE"))</f>
        <v>3</v>
      </c>
      <c r="F80" s="245">
        <f>C80+D80+E80</f>
        <v>86</v>
      </c>
    </row>
    <row r="81" spans="1:7" x14ac:dyDescent="0.35">
      <c r="B81" s="177" t="s">
        <v>359</v>
      </c>
      <c r="C81" s="175" cm="1">
        <f t="array" ref="C81">SUMPRODUCT(ISNUMBER(SEARCH("741",'EFETIVO 11.05.2026'!$H$2:$H$712))*('EFETIVO 11.05.2026'!$G$2:$G$712="A")*('EFETIVO 11.05.2026'!$I$2:$I$712="TAPERA"))</f>
        <v>3</v>
      </c>
      <c r="D81" s="175" cm="1">
        <f t="array" ref="D81">SUMPRODUCT(ISNUMBER(SEARCH("741",'EFETIVO 11.05.2026'!$H$2:$H$712))*('EFETIVO 11.05.2026'!$G$2:$G$712="D")*('EFETIVO 11.05.2026'!$I$2:$I$712="TAPERA"))</f>
        <v>0</v>
      </c>
      <c r="E81" s="247" cm="1">
        <f t="array" ref="E81">SUMPRODUCT(ISNUMBER(SEARCH("741",'EFETIVO 11.05.2026'!$H$2:$H$712))*(('EFETIVO 11.05.2026'!$G$2:$G$712="F")+('EFETIVO 11.05.2026'!$G$2:$G$712="P")+('EFETIVO 11.05.2026'!$G$2:$G$712="T")+('EFETIVO 11.05.2026'!$G$2:$G$712="M"))*('EFETIVO 11.05.2026'!$I$2:$I$712="TAPERA"))</f>
        <v>0</v>
      </c>
      <c r="F81" s="247">
        <f>C81+D81+E81</f>
        <v>3</v>
      </c>
    </row>
    <row r="82" spans="1:7" x14ac:dyDescent="0.35">
      <c r="B82" s="177" t="s">
        <v>469</v>
      </c>
      <c r="C82" s="175" cm="1">
        <f t="array" ref="C82">SUMPRODUCT(ISNUMBER(SEARCH("741",'EFETIVO 11.05.2026'!$H$2:$H$712))*('EFETIVO 11.05.2026'!$G$2:$G$712="A")*('EFETIVO 11.05.2026'!$I$2:$I$712="UTE"))</f>
        <v>97</v>
      </c>
      <c r="D82" s="175" cm="1">
        <f t="array" ref="D82">SUMPRODUCT(ISNUMBER(SEARCH("741",'EFETIVO 11.05.2026'!$H$2:$H$712))*('EFETIVO 11.05.2026'!$G$2:$G$712="D")*('EFETIVO 11.05.2026'!$I$2:$I$712="UTE"))</f>
        <v>2</v>
      </c>
      <c r="E82" s="245" cm="1">
        <f t="array" ref="E82">SUMPRODUCT(ISNUMBER(SEARCH("741",'EFETIVO 11.05.2026'!$H$2:$H$712))*(('EFETIVO 11.05.2026'!$G$2:$G$712="F")+('EFETIVO 11.05.2026'!$G$2:$G$712="P")+('EFETIVO 11.05.2026'!$G$2:$G$712="T")+('EFETIVO 11.05.2026'!$G$2:$G$712="M"))*('EFETIVO 11.05.2026'!$I$2:$I$712="UTE"))</f>
        <v>3</v>
      </c>
      <c r="F82" s="245">
        <f>C82+D82+E82</f>
        <v>102</v>
      </c>
    </row>
    <row r="83" spans="1:7" x14ac:dyDescent="0.35">
      <c r="B83" s="177" t="s">
        <v>470</v>
      </c>
      <c r="C83" s="175" cm="1">
        <f t="array" ref="C83">SUMPRODUCT(ISNUMBER(SEARCH("741",'EFETIVO 11.05.2026'!$H$2:$H$712))*('EFETIVO 11.05.2026'!$G$2:$G$712="A")*('EFETIVO 11.05.2026'!$I$2:$I$712="VAGA UTE"))</f>
        <v>0</v>
      </c>
      <c r="D83" s="175" cm="1">
        <f t="array" ref="D83">SUMPRODUCT(ISNUMBER(SEARCH("741",'EFETIVO 11.05.2026'!$H$2:$H$712))*('EFETIVO 11.05.2026'!$G$2:$G$712="D")*('EFETIVO 11.05.2026'!$I$2:$I$712="VAGA UTE"))</f>
        <v>0</v>
      </c>
      <c r="E83" s="247" cm="1">
        <f t="array" ref="E83">SUMPRODUCT(ISNUMBER(SEARCH("741",'EFETIVO 11.05.2026'!$H$2:$H$712))*(('EFETIVO 11.05.2026'!$G$2:$G$712="F")+('EFETIVO 11.05.2026'!$G$2:$G$712="P")+('EFETIVO 11.05.2026'!$G$2:$G$712="T")+('EFETIVO 11.05.2026'!$G$2:$G$712="M"))*('EFETIVO 11.05.2026'!$I$2:$I$712="VAGA UTE"))</f>
        <v>0</v>
      </c>
      <c r="F83" s="247">
        <f>C83+D83+E83</f>
        <v>0</v>
      </c>
    </row>
    <row r="84" spans="1:7" ht="15" thickBot="1" x14ac:dyDescent="0.4">
      <c r="B84" s="193" t="s">
        <v>459</v>
      </c>
      <c r="C84" s="193">
        <f>SUM(C79:C83)</f>
        <v>184</v>
      </c>
      <c r="D84" s="193">
        <f>SUM(D79:D83)</f>
        <v>87</v>
      </c>
      <c r="E84" s="249">
        <f>SUM(E79:E83)</f>
        <v>6</v>
      </c>
      <c r="F84" s="248">
        <f>SUM(F79:F83)</f>
        <v>277</v>
      </c>
    </row>
    <row r="87" spans="1:7" ht="16" x14ac:dyDescent="0.4">
      <c r="B87" s="270" t="s">
        <v>471</v>
      </c>
      <c r="C87" s="277"/>
      <c r="D87" s="277"/>
      <c r="E87" s="277"/>
      <c r="F87" s="277"/>
      <c r="G87" s="277"/>
    </row>
    <row r="88" spans="1:7" x14ac:dyDescent="0.35">
      <c r="B88" s="278" t="s">
        <v>472</v>
      </c>
      <c r="C88" s="279"/>
      <c r="D88" s="279"/>
      <c r="E88" s="279"/>
      <c r="F88" s="279"/>
      <c r="G88" s="279"/>
    </row>
    <row r="90" spans="1:7" x14ac:dyDescent="0.35">
      <c r="A90" s="286" t="s">
        <v>473</v>
      </c>
      <c r="B90" s="286" t="s">
        <v>396</v>
      </c>
      <c r="C90" s="287" t="s">
        <v>469</v>
      </c>
      <c r="D90" s="287" t="s">
        <v>468</v>
      </c>
      <c r="E90" s="287" t="s">
        <v>359</v>
      </c>
      <c r="F90" s="287" t="s">
        <v>474</v>
      </c>
    </row>
    <row r="91" spans="1:7" x14ac:dyDescent="0.35">
      <c r="B91" s="280" t="str">
        <f>B14</f>
        <v>AJUDANTE DE CALDEIRARIA</v>
      </c>
      <c r="C91" s="281" cm="1">
        <f t="array" ref="C91">SUMPRODUCT(ISNUMBER(SEARCH("741",'EFETIVO 11.05.2026'!$H$2:$H$712))*('EFETIVO 11.05.2026'!$G$2:$G$712="A")*('EFETIVO 11.05.2026'!$C$2:$C$712=$B91)*('EFETIVO 11.05.2026'!$I$2:$I$712="UTE"))</f>
        <v>0</v>
      </c>
      <c r="D91" s="281" cm="1">
        <f t="array" ref="D91">SUMPRODUCT(ISNUMBER(SEARCH("741",'EFETIVO 11.05.2026'!$H$2:$H$712))*('EFETIVO 11.05.2026'!$G$2:$G$712="A")*('EFETIVO 11.05.2026'!$C$2:$C$712=$B91)*('EFETIVO 11.05.2026'!$I$2:$I$712="AE"))</f>
        <v>0</v>
      </c>
      <c r="E91" s="281" cm="1">
        <f t="array" ref="E91">SUMPRODUCT(ISNUMBER(SEARCH("741",'EFETIVO 11.05.2026'!$H$2:$H$712))*('EFETIVO 11.05.2026'!$G$2:$G$712="A")*('EFETIVO 11.05.2026'!$C$2:$C$712=$B91)*('EFETIVO 11.05.2026'!$I$2:$I$712="TAPERA"))</f>
        <v>0</v>
      </c>
      <c r="F91" s="281">
        <f>SUM(C91:E91)</f>
        <v>0</v>
      </c>
    </row>
    <row r="92" spans="1:7" x14ac:dyDescent="0.35">
      <c r="B92" s="282" t="str">
        <f>B15</f>
        <v>AJUDANTE DE ELETRICA PREDIAL</v>
      </c>
      <c r="C92" s="283" cm="1">
        <f t="array" ref="C92">SUMPRODUCT(ISNUMBER(SEARCH("741",'EFETIVO 11.05.2026'!$H$2:$H$712))*('EFETIVO 11.05.2026'!$G$2:$G$712="A")*('EFETIVO 11.05.2026'!$C$2:$C$712=$B92)*('EFETIVO 11.05.2026'!$I$2:$I$712="UTE"))</f>
        <v>1</v>
      </c>
      <c r="D92" s="283" cm="1">
        <f t="array" ref="D92">SUMPRODUCT(ISNUMBER(SEARCH("741",'EFETIVO 11.05.2026'!$H$2:$H$712))*('EFETIVO 11.05.2026'!$G$2:$G$712="A")*('EFETIVO 11.05.2026'!$C$2:$C$712=$B92)*('EFETIVO 11.05.2026'!$I$2:$I$712="AE"))</f>
        <v>3</v>
      </c>
      <c r="E92" s="283" cm="1">
        <f t="array" ref="E92">SUMPRODUCT(ISNUMBER(SEARCH("741",'EFETIVO 11.05.2026'!$H$2:$H$712))*('EFETIVO 11.05.2026'!$G$2:$G$712="A")*('EFETIVO 11.05.2026'!$C$2:$C$712=$B92)*('EFETIVO 11.05.2026'!$I$2:$I$712="TAPERA"))</f>
        <v>0</v>
      </c>
      <c r="F92" s="283">
        <f t="shared" ref="F92:F148" si="2">SUM(C92:E92)</f>
        <v>4</v>
      </c>
    </row>
    <row r="93" spans="1:7" x14ac:dyDescent="0.35">
      <c r="B93" s="280" t="str">
        <f t="shared" ref="B93:B148" si="3">B16</f>
        <v>AJUDANTE DE ELETROMECANICA PREDIAL</v>
      </c>
      <c r="C93" s="281" cm="1">
        <f t="array" ref="C93">SUMPRODUCT(ISNUMBER(SEARCH("741",'EFETIVO 11.05.2026'!$H$2:$H$712))*('EFETIVO 11.05.2026'!$G$2:$G$712="A")*('EFETIVO 11.05.2026'!$C$2:$C$712=$B93)*('EFETIVO 11.05.2026'!$I$2:$I$712="UTE"))</f>
        <v>2</v>
      </c>
      <c r="D93" s="281" cm="1">
        <f t="array" ref="D93">SUMPRODUCT(ISNUMBER(SEARCH("741",'EFETIVO 11.05.2026'!$H$2:$H$712))*('EFETIVO 11.05.2026'!$G$2:$G$712="A")*('EFETIVO 11.05.2026'!$C$2:$C$712=$B93)*('EFETIVO 11.05.2026'!$I$2:$I$712="AE"))</f>
        <v>1</v>
      </c>
      <c r="E93" s="281" cm="1">
        <f t="array" ref="E93">SUMPRODUCT(ISNUMBER(SEARCH("741",'EFETIVO 11.05.2026'!$H$2:$H$712))*('EFETIVO 11.05.2026'!$G$2:$G$712="A")*('EFETIVO 11.05.2026'!$C$2:$C$712=$B93)*('EFETIVO 11.05.2026'!$I$2:$I$712="TAPERA"))</f>
        <v>0</v>
      </c>
      <c r="F93" s="281">
        <f t="shared" si="2"/>
        <v>3</v>
      </c>
    </row>
    <row r="94" spans="1:7" x14ac:dyDescent="0.35">
      <c r="B94" s="282" t="str">
        <f t="shared" si="3"/>
        <v>AJUDANTE DE MANUTENCAO ELETRICA</v>
      </c>
      <c r="C94" s="283" cm="1">
        <f t="array" ref="C94">SUMPRODUCT(ISNUMBER(SEARCH("741",'EFETIVO 11.05.2026'!$H$2:$H$712))*('EFETIVO 11.05.2026'!$G$2:$G$712="A")*('EFETIVO 11.05.2026'!$C$2:$C$712=$B94)*('EFETIVO 11.05.2026'!$I$2:$I$712="UTE"))</f>
        <v>0</v>
      </c>
      <c r="D94" s="283" cm="1">
        <f t="array" ref="D94">SUMPRODUCT(ISNUMBER(SEARCH("741",'EFETIVO 11.05.2026'!$H$2:$H$712))*('EFETIVO 11.05.2026'!$G$2:$G$712="A")*('EFETIVO 11.05.2026'!$C$2:$C$712=$B94)*('EFETIVO 11.05.2026'!$I$2:$I$712="AE"))</f>
        <v>1</v>
      </c>
      <c r="E94" s="283" cm="1">
        <f t="array" ref="E94">SUMPRODUCT(ISNUMBER(SEARCH("741",'EFETIVO 11.05.2026'!$H$2:$H$712))*('EFETIVO 11.05.2026'!$G$2:$G$712="A")*('EFETIVO 11.05.2026'!$C$2:$C$712=$B94)*('EFETIVO 11.05.2026'!$I$2:$I$712="TAPERA"))</f>
        <v>0</v>
      </c>
      <c r="F94" s="283">
        <f t="shared" si="2"/>
        <v>1</v>
      </c>
    </row>
    <row r="95" spans="1:7" x14ac:dyDescent="0.35">
      <c r="B95" s="280" t="str">
        <f t="shared" si="3"/>
        <v>AJUDANTE DE MECANICA PREDIAL</v>
      </c>
      <c r="C95" s="281" cm="1">
        <f t="array" ref="C95">SUMPRODUCT(ISNUMBER(SEARCH("741",'EFETIVO 11.05.2026'!$H$2:$H$712))*('EFETIVO 11.05.2026'!$G$2:$G$712="A")*('EFETIVO 11.05.2026'!$C$2:$C$712=$B95)*('EFETIVO 11.05.2026'!$I$2:$I$712="UTE"))</f>
        <v>2</v>
      </c>
      <c r="D95" s="281" cm="1">
        <f t="array" ref="D95">SUMPRODUCT(ISNUMBER(SEARCH("741",'EFETIVO 11.05.2026'!$H$2:$H$712))*('EFETIVO 11.05.2026'!$G$2:$G$712="A")*('EFETIVO 11.05.2026'!$C$2:$C$712=$B95)*('EFETIVO 11.05.2026'!$I$2:$I$712="AE"))</f>
        <v>0</v>
      </c>
      <c r="E95" s="281" cm="1">
        <f t="array" ref="E95">SUMPRODUCT(ISNUMBER(SEARCH("741",'EFETIVO 11.05.2026'!$H$2:$H$712))*('EFETIVO 11.05.2026'!$G$2:$G$712="A")*('EFETIVO 11.05.2026'!$C$2:$C$712=$B95)*('EFETIVO 11.05.2026'!$I$2:$I$712="TAPERA"))</f>
        <v>0</v>
      </c>
      <c r="F95" s="281">
        <f t="shared" si="2"/>
        <v>2</v>
      </c>
    </row>
    <row r="96" spans="1:7" x14ac:dyDescent="0.35">
      <c r="B96" s="282" t="str">
        <f t="shared" si="3"/>
        <v>AJUDANTE DE PEDREIRO</v>
      </c>
      <c r="C96" s="283" cm="1">
        <f t="array" ref="C96">SUMPRODUCT(ISNUMBER(SEARCH("741",'EFETIVO 11.05.2026'!$H$2:$H$712))*('EFETIVO 11.05.2026'!$G$2:$G$712="A")*('EFETIVO 11.05.2026'!$C$2:$C$712=$B96)*('EFETIVO 11.05.2026'!$I$2:$I$712="UTE"))</f>
        <v>0</v>
      </c>
      <c r="D96" s="283" cm="1">
        <f t="array" ref="D96">SUMPRODUCT(ISNUMBER(SEARCH("741",'EFETIVO 11.05.2026'!$H$2:$H$712))*('EFETIVO 11.05.2026'!$G$2:$G$712="A")*('EFETIVO 11.05.2026'!$C$2:$C$712=$B96)*('EFETIVO 11.05.2026'!$I$2:$I$712="AE"))</f>
        <v>0</v>
      </c>
      <c r="E96" s="283" cm="1">
        <f t="array" ref="E96">SUMPRODUCT(ISNUMBER(SEARCH("741",'EFETIVO 11.05.2026'!$H$2:$H$712))*('EFETIVO 11.05.2026'!$G$2:$G$712="A")*('EFETIVO 11.05.2026'!$C$2:$C$712=$B96)*('EFETIVO 11.05.2026'!$I$2:$I$712="TAPERA"))</f>
        <v>0</v>
      </c>
      <c r="F96" s="283">
        <f t="shared" si="2"/>
        <v>0</v>
      </c>
    </row>
    <row r="97" spans="2:6" x14ac:dyDescent="0.35">
      <c r="B97" s="280" t="str">
        <f t="shared" si="3"/>
        <v>AJUDANTE DE PINTURA</v>
      </c>
      <c r="C97" s="281" cm="1">
        <f t="array" ref="C97">SUMPRODUCT(ISNUMBER(SEARCH("741",'EFETIVO 11.05.2026'!$H$2:$H$712))*('EFETIVO 11.05.2026'!$G$2:$G$712="A")*('EFETIVO 11.05.2026'!$C$2:$C$712=$B97)*('EFETIVO 11.05.2026'!$I$2:$I$712="UTE"))</f>
        <v>0</v>
      </c>
      <c r="D97" s="281" cm="1">
        <f t="array" ref="D97">SUMPRODUCT(ISNUMBER(SEARCH("741",'EFETIVO 11.05.2026'!$H$2:$H$712))*('EFETIVO 11.05.2026'!$G$2:$G$712="A")*('EFETIVO 11.05.2026'!$C$2:$C$712=$B97)*('EFETIVO 11.05.2026'!$I$2:$I$712="AE"))</f>
        <v>2</v>
      </c>
      <c r="E97" s="281" cm="1">
        <f t="array" ref="E97">SUMPRODUCT(ISNUMBER(SEARCH("741",'EFETIVO 11.05.2026'!$H$2:$H$712))*('EFETIVO 11.05.2026'!$G$2:$G$712="A")*('EFETIVO 11.05.2026'!$C$2:$C$712=$B97)*('EFETIVO 11.05.2026'!$I$2:$I$712="TAPERA"))</f>
        <v>0</v>
      </c>
      <c r="F97" s="281">
        <f t="shared" si="2"/>
        <v>2</v>
      </c>
    </row>
    <row r="98" spans="2:6" x14ac:dyDescent="0.35">
      <c r="B98" s="282" t="str">
        <f t="shared" si="3"/>
        <v>AJUDANTE DE PINTURA INDUSTRIAL</v>
      </c>
      <c r="C98" s="283" cm="1">
        <f t="array" ref="C98">SUMPRODUCT(ISNUMBER(SEARCH("741",'EFETIVO 11.05.2026'!$H$2:$H$712))*('EFETIVO 11.05.2026'!$G$2:$G$712="A")*('EFETIVO 11.05.2026'!$C$2:$C$712=$B98)*('EFETIVO 11.05.2026'!$I$2:$I$712="UTE"))</f>
        <v>0</v>
      </c>
      <c r="D98" s="283" cm="1">
        <f t="array" ref="D98">SUMPRODUCT(ISNUMBER(SEARCH("741",'EFETIVO 11.05.2026'!$H$2:$H$712))*('EFETIVO 11.05.2026'!$G$2:$G$712="A")*('EFETIVO 11.05.2026'!$C$2:$C$712=$B98)*('EFETIVO 11.05.2026'!$I$2:$I$712="AE"))</f>
        <v>0</v>
      </c>
      <c r="E98" s="283" cm="1">
        <f t="array" ref="E98">SUMPRODUCT(ISNUMBER(SEARCH("741",'EFETIVO 11.05.2026'!$H$2:$H$712))*('EFETIVO 11.05.2026'!$G$2:$G$712="A")*('EFETIVO 11.05.2026'!$C$2:$C$712=$B98)*('EFETIVO 11.05.2026'!$I$2:$I$712="TAPERA"))</f>
        <v>0</v>
      </c>
      <c r="F98" s="283">
        <f t="shared" si="2"/>
        <v>0</v>
      </c>
    </row>
    <row r="99" spans="2:6" x14ac:dyDescent="0.35">
      <c r="B99" s="280" t="str">
        <f t="shared" si="3"/>
        <v>ALMOXARIFE</v>
      </c>
      <c r="C99" s="281" cm="1">
        <f t="array" ref="C99">SUMPRODUCT(ISNUMBER(SEARCH("741",'EFETIVO 11.05.2026'!$H$2:$H$712))*('EFETIVO 11.05.2026'!$G$2:$G$712="A")*('EFETIVO 11.05.2026'!$C$2:$C$712=$B99)*('EFETIVO 11.05.2026'!$I$2:$I$712="UTE"))</f>
        <v>1</v>
      </c>
      <c r="D99" s="281" cm="1">
        <f t="array" ref="D99">SUMPRODUCT(ISNUMBER(SEARCH("741",'EFETIVO 11.05.2026'!$H$2:$H$712))*('EFETIVO 11.05.2026'!$G$2:$G$712="A")*('EFETIVO 11.05.2026'!$C$2:$C$712=$B99)*('EFETIVO 11.05.2026'!$I$2:$I$712="AE"))</f>
        <v>1</v>
      </c>
      <c r="E99" s="281" cm="1">
        <f t="array" ref="E99">SUMPRODUCT(ISNUMBER(SEARCH("741",'EFETIVO 11.05.2026'!$H$2:$H$712))*('EFETIVO 11.05.2026'!$G$2:$G$712="A")*('EFETIVO 11.05.2026'!$C$2:$C$712=$B99)*('EFETIVO 11.05.2026'!$I$2:$I$712="TAPERA"))</f>
        <v>0</v>
      </c>
      <c r="F99" s="281">
        <f t="shared" si="2"/>
        <v>2</v>
      </c>
    </row>
    <row r="100" spans="2:6" x14ac:dyDescent="0.35">
      <c r="B100" s="282" t="str">
        <f t="shared" si="3"/>
        <v>ARTIFICE</v>
      </c>
      <c r="C100" s="283" cm="1">
        <f t="array" ref="C100">SUMPRODUCT(ISNUMBER(SEARCH("741",'EFETIVO 11.05.2026'!$H$2:$H$712))*('EFETIVO 11.05.2026'!$G$2:$G$712="A")*('EFETIVO 11.05.2026'!$C$2:$C$712=$B100)*('EFETIVO 11.05.2026'!$I$2:$I$712="UTE"))</f>
        <v>10</v>
      </c>
      <c r="D100" s="283" cm="1">
        <f t="array" ref="D100">SUMPRODUCT(ISNUMBER(SEARCH("741",'EFETIVO 11.05.2026'!$H$2:$H$712))*('EFETIVO 11.05.2026'!$G$2:$G$712="A")*('EFETIVO 11.05.2026'!$C$2:$C$712=$B100)*('EFETIVO 11.05.2026'!$I$2:$I$712="AE"))</f>
        <v>9</v>
      </c>
      <c r="E100" s="283" cm="1">
        <f t="array" ref="E100">SUMPRODUCT(ISNUMBER(SEARCH("741",'EFETIVO 11.05.2026'!$H$2:$H$712))*('EFETIVO 11.05.2026'!$G$2:$G$712="A")*('EFETIVO 11.05.2026'!$C$2:$C$712=$B100)*('EFETIVO 11.05.2026'!$I$2:$I$712="TAPERA"))</f>
        <v>0</v>
      </c>
      <c r="F100" s="283">
        <f t="shared" si="2"/>
        <v>19</v>
      </c>
    </row>
    <row r="101" spans="2:6" x14ac:dyDescent="0.35">
      <c r="B101" s="280" t="str">
        <f t="shared" si="3"/>
        <v>ASSISTENTE ADMINISTRATIVO</v>
      </c>
      <c r="C101" s="281" cm="1">
        <f t="array" ref="C101">SUMPRODUCT(ISNUMBER(SEARCH("741",'EFETIVO 11.05.2026'!$H$2:$H$712))*('EFETIVO 11.05.2026'!$G$2:$G$712="A")*('EFETIVO 11.05.2026'!$C$2:$C$712=$B101)*('EFETIVO 11.05.2026'!$I$2:$I$712="UTE"))</f>
        <v>0</v>
      </c>
      <c r="D101" s="281" cm="1">
        <f t="array" ref="D101">SUMPRODUCT(ISNUMBER(SEARCH("741",'EFETIVO 11.05.2026'!$H$2:$H$712))*('EFETIVO 11.05.2026'!$G$2:$G$712="A")*('EFETIVO 11.05.2026'!$C$2:$C$712=$B101)*('EFETIVO 11.05.2026'!$I$2:$I$712="AE"))</f>
        <v>3</v>
      </c>
      <c r="E101" s="281" cm="1">
        <f t="array" ref="E101">SUMPRODUCT(ISNUMBER(SEARCH("741",'EFETIVO 11.05.2026'!$H$2:$H$712))*('EFETIVO 11.05.2026'!$G$2:$G$712="A")*('EFETIVO 11.05.2026'!$C$2:$C$712=$B101)*('EFETIVO 11.05.2026'!$I$2:$I$712="TAPERA"))</f>
        <v>0</v>
      </c>
      <c r="F101" s="281">
        <f t="shared" si="2"/>
        <v>3</v>
      </c>
    </row>
    <row r="102" spans="2:6" x14ac:dyDescent="0.35">
      <c r="B102" s="282" t="str">
        <f t="shared" si="3"/>
        <v>ASSISTENTE DE LOGISTICA I</v>
      </c>
      <c r="C102" s="283" cm="1">
        <f t="array" ref="C102">SUMPRODUCT(ISNUMBER(SEARCH("741",'EFETIVO 11.05.2026'!$H$2:$H$712))*('EFETIVO 11.05.2026'!$G$2:$G$712="A")*('EFETIVO 11.05.2026'!$C$2:$C$712=$B102)*('EFETIVO 11.05.2026'!$I$2:$I$712="UTE"))</f>
        <v>1</v>
      </c>
      <c r="D102" s="283" cm="1">
        <f t="array" ref="D102">SUMPRODUCT(ISNUMBER(SEARCH("741",'EFETIVO 11.05.2026'!$H$2:$H$712))*('EFETIVO 11.05.2026'!$G$2:$G$712="A")*('EFETIVO 11.05.2026'!$C$2:$C$712=$B102)*('EFETIVO 11.05.2026'!$I$2:$I$712="AE"))</f>
        <v>1</v>
      </c>
      <c r="E102" s="283" cm="1">
        <f t="array" ref="E102">SUMPRODUCT(ISNUMBER(SEARCH("741",'EFETIVO 11.05.2026'!$H$2:$H$712))*('EFETIVO 11.05.2026'!$G$2:$G$712="A")*('EFETIVO 11.05.2026'!$C$2:$C$712=$B102)*('EFETIVO 11.05.2026'!$I$2:$I$712="TAPERA"))</f>
        <v>0</v>
      </c>
      <c r="F102" s="283">
        <f t="shared" si="2"/>
        <v>2</v>
      </c>
    </row>
    <row r="103" spans="2:6" x14ac:dyDescent="0.35">
      <c r="B103" s="280" t="str">
        <f t="shared" si="3"/>
        <v>AUXILIAR ADMINISTRATIVO</v>
      </c>
      <c r="C103" s="281" cm="1">
        <f t="array" ref="C103">SUMPRODUCT(ISNUMBER(SEARCH("741",'EFETIVO 11.05.2026'!$H$2:$H$712))*('EFETIVO 11.05.2026'!$G$2:$G$712="A")*('EFETIVO 11.05.2026'!$C$2:$C$712=$B103)*('EFETIVO 11.05.2026'!$I$2:$I$712="UTE"))</f>
        <v>0</v>
      </c>
      <c r="D103" s="281" cm="1">
        <f t="array" ref="D103">SUMPRODUCT(ISNUMBER(SEARCH("741",'EFETIVO 11.05.2026'!$H$2:$H$712))*('EFETIVO 11.05.2026'!$G$2:$G$712="A")*('EFETIVO 11.05.2026'!$C$2:$C$712=$B103)*('EFETIVO 11.05.2026'!$I$2:$I$712="AE"))</f>
        <v>2</v>
      </c>
      <c r="E103" s="281" cm="1">
        <f t="array" ref="E103">SUMPRODUCT(ISNUMBER(SEARCH("741",'EFETIVO 11.05.2026'!$H$2:$H$712))*('EFETIVO 11.05.2026'!$G$2:$G$712="A")*('EFETIVO 11.05.2026'!$C$2:$C$712=$B103)*('EFETIVO 11.05.2026'!$I$2:$I$712="TAPERA"))</f>
        <v>0</v>
      </c>
      <c r="F103" s="281">
        <f t="shared" si="2"/>
        <v>2</v>
      </c>
    </row>
    <row r="104" spans="2:6" x14ac:dyDescent="0.35">
      <c r="B104" s="282" t="str">
        <f t="shared" si="3"/>
        <v>AUXILIAR DE ALMOXARIFADO</v>
      </c>
      <c r="C104" s="283" cm="1">
        <f t="array" ref="C104">SUMPRODUCT(ISNUMBER(SEARCH("741",'EFETIVO 11.05.2026'!$H$2:$H$712))*('EFETIVO 11.05.2026'!$G$2:$G$712="A")*('EFETIVO 11.05.2026'!$C$2:$C$712=$B104)*('EFETIVO 11.05.2026'!$I$2:$I$712="UTE"))</f>
        <v>0</v>
      </c>
      <c r="D104" s="283" cm="1">
        <f t="array" ref="D104">SUMPRODUCT(ISNUMBER(SEARCH("741",'EFETIVO 11.05.2026'!$H$2:$H$712))*('EFETIVO 11.05.2026'!$G$2:$G$712="A")*('EFETIVO 11.05.2026'!$C$2:$C$712=$B104)*('EFETIVO 11.05.2026'!$I$2:$I$712="AE"))</f>
        <v>2</v>
      </c>
      <c r="E104" s="283" cm="1">
        <f t="array" ref="E104">SUMPRODUCT(ISNUMBER(SEARCH("741",'EFETIVO 11.05.2026'!$H$2:$H$712))*('EFETIVO 11.05.2026'!$G$2:$G$712="A")*('EFETIVO 11.05.2026'!$C$2:$C$712=$B104)*('EFETIVO 11.05.2026'!$I$2:$I$712="TAPERA"))</f>
        <v>0</v>
      </c>
      <c r="F104" s="283">
        <f t="shared" si="2"/>
        <v>2</v>
      </c>
    </row>
    <row r="105" spans="2:6" x14ac:dyDescent="0.35">
      <c r="B105" s="280" t="str">
        <f t="shared" si="3"/>
        <v>AUXILIAR DE ALMOXARIFE</v>
      </c>
      <c r="C105" s="281" cm="1">
        <f t="array" ref="C105">SUMPRODUCT(ISNUMBER(SEARCH("741",'EFETIVO 11.05.2026'!$H$2:$H$712))*('EFETIVO 11.05.2026'!$G$2:$G$712="A")*('EFETIVO 11.05.2026'!$C$2:$C$712=$B105)*('EFETIVO 11.05.2026'!$I$2:$I$712="UTE"))</f>
        <v>0</v>
      </c>
      <c r="D105" s="281" cm="1">
        <f t="array" ref="D105">SUMPRODUCT(ISNUMBER(SEARCH("741",'EFETIVO 11.05.2026'!$H$2:$H$712))*('EFETIVO 11.05.2026'!$G$2:$G$712="A")*('EFETIVO 11.05.2026'!$C$2:$C$712=$B105)*('EFETIVO 11.05.2026'!$I$2:$I$712="AE"))</f>
        <v>0</v>
      </c>
      <c r="E105" s="281" cm="1">
        <f t="array" ref="E105">SUMPRODUCT(ISNUMBER(SEARCH("741",'EFETIVO 11.05.2026'!$H$2:$H$712))*('EFETIVO 11.05.2026'!$G$2:$G$712="A")*('EFETIVO 11.05.2026'!$C$2:$C$712=$B105)*('EFETIVO 11.05.2026'!$I$2:$I$712="TAPERA"))</f>
        <v>0</v>
      </c>
      <c r="F105" s="281">
        <f t="shared" si="2"/>
        <v>0</v>
      </c>
    </row>
    <row r="106" spans="2:6" x14ac:dyDescent="0.35">
      <c r="B106" s="282" t="str">
        <f t="shared" si="3"/>
        <v>AUXILIAR DE JARDINAGEM</v>
      </c>
      <c r="C106" s="283" cm="1">
        <f t="array" ref="C106">SUMPRODUCT(ISNUMBER(SEARCH("741",'EFETIVO 11.05.2026'!$H$2:$H$712))*('EFETIVO 11.05.2026'!$G$2:$G$712="A")*('EFETIVO 11.05.2026'!$C$2:$C$712=$B106)*('EFETIVO 11.05.2026'!$I$2:$I$712="UTE"))</f>
        <v>17</v>
      </c>
      <c r="D106" s="283" cm="1">
        <f t="array" ref="D106">SUMPRODUCT(ISNUMBER(SEARCH("741",'EFETIVO 11.05.2026'!$H$2:$H$712))*('EFETIVO 11.05.2026'!$G$2:$G$712="A")*('EFETIVO 11.05.2026'!$C$2:$C$712=$B106)*('EFETIVO 11.05.2026'!$I$2:$I$712="AE"))</f>
        <v>6</v>
      </c>
      <c r="E106" s="283" cm="1">
        <f t="array" ref="E106">SUMPRODUCT(ISNUMBER(SEARCH("741",'EFETIVO 11.05.2026'!$H$2:$H$712))*('EFETIVO 11.05.2026'!$G$2:$G$712="A")*('EFETIVO 11.05.2026'!$C$2:$C$712=$B106)*('EFETIVO 11.05.2026'!$I$2:$I$712="TAPERA"))</f>
        <v>0</v>
      </c>
      <c r="F106" s="283">
        <f t="shared" si="2"/>
        <v>23</v>
      </c>
    </row>
    <row r="107" spans="2:6" x14ac:dyDescent="0.35">
      <c r="B107" s="280" t="str">
        <f t="shared" si="3"/>
        <v>AUXILIAR DE MANUTENCAO CIVIL</v>
      </c>
      <c r="C107" s="281" cm="1">
        <f t="array" ref="C107">SUMPRODUCT(ISNUMBER(SEARCH("741",'EFETIVO 11.05.2026'!$H$2:$H$712))*('EFETIVO 11.05.2026'!$G$2:$G$712="A")*('EFETIVO 11.05.2026'!$C$2:$C$712=$B107)*('EFETIVO 11.05.2026'!$I$2:$I$712="UTE"))</f>
        <v>11</v>
      </c>
      <c r="D107" s="281" cm="1">
        <f t="array" ref="D107">SUMPRODUCT(ISNUMBER(SEARCH("741",'EFETIVO 11.05.2026'!$H$2:$H$712))*('EFETIVO 11.05.2026'!$G$2:$G$712="A")*('EFETIVO 11.05.2026'!$C$2:$C$712=$B107)*('EFETIVO 11.05.2026'!$I$2:$I$712="AE"))</f>
        <v>0</v>
      </c>
      <c r="E107" s="281" cm="1">
        <f t="array" ref="E107">SUMPRODUCT(ISNUMBER(SEARCH("741",'EFETIVO 11.05.2026'!$H$2:$H$712))*('EFETIVO 11.05.2026'!$G$2:$G$712="A")*('EFETIVO 11.05.2026'!$C$2:$C$712=$B107)*('EFETIVO 11.05.2026'!$I$2:$I$712="TAPERA"))</f>
        <v>0</v>
      </c>
      <c r="F107" s="281">
        <f t="shared" si="2"/>
        <v>11</v>
      </c>
    </row>
    <row r="108" spans="2:6" x14ac:dyDescent="0.35">
      <c r="B108" s="282" t="str">
        <f t="shared" si="3"/>
        <v>AUXILIAR DE MANUTENCAO EM CALDEIRARIA</v>
      </c>
      <c r="C108" s="283" cm="1">
        <f t="array" ref="C108">SUMPRODUCT(ISNUMBER(SEARCH("741",'EFETIVO 11.05.2026'!$H$2:$H$712))*('EFETIVO 11.05.2026'!$G$2:$G$712="A")*('EFETIVO 11.05.2026'!$C$2:$C$712=$B108)*('EFETIVO 11.05.2026'!$I$2:$I$712="UTE"))</f>
        <v>0</v>
      </c>
      <c r="D108" s="283" cm="1">
        <f t="array" ref="D108">SUMPRODUCT(ISNUMBER(SEARCH("741",'EFETIVO 11.05.2026'!$H$2:$H$712))*('EFETIVO 11.05.2026'!$G$2:$G$712="A")*('EFETIVO 11.05.2026'!$C$2:$C$712=$B108)*('EFETIVO 11.05.2026'!$I$2:$I$712="AE"))</f>
        <v>1</v>
      </c>
      <c r="E108" s="283" cm="1">
        <f t="array" ref="E108">SUMPRODUCT(ISNUMBER(SEARCH("741",'EFETIVO 11.05.2026'!$H$2:$H$712))*('EFETIVO 11.05.2026'!$G$2:$G$712="A")*('EFETIVO 11.05.2026'!$C$2:$C$712=$B108)*('EFETIVO 11.05.2026'!$I$2:$I$712="TAPERA"))</f>
        <v>0</v>
      </c>
      <c r="F108" s="283">
        <f t="shared" si="2"/>
        <v>1</v>
      </c>
    </row>
    <row r="109" spans="2:6" x14ac:dyDescent="0.35">
      <c r="B109" s="280" t="str">
        <f t="shared" si="3"/>
        <v>AUXILIAR DE SEGURANCA DO TRABALHO</v>
      </c>
      <c r="C109" s="281" cm="1">
        <f t="array" ref="C109">SUMPRODUCT(ISNUMBER(SEARCH("741",'EFETIVO 11.05.2026'!$H$2:$H$712))*('EFETIVO 11.05.2026'!$G$2:$G$712="A")*('EFETIVO 11.05.2026'!$C$2:$C$712=$B109)*('EFETIVO 11.05.2026'!$I$2:$I$712="UTE"))</f>
        <v>1</v>
      </c>
      <c r="D109" s="281" cm="1">
        <f t="array" ref="D109">SUMPRODUCT(ISNUMBER(SEARCH("741",'EFETIVO 11.05.2026'!$H$2:$H$712))*('EFETIVO 11.05.2026'!$G$2:$G$712="A")*('EFETIVO 11.05.2026'!$C$2:$C$712=$B109)*('EFETIVO 11.05.2026'!$I$2:$I$712="AE"))</f>
        <v>1</v>
      </c>
      <c r="E109" s="281" cm="1">
        <f t="array" ref="E109">SUMPRODUCT(ISNUMBER(SEARCH("741",'EFETIVO 11.05.2026'!$H$2:$H$712))*('EFETIVO 11.05.2026'!$G$2:$G$712="A")*('EFETIVO 11.05.2026'!$C$2:$C$712=$B109)*('EFETIVO 11.05.2026'!$I$2:$I$712="TAPERA"))</f>
        <v>0</v>
      </c>
      <c r="F109" s="281">
        <f t="shared" si="2"/>
        <v>2</v>
      </c>
    </row>
    <row r="110" spans="2:6" x14ac:dyDescent="0.35">
      <c r="B110" s="282" t="str">
        <f t="shared" si="3"/>
        <v>AUXILIAR DE SERVICOS GERAIS</v>
      </c>
      <c r="C110" s="283" cm="1">
        <f t="array" ref="C110">SUMPRODUCT(ISNUMBER(SEARCH("741",'EFETIVO 11.05.2026'!$H$2:$H$712))*('EFETIVO 11.05.2026'!$G$2:$G$712="A")*('EFETIVO 11.05.2026'!$C$2:$C$712=$B110)*('EFETIVO 11.05.2026'!$I$2:$I$712="UTE"))</f>
        <v>13</v>
      </c>
      <c r="D110" s="283" cm="1">
        <f t="array" ref="D110">SUMPRODUCT(ISNUMBER(SEARCH("741",'EFETIVO 11.05.2026'!$H$2:$H$712))*('EFETIVO 11.05.2026'!$G$2:$G$712="A")*('EFETIVO 11.05.2026'!$C$2:$C$712=$B110)*('EFETIVO 11.05.2026'!$I$2:$I$712="AE"))</f>
        <v>13</v>
      </c>
      <c r="E110" s="283" cm="1">
        <f t="array" ref="E110">SUMPRODUCT(ISNUMBER(SEARCH("741",'EFETIVO 11.05.2026'!$H$2:$H$712))*('EFETIVO 11.05.2026'!$G$2:$G$712="A")*('EFETIVO 11.05.2026'!$C$2:$C$712=$B110)*('EFETIVO 11.05.2026'!$I$2:$I$712="TAPERA"))</f>
        <v>1</v>
      </c>
      <c r="F110" s="283">
        <f t="shared" si="2"/>
        <v>27</v>
      </c>
    </row>
    <row r="111" spans="2:6" x14ac:dyDescent="0.35">
      <c r="B111" s="280" t="str">
        <f t="shared" si="3"/>
        <v>BOMBEIRO HIDRAULICO</v>
      </c>
      <c r="C111" s="281" cm="1">
        <f t="array" ref="C111">SUMPRODUCT(ISNUMBER(SEARCH("741",'EFETIVO 11.05.2026'!$H$2:$H$712))*('EFETIVO 11.05.2026'!$G$2:$G$712="A")*('EFETIVO 11.05.2026'!$C$2:$C$712=$B111)*('EFETIVO 11.05.2026'!$I$2:$I$712="UTE"))</f>
        <v>0</v>
      </c>
      <c r="D111" s="281" cm="1">
        <f t="array" ref="D111">SUMPRODUCT(ISNUMBER(SEARCH("741",'EFETIVO 11.05.2026'!$H$2:$H$712))*('EFETIVO 11.05.2026'!$G$2:$G$712="A")*('EFETIVO 11.05.2026'!$C$2:$C$712=$B111)*('EFETIVO 11.05.2026'!$I$2:$I$712="AE"))</f>
        <v>0</v>
      </c>
      <c r="E111" s="281" cm="1">
        <f t="array" ref="E111">SUMPRODUCT(ISNUMBER(SEARCH("741",'EFETIVO 11.05.2026'!$H$2:$H$712))*('EFETIVO 11.05.2026'!$G$2:$G$712="A")*('EFETIVO 11.05.2026'!$C$2:$C$712=$B111)*('EFETIVO 11.05.2026'!$I$2:$I$712="TAPERA"))</f>
        <v>0</v>
      </c>
      <c r="F111" s="281">
        <f t="shared" si="2"/>
        <v>0</v>
      </c>
    </row>
    <row r="112" spans="2:6" x14ac:dyDescent="0.35">
      <c r="B112" s="282" t="str">
        <f t="shared" si="3"/>
        <v>CADISTA I</v>
      </c>
      <c r="C112" s="283" cm="1">
        <f t="array" ref="C112">SUMPRODUCT(ISNUMBER(SEARCH("741",'EFETIVO 11.05.2026'!$H$2:$H$712))*('EFETIVO 11.05.2026'!$G$2:$G$712="A")*('EFETIVO 11.05.2026'!$C$2:$C$712=$B112)*('EFETIVO 11.05.2026'!$I$2:$I$712="UTE"))</f>
        <v>1</v>
      </c>
      <c r="D112" s="283" cm="1">
        <f t="array" ref="D112">SUMPRODUCT(ISNUMBER(SEARCH("741",'EFETIVO 11.05.2026'!$H$2:$H$712))*('EFETIVO 11.05.2026'!$G$2:$G$712="A")*('EFETIVO 11.05.2026'!$C$2:$C$712=$B112)*('EFETIVO 11.05.2026'!$I$2:$I$712="AE"))</f>
        <v>0</v>
      </c>
      <c r="E112" s="283" cm="1">
        <f t="array" ref="E112">SUMPRODUCT(ISNUMBER(SEARCH("741",'EFETIVO 11.05.2026'!$H$2:$H$712))*('EFETIVO 11.05.2026'!$G$2:$G$712="A")*('EFETIVO 11.05.2026'!$C$2:$C$712=$B112)*('EFETIVO 11.05.2026'!$I$2:$I$712="TAPERA"))</f>
        <v>0</v>
      </c>
      <c r="F112" s="283">
        <f t="shared" si="2"/>
        <v>1</v>
      </c>
    </row>
    <row r="113" spans="2:6" x14ac:dyDescent="0.35">
      <c r="B113" s="280" t="str">
        <f t="shared" si="3"/>
        <v>CALDEIREIRO</v>
      </c>
      <c r="C113" s="281" cm="1">
        <f t="array" ref="C113">SUMPRODUCT(ISNUMBER(SEARCH("741",'EFETIVO 11.05.2026'!$H$2:$H$712))*('EFETIVO 11.05.2026'!$G$2:$G$712="A")*('EFETIVO 11.05.2026'!$C$2:$C$712=$B113)*('EFETIVO 11.05.2026'!$I$2:$I$712="UTE"))</f>
        <v>0</v>
      </c>
      <c r="D113" s="281" cm="1">
        <f t="array" ref="D113">SUMPRODUCT(ISNUMBER(SEARCH("741",'EFETIVO 11.05.2026'!$H$2:$H$712))*('EFETIVO 11.05.2026'!$G$2:$G$712="A")*('EFETIVO 11.05.2026'!$C$2:$C$712=$B113)*('EFETIVO 11.05.2026'!$I$2:$I$712="AE"))</f>
        <v>2</v>
      </c>
      <c r="E113" s="281" cm="1">
        <f t="array" ref="E113">SUMPRODUCT(ISNUMBER(SEARCH("741",'EFETIVO 11.05.2026'!$H$2:$H$712))*('EFETIVO 11.05.2026'!$G$2:$G$712="A")*('EFETIVO 11.05.2026'!$C$2:$C$712=$B113)*('EFETIVO 11.05.2026'!$I$2:$I$712="TAPERA"))</f>
        <v>0</v>
      </c>
      <c r="F113" s="281">
        <f t="shared" si="2"/>
        <v>2</v>
      </c>
    </row>
    <row r="114" spans="2:6" x14ac:dyDescent="0.35">
      <c r="B114" s="282" t="str">
        <f t="shared" si="3"/>
        <v>CARPINTEIRO</v>
      </c>
      <c r="C114" s="283" cm="1">
        <f t="array" ref="C114">SUMPRODUCT(ISNUMBER(SEARCH("741",'EFETIVO 11.05.2026'!$H$2:$H$712))*('EFETIVO 11.05.2026'!$G$2:$G$712="A")*('EFETIVO 11.05.2026'!$C$2:$C$712=$B114)*('EFETIVO 11.05.2026'!$I$2:$I$712="UTE"))</f>
        <v>0</v>
      </c>
      <c r="D114" s="283" cm="1">
        <f t="array" ref="D114">SUMPRODUCT(ISNUMBER(SEARCH("741",'EFETIVO 11.05.2026'!$H$2:$H$712))*('EFETIVO 11.05.2026'!$G$2:$G$712="A")*('EFETIVO 11.05.2026'!$C$2:$C$712=$B114)*('EFETIVO 11.05.2026'!$I$2:$I$712="AE"))</f>
        <v>0</v>
      </c>
      <c r="E114" s="283" cm="1">
        <f t="array" ref="E114">SUMPRODUCT(ISNUMBER(SEARCH("741",'EFETIVO 11.05.2026'!$H$2:$H$712))*('EFETIVO 11.05.2026'!$G$2:$G$712="A")*('EFETIVO 11.05.2026'!$C$2:$C$712=$B114)*('EFETIVO 11.05.2026'!$I$2:$I$712="TAPERA"))</f>
        <v>0</v>
      </c>
      <c r="F114" s="283">
        <f t="shared" si="2"/>
        <v>0</v>
      </c>
    </row>
    <row r="115" spans="2:6" x14ac:dyDescent="0.35">
      <c r="B115" s="280" t="str">
        <f t="shared" si="3"/>
        <v>COMPRADOR</v>
      </c>
      <c r="C115" s="281" cm="1">
        <f t="array" ref="C115">SUMPRODUCT(ISNUMBER(SEARCH("741",'EFETIVO 11.05.2026'!$H$2:$H$712))*('EFETIVO 11.05.2026'!$G$2:$G$712="A")*('EFETIVO 11.05.2026'!$C$2:$C$712=$B115)*('EFETIVO 11.05.2026'!$I$2:$I$712="UTE"))</f>
        <v>0</v>
      </c>
      <c r="D115" s="281" cm="1">
        <f t="array" ref="D115">SUMPRODUCT(ISNUMBER(SEARCH("741",'EFETIVO 11.05.2026'!$H$2:$H$712))*('EFETIVO 11.05.2026'!$G$2:$G$712="A")*('EFETIVO 11.05.2026'!$C$2:$C$712=$B115)*('EFETIVO 11.05.2026'!$I$2:$I$712="AE"))</f>
        <v>2</v>
      </c>
      <c r="E115" s="281" cm="1">
        <f t="array" ref="E115">SUMPRODUCT(ISNUMBER(SEARCH("741",'EFETIVO 11.05.2026'!$H$2:$H$712))*('EFETIVO 11.05.2026'!$G$2:$G$712="A")*('EFETIVO 11.05.2026'!$C$2:$C$712=$B115)*('EFETIVO 11.05.2026'!$I$2:$I$712="TAPERA"))</f>
        <v>0</v>
      </c>
      <c r="F115" s="281">
        <f t="shared" si="2"/>
        <v>2</v>
      </c>
    </row>
    <row r="116" spans="2:6" x14ac:dyDescent="0.35">
      <c r="B116" s="282" t="str">
        <f t="shared" si="3"/>
        <v>COORDENADOR DE MANUTENCAO</v>
      </c>
      <c r="C116" s="283">
        <v>0</v>
      </c>
      <c r="D116" s="283" cm="1">
        <f t="array" ref="D116">SUMPRODUCT(ISNUMBER(SEARCH("741",'EFETIVO 11.05.2026'!$H$2:$H$712))*('EFETIVO 11.05.2026'!$G$2:$G$712="A")*('EFETIVO 11.05.2026'!$C$2:$C$712=$B116)*('EFETIVO 11.05.2026'!$I$2:$I$712="AE"))</f>
        <v>0</v>
      </c>
      <c r="E116" s="283" cm="1">
        <f t="array" ref="E116">SUMPRODUCT(ISNUMBER(SEARCH("741",'EFETIVO 11.05.2026'!$H$2:$H$712))*('EFETIVO 11.05.2026'!$G$2:$G$712="A")*('EFETIVO 11.05.2026'!$C$2:$C$712=$B116)*('EFETIVO 11.05.2026'!$I$2:$I$712="TAPERA"))</f>
        <v>0</v>
      </c>
      <c r="F116" s="283">
        <f t="shared" si="2"/>
        <v>0</v>
      </c>
    </row>
    <row r="117" spans="2:6" x14ac:dyDescent="0.35">
      <c r="B117" s="280" t="str">
        <f t="shared" si="3"/>
        <v>ELETRICISTA PREDIAL</v>
      </c>
      <c r="C117" s="281" cm="1">
        <f t="array" ref="C117">SUMPRODUCT(ISNUMBER(SEARCH("741",'EFETIVO 11.05.2026'!$H$2:$H$712))*('EFETIVO 11.05.2026'!$G$2:$G$712="A")*('EFETIVO 11.05.2026'!$C$2:$C$712=$B117)*('EFETIVO 11.05.2026'!$I$2:$I$712="UTE"))</f>
        <v>2</v>
      </c>
      <c r="D117" s="281" cm="1">
        <f t="array" ref="D117">SUMPRODUCT(ISNUMBER(SEARCH("741",'EFETIVO 11.05.2026'!$H$2:$H$712))*('EFETIVO 11.05.2026'!$G$2:$G$712="A")*('EFETIVO 11.05.2026'!$C$2:$C$712=$B117)*('EFETIVO 11.05.2026'!$I$2:$I$712="AE"))</f>
        <v>2</v>
      </c>
      <c r="E117" s="281" cm="1">
        <f t="array" ref="E117">SUMPRODUCT(ISNUMBER(SEARCH("741",'EFETIVO 11.05.2026'!$H$2:$H$712))*('EFETIVO 11.05.2026'!$G$2:$G$712="A")*('EFETIVO 11.05.2026'!$C$2:$C$712=$B117)*('EFETIVO 11.05.2026'!$I$2:$I$712="TAPERA"))</f>
        <v>0</v>
      </c>
      <c r="F117" s="281">
        <f t="shared" si="2"/>
        <v>4</v>
      </c>
    </row>
    <row r="118" spans="2:6" x14ac:dyDescent="0.35">
      <c r="B118" s="282" t="str">
        <f t="shared" si="3"/>
        <v>ENCARREGADO CIVIL</v>
      </c>
      <c r="C118" s="283" cm="1">
        <f t="array" ref="C118">SUMPRODUCT(ISNUMBER(SEARCH("741",'EFETIVO 11.05.2026'!$H$2:$H$712))*('EFETIVO 11.05.2026'!$G$2:$G$712="A")*('EFETIVO 11.05.2026'!$C$2:$C$712=$B118)*('EFETIVO 11.05.2026'!$I$2:$I$712="UTE"))</f>
        <v>1</v>
      </c>
      <c r="D118" s="283" cm="1">
        <f t="array" ref="D118">SUMPRODUCT(ISNUMBER(SEARCH("741",'EFETIVO 11.05.2026'!$H$2:$H$712))*('EFETIVO 11.05.2026'!$G$2:$G$712="A")*('EFETIVO 11.05.2026'!$C$2:$C$712=$B118)*('EFETIVO 11.05.2026'!$I$2:$I$712="AE"))</f>
        <v>0</v>
      </c>
      <c r="E118" s="283" cm="1">
        <f t="array" ref="E118">SUMPRODUCT(ISNUMBER(SEARCH("741",'EFETIVO 11.05.2026'!$H$2:$H$712))*('EFETIVO 11.05.2026'!$G$2:$G$712="A")*('EFETIVO 11.05.2026'!$C$2:$C$712=$B118)*('EFETIVO 11.05.2026'!$I$2:$I$712="TAPERA"))</f>
        <v>0</v>
      </c>
      <c r="F118" s="283">
        <f t="shared" si="2"/>
        <v>1</v>
      </c>
    </row>
    <row r="119" spans="2:6" x14ac:dyDescent="0.35">
      <c r="B119" s="280" t="str">
        <f t="shared" si="3"/>
        <v>ENCARREGADO DE AREAS VERDES</v>
      </c>
      <c r="C119" s="281" cm="1">
        <f t="array" ref="C119">SUMPRODUCT(ISNUMBER(SEARCH("741",'EFETIVO 11.05.2026'!$H$2:$H$712))*('EFETIVO 11.05.2026'!$G$2:$G$712="A")*('EFETIVO 11.05.2026'!$C$2:$C$712=$B119)*('EFETIVO 11.05.2026'!$I$2:$I$712="UTE"))</f>
        <v>1</v>
      </c>
      <c r="D119" s="281" cm="1">
        <f t="array" ref="D119">SUMPRODUCT(ISNUMBER(SEARCH("741",'EFETIVO 11.05.2026'!$H$2:$H$712))*('EFETIVO 11.05.2026'!$G$2:$G$712="A")*('EFETIVO 11.05.2026'!$C$2:$C$712=$B119)*('EFETIVO 11.05.2026'!$I$2:$I$712="AE"))</f>
        <v>1</v>
      </c>
      <c r="E119" s="281" cm="1">
        <f t="array" ref="E119">SUMPRODUCT(ISNUMBER(SEARCH("741",'EFETIVO 11.05.2026'!$H$2:$H$712))*('EFETIVO 11.05.2026'!$G$2:$G$712="A")*('EFETIVO 11.05.2026'!$C$2:$C$712=$B119)*('EFETIVO 11.05.2026'!$I$2:$I$712="TAPERA"))</f>
        <v>0</v>
      </c>
      <c r="F119" s="281">
        <f t="shared" si="2"/>
        <v>2</v>
      </c>
    </row>
    <row r="120" spans="2:6" x14ac:dyDescent="0.35">
      <c r="B120" s="282" t="str">
        <f t="shared" si="3"/>
        <v>ENCARREGADO DE CONSERVACAO E LIMPEZA</v>
      </c>
      <c r="C120" s="283" cm="1">
        <f t="array" ref="C120">SUMPRODUCT(ISNUMBER(SEARCH("741",'EFETIVO 11.05.2026'!$H$2:$H$712))*('EFETIVO 11.05.2026'!$G$2:$G$712="A")*('EFETIVO 11.05.2026'!$C$2:$C$712=$B120)*('EFETIVO 11.05.2026'!$I$2:$I$712="UTE"))</f>
        <v>1</v>
      </c>
      <c r="D120" s="283" cm="1">
        <f t="array" ref="D120">SUMPRODUCT(ISNUMBER(SEARCH("741",'EFETIVO 11.05.2026'!$H$2:$H$712))*('EFETIVO 11.05.2026'!$G$2:$G$712="A")*('EFETIVO 11.05.2026'!$C$2:$C$712=$B120)*('EFETIVO 11.05.2026'!$I$2:$I$712="AE"))</f>
        <v>1</v>
      </c>
      <c r="E120" s="283" cm="1">
        <f t="array" ref="E120">SUMPRODUCT(ISNUMBER(SEARCH("741",'EFETIVO 11.05.2026'!$H$2:$H$712))*('EFETIVO 11.05.2026'!$G$2:$G$712="A")*('EFETIVO 11.05.2026'!$C$2:$C$712=$B120)*('EFETIVO 11.05.2026'!$I$2:$I$712="TAPERA"))</f>
        <v>0</v>
      </c>
      <c r="F120" s="283">
        <f t="shared" si="2"/>
        <v>2</v>
      </c>
    </row>
    <row r="121" spans="2:6" x14ac:dyDescent="0.35">
      <c r="B121" s="280" t="str">
        <f t="shared" si="3"/>
        <v>ENGENHEIRO AGRONOMO</v>
      </c>
      <c r="C121" s="281" cm="1">
        <f t="array" ref="C121">SUMPRODUCT(ISNUMBER(SEARCH("741",'EFETIVO 11.05.2026'!$H$2:$H$712))*('EFETIVO 11.05.2026'!$G$2:$G$712="A")*('EFETIVO 11.05.2026'!$C$2:$C$712=$B121)*('EFETIVO 11.05.2026'!$I$2:$I$712="UTE"))</f>
        <v>1</v>
      </c>
      <c r="D121" s="281" cm="1">
        <f t="array" ref="D121">SUMPRODUCT(ISNUMBER(SEARCH("741",'EFETIVO 11.05.2026'!$H$2:$H$712))*('EFETIVO 11.05.2026'!$G$2:$G$712="A")*('EFETIVO 11.05.2026'!$C$2:$C$712=$B121)*('EFETIVO 11.05.2026'!$I$2:$I$712="AE"))</f>
        <v>0</v>
      </c>
      <c r="E121" s="281" cm="1">
        <f t="array" ref="E121">SUMPRODUCT(ISNUMBER(SEARCH("741",'EFETIVO 11.05.2026'!$H$2:$H$712))*('EFETIVO 11.05.2026'!$G$2:$G$712="A")*('EFETIVO 11.05.2026'!$C$2:$C$712=$B121)*('EFETIVO 11.05.2026'!$I$2:$I$712="TAPERA"))</f>
        <v>0</v>
      </c>
      <c r="F121" s="281">
        <f t="shared" si="2"/>
        <v>1</v>
      </c>
    </row>
    <row r="122" spans="2:6" x14ac:dyDescent="0.35">
      <c r="B122" s="282" t="str">
        <f t="shared" si="3"/>
        <v>ENGENHEIRO CIVIL</v>
      </c>
      <c r="C122" s="283" cm="1">
        <f t="array" ref="C122">SUMPRODUCT(ISNUMBER(SEARCH("741",'EFETIVO 11.05.2026'!$H$2:$H$712))*('EFETIVO 11.05.2026'!$G$2:$G$712="A")*('EFETIVO 11.05.2026'!$C$2:$C$712=$B122)*('EFETIVO 11.05.2026'!$I$2:$I$712="UTE"))</f>
        <v>1</v>
      </c>
      <c r="D122" s="283" cm="1">
        <f t="array" ref="D122">SUMPRODUCT(ISNUMBER(SEARCH("741",'EFETIVO 11.05.2026'!$H$2:$H$712))*('EFETIVO 11.05.2026'!$G$2:$G$712="A")*('EFETIVO 11.05.2026'!$C$2:$C$712=$B122)*('EFETIVO 11.05.2026'!$I$2:$I$712="AE"))</f>
        <v>0</v>
      </c>
      <c r="E122" s="283" cm="1">
        <f t="array" ref="E122">SUMPRODUCT(ISNUMBER(SEARCH("741",'EFETIVO 11.05.2026'!$H$2:$H$712))*('EFETIVO 11.05.2026'!$G$2:$G$712="A")*('EFETIVO 11.05.2026'!$C$2:$C$712=$B122)*('EFETIVO 11.05.2026'!$I$2:$I$712="TAPERA"))</f>
        <v>0</v>
      </c>
      <c r="F122" s="283">
        <f t="shared" si="2"/>
        <v>1</v>
      </c>
    </row>
    <row r="123" spans="2:6" x14ac:dyDescent="0.35">
      <c r="B123" s="280" t="str">
        <f t="shared" si="3"/>
        <v>ESTIVAS</v>
      </c>
      <c r="C123" s="281" cm="1">
        <f t="array" ref="C123">SUMPRODUCT(ISNUMBER(SEARCH("741",'EFETIVO 11.05.2026'!$H$2:$H$712))*('EFETIVO 11.05.2026'!$G$2:$G$712="A")*('EFETIVO 11.05.2026'!$C$2:$C$712=$B123)*('EFETIVO 11.05.2026'!$I$2:$I$712="UTE"))</f>
        <v>0</v>
      </c>
      <c r="D123" s="281" cm="1">
        <f t="array" ref="D123">SUMPRODUCT(ISNUMBER(SEARCH("741",'EFETIVO 11.05.2026'!$H$2:$H$712))*('EFETIVO 11.05.2026'!$G$2:$G$712="A")*('EFETIVO 11.05.2026'!$C$2:$C$712=$B123)*('EFETIVO 11.05.2026'!$I$2:$I$712="AE"))</f>
        <v>0</v>
      </c>
      <c r="E123" s="281" cm="1">
        <f t="array" ref="E123">SUMPRODUCT(ISNUMBER(SEARCH("741",'EFETIVO 11.05.2026'!$H$2:$H$712))*('EFETIVO 11.05.2026'!$G$2:$G$712="A")*('EFETIVO 11.05.2026'!$C$2:$C$712=$B123)*('EFETIVO 11.05.2026'!$I$2:$I$712="TAPERA"))</f>
        <v>0</v>
      </c>
      <c r="F123" s="281">
        <f t="shared" si="2"/>
        <v>0</v>
      </c>
    </row>
    <row r="124" spans="2:6" x14ac:dyDescent="0.35">
      <c r="B124" s="282" t="str">
        <f t="shared" si="3"/>
        <v>GERENTE DE PROJETO</v>
      </c>
      <c r="C124" s="283" cm="1">
        <f t="array" ref="C124">SUMPRODUCT(ISNUMBER(SEARCH("741",'EFETIVO 11.05.2026'!$H$2:$H$712))*('EFETIVO 11.05.2026'!$G$2:$G$712="A")*('EFETIVO 11.05.2026'!$C$2:$C$712=$B124)*('EFETIVO 11.05.2026'!$I$2:$I$712="UTE"))</f>
        <v>0</v>
      </c>
      <c r="D124" s="283" cm="1">
        <f t="array" ref="D124">SUMPRODUCT(ISNUMBER(SEARCH("741",'EFETIVO 11.05.2026'!$H$2:$H$712))*('EFETIVO 11.05.2026'!$G$2:$G$712="A")*('EFETIVO 11.05.2026'!$C$2:$C$712=$B124)*('EFETIVO 11.05.2026'!$I$2:$I$712="AE"))</f>
        <v>1</v>
      </c>
      <c r="E124" s="283" cm="1">
        <f t="array" ref="E124">SUMPRODUCT(ISNUMBER(SEARCH("741",'EFETIVO 11.05.2026'!$H$2:$H$712))*('EFETIVO 11.05.2026'!$G$2:$G$712="A")*('EFETIVO 11.05.2026'!$C$2:$C$712=$B124)*('EFETIVO 11.05.2026'!$I$2:$I$712="TAPERA"))</f>
        <v>0</v>
      </c>
      <c r="F124" s="283">
        <f t="shared" si="2"/>
        <v>1</v>
      </c>
    </row>
    <row r="125" spans="2:6" x14ac:dyDescent="0.35">
      <c r="B125" s="280" t="str">
        <f t="shared" si="3"/>
        <v>GERENTE DE PROJETO I</v>
      </c>
      <c r="C125" s="281" cm="1">
        <f t="array" ref="C125">SUMPRODUCT(ISNUMBER(SEARCH("741",'EFETIVO 11.05.2026'!$H$2:$H$712))*('EFETIVO 11.05.2026'!$G$2:$G$712="A")*('EFETIVO 11.05.2026'!$C$2:$C$712=$B125)*('EFETIVO 11.05.2026'!$I$2:$I$712="UTE"))</f>
        <v>0</v>
      </c>
      <c r="D125" s="281" cm="1">
        <f t="array" ref="D125">SUMPRODUCT(ISNUMBER(SEARCH("741",'EFETIVO 11.05.2026'!$H$2:$H$712))*('EFETIVO 11.05.2026'!$G$2:$G$712="A")*('EFETIVO 11.05.2026'!$C$2:$C$712=$B125)*('EFETIVO 11.05.2026'!$I$2:$I$712="AE"))</f>
        <v>1</v>
      </c>
      <c r="E125" s="281" cm="1">
        <f t="array" ref="E125">SUMPRODUCT(ISNUMBER(SEARCH("741",'EFETIVO 11.05.2026'!$H$2:$H$712))*('EFETIVO 11.05.2026'!$G$2:$G$712="A")*('EFETIVO 11.05.2026'!$C$2:$C$712=$B125)*('EFETIVO 11.05.2026'!$I$2:$I$712="TAPERA"))</f>
        <v>0</v>
      </c>
      <c r="F125" s="281">
        <f t="shared" si="2"/>
        <v>1</v>
      </c>
    </row>
    <row r="126" spans="2:6" x14ac:dyDescent="0.35">
      <c r="B126" s="282" t="str">
        <f t="shared" si="3"/>
        <v>JARDINEIRO</v>
      </c>
      <c r="C126" s="283" cm="1">
        <f t="array" ref="C126">SUMPRODUCT(ISNUMBER(SEARCH("741",'EFETIVO 11.05.2026'!$H$2:$H$712))*('EFETIVO 11.05.2026'!$G$2:$G$712="A")*('EFETIVO 11.05.2026'!$C$2:$C$712=$B126)*('EFETIVO 11.05.2026'!$I$2:$I$712="UTE"))</f>
        <v>2</v>
      </c>
      <c r="D126" s="283" cm="1">
        <f t="array" ref="D126">SUMPRODUCT(ISNUMBER(SEARCH("741",'EFETIVO 11.05.2026'!$H$2:$H$712))*('EFETIVO 11.05.2026'!$G$2:$G$712="A")*('EFETIVO 11.05.2026'!$C$2:$C$712=$B126)*('EFETIVO 11.05.2026'!$I$2:$I$712="AE"))</f>
        <v>1</v>
      </c>
      <c r="E126" s="283" cm="1">
        <f t="array" ref="E126">SUMPRODUCT(ISNUMBER(SEARCH("741",'EFETIVO 11.05.2026'!$H$2:$H$712))*('EFETIVO 11.05.2026'!$G$2:$G$712="A")*('EFETIVO 11.05.2026'!$C$2:$C$712=$B126)*('EFETIVO 11.05.2026'!$I$2:$I$712="TAPERA"))</f>
        <v>0</v>
      </c>
      <c r="F126" s="283">
        <f t="shared" si="2"/>
        <v>3</v>
      </c>
    </row>
    <row r="127" spans="2:6" x14ac:dyDescent="0.35">
      <c r="B127" s="280" t="str">
        <f t="shared" si="3"/>
        <v>MECANICO</v>
      </c>
      <c r="C127" s="281" cm="1">
        <f t="array" ref="C127">SUMPRODUCT(ISNUMBER(SEARCH("741",'EFETIVO 11.05.2026'!$H$2:$H$712))*('EFETIVO 11.05.2026'!$G$2:$G$712="A")*('EFETIVO 11.05.2026'!$C$2:$C$712=$B127)*('EFETIVO 11.05.2026'!$I$2:$I$712="UTE"))</f>
        <v>3</v>
      </c>
      <c r="D127" s="281" cm="1">
        <f t="array" ref="D127">SUMPRODUCT(ISNUMBER(SEARCH("741",'EFETIVO 11.05.2026'!$H$2:$H$712))*('EFETIVO 11.05.2026'!$G$2:$G$712="A")*('EFETIVO 11.05.2026'!$C$2:$C$712=$B127)*('EFETIVO 11.05.2026'!$I$2:$I$712="AE"))</f>
        <v>1</v>
      </c>
      <c r="E127" s="281" cm="1">
        <f t="array" ref="E127">SUMPRODUCT(ISNUMBER(SEARCH("741",'EFETIVO 11.05.2026'!$H$2:$H$712))*('EFETIVO 11.05.2026'!$G$2:$G$712="A")*('EFETIVO 11.05.2026'!$C$2:$C$712=$B127)*('EFETIVO 11.05.2026'!$I$2:$I$712="TAPERA"))</f>
        <v>0</v>
      </c>
      <c r="F127" s="281">
        <f t="shared" si="2"/>
        <v>4</v>
      </c>
    </row>
    <row r="128" spans="2:6" x14ac:dyDescent="0.35">
      <c r="B128" s="282" t="str">
        <f t="shared" si="3"/>
        <v>MECANICO DE REFRIGERACAO I</v>
      </c>
      <c r="C128" s="283" cm="1">
        <f t="array" ref="C128">SUMPRODUCT(ISNUMBER(SEARCH("741",'EFETIVO 11.05.2026'!$H$2:$H$712))*('EFETIVO 11.05.2026'!$G$2:$G$712="A")*('EFETIVO 11.05.2026'!$C$2:$C$712=$B128)*('EFETIVO 11.05.2026'!$I$2:$I$712="UTE"))</f>
        <v>1</v>
      </c>
      <c r="D128" s="283" cm="1">
        <f t="array" ref="D128">SUMPRODUCT(ISNUMBER(SEARCH("741",'EFETIVO 11.05.2026'!$H$2:$H$712))*('EFETIVO 11.05.2026'!$G$2:$G$712="A")*('EFETIVO 11.05.2026'!$C$2:$C$712=$B128)*('EFETIVO 11.05.2026'!$I$2:$I$712="AE"))</f>
        <v>0</v>
      </c>
      <c r="E128" s="283" cm="1">
        <f t="array" ref="E128">SUMPRODUCT(ISNUMBER(SEARCH("741",'EFETIVO 11.05.2026'!$H$2:$H$712))*('EFETIVO 11.05.2026'!$G$2:$G$712="A")*('EFETIVO 11.05.2026'!$C$2:$C$712=$B128)*('EFETIVO 11.05.2026'!$I$2:$I$712="TAPERA"))</f>
        <v>0</v>
      </c>
      <c r="F128" s="283">
        <f t="shared" si="2"/>
        <v>1</v>
      </c>
    </row>
    <row r="129" spans="2:6" x14ac:dyDescent="0.35">
      <c r="B129" s="280" t="str">
        <f t="shared" si="3"/>
        <v>MONTADOR DE ANDAIMES</v>
      </c>
      <c r="C129" s="281" cm="1">
        <f t="array" ref="C129">SUMPRODUCT(ISNUMBER(SEARCH("741",'EFETIVO 11.05.2026'!$H$2:$H$712))*('EFETIVO 11.05.2026'!$G$2:$G$712="A")*('EFETIVO 11.05.2026'!$C$2:$C$712=$B129)*('EFETIVO 11.05.2026'!$I$2:$I$712="UTE"))</f>
        <v>2</v>
      </c>
      <c r="D129" s="281" cm="1">
        <f t="array" ref="D129">SUMPRODUCT(ISNUMBER(SEARCH("741",'EFETIVO 11.05.2026'!$H$2:$H$712))*('EFETIVO 11.05.2026'!$G$2:$G$712="A")*('EFETIVO 11.05.2026'!$C$2:$C$712=$B129)*('EFETIVO 11.05.2026'!$I$2:$I$712="AE"))</f>
        <v>1</v>
      </c>
      <c r="E129" s="281" cm="1">
        <f t="array" ref="E129">SUMPRODUCT(ISNUMBER(SEARCH("741",'EFETIVO 11.05.2026'!$H$2:$H$712))*('EFETIVO 11.05.2026'!$G$2:$G$712="A")*('EFETIVO 11.05.2026'!$C$2:$C$712=$B129)*('EFETIVO 11.05.2026'!$I$2:$I$712="TAPERA"))</f>
        <v>0</v>
      </c>
      <c r="F129" s="281">
        <f t="shared" si="2"/>
        <v>3</v>
      </c>
    </row>
    <row r="130" spans="2:6" x14ac:dyDescent="0.35">
      <c r="B130" s="282" t="str">
        <f t="shared" si="3"/>
        <v>MOTORISTA</v>
      </c>
      <c r="C130" s="283" cm="1">
        <f t="array" ref="C130">SUMPRODUCT(ISNUMBER(SEARCH("741",'EFETIVO 11.05.2026'!$H$2:$H$712))*('EFETIVO 11.05.2026'!$G$2:$G$712="A")*('EFETIVO 11.05.2026'!$C$2:$C$712=$B130)*('EFETIVO 11.05.2026'!$I$2:$I$712="UTE"))</f>
        <v>0</v>
      </c>
      <c r="D130" s="283" cm="1">
        <f t="array" ref="D130">SUMPRODUCT(ISNUMBER(SEARCH("741",'EFETIVO 11.05.2026'!$H$2:$H$712))*('EFETIVO 11.05.2026'!$G$2:$G$712="A")*('EFETIVO 11.05.2026'!$C$2:$C$712=$B130)*('EFETIVO 11.05.2026'!$I$2:$I$712="AE"))</f>
        <v>3</v>
      </c>
      <c r="E130" s="283" cm="1">
        <f t="array" ref="E130">SUMPRODUCT(ISNUMBER(SEARCH("741",'EFETIVO 11.05.2026'!$H$2:$H$712))*('EFETIVO 11.05.2026'!$G$2:$G$712="A")*('EFETIVO 11.05.2026'!$C$2:$C$712=$B130)*('EFETIVO 11.05.2026'!$I$2:$I$712="TAPERA"))</f>
        <v>0</v>
      </c>
      <c r="F130" s="283">
        <f t="shared" si="2"/>
        <v>3</v>
      </c>
    </row>
    <row r="131" spans="2:6" x14ac:dyDescent="0.35">
      <c r="B131" s="280" t="str">
        <f t="shared" si="3"/>
        <v>OPERADOR DE ROCADEIRA</v>
      </c>
      <c r="C131" s="281" cm="1">
        <f t="array" ref="C131">SUMPRODUCT(ISNUMBER(SEARCH("741",'EFETIVO 11.05.2026'!$H$2:$H$712))*('EFETIVO 11.05.2026'!$G$2:$G$712="A")*('EFETIVO 11.05.2026'!$C$2:$C$712=$B131)*('EFETIVO 11.05.2026'!$I$2:$I$712="UTE"))</f>
        <v>11</v>
      </c>
      <c r="D131" s="281" cm="1">
        <f t="array" ref="D131">SUMPRODUCT(ISNUMBER(SEARCH("741",'EFETIVO 11.05.2026'!$H$2:$H$712))*('EFETIVO 11.05.2026'!$G$2:$G$712="A")*('EFETIVO 11.05.2026'!$C$2:$C$712=$B131)*('EFETIVO 11.05.2026'!$I$2:$I$712="AE"))</f>
        <v>6</v>
      </c>
      <c r="E131" s="281" cm="1">
        <f t="array" ref="E131">SUMPRODUCT(ISNUMBER(SEARCH("741",'EFETIVO 11.05.2026'!$H$2:$H$712))*('EFETIVO 11.05.2026'!$G$2:$G$712="A")*('EFETIVO 11.05.2026'!$C$2:$C$712=$B131)*('EFETIVO 11.05.2026'!$I$2:$I$712="TAPERA"))</f>
        <v>2</v>
      </c>
      <c r="F131" s="281">
        <f t="shared" si="2"/>
        <v>19</v>
      </c>
    </row>
    <row r="132" spans="2:6" x14ac:dyDescent="0.35">
      <c r="B132" s="282" t="str">
        <f t="shared" si="3"/>
        <v>OPERADOR DE RPAS</v>
      </c>
      <c r="C132" s="283" cm="1">
        <f t="array" ref="C132">SUMPRODUCT(ISNUMBER(SEARCH("741",'EFETIVO 11.05.2026'!$H$2:$H$712))*('EFETIVO 11.05.2026'!$G$2:$G$712="A")*('EFETIVO 11.05.2026'!$C$2:$C$712=$B132)*('EFETIVO 11.05.2026'!$I$2:$I$712="UTE"))</f>
        <v>1</v>
      </c>
      <c r="D132" s="283" cm="1">
        <f t="array" ref="D132">SUMPRODUCT(ISNUMBER(SEARCH("741",'EFETIVO 11.05.2026'!$H$2:$H$712))*('EFETIVO 11.05.2026'!$G$2:$G$712="A")*('EFETIVO 11.05.2026'!$C$2:$C$712=$B132)*('EFETIVO 11.05.2026'!$I$2:$I$712="AE"))</f>
        <v>0</v>
      </c>
      <c r="E132" s="283" cm="1">
        <f t="array" ref="E132">SUMPRODUCT(ISNUMBER(SEARCH("741",'EFETIVO 11.05.2026'!$H$2:$H$712))*('EFETIVO 11.05.2026'!$G$2:$G$712="A")*('EFETIVO 11.05.2026'!$C$2:$C$712=$B132)*('EFETIVO 11.05.2026'!$I$2:$I$712="TAPERA"))</f>
        <v>0</v>
      </c>
      <c r="F132" s="283">
        <f t="shared" si="2"/>
        <v>1</v>
      </c>
    </row>
    <row r="133" spans="2:6" x14ac:dyDescent="0.35">
      <c r="B133" s="280" t="str">
        <f t="shared" si="3"/>
        <v>PINTOR</v>
      </c>
      <c r="C133" s="281" cm="1">
        <f t="array" ref="C133">SUMPRODUCT(ISNUMBER(SEARCH("741",'EFETIVO 11.05.2026'!$H$2:$H$712))*('EFETIVO 11.05.2026'!$G$2:$G$712="A")*('EFETIVO 11.05.2026'!$C$2:$C$712=$B133)*('EFETIVO 11.05.2026'!$I$2:$I$712="UTE"))</f>
        <v>0</v>
      </c>
      <c r="D133" s="281" cm="1">
        <f t="array" ref="D133">SUMPRODUCT(ISNUMBER(SEARCH("741",'EFETIVO 11.05.2026'!$H$2:$H$712))*('EFETIVO 11.05.2026'!$G$2:$G$712="A")*('EFETIVO 11.05.2026'!$C$2:$C$712=$B133)*('EFETIVO 11.05.2026'!$I$2:$I$712="AE"))</f>
        <v>1</v>
      </c>
      <c r="E133" s="281" cm="1">
        <f t="array" ref="E133">SUMPRODUCT(ISNUMBER(SEARCH("741",'EFETIVO 11.05.2026'!$H$2:$H$712))*('EFETIVO 11.05.2026'!$G$2:$G$712="A")*('EFETIVO 11.05.2026'!$C$2:$C$712=$B133)*('EFETIVO 11.05.2026'!$I$2:$I$712="TAPERA"))</f>
        <v>0</v>
      </c>
      <c r="F133" s="281">
        <f t="shared" si="2"/>
        <v>1</v>
      </c>
    </row>
    <row r="134" spans="2:6" x14ac:dyDescent="0.35">
      <c r="B134" s="282" t="str">
        <f t="shared" si="3"/>
        <v>PINTOR INDUSTRIAL</v>
      </c>
      <c r="C134" s="283" cm="1">
        <f t="array" ref="C134">SUMPRODUCT(ISNUMBER(SEARCH("741",'EFETIVO 11.05.2026'!$H$2:$H$712))*('EFETIVO 11.05.2026'!$G$2:$G$712="A")*('EFETIVO 11.05.2026'!$C$2:$C$712=$B134)*('EFETIVO 11.05.2026'!$I$2:$I$712="UTE"))</f>
        <v>1</v>
      </c>
      <c r="D134" s="283" cm="1">
        <f t="array" ref="D134">SUMPRODUCT(ISNUMBER(SEARCH("741",'EFETIVO 11.05.2026'!$H$2:$H$712))*('EFETIVO 11.05.2026'!$G$2:$G$712="A")*('EFETIVO 11.05.2026'!$C$2:$C$712=$B134)*('EFETIVO 11.05.2026'!$I$2:$I$712="AE"))</f>
        <v>1</v>
      </c>
      <c r="E134" s="283" cm="1">
        <f t="array" ref="E134">SUMPRODUCT(ISNUMBER(SEARCH("741",'EFETIVO 11.05.2026'!$H$2:$H$712))*('EFETIVO 11.05.2026'!$G$2:$G$712="A")*('EFETIVO 11.05.2026'!$C$2:$C$712=$B134)*('EFETIVO 11.05.2026'!$I$2:$I$712="TAPERA"))</f>
        <v>0</v>
      </c>
      <c r="F134" s="283">
        <f t="shared" si="2"/>
        <v>2</v>
      </c>
    </row>
    <row r="135" spans="2:6" x14ac:dyDescent="0.35">
      <c r="B135" s="280" t="str">
        <f t="shared" si="3"/>
        <v>PLANEJADOR</v>
      </c>
      <c r="C135" s="281" cm="1">
        <f t="array" ref="C135">SUMPRODUCT(ISNUMBER(SEARCH("741",'EFETIVO 11.05.2026'!$H$2:$H$712))*('EFETIVO 11.05.2026'!$G$2:$G$712="A")*('EFETIVO 11.05.2026'!$C$2:$C$712=$B135)*('EFETIVO 11.05.2026'!$I$2:$I$712="UTE"))</f>
        <v>1</v>
      </c>
      <c r="D135" s="281" cm="1">
        <f t="array" ref="D135">SUMPRODUCT(ISNUMBER(SEARCH("741",'EFETIVO 11.05.2026'!$H$2:$H$712))*('EFETIVO 11.05.2026'!$G$2:$G$712="A")*('EFETIVO 11.05.2026'!$C$2:$C$712=$B135)*('EFETIVO 11.05.2026'!$I$2:$I$712="AE"))</f>
        <v>0</v>
      </c>
      <c r="E135" s="281" cm="1">
        <f t="array" ref="E135">SUMPRODUCT(ISNUMBER(SEARCH("741",'EFETIVO 11.05.2026'!$H$2:$H$712))*('EFETIVO 11.05.2026'!$G$2:$G$712="A")*('EFETIVO 11.05.2026'!$C$2:$C$712=$B135)*('EFETIVO 11.05.2026'!$I$2:$I$712="TAPERA"))</f>
        <v>0</v>
      </c>
      <c r="F135" s="281">
        <f t="shared" si="2"/>
        <v>1</v>
      </c>
    </row>
    <row r="136" spans="2:6" x14ac:dyDescent="0.35">
      <c r="B136" s="282" t="str">
        <f t="shared" si="3"/>
        <v>SUPERVISOR ADMINISTRATIVO</v>
      </c>
      <c r="C136" s="283" cm="1">
        <f t="array" ref="C136">SUMPRODUCT(ISNUMBER(SEARCH("741",'EFETIVO 11.05.2026'!$H$2:$H$712))*('EFETIVO 11.05.2026'!$G$2:$G$712="A")*('EFETIVO 11.05.2026'!$C$2:$C$712=$B136)*('EFETIVO 11.05.2026'!$I$2:$I$712="UTE"))</f>
        <v>0</v>
      </c>
      <c r="D136" s="283" cm="1">
        <f t="array" ref="D136">SUMPRODUCT(ISNUMBER(SEARCH("741",'EFETIVO 11.05.2026'!$H$2:$H$712))*('EFETIVO 11.05.2026'!$G$2:$G$712="A")*('EFETIVO 11.05.2026'!$C$2:$C$712=$B136)*('EFETIVO 11.05.2026'!$I$2:$I$712="AE"))</f>
        <v>1</v>
      </c>
      <c r="E136" s="283" cm="1">
        <f t="array" ref="E136">SUMPRODUCT(ISNUMBER(SEARCH("741",'EFETIVO 11.05.2026'!$H$2:$H$712))*('EFETIVO 11.05.2026'!$G$2:$G$712="A")*('EFETIVO 11.05.2026'!$C$2:$C$712=$B136)*('EFETIVO 11.05.2026'!$I$2:$I$712="TAPERA"))</f>
        <v>0</v>
      </c>
      <c r="F136" s="283">
        <f t="shared" si="2"/>
        <v>1</v>
      </c>
    </row>
    <row r="137" spans="2:6" x14ac:dyDescent="0.35">
      <c r="B137" s="280" t="str">
        <f t="shared" si="3"/>
        <v>SUPERVISOR DE AREAS VERDES</v>
      </c>
      <c r="C137" s="281" cm="1">
        <f t="array" ref="C137">SUMPRODUCT(ISNUMBER(SEARCH("741",'EFETIVO 11.05.2026'!$H$2:$H$712))*('EFETIVO 11.05.2026'!$G$2:$G$712="A")*('EFETIVO 11.05.2026'!$C$2:$C$712=$B137)*('EFETIVO 11.05.2026'!$I$2:$I$712="UTE"))</f>
        <v>1</v>
      </c>
      <c r="D137" s="281" cm="1">
        <f t="array" ref="D137">SUMPRODUCT(ISNUMBER(SEARCH("741",'EFETIVO 11.05.2026'!$H$2:$H$712))*('EFETIVO 11.05.2026'!$G$2:$G$712="A")*('EFETIVO 11.05.2026'!$C$2:$C$712=$B137)*('EFETIVO 11.05.2026'!$I$2:$I$712="AE"))</f>
        <v>1</v>
      </c>
      <c r="E137" s="281" cm="1">
        <f t="array" ref="E137">SUMPRODUCT(ISNUMBER(SEARCH("741",'EFETIVO 11.05.2026'!$H$2:$H$712))*('EFETIVO 11.05.2026'!$G$2:$G$712="A")*('EFETIVO 11.05.2026'!$C$2:$C$712=$B137)*('EFETIVO 11.05.2026'!$I$2:$I$712="TAPERA"))</f>
        <v>0</v>
      </c>
      <c r="F137" s="281">
        <f t="shared" si="2"/>
        <v>2</v>
      </c>
    </row>
    <row r="138" spans="2:6" x14ac:dyDescent="0.35">
      <c r="B138" s="282" t="str">
        <f t="shared" si="3"/>
        <v>SUPERVISOR DE ELETRICA</v>
      </c>
      <c r="C138" s="283" cm="1">
        <f t="array" ref="C138">SUMPRODUCT(ISNUMBER(SEARCH("741",'EFETIVO 11.05.2026'!$H$2:$H$712))*('EFETIVO 11.05.2026'!$G$2:$G$712="A")*('EFETIVO 11.05.2026'!$C$2:$C$712=$B138)*('EFETIVO 11.05.2026'!$I$2:$I$712="UTE"))</f>
        <v>1</v>
      </c>
      <c r="D138" s="283" cm="1">
        <f t="array" ref="D138">SUMPRODUCT(ISNUMBER(SEARCH("741",'EFETIVO 11.05.2026'!$H$2:$H$712))*('EFETIVO 11.05.2026'!$G$2:$G$712="A")*('EFETIVO 11.05.2026'!$C$2:$C$712=$B138)*('EFETIVO 11.05.2026'!$I$2:$I$712="AE"))</f>
        <v>1</v>
      </c>
      <c r="E138" s="283" cm="1">
        <f t="array" ref="E138">SUMPRODUCT(ISNUMBER(SEARCH("741",'EFETIVO 11.05.2026'!$H$2:$H$712))*('EFETIVO 11.05.2026'!$G$2:$G$712="A")*('EFETIVO 11.05.2026'!$C$2:$C$712=$B138)*('EFETIVO 11.05.2026'!$I$2:$I$712="TAPERA"))</f>
        <v>0</v>
      </c>
      <c r="F138" s="283">
        <f t="shared" si="2"/>
        <v>2</v>
      </c>
    </row>
    <row r="139" spans="2:6" x14ac:dyDescent="0.35">
      <c r="B139" s="280" t="str">
        <f t="shared" si="3"/>
        <v>SUPERVISOR DE ELETRICA PREDIAL</v>
      </c>
      <c r="C139" s="281" cm="1">
        <f t="array" ref="C139">SUMPRODUCT(ISNUMBER(SEARCH("741",'EFETIVO 11.05.2026'!$H$2:$H$712))*('EFETIVO 11.05.2026'!$G$2:$G$712="A")*('EFETIVO 11.05.2026'!$C$2:$C$712=$B139)*('EFETIVO 11.05.2026'!$I$2:$I$712="UTE"))</f>
        <v>0</v>
      </c>
      <c r="D139" s="281" cm="1">
        <f t="array" ref="D139">SUMPRODUCT(ISNUMBER(SEARCH("741",'EFETIVO 11.05.2026'!$H$2:$H$712))*('EFETIVO 11.05.2026'!$G$2:$G$712="A")*('EFETIVO 11.05.2026'!$C$2:$C$712=$B139)*('EFETIVO 11.05.2026'!$I$2:$I$712="AE"))</f>
        <v>0</v>
      </c>
      <c r="E139" s="281" cm="1">
        <f t="array" ref="E139">SUMPRODUCT(ISNUMBER(SEARCH("741",'EFETIVO 11.05.2026'!$H$2:$H$712))*('EFETIVO 11.05.2026'!$G$2:$G$712="A")*('EFETIVO 11.05.2026'!$C$2:$C$712=$B139)*('EFETIVO 11.05.2026'!$I$2:$I$712="TAPERA"))</f>
        <v>0</v>
      </c>
      <c r="F139" s="281">
        <f t="shared" si="2"/>
        <v>0</v>
      </c>
    </row>
    <row r="140" spans="2:6" x14ac:dyDescent="0.35">
      <c r="B140" s="282" t="str">
        <f t="shared" si="3"/>
        <v>SUPERVISOR DE LIMPEZA E CONSERVACAO</v>
      </c>
      <c r="C140" s="283" cm="1">
        <f t="array" ref="C140">SUMPRODUCT(ISNUMBER(SEARCH("741",'EFETIVO 11.05.2026'!$H$2:$H$712))*('EFETIVO 11.05.2026'!$G$2:$G$712="A")*('EFETIVO 11.05.2026'!$C$2:$C$712=$B140)*('EFETIVO 11.05.2026'!$I$2:$I$712="UTE"))</f>
        <v>1</v>
      </c>
      <c r="D140" s="283" cm="1">
        <f t="array" ref="D140">SUMPRODUCT(ISNUMBER(SEARCH("741",'EFETIVO 11.05.2026'!$H$2:$H$712))*('EFETIVO 11.05.2026'!$G$2:$G$712="A")*('EFETIVO 11.05.2026'!$C$2:$C$712=$B140)*('EFETIVO 11.05.2026'!$I$2:$I$712="AE"))</f>
        <v>0</v>
      </c>
      <c r="E140" s="283" cm="1">
        <f t="array" ref="E140">SUMPRODUCT(ISNUMBER(SEARCH("741",'EFETIVO 11.05.2026'!$H$2:$H$712))*('EFETIVO 11.05.2026'!$G$2:$G$712="A")*('EFETIVO 11.05.2026'!$C$2:$C$712=$B140)*('EFETIVO 11.05.2026'!$I$2:$I$712="TAPERA"))</f>
        <v>0</v>
      </c>
      <c r="F140" s="283">
        <f t="shared" si="2"/>
        <v>1</v>
      </c>
    </row>
    <row r="141" spans="2:6" x14ac:dyDescent="0.35">
      <c r="B141" s="280" t="str">
        <f t="shared" si="3"/>
        <v>SUPERVISOR DE MANUTENCAO CIVIL</v>
      </c>
      <c r="C141" s="281" cm="1">
        <f t="array" ref="C141">SUMPRODUCT(ISNUMBER(SEARCH("741",'EFETIVO 11.05.2026'!$H$2:$H$712))*('EFETIVO 11.05.2026'!$G$2:$G$712="A")*('EFETIVO 11.05.2026'!$C$2:$C$712=$B141)*('EFETIVO 11.05.2026'!$I$2:$I$712="UTE"))</f>
        <v>0</v>
      </c>
      <c r="D141" s="281" cm="1">
        <f t="array" ref="D141">SUMPRODUCT(ISNUMBER(SEARCH("741",'EFETIVO 11.05.2026'!$H$2:$H$712))*('EFETIVO 11.05.2026'!$G$2:$G$712="A")*('EFETIVO 11.05.2026'!$C$2:$C$712=$B141)*('EFETIVO 11.05.2026'!$I$2:$I$712="AE"))</f>
        <v>1</v>
      </c>
      <c r="E141" s="281" cm="1">
        <f t="array" ref="E141">SUMPRODUCT(ISNUMBER(SEARCH("741",'EFETIVO 11.05.2026'!$H$2:$H$712))*('EFETIVO 11.05.2026'!$G$2:$G$712="A")*('EFETIVO 11.05.2026'!$C$2:$C$712=$B141)*('EFETIVO 11.05.2026'!$I$2:$I$712="TAPERA"))</f>
        <v>0</v>
      </c>
      <c r="F141" s="281">
        <f t="shared" si="2"/>
        <v>1</v>
      </c>
    </row>
    <row r="142" spans="2:6" x14ac:dyDescent="0.35">
      <c r="B142" s="282" t="str">
        <f t="shared" si="3"/>
        <v>SUPERVISOR DE MANUTENCAO II</v>
      </c>
      <c r="C142" s="283" cm="1">
        <f t="array" ref="C142">SUMPRODUCT(ISNUMBER(SEARCH("741",'EFETIVO 11.05.2026'!$H$2:$H$712))*('EFETIVO 11.05.2026'!$G$2:$G$712="A")*('EFETIVO 11.05.2026'!$C$2:$C$712=$B142)*('EFETIVO 11.05.2026'!$I$2:$I$712="UTE"))</f>
        <v>1</v>
      </c>
      <c r="D142" s="283" cm="1">
        <f t="array" ref="D142">SUMPRODUCT(ISNUMBER(SEARCH("741",'EFETIVO 11.05.2026'!$H$2:$H$712))*('EFETIVO 11.05.2026'!$G$2:$G$712="A")*('EFETIVO 11.05.2026'!$C$2:$C$712=$B142)*('EFETIVO 11.05.2026'!$I$2:$I$712="AE"))</f>
        <v>0</v>
      </c>
      <c r="E142" s="283" cm="1">
        <f t="array" ref="E142">SUMPRODUCT(ISNUMBER(SEARCH("741",'EFETIVO 11.05.2026'!$H$2:$H$712))*('EFETIVO 11.05.2026'!$G$2:$G$712="A")*('EFETIVO 11.05.2026'!$C$2:$C$712=$B142)*('EFETIVO 11.05.2026'!$I$2:$I$712="TAPERA"))</f>
        <v>0</v>
      </c>
      <c r="F142" s="283">
        <f t="shared" si="2"/>
        <v>1</v>
      </c>
    </row>
    <row r="143" spans="2:6" x14ac:dyDescent="0.35">
      <c r="B143" s="280" t="str">
        <f t="shared" si="3"/>
        <v>SUPERVISOR DE PLANEJAMENTO</v>
      </c>
      <c r="C143" s="281" cm="1">
        <f t="array" ref="C143">SUMPRODUCT(ISNUMBER(SEARCH("741",'EFETIVO 11.05.2026'!$H$2:$H$712))*('EFETIVO 11.05.2026'!$G$2:$G$712="A")*('EFETIVO 11.05.2026'!$C$2:$C$712=$B143)*('EFETIVO 11.05.2026'!$I$2:$I$712="UTE"))</f>
        <v>0</v>
      </c>
      <c r="D143" s="281" cm="1">
        <f t="array" ref="D143">SUMPRODUCT(ISNUMBER(SEARCH("741",'EFETIVO 11.05.2026'!$H$2:$H$712))*('EFETIVO 11.05.2026'!$G$2:$G$712="A")*('EFETIVO 11.05.2026'!$C$2:$C$712=$B143)*('EFETIVO 11.05.2026'!$I$2:$I$712="AE"))</f>
        <v>1</v>
      </c>
      <c r="E143" s="281" cm="1">
        <f t="array" ref="E143">SUMPRODUCT(ISNUMBER(SEARCH("741",'EFETIVO 11.05.2026'!$H$2:$H$712))*('EFETIVO 11.05.2026'!$G$2:$G$712="A")*('EFETIVO 11.05.2026'!$C$2:$C$712=$B143)*('EFETIVO 11.05.2026'!$I$2:$I$712="TAPERA"))</f>
        <v>0</v>
      </c>
      <c r="F143" s="281">
        <f t="shared" si="2"/>
        <v>1</v>
      </c>
    </row>
    <row r="144" spans="2:6" x14ac:dyDescent="0.35">
      <c r="B144" s="282" t="str">
        <f t="shared" si="3"/>
        <v>SUPERVISOR DE SMS</v>
      </c>
      <c r="C144" s="283" cm="1">
        <f t="array" ref="C144">SUMPRODUCT(ISNUMBER(SEARCH("741",'EFETIVO 11.05.2026'!$H$2:$H$712))*('EFETIVO 11.05.2026'!$G$2:$G$712="A")*('EFETIVO 11.05.2026'!$C$2:$C$712=$B144)*('EFETIVO 11.05.2026'!$I$2:$I$712="UTE"))</f>
        <v>0</v>
      </c>
      <c r="D144" s="283" cm="1">
        <f t="array" ref="D144">SUMPRODUCT(ISNUMBER(SEARCH("741",'EFETIVO 11.05.2026'!$H$2:$H$712))*('EFETIVO 11.05.2026'!$G$2:$G$712="A")*('EFETIVO 11.05.2026'!$C$2:$C$712=$B144)*('EFETIVO 11.05.2026'!$I$2:$I$712="AE"))</f>
        <v>1</v>
      </c>
      <c r="E144" s="283" cm="1">
        <f t="array" ref="E144">SUMPRODUCT(ISNUMBER(SEARCH("741",'EFETIVO 11.05.2026'!$H$2:$H$712))*('EFETIVO 11.05.2026'!$G$2:$G$712="A")*('EFETIVO 11.05.2026'!$C$2:$C$712=$B144)*('EFETIVO 11.05.2026'!$I$2:$I$712="TAPERA"))</f>
        <v>0</v>
      </c>
      <c r="F144" s="283">
        <f t="shared" si="2"/>
        <v>1</v>
      </c>
    </row>
    <row r="145" spans="2:7" x14ac:dyDescent="0.35">
      <c r="B145" s="280" t="str">
        <f t="shared" si="3"/>
        <v>TECNICO DE EDIFICACOES</v>
      </c>
      <c r="C145" s="281" cm="1">
        <f t="array" ref="C145">SUMPRODUCT(ISNUMBER(SEARCH("741",'EFETIVO 11.05.2026'!$H$2:$H$712))*('EFETIVO 11.05.2026'!$G$2:$G$712="A")*('EFETIVO 11.05.2026'!$C$2:$C$712=$B145)*('EFETIVO 11.05.2026'!$I$2:$I$712="UTE"))</f>
        <v>1</v>
      </c>
      <c r="D145" s="281" cm="1">
        <f t="array" ref="D145">SUMPRODUCT(ISNUMBER(SEARCH("741",'EFETIVO 11.05.2026'!$H$2:$H$712))*('EFETIVO 11.05.2026'!$G$2:$G$712="A")*('EFETIVO 11.05.2026'!$C$2:$C$712=$B145)*('EFETIVO 11.05.2026'!$I$2:$I$712="AE"))</f>
        <v>1</v>
      </c>
      <c r="E145" s="281" cm="1">
        <f t="array" ref="E145">SUMPRODUCT(ISNUMBER(SEARCH("741",'EFETIVO 11.05.2026'!$H$2:$H$712))*('EFETIVO 11.05.2026'!$G$2:$G$712="A")*('EFETIVO 11.05.2026'!$C$2:$C$712=$B145)*('EFETIVO 11.05.2026'!$I$2:$I$712="TAPERA"))</f>
        <v>0</v>
      </c>
      <c r="F145" s="281">
        <f t="shared" si="2"/>
        <v>2</v>
      </c>
    </row>
    <row r="146" spans="2:7" x14ac:dyDescent="0.35">
      <c r="B146" s="282" t="str">
        <f t="shared" si="3"/>
        <v>TECNICO DE MECANICA</v>
      </c>
      <c r="C146" s="283" cm="1">
        <f t="array" ref="C146">SUMPRODUCT(ISNUMBER(SEARCH("741",'EFETIVO 11.05.2026'!$H$2:$H$712))*('EFETIVO 11.05.2026'!$G$2:$G$712="A")*('EFETIVO 11.05.2026'!$C$2:$C$712=$B146)*('EFETIVO 11.05.2026'!$I$2:$I$712="UTE"))</f>
        <v>0</v>
      </c>
      <c r="D146" s="283" cm="1">
        <f t="array" ref="D146">SUMPRODUCT(ISNUMBER(SEARCH("741",'EFETIVO 11.05.2026'!$H$2:$H$712))*('EFETIVO 11.05.2026'!$G$2:$G$712="A")*('EFETIVO 11.05.2026'!$C$2:$C$712=$B146)*('EFETIVO 11.05.2026'!$I$2:$I$712="AE"))</f>
        <v>1</v>
      </c>
      <c r="E146" s="283" cm="1">
        <f t="array" ref="E146">SUMPRODUCT(ISNUMBER(SEARCH("741",'EFETIVO 11.05.2026'!$H$2:$H$712))*('EFETIVO 11.05.2026'!$G$2:$G$712="A")*('EFETIVO 11.05.2026'!$C$2:$C$712=$B146)*('EFETIVO 11.05.2026'!$I$2:$I$712="TAPERA"))</f>
        <v>0</v>
      </c>
      <c r="F146" s="283">
        <f t="shared" si="2"/>
        <v>1</v>
      </c>
    </row>
    <row r="147" spans="2:7" x14ac:dyDescent="0.35">
      <c r="B147" s="280" t="str">
        <f t="shared" si="3"/>
        <v>TECNICO DE SEGURANCA DO TRABALHO</v>
      </c>
      <c r="C147" s="281" cm="1">
        <f t="array" ref="C147">SUMPRODUCT(ISNUMBER(SEARCH("741",'EFETIVO 11.05.2026'!$H$2:$H$712))*('EFETIVO 11.05.2026'!$G$2:$G$712="A")*('EFETIVO 11.05.2026'!$C$2:$C$712=$B147)*('EFETIVO 11.05.2026'!$I$2:$I$712="UTE"))</f>
        <v>1</v>
      </c>
      <c r="D147" s="281" cm="1">
        <f t="array" ref="D147">SUMPRODUCT(ISNUMBER(SEARCH("741",'EFETIVO 11.05.2026'!$H$2:$H$712))*('EFETIVO 11.05.2026'!$G$2:$G$712="A")*('EFETIVO 11.05.2026'!$C$2:$C$712=$B147)*('EFETIVO 11.05.2026'!$I$2:$I$712="AE"))</f>
        <v>4</v>
      </c>
      <c r="E147" s="281" cm="1">
        <f t="array" ref="E147">SUMPRODUCT(ISNUMBER(SEARCH("741",'EFETIVO 11.05.2026'!$H$2:$H$712))*('EFETIVO 11.05.2026'!$G$2:$G$712="A")*('EFETIVO 11.05.2026'!$C$2:$C$712=$B147)*('EFETIVO 11.05.2026'!$I$2:$I$712="TAPERA"))</f>
        <v>0</v>
      </c>
      <c r="F147" s="281">
        <f t="shared" si="2"/>
        <v>5</v>
      </c>
    </row>
    <row r="148" spans="2:7" x14ac:dyDescent="0.35">
      <c r="B148" s="282" t="str">
        <f t="shared" si="3"/>
        <v>TECNICO EM ELETROTECNICA</v>
      </c>
      <c r="C148" s="283" cm="1">
        <f t="array" ref="C148">SUMPRODUCT(ISNUMBER(SEARCH("741",'EFETIVO 11.05.2026'!$H$2:$H$712))*('EFETIVO 11.05.2026'!$G$2:$G$712="A")*('EFETIVO 11.05.2026'!$C$2:$C$712=$B148)*('EFETIVO 11.05.2026'!$I$2:$I$712="UTE"))</f>
        <v>1</v>
      </c>
      <c r="D148" s="283" cm="1">
        <f t="array" ref="D148">SUMPRODUCT(ISNUMBER(SEARCH("741",'EFETIVO 11.05.2026'!$H$2:$H$712))*('EFETIVO 11.05.2026'!$G$2:$G$712="A")*('EFETIVO 11.05.2026'!$C$2:$C$712=$B148)*('EFETIVO 11.05.2026'!$I$2:$I$712="AE"))</f>
        <v>1</v>
      </c>
      <c r="E148" s="283" cm="1">
        <f t="array" ref="E148">SUMPRODUCT(ISNUMBER(SEARCH("741",'EFETIVO 11.05.2026'!$H$2:$H$712))*('EFETIVO 11.05.2026'!$G$2:$G$712="A")*('EFETIVO 11.05.2026'!$C$2:$C$712=$B148)*('EFETIVO 11.05.2026'!$I$2:$I$712="TAPERA"))</f>
        <v>0</v>
      </c>
      <c r="F148" s="283">
        <f t="shared" si="2"/>
        <v>2</v>
      </c>
    </row>
    <row r="149" spans="2:7" x14ac:dyDescent="0.35">
      <c r="B149" s="284" t="s">
        <v>459</v>
      </c>
      <c r="C149" s="285">
        <f>SUM(C91:C148)</f>
        <v>96</v>
      </c>
      <c r="D149" s="285">
        <f>SUM(D91:D148)</f>
        <v>83</v>
      </c>
      <c r="E149" s="285">
        <f>SUM(E91:E148)</f>
        <v>3</v>
      </c>
      <c r="F149" s="285">
        <f>SUM(F91:F148)</f>
        <v>182</v>
      </c>
    </row>
    <row r="152" spans="2:7" ht="24" customHeight="1" x14ac:dyDescent="0.4">
      <c r="B152" s="1849" t="s">
        <v>5461</v>
      </c>
      <c r="C152" s="1841"/>
      <c r="D152" s="1841"/>
      <c r="E152" s="1841"/>
      <c r="F152" s="1841"/>
      <c r="G152" s="1841"/>
    </row>
    <row r="153" spans="2:7" ht="20.149999999999999" customHeight="1" x14ac:dyDescent="0.35">
      <c r="B153" s="1850" t="s">
        <v>5456</v>
      </c>
      <c r="C153" s="1850" t="s">
        <v>397</v>
      </c>
      <c r="D153" s="1850" t="s">
        <v>398</v>
      </c>
      <c r="E153" s="1850" t="s">
        <v>400</v>
      </c>
      <c r="F153" s="1850" t="s">
        <v>5457</v>
      </c>
      <c r="G153" s="1845"/>
    </row>
    <row r="154" spans="2:7" x14ac:dyDescent="0.35">
      <c r="B154" s="1846" t="s">
        <v>382</v>
      </c>
      <c r="C154" s="1847" cm="1">
        <f t="array" ref="C154">SUMPRODUCT(ISNUMBER(SEARCH("741",'EFETIVO 11.05.2026'!H$2:H$1919))*('EFETIVO 11.05.2026'!G$2:G$1919="A")*('EFETIVO 11.05.2026'!J$2:J$1919=B154))</f>
        <v>50</v>
      </c>
      <c r="D154" s="1847" cm="1">
        <f t="array" ref="D154">SUMPRODUCT(ISNUMBER(SEARCH("741",'EFETIVO 11.05.2026'!H$2:H$1919))*('EFETIVO 11.05.2026'!G$2:G$1919="D")*('EFETIVO 11.05.2026'!J$2:J$1919=B154))</f>
        <v>0</v>
      </c>
      <c r="E154" s="1847" cm="1">
        <f t="array" ref="E154">SUMPRODUCT(ISNUMBER(SEARCH("741",'EFETIVO 11.05.2026'!H$2:H$1919))*((('EFETIVO 11.05.2026'!G$2:G$1919="F")+('EFETIVO 11.05.2026'!G$2:G$1919="P")+('EFETIVO 11.05.2026'!G$2:G$1919="T")+('EFETIVO 11.05.2026'!G$2:G$1919="M"))&gt;0)*('EFETIVO 11.05.2026'!J$2:J$1919=B154))</f>
        <v>0</v>
      </c>
      <c r="F154" s="1848">
        <f>IFERROR(C154/$C$6,0)</f>
        <v>0.27027027027027029</v>
      </c>
      <c r="G154" s="1845"/>
    </row>
    <row r="155" spans="2:7" ht="22" customHeight="1" x14ac:dyDescent="0.35">
      <c r="B155" s="1846" t="s">
        <v>4777</v>
      </c>
      <c r="C155" s="1847" cm="1">
        <f t="array" ref="C155">SUMPRODUCT(ISNUMBER(SEARCH("741",'EFETIVO 11.05.2026'!H$2:H$1919))*('EFETIVO 11.05.2026'!G$2:G$1919="A")*('EFETIVO 11.05.2026'!J$2:J$1919=B155))</f>
        <v>50</v>
      </c>
      <c r="D155" s="1847" cm="1">
        <f t="array" ref="D155">SUMPRODUCT(ISNUMBER(SEARCH("741",'EFETIVO 11.05.2026'!H$2:H$1919))*('EFETIVO 11.05.2026'!G$2:G$1919="D")*('EFETIVO 11.05.2026'!J$2:J$1919=B155))</f>
        <v>0</v>
      </c>
      <c r="E155" s="1847" cm="1">
        <f t="array" ref="E155">SUMPRODUCT(ISNUMBER(SEARCH("741",'EFETIVO 11.05.2026'!H$2:H$1919))*((('EFETIVO 11.05.2026'!G$2:G$1919="F")+('EFETIVO 11.05.2026'!G$2:G$1919="P")+('EFETIVO 11.05.2026'!G$2:G$1919="T")+('EFETIVO 11.05.2026'!G$2:G$1919="M"))&gt;0)*('EFETIVO 11.05.2026'!J$2:J$1919=B155))</f>
        <v>0</v>
      </c>
      <c r="F155" s="1848">
        <f>IFERROR(C155/$C$6,0)</f>
        <v>0.27027027027027029</v>
      </c>
      <c r="G155" s="1845"/>
    </row>
    <row r="156" spans="2:7" x14ac:dyDescent="0.35">
      <c r="B156" s="1846" t="s">
        <v>5453</v>
      </c>
      <c r="C156" s="1847" cm="1">
        <f t="array" ref="C156">SUMPRODUCT(ISNUMBER(SEARCH("741",'EFETIVO 11.05.2026'!H$2:H$1919))*('EFETIVO 11.05.2026'!G$2:G$1919="A")*('EFETIVO 11.05.2026'!J$2:J$1919=B156))</f>
        <v>30</v>
      </c>
      <c r="D156" s="1847" cm="1">
        <f t="array" ref="D156">SUMPRODUCT(ISNUMBER(SEARCH("741",'EFETIVO 11.05.2026'!H$2:H$1919))*('EFETIVO 11.05.2026'!G$2:G$1919="D")*('EFETIVO 11.05.2026'!J$2:J$1919=B156))</f>
        <v>0</v>
      </c>
      <c r="E156" s="1847" cm="1">
        <f t="array" ref="E156">SUMPRODUCT(ISNUMBER(SEARCH("741",'EFETIVO 11.05.2026'!H$2:H$1919))*((('EFETIVO 11.05.2026'!G$2:G$1919="F")+('EFETIVO 11.05.2026'!G$2:G$1919="P")+('EFETIVO 11.05.2026'!G$2:G$1919="T")+('EFETIVO 11.05.2026'!G$2:G$1919="M"))&gt;0)*('EFETIVO 11.05.2026'!J$2:J$1919=B156))</f>
        <v>0</v>
      </c>
      <c r="F156" s="1848">
        <f>IFERROR(C156/$C$6,0)</f>
        <v>0.16216216216216217</v>
      </c>
      <c r="G156" s="1845"/>
    </row>
    <row r="157" spans="2:7" x14ac:dyDescent="0.35">
      <c r="B157" s="1846" t="s">
        <v>156</v>
      </c>
      <c r="C157" s="1847" cm="1">
        <f t="array" ref="C157">SUMPRODUCT(ISNUMBER(SEARCH("741",'EFETIVO 11.05.2026'!H$2:H$1919))*('EFETIVO 11.05.2026'!G$2:G$1919="A")*('EFETIVO 11.05.2026'!J$2:J$1919=B157))</f>
        <v>15</v>
      </c>
      <c r="D157" s="1847" cm="1">
        <f t="array" ref="D157">SUMPRODUCT(ISNUMBER(SEARCH("741",'EFETIVO 11.05.2026'!H$2:H$1919))*('EFETIVO 11.05.2026'!G$2:G$1919="D")*('EFETIVO 11.05.2026'!J$2:J$1919=B157))</f>
        <v>0</v>
      </c>
      <c r="E157" s="1847" cm="1">
        <f t="array" ref="E157">SUMPRODUCT(ISNUMBER(SEARCH("741",'EFETIVO 11.05.2026'!H$2:H$1919))*((('EFETIVO 11.05.2026'!G$2:G$1919="F")+('EFETIVO 11.05.2026'!G$2:G$1919="P")+('EFETIVO 11.05.2026'!G$2:G$1919="T")+('EFETIVO 11.05.2026'!G$2:G$1919="M"))&gt;0)*('EFETIVO 11.05.2026'!J$2:J$1919=B157))</f>
        <v>0</v>
      </c>
      <c r="F157" s="1848">
        <f>IFERROR(C157/$C$6,0)</f>
        <v>8.1081081081081086E-2</v>
      </c>
      <c r="G157" s="1845"/>
    </row>
    <row r="158" spans="2:7" x14ac:dyDescent="0.35">
      <c r="B158" s="1846" t="s">
        <v>155</v>
      </c>
      <c r="C158" s="1847" cm="1">
        <f t="array" ref="C158">SUMPRODUCT(ISNUMBER(SEARCH("741",'EFETIVO 11.05.2026'!H$2:H$1919))*('EFETIVO 11.05.2026'!G$2:G$1919="A")*('EFETIVO 11.05.2026'!J$2:J$1919=B158))</f>
        <v>10</v>
      </c>
      <c r="D158" s="1847" cm="1">
        <f t="array" ref="D158">SUMPRODUCT(ISNUMBER(SEARCH("741",'EFETIVO 11.05.2026'!H$2:H$1919))*('EFETIVO 11.05.2026'!G$2:G$1919="D")*('EFETIVO 11.05.2026'!J$2:J$1919=B158))</f>
        <v>0</v>
      </c>
      <c r="E158" s="1847" cm="1">
        <f t="array" ref="E158">SUMPRODUCT(ISNUMBER(SEARCH("741",'EFETIVO 11.05.2026'!H$2:H$1919))*((('EFETIVO 11.05.2026'!G$2:G$1919="F")+('EFETIVO 11.05.2026'!G$2:G$1919="P")+('EFETIVO 11.05.2026'!G$2:G$1919="T")+('EFETIVO 11.05.2026'!G$2:G$1919="M"))&gt;0)*('EFETIVO 11.05.2026'!J$2:J$1919=B158))</f>
        <v>0</v>
      </c>
      <c r="F158" s="1848">
        <f>IFERROR(C158/$C$6,0)</f>
        <v>5.4054054054054057E-2</v>
      </c>
      <c r="G158" s="1845"/>
    </row>
    <row r="159" spans="2:7" x14ac:dyDescent="0.35">
      <c r="B159" s="1846" t="s">
        <v>139</v>
      </c>
      <c r="C159" s="1847" cm="1">
        <f t="array" ref="C159">SUMPRODUCT(ISNUMBER(SEARCH("741",'EFETIVO 11.05.2026'!H$2:H$1919))*('EFETIVO 11.05.2026'!G$2:G$1919="A")*('EFETIVO 11.05.2026'!J$2:J$1919=B159))</f>
        <v>8</v>
      </c>
      <c r="D159" s="1847" cm="1">
        <f t="array" ref="D159">SUMPRODUCT(ISNUMBER(SEARCH("741",'EFETIVO 11.05.2026'!H$2:H$1919))*('EFETIVO 11.05.2026'!G$2:G$1919="D")*('EFETIVO 11.05.2026'!J$2:J$1919=B159))</f>
        <v>0</v>
      </c>
      <c r="E159" s="1847" cm="1">
        <f t="array" ref="E159">SUMPRODUCT(ISNUMBER(SEARCH("741",'EFETIVO 11.05.2026'!H$2:H$1919))*((('EFETIVO 11.05.2026'!G$2:G$1919="F")+('EFETIVO 11.05.2026'!G$2:G$1919="P")+('EFETIVO 11.05.2026'!G$2:G$1919="T")+('EFETIVO 11.05.2026'!G$2:G$1919="M"))&gt;0)*('EFETIVO 11.05.2026'!J$2:J$1919=B159))</f>
        <v>0</v>
      </c>
      <c r="F159" s="1848">
        <f>IFERROR(C159/$C$6,0)</f>
        <v>4.3243243243243246E-2</v>
      </c>
      <c r="G159" s="1845"/>
    </row>
    <row r="160" spans="2:7" x14ac:dyDescent="0.35">
      <c r="B160" s="1846" t="s">
        <v>5451</v>
      </c>
      <c r="C160" s="1847" cm="1">
        <f t="array" ref="C160">SUMPRODUCT(ISNUMBER(SEARCH("741",'EFETIVO 11.05.2026'!H$2:H$1919))*('EFETIVO 11.05.2026'!G$2:G$1919="A")*('EFETIVO 11.05.2026'!J$2:J$1919=B160))</f>
        <v>5</v>
      </c>
      <c r="D160" s="1847" cm="1">
        <f t="array" ref="D160">SUMPRODUCT(ISNUMBER(SEARCH("741",'EFETIVO 11.05.2026'!H$2:H$1919))*('EFETIVO 11.05.2026'!G$2:G$1919="D")*('EFETIVO 11.05.2026'!J$2:J$1919=B160))</f>
        <v>0</v>
      </c>
      <c r="E160" s="1847" cm="1">
        <f t="array" ref="E160">SUMPRODUCT(ISNUMBER(SEARCH("741",'EFETIVO 11.05.2026'!H$2:H$1919))*((('EFETIVO 11.05.2026'!G$2:G$1919="F")+('EFETIVO 11.05.2026'!G$2:G$1919="P")+('EFETIVO 11.05.2026'!G$2:G$1919="T")+('EFETIVO 11.05.2026'!G$2:G$1919="M"))&gt;0)*('EFETIVO 11.05.2026'!J$2:J$1919=B160))</f>
        <v>0</v>
      </c>
      <c r="F160" s="1848">
        <f>IFERROR(C160/$C$6,0)</f>
        <v>2.7027027027027029E-2</v>
      </c>
      <c r="G160" s="1845"/>
    </row>
    <row r="161" spans="2:7" x14ac:dyDescent="0.35">
      <c r="B161" s="1846" t="s">
        <v>377</v>
      </c>
      <c r="C161" s="1847" cm="1">
        <f t="array" ref="C161">SUMPRODUCT(ISNUMBER(SEARCH("741",'EFETIVO 11.05.2026'!H$2:H$1919))*('EFETIVO 11.05.2026'!G$2:G$1919="A")*('EFETIVO 11.05.2026'!J$2:J$1919=B161))</f>
        <v>4</v>
      </c>
      <c r="D161" s="1847" cm="1">
        <f t="array" ref="D161">SUMPRODUCT(ISNUMBER(SEARCH("741",'EFETIVO 11.05.2026'!H$2:H$1919))*('EFETIVO 11.05.2026'!G$2:G$1919="D")*('EFETIVO 11.05.2026'!J$2:J$1919=B161))</f>
        <v>0</v>
      </c>
      <c r="E161" s="1847" cm="1">
        <f t="array" ref="E161">SUMPRODUCT(ISNUMBER(SEARCH("741",'EFETIVO 11.05.2026'!H$2:H$1919))*((('EFETIVO 11.05.2026'!G$2:G$1919="F")+('EFETIVO 11.05.2026'!G$2:G$1919="P")+('EFETIVO 11.05.2026'!G$2:G$1919="T")+('EFETIVO 11.05.2026'!G$2:G$1919="M"))&gt;0)*('EFETIVO 11.05.2026'!J$2:J$1919=B161))</f>
        <v>1</v>
      </c>
      <c r="F161" s="1848">
        <f>IFERROR(C161/$C$6,0)</f>
        <v>2.1621621621621623E-2</v>
      </c>
      <c r="G161" s="1845"/>
    </row>
    <row r="162" spans="2:7" x14ac:dyDescent="0.35">
      <c r="B162" s="1846" t="s">
        <v>4818</v>
      </c>
      <c r="C162" s="1847" cm="1">
        <f t="array" ref="C162">SUMPRODUCT(ISNUMBER(SEARCH("741",'EFETIVO 11.05.2026'!H$2:H$1919))*('EFETIVO 11.05.2026'!G$2:G$1919="A")*('EFETIVO 11.05.2026'!J$2:J$1919=B162))</f>
        <v>4</v>
      </c>
      <c r="D162" s="1847" cm="1">
        <f t="array" ref="D162">SUMPRODUCT(ISNUMBER(SEARCH("741",'EFETIVO 11.05.2026'!H$2:H$1919))*('EFETIVO 11.05.2026'!G$2:G$1919="D")*('EFETIVO 11.05.2026'!J$2:J$1919=B162))</f>
        <v>0</v>
      </c>
      <c r="E162" s="1847" cm="1">
        <f t="array" ref="E162">SUMPRODUCT(ISNUMBER(SEARCH("741",'EFETIVO 11.05.2026'!H$2:H$1919))*((('EFETIVO 11.05.2026'!G$2:G$1919="F")+('EFETIVO 11.05.2026'!G$2:G$1919="P")+('EFETIVO 11.05.2026'!G$2:G$1919="T")+('EFETIVO 11.05.2026'!G$2:G$1919="M"))&gt;0)*('EFETIVO 11.05.2026'!J$2:J$1919=B162))</f>
        <v>0</v>
      </c>
      <c r="F162" s="1848">
        <f>IFERROR(C162/$C$6,0)</f>
        <v>2.1621621621621623E-2</v>
      </c>
      <c r="G162" s="1845"/>
    </row>
    <row r="163" spans="2:7" x14ac:dyDescent="0.35">
      <c r="B163" s="1846" t="s">
        <v>376</v>
      </c>
      <c r="C163" s="1847" cm="1">
        <f t="array" ref="C163">SUMPRODUCT(ISNUMBER(SEARCH("741",'EFETIVO 11.05.2026'!H$2:H$1919))*('EFETIVO 11.05.2026'!G$2:G$1919="A")*('EFETIVO 11.05.2026'!J$2:J$1919=B163))</f>
        <v>3</v>
      </c>
      <c r="D163" s="1847" cm="1">
        <f t="array" ref="D163">SUMPRODUCT(ISNUMBER(SEARCH("741",'EFETIVO 11.05.2026'!H$2:H$1919))*('EFETIVO 11.05.2026'!G$2:G$1919="D")*('EFETIVO 11.05.2026'!J$2:J$1919=B163))</f>
        <v>0</v>
      </c>
      <c r="E163" s="1847" cm="1">
        <f t="array" ref="E163">SUMPRODUCT(ISNUMBER(SEARCH("741",'EFETIVO 11.05.2026'!H$2:H$1919))*((('EFETIVO 11.05.2026'!G$2:G$1919="F")+('EFETIVO 11.05.2026'!G$2:G$1919="P")+('EFETIVO 11.05.2026'!G$2:G$1919="T")+('EFETIVO 11.05.2026'!G$2:G$1919="M"))&gt;0)*('EFETIVO 11.05.2026'!J$2:J$1919=B163))</f>
        <v>0</v>
      </c>
      <c r="F163" s="1848">
        <f>IFERROR(C163/$C$6,0)</f>
        <v>1.6216216216216217E-2</v>
      </c>
      <c r="G163" s="1845"/>
    </row>
    <row r="164" spans="2:7" x14ac:dyDescent="0.35">
      <c r="B164" s="1846" t="s">
        <v>5454</v>
      </c>
      <c r="C164" s="1847" cm="1">
        <f t="array" ref="C164">SUMPRODUCT(ISNUMBER(SEARCH("741",'EFETIVO 11.05.2026'!H$2:H$1919))*('EFETIVO 11.05.2026'!G$2:G$1919="A")*('EFETIVO 11.05.2026'!J$2:J$1919=B164))</f>
        <v>3</v>
      </c>
      <c r="D164" s="1847" cm="1">
        <f t="array" ref="D164">SUMPRODUCT(ISNUMBER(SEARCH("741",'EFETIVO 11.05.2026'!H$2:H$1919))*('EFETIVO 11.05.2026'!G$2:G$1919="D")*('EFETIVO 11.05.2026'!J$2:J$1919=B164))</f>
        <v>0</v>
      </c>
      <c r="E164" s="1847" cm="1">
        <f t="array" ref="E164">SUMPRODUCT(ISNUMBER(SEARCH("741",'EFETIVO 11.05.2026'!H$2:H$1919))*((('EFETIVO 11.05.2026'!G$2:G$1919="F")+('EFETIVO 11.05.2026'!G$2:G$1919="P")+('EFETIVO 11.05.2026'!G$2:G$1919="T")+('EFETIVO 11.05.2026'!G$2:G$1919="M"))&gt;0)*('EFETIVO 11.05.2026'!J$2:J$1919=B164))</f>
        <v>0</v>
      </c>
      <c r="F164" s="1848">
        <f>IFERROR(C164/$C$6,0)</f>
        <v>1.6216216216216217E-2</v>
      </c>
      <c r="G164" s="1845"/>
    </row>
    <row r="165" spans="2:7" x14ac:dyDescent="0.35">
      <c r="B165" s="1846" t="s">
        <v>113</v>
      </c>
      <c r="C165" s="1847" cm="1">
        <f t="array" ref="C165">SUMPRODUCT(ISNUMBER(SEARCH("741",'EFETIVO 11.05.2026'!H$2:H$1919))*('EFETIVO 11.05.2026'!G$2:G$1919="A")*('EFETIVO 11.05.2026'!J$2:J$1919=B165))</f>
        <v>2</v>
      </c>
      <c r="D165" s="1847" cm="1">
        <f t="array" ref="D165">SUMPRODUCT(ISNUMBER(SEARCH("741",'EFETIVO 11.05.2026'!H$2:H$1919))*('EFETIVO 11.05.2026'!G$2:G$1919="D")*('EFETIVO 11.05.2026'!J$2:J$1919=B165))</f>
        <v>0</v>
      </c>
      <c r="E165" s="1847" cm="1">
        <f t="array" ref="E165">SUMPRODUCT(ISNUMBER(SEARCH("741",'EFETIVO 11.05.2026'!H$2:H$1919))*((('EFETIVO 11.05.2026'!G$2:G$1919="F")+('EFETIVO 11.05.2026'!G$2:G$1919="P")+('EFETIVO 11.05.2026'!G$2:G$1919="T")+('EFETIVO 11.05.2026'!G$2:G$1919="M"))&gt;0)*('EFETIVO 11.05.2026'!J$2:J$1919=B165))</f>
        <v>0</v>
      </c>
      <c r="F165" s="1848">
        <f>IFERROR(C165/$C$6,0)</f>
        <v>1.0810810810810811E-2</v>
      </c>
      <c r="G165" s="1845"/>
    </row>
    <row r="166" spans="2:7" x14ac:dyDescent="0.35">
      <c r="B166" s="1846" t="s">
        <v>5452</v>
      </c>
      <c r="C166" s="1847" cm="1">
        <f t="array" ref="C166">SUMPRODUCT(ISNUMBER(SEARCH("741",'EFETIVO 11.05.2026'!H$2:H$1919))*('EFETIVO 11.05.2026'!G$2:G$1919="A")*('EFETIVO 11.05.2026'!J$2:J$1919=B166))</f>
        <v>1</v>
      </c>
      <c r="D166" s="1847" cm="1">
        <f t="array" ref="D166">SUMPRODUCT(ISNUMBER(SEARCH("741",'EFETIVO 11.05.2026'!H$2:H$1919))*('EFETIVO 11.05.2026'!G$2:G$1919="D")*('EFETIVO 11.05.2026'!J$2:J$1919=B166))</f>
        <v>0</v>
      </c>
      <c r="E166" s="1847" cm="1">
        <f t="array" ref="E166">SUMPRODUCT(ISNUMBER(SEARCH("741",'EFETIVO 11.05.2026'!H$2:H$1919))*((('EFETIVO 11.05.2026'!G$2:G$1919="F")+('EFETIVO 11.05.2026'!G$2:G$1919="P")+('EFETIVO 11.05.2026'!G$2:G$1919="T")+('EFETIVO 11.05.2026'!G$2:G$1919="M"))&gt;0)*('EFETIVO 11.05.2026'!J$2:J$1919=B166))</f>
        <v>0</v>
      </c>
      <c r="F166" s="1848">
        <f>IFERROR(C166/$C$6,0)</f>
        <v>5.4054054054054057E-3</v>
      </c>
      <c r="G166" s="1845"/>
    </row>
    <row r="167" spans="2:7" x14ac:dyDescent="0.35">
      <c r="B167" s="1851" t="s">
        <v>459</v>
      </c>
      <c r="C167" s="1852">
        <f>SUM(C154:C166)</f>
        <v>185</v>
      </c>
      <c r="D167" s="1852">
        <f>SUM(D154:D166)</f>
        <v>0</v>
      </c>
      <c r="E167" s="1852">
        <f>SUM(E154:E166)</f>
        <v>1</v>
      </c>
      <c r="F167" s="1853">
        <f>SUM(F154:F166)</f>
        <v>1.0000000000000002</v>
      </c>
      <c r="G167" s="1845"/>
    </row>
    <row r="168" spans="2:7" x14ac:dyDescent="0.35">
      <c r="B168" s="1842"/>
      <c r="C168" s="1843"/>
      <c r="D168" s="1843"/>
      <c r="E168" s="1842"/>
      <c r="F168" s="1844"/>
      <c r="G168" s="1845"/>
    </row>
    <row r="169" spans="2:7" x14ac:dyDescent="0.35">
      <c r="B169" s="1854" t="s">
        <v>5459</v>
      </c>
      <c r="C169" s="1845"/>
      <c r="D169" s="1845"/>
      <c r="E169" s="1845"/>
      <c r="F169" s="1845"/>
      <c r="G169" s="1845"/>
    </row>
    <row r="170" spans="2:7" x14ac:dyDescent="0.35">
      <c r="B170" s="1850" t="s">
        <v>5456</v>
      </c>
      <c r="C170" s="1850" t="s">
        <v>469</v>
      </c>
      <c r="D170" s="1850" t="s">
        <v>468</v>
      </c>
      <c r="E170" s="1850" t="s">
        <v>359</v>
      </c>
      <c r="F170" s="1850" t="s">
        <v>470</v>
      </c>
      <c r="G170" s="1850" t="s">
        <v>5460</v>
      </c>
    </row>
    <row r="171" spans="2:7" x14ac:dyDescent="0.35">
      <c r="B171" s="1846" t="s">
        <v>382</v>
      </c>
      <c r="C171" s="1847" cm="1">
        <f t="array" ref="C171">SUMPRODUCT(ISNUMBER(SEARCH("741",'EFETIVO 11.05.2026'!H$2:H$1919))*('EFETIVO 11.05.2026'!G$2:G$1919="A")*('EFETIVO 11.05.2026'!J$2:J$1919=B171)*('EFETIVO 11.05.2026'!I$2:I$1919="UTE"))</f>
        <v>29</v>
      </c>
      <c r="D171" s="1847" cm="1">
        <f t="array" ref="D171">SUMPRODUCT(ISNUMBER(SEARCH("741",'EFETIVO 11.05.2026'!H$2:H$1919))*('EFETIVO 11.05.2026'!G$2:G$1919="A")*('EFETIVO 11.05.2026'!J$2:J$1919=B171)*('EFETIVO 11.05.2026'!I$2:I$1919="AE"))</f>
        <v>19</v>
      </c>
      <c r="E171" s="1847" cm="1">
        <f t="array" ref="E171">SUMPRODUCT(ISNUMBER(SEARCH("741",'EFETIVO 11.05.2026'!H$2:H$1919))*('EFETIVO 11.05.2026'!G$2:G$1919="A")*('EFETIVO 11.05.2026'!J$2:J$1919=B171)*('EFETIVO 11.05.2026'!I$2:I$1919="TAPERA"))</f>
        <v>0</v>
      </c>
      <c r="F171" s="1847" cm="1">
        <f t="array" ref="F171">SUMPRODUCT(ISNUMBER(SEARCH("741",'EFETIVO 11.05.2026'!H$2:H$1919))*('EFETIVO 11.05.2026'!G$2:G$1919="A")*('EFETIVO 11.05.2026'!J$2:J$1919=B171)*('EFETIVO 11.05.2026'!I$2:I$1919="VAGA UTE"))</f>
        <v>0</v>
      </c>
      <c r="G171" s="1847">
        <f>SUM(C171:F171)</f>
        <v>48</v>
      </c>
    </row>
    <row r="172" spans="2:7" x14ac:dyDescent="0.35">
      <c r="B172" s="1846" t="s">
        <v>4777</v>
      </c>
      <c r="C172" s="1847" cm="1">
        <f t="array" ref="C172">SUMPRODUCT(ISNUMBER(SEARCH("741",'EFETIVO 11.05.2026'!H$2:H$1919))*('EFETIVO 11.05.2026'!G$2:G$1919="A")*('EFETIVO 11.05.2026'!J$2:J$1919=B172)*('EFETIVO 11.05.2026'!I$2:I$1919="UTE"))</f>
        <v>33</v>
      </c>
      <c r="D172" s="1847" cm="1">
        <f t="array" ref="D172">SUMPRODUCT(ISNUMBER(SEARCH("741",'EFETIVO 11.05.2026'!H$2:H$1919))*('EFETIVO 11.05.2026'!G$2:G$1919="A")*('EFETIVO 11.05.2026'!J$2:J$1919=B172)*('EFETIVO 11.05.2026'!I$2:I$1919="AE"))</f>
        <v>15</v>
      </c>
      <c r="E172" s="1847" cm="1">
        <f t="array" ref="E172">SUMPRODUCT(ISNUMBER(SEARCH("741",'EFETIVO 11.05.2026'!H$2:H$1919))*('EFETIVO 11.05.2026'!G$2:G$1919="A")*('EFETIVO 11.05.2026'!J$2:J$1919=B172)*('EFETIVO 11.05.2026'!I$2:I$1919="TAPERA"))</f>
        <v>2</v>
      </c>
      <c r="F172" s="1847" cm="1">
        <f t="array" ref="F172">SUMPRODUCT(ISNUMBER(SEARCH("741",'EFETIVO 11.05.2026'!H$2:H$1919))*('EFETIVO 11.05.2026'!G$2:G$1919="A")*('EFETIVO 11.05.2026'!J$2:J$1919=B172)*('EFETIVO 11.05.2026'!I$2:I$1919="VAGA UTE"))</f>
        <v>0</v>
      </c>
      <c r="G172" s="1847">
        <f>SUM(C172:F172)</f>
        <v>50</v>
      </c>
    </row>
    <row r="173" spans="2:7" x14ac:dyDescent="0.35">
      <c r="B173" s="1846" t="s">
        <v>5453</v>
      </c>
      <c r="C173" s="1847" cm="1">
        <f t="array" ref="C173">SUMPRODUCT(ISNUMBER(SEARCH("741",'EFETIVO 11.05.2026'!H$2:H$1919))*('EFETIVO 11.05.2026'!G$2:G$1919="A")*('EFETIVO 11.05.2026'!J$2:J$1919=B173)*('EFETIVO 11.05.2026'!I$2:I$1919="UTE"))</f>
        <v>15</v>
      </c>
      <c r="D173" s="1847" cm="1">
        <f t="array" ref="D173">SUMPRODUCT(ISNUMBER(SEARCH("741",'EFETIVO 11.05.2026'!H$2:H$1919))*('EFETIVO 11.05.2026'!G$2:G$1919="A")*('EFETIVO 11.05.2026'!J$2:J$1919=B173)*('EFETIVO 11.05.2026'!I$2:I$1919="AE"))</f>
        <v>14</v>
      </c>
      <c r="E173" s="1847" cm="1">
        <f t="array" ref="E173">SUMPRODUCT(ISNUMBER(SEARCH("741",'EFETIVO 11.05.2026'!H$2:H$1919))*('EFETIVO 11.05.2026'!G$2:G$1919="A")*('EFETIVO 11.05.2026'!J$2:J$1919=B173)*('EFETIVO 11.05.2026'!I$2:I$1919="TAPERA"))</f>
        <v>1</v>
      </c>
      <c r="F173" s="1847" cm="1">
        <f t="array" ref="F173">SUMPRODUCT(ISNUMBER(SEARCH("741",'EFETIVO 11.05.2026'!H$2:H$1919))*('EFETIVO 11.05.2026'!G$2:G$1919="A")*('EFETIVO 11.05.2026'!J$2:J$1919=B173)*('EFETIVO 11.05.2026'!I$2:I$1919="VAGA UTE"))</f>
        <v>0</v>
      </c>
      <c r="G173" s="1847">
        <f>SUM(C173:F173)</f>
        <v>30</v>
      </c>
    </row>
    <row r="174" spans="2:7" x14ac:dyDescent="0.35">
      <c r="B174" s="1846" t="s">
        <v>156</v>
      </c>
      <c r="C174" s="1847" cm="1">
        <f t="array" ref="C174">SUMPRODUCT(ISNUMBER(SEARCH("741",'EFETIVO 11.05.2026'!H$2:H$1919))*('EFETIVO 11.05.2026'!G$2:G$1919="A")*('EFETIVO 11.05.2026'!J$2:J$1919=B174)*('EFETIVO 11.05.2026'!I$2:I$1919="UTE"))</f>
        <v>8</v>
      </c>
      <c r="D174" s="1847" cm="1">
        <f t="array" ref="D174">SUMPRODUCT(ISNUMBER(SEARCH("741",'EFETIVO 11.05.2026'!H$2:H$1919))*('EFETIVO 11.05.2026'!G$2:G$1919="A")*('EFETIVO 11.05.2026'!J$2:J$1919=B174)*('EFETIVO 11.05.2026'!I$2:I$1919="AE"))</f>
        <v>7</v>
      </c>
      <c r="E174" s="1847" cm="1">
        <f t="array" ref="E174">SUMPRODUCT(ISNUMBER(SEARCH("741",'EFETIVO 11.05.2026'!H$2:H$1919))*('EFETIVO 11.05.2026'!G$2:G$1919="A")*('EFETIVO 11.05.2026'!J$2:J$1919=B174)*('EFETIVO 11.05.2026'!I$2:I$1919="TAPERA"))</f>
        <v>0</v>
      </c>
      <c r="F174" s="1847" cm="1">
        <f t="array" ref="F174">SUMPRODUCT(ISNUMBER(SEARCH("741",'EFETIVO 11.05.2026'!H$2:H$1919))*('EFETIVO 11.05.2026'!G$2:G$1919="A")*('EFETIVO 11.05.2026'!J$2:J$1919=B174)*('EFETIVO 11.05.2026'!I$2:I$1919="VAGA UTE"))</f>
        <v>0</v>
      </c>
      <c r="G174" s="1847">
        <f>SUM(C174:F174)</f>
        <v>15</v>
      </c>
    </row>
    <row r="175" spans="2:7" x14ac:dyDescent="0.35">
      <c r="B175" s="1846" t="s">
        <v>155</v>
      </c>
      <c r="C175" s="1847" cm="1">
        <f t="array" ref="C175">SUMPRODUCT(ISNUMBER(SEARCH("741",'EFETIVO 11.05.2026'!H$2:H$1919))*('EFETIVO 11.05.2026'!G$2:G$1919="A")*('EFETIVO 11.05.2026'!J$2:J$1919=B175)*('EFETIVO 11.05.2026'!I$2:I$1919="UTE"))</f>
        <v>6</v>
      </c>
      <c r="D175" s="1847" cm="1">
        <f t="array" ref="D175">SUMPRODUCT(ISNUMBER(SEARCH("741",'EFETIVO 11.05.2026'!H$2:H$1919))*('EFETIVO 11.05.2026'!G$2:G$1919="A")*('EFETIVO 11.05.2026'!J$2:J$1919=B175)*('EFETIVO 11.05.2026'!I$2:I$1919="AE"))</f>
        <v>4</v>
      </c>
      <c r="E175" s="1847" cm="1">
        <f t="array" ref="E175">SUMPRODUCT(ISNUMBER(SEARCH("741",'EFETIVO 11.05.2026'!H$2:H$1919))*('EFETIVO 11.05.2026'!G$2:G$1919="A")*('EFETIVO 11.05.2026'!J$2:J$1919=B175)*('EFETIVO 11.05.2026'!I$2:I$1919="TAPERA"))</f>
        <v>0</v>
      </c>
      <c r="F175" s="1847" cm="1">
        <f t="array" ref="F175">SUMPRODUCT(ISNUMBER(SEARCH("741",'EFETIVO 11.05.2026'!H$2:H$1919))*('EFETIVO 11.05.2026'!G$2:G$1919="A")*('EFETIVO 11.05.2026'!J$2:J$1919=B175)*('EFETIVO 11.05.2026'!I$2:I$1919="VAGA UTE"))</f>
        <v>0</v>
      </c>
      <c r="G175" s="1847">
        <f>SUM(C175:F175)</f>
        <v>10</v>
      </c>
    </row>
    <row r="176" spans="2:7" x14ac:dyDescent="0.35">
      <c r="B176" s="1846" t="s">
        <v>139</v>
      </c>
      <c r="C176" s="1847" cm="1">
        <f t="array" ref="C176">SUMPRODUCT(ISNUMBER(SEARCH("741",'EFETIVO 11.05.2026'!H$2:H$1919))*('EFETIVO 11.05.2026'!G$2:G$1919="A")*('EFETIVO 11.05.2026'!J$2:J$1919=B176)*('EFETIVO 11.05.2026'!I$2:I$1919="UTE"))</f>
        <v>2</v>
      </c>
      <c r="D176" s="1847" cm="1">
        <f t="array" ref="D176">SUMPRODUCT(ISNUMBER(SEARCH("741",'EFETIVO 11.05.2026'!H$2:H$1919))*('EFETIVO 11.05.2026'!G$2:G$1919="A")*('EFETIVO 11.05.2026'!J$2:J$1919=B176)*('EFETIVO 11.05.2026'!I$2:I$1919="AE"))</f>
        <v>6</v>
      </c>
      <c r="E176" s="1847" cm="1">
        <f t="array" ref="E176">SUMPRODUCT(ISNUMBER(SEARCH("741",'EFETIVO 11.05.2026'!H$2:H$1919))*('EFETIVO 11.05.2026'!G$2:G$1919="A")*('EFETIVO 11.05.2026'!J$2:J$1919=B176)*('EFETIVO 11.05.2026'!I$2:I$1919="TAPERA"))</f>
        <v>0</v>
      </c>
      <c r="F176" s="1847" cm="1">
        <f t="array" ref="F176">SUMPRODUCT(ISNUMBER(SEARCH("741",'EFETIVO 11.05.2026'!H$2:H$1919))*('EFETIVO 11.05.2026'!G$2:G$1919="A")*('EFETIVO 11.05.2026'!J$2:J$1919=B176)*('EFETIVO 11.05.2026'!I$2:I$1919="VAGA UTE"))</f>
        <v>0</v>
      </c>
      <c r="G176" s="1847">
        <f>SUM(C176:F176)</f>
        <v>8</v>
      </c>
    </row>
    <row r="177" spans="2:7" x14ac:dyDescent="0.35">
      <c r="B177" s="1846" t="s">
        <v>5451</v>
      </c>
      <c r="C177" s="1847" cm="1">
        <f t="array" ref="C177">SUMPRODUCT(ISNUMBER(SEARCH("741",'EFETIVO 11.05.2026'!H$2:H$1919))*('EFETIVO 11.05.2026'!G$2:G$1919="A")*('EFETIVO 11.05.2026'!J$2:J$1919=B177)*('EFETIVO 11.05.2026'!I$2:I$1919="UTE"))</f>
        <v>1</v>
      </c>
      <c r="D177" s="1847" cm="1">
        <f t="array" ref="D177">SUMPRODUCT(ISNUMBER(SEARCH("741",'EFETIVO 11.05.2026'!H$2:H$1919))*('EFETIVO 11.05.2026'!G$2:G$1919="A")*('EFETIVO 11.05.2026'!J$2:J$1919=B177)*('EFETIVO 11.05.2026'!I$2:I$1919="AE"))</f>
        <v>4</v>
      </c>
      <c r="E177" s="1847" cm="1">
        <f t="array" ref="E177">SUMPRODUCT(ISNUMBER(SEARCH("741",'EFETIVO 11.05.2026'!H$2:H$1919))*('EFETIVO 11.05.2026'!G$2:G$1919="A")*('EFETIVO 11.05.2026'!J$2:J$1919=B177)*('EFETIVO 11.05.2026'!I$2:I$1919="TAPERA"))</f>
        <v>0</v>
      </c>
      <c r="F177" s="1847" cm="1">
        <f t="array" ref="F177">SUMPRODUCT(ISNUMBER(SEARCH("741",'EFETIVO 11.05.2026'!H$2:H$1919))*('EFETIVO 11.05.2026'!G$2:G$1919="A")*('EFETIVO 11.05.2026'!J$2:J$1919=B177)*('EFETIVO 11.05.2026'!I$2:I$1919="VAGA UTE"))</f>
        <v>0</v>
      </c>
      <c r="G177" s="1847">
        <f>SUM(C177:F177)</f>
        <v>5</v>
      </c>
    </row>
    <row r="178" spans="2:7" ht="24" customHeight="1" x14ac:dyDescent="0.35">
      <c r="B178" s="1846" t="s">
        <v>377</v>
      </c>
      <c r="C178" s="1847" cm="1">
        <f t="array" ref="C178">SUMPRODUCT(ISNUMBER(SEARCH("741",'EFETIVO 11.05.2026'!H$2:H$1919))*('EFETIVO 11.05.2026'!G$2:G$1919="A")*('EFETIVO 11.05.2026'!J$2:J$1919=B178)*('EFETIVO 11.05.2026'!I$2:I$1919="UTE"))</f>
        <v>1</v>
      </c>
      <c r="D178" s="1847" cm="1">
        <f t="array" ref="D178">SUMPRODUCT(ISNUMBER(SEARCH("741",'EFETIVO 11.05.2026'!H$2:H$1919))*('EFETIVO 11.05.2026'!G$2:G$1919="A")*('EFETIVO 11.05.2026'!J$2:J$1919=B178)*('EFETIVO 11.05.2026'!I$2:I$1919="AE"))</f>
        <v>3</v>
      </c>
      <c r="E178" s="1847" cm="1">
        <f t="array" ref="E178">SUMPRODUCT(ISNUMBER(SEARCH("741",'EFETIVO 11.05.2026'!H$2:H$1919))*('EFETIVO 11.05.2026'!G$2:G$1919="A")*('EFETIVO 11.05.2026'!J$2:J$1919=B178)*('EFETIVO 11.05.2026'!I$2:I$1919="TAPERA"))</f>
        <v>0</v>
      </c>
      <c r="F178" s="1847" cm="1">
        <f t="array" ref="F178">SUMPRODUCT(ISNUMBER(SEARCH("741",'EFETIVO 11.05.2026'!H$2:H$1919))*('EFETIVO 11.05.2026'!G$2:G$1919="A")*('EFETIVO 11.05.2026'!J$2:J$1919=B178)*('EFETIVO 11.05.2026'!I$2:I$1919="VAGA UTE"))</f>
        <v>0</v>
      </c>
      <c r="G178" s="1847">
        <f>SUM(C178:F178)</f>
        <v>4</v>
      </c>
    </row>
    <row r="179" spans="2:7" ht="26.15" customHeight="1" x14ac:dyDescent="0.35">
      <c r="B179" s="1846" t="s">
        <v>4818</v>
      </c>
      <c r="C179" s="1847" cm="1">
        <f t="array" ref="C179">SUMPRODUCT(ISNUMBER(SEARCH("741",'EFETIVO 11.05.2026'!H$2:H$1919))*('EFETIVO 11.05.2026'!G$2:G$1919="A")*('EFETIVO 11.05.2026'!J$2:J$1919=B179)*('EFETIVO 11.05.2026'!I$2:I$1919="UTE"))</f>
        <v>1</v>
      </c>
      <c r="D179" s="1847" cm="1">
        <f t="array" ref="D179">SUMPRODUCT(ISNUMBER(SEARCH("741",'EFETIVO 11.05.2026'!H$2:H$1919))*('EFETIVO 11.05.2026'!G$2:G$1919="A")*('EFETIVO 11.05.2026'!J$2:J$1919=B179)*('EFETIVO 11.05.2026'!I$2:I$1919="AE"))</f>
        <v>3</v>
      </c>
      <c r="E179" s="1847" cm="1">
        <f t="array" ref="E179">SUMPRODUCT(ISNUMBER(SEARCH("741",'EFETIVO 11.05.2026'!H$2:H$1919))*('EFETIVO 11.05.2026'!G$2:G$1919="A")*('EFETIVO 11.05.2026'!J$2:J$1919=B179)*('EFETIVO 11.05.2026'!I$2:I$1919="TAPERA"))</f>
        <v>0</v>
      </c>
      <c r="F179" s="1847" cm="1">
        <f t="array" ref="F179">SUMPRODUCT(ISNUMBER(SEARCH("741",'EFETIVO 11.05.2026'!H$2:H$1919))*('EFETIVO 11.05.2026'!G$2:G$1919="A")*('EFETIVO 11.05.2026'!J$2:J$1919=B179)*('EFETIVO 11.05.2026'!I$2:I$1919="VAGA UTE"))</f>
        <v>0</v>
      </c>
      <c r="G179" s="1847">
        <f>SUM(C179:F179)</f>
        <v>4</v>
      </c>
    </row>
    <row r="180" spans="2:7" x14ac:dyDescent="0.35">
      <c r="B180" s="1846" t="s">
        <v>376</v>
      </c>
      <c r="C180" s="1847" cm="1">
        <f t="array" ref="C180">SUMPRODUCT(ISNUMBER(SEARCH("741",'EFETIVO 11.05.2026'!H$2:H$1919))*('EFETIVO 11.05.2026'!G$2:G$1919="A")*('EFETIVO 11.05.2026'!J$2:J$1919=B180)*('EFETIVO 11.05.2026'!I$2:I$1919="UTE"))</f>
        <v>0</v>
      </c>
      <c r="D180" s="1847" cm="1">
        <f t="array" ref="D180">SUMPRODUCT(ISNUMBER(SEARCH("741",'EFETIVO 11.05.2026'!H$2:H$1919))*('EFETIVO 11.05.2026'!G$2:G$1919="A")*('EFETIVO 11.05.2026'!J$2:J$1919=B180)*('EFETIVO 11.05.2026'!I$2:I$1919="AE"))</f>
        <v>3</v>
      </c>
      <c r="E180" s="1847" cm="1">
        <f t="array" ref="E180">SUMPRODUCT(ISNUMBER(SEARCH("741",'EFETIVO 11.05.2026'!H$2:H$1919))*('EFETIVO 11.05.2026'!G$2:G$1919="A")*('EFETIVO 11.05.2026'!J$2:J$1919=B180)*('EFETIVO 11.05.2026'!I$2:I$1919="TAPERA"))</f>
        <v>0</v>
      </c>
      <c r="F180" s="1847" cm="1">
        <f t="array" ref="F180">SUMPRODUCT(ISNUMBER(SEARCH("741",'EFETIVO 11.05.2026'!H$2:H$1919))*('EFETIVO 11.05.2026'!G$2:G$1919="A")*('EFETIVO 11.05.2026'!J$2:J$1919=B180)*('EFETIVO 11.05.2026'!I$2:I$1919="VAGA UTE"))</f>
        <v>0</v>
      </c>
      <c r="G180" s="1847">
        <f>SUM(C180:F180)</f>
        <v>3</v>
      </c>
    </row>
    <row r="181" spans="2:7" ht="22" customHeight="1" x14ac:dyDescent="0.35">
      <c r="B181" s="1846" t="s">
        <v>5454</v>
      </c>
      <c r="C181" s="1847" cm="1">
        <f t="array" ref="C181">SUMPRODUCT(ISNUMBER(SEARCH("741",'EFETIVO 11.05.2026'!H$2:H$1919))*('EFETIVO 11.05.2026'!G$2:G$1919="A")*('EFETIVO 11.05.2026'!J$2:J$1919=B181)*('EFETIVO 11.05.2026'!I$2:I$1919="UTE"))</f>
        <v>1</v>
      </c>
      <c r="D181" s="1847" cm="1">
        <f t="array" ref="D181">SUMPRODUCT(ISNUMBER(SEARCH("741",'EFETIVO 11.05.2026'!H$2:H$1919))*('EFETIVO 11.05.2026'!G$2:G$1919="A")*('EFETIVO 11.05.2026'!J$2:J$1919=B181)*('EFETIVO 11.05.2026'!I$2:I$1919="AE"))</f>
        <v>2</v>
      </c>
      <c r="E181" s="1847" cm="1">
        <f t="array" ref="E181">SUMPRODUCT(ISNUMBER(SEARCH("741",'EFETIVO 11.05.2026'!H$2:H$1919))*('EFETIVO 11.05.2026'!G$2:G$1919="A")*('EFETIVO 11.05.2026'!J$2:J$1919=B181)*('EFETIVO 11.05.2026'!I$2:I$1919="TAPERA"))</f>
        <v>0</v>
      </c>
      <c r="F181" s="1847" cm="1">
        <f t="array" ref="F181">SUMPRODUCT(ISNUMBER(SEARCH("741",'EFETIVO 11.05.2026'!H$2:H$1919))*('EFETIVO 11.05.2026'!G$2:G$1919="A")*('EFETIVO 11.05.2026'!J$2:J$1919=B181)*('EFETIVO 11.05.2026'!I$2:I$1919="VAGA UTE"))</f>
        <v>0</v>
      </c>
      <c r="G181" s="1847">
        <f>SUM(C181:F181)</f>
        <v>3</v>
      </c>
    </row>
    <row r="182" spans="2:7" x14ac:dyDescent="0.35">
      <c r="B182" s="1846" t="s">
        <v>113</v>
      </c>
      <c r="C182" s="1847" cm="1">
        <f t="array" ref="C182">SUMPRODUCT(ISNUMBER(SEARCH("741",'EFETIVO 11.05.2026'!H$2:H$1919))*('EFETIVO 11.05.2026'!G$2:G$1919="A")*('EFETIVO 11.05.2026'!J$2:J$1919=B182)*('EFETIVO 11.05.2026'!I$2:I$1919="UTE"))</f>
        <v>0</v>
      </c>
      <c r="D182" s="1847" cm="1">
        <f t="array" ref="D182">SUMPRODUCT(ISNUMBER(SEARCH("741",'EFETIVO 11.05.2026'!H$2:H$1919))*('EFETIVO 11.05.2026'!G$2:G$1919="A")*('EFETIVO 11.05.2026'!J$2:J$1919=B182)*('EFETIVO 11.05.2026'!I$2:I$1919="AE"))</f>
        <v>2</v>
      </c>
      <c r="E182" s="1847" cm="1">
        <f t="array" ref="E182">SUMPRODUCT(ISNUMBER(SEARCH("741",'EFETIVO 11.05.2026'!H$2:H$1919))*('EFETIVO 11.05.2026'!G$2:G$1919="A")*('EFETIVO 11.05.2026'!J$2:J$1919=B182)*('EFETIVO 11.05.2026'!I$2:I$1919="TAPERA"))</f>
        <v>0</v>
      </c>
      <c r="F182" s="1847" cm="1">
        <f t="array" ref="F182">SUMPRODUCT(ISNUMBER(SEARCH("741",'EFETIVO 11.05.2026'!H$2:H$1919))*('EFETIVO 11.05.2026'!G$2:G$1919="A")*('EFETIVO 11.05.2026'!J$2:J$1919=B182)*('EFETIVO 11.05.2026'!I$2:I$1919="VAGA UTE"))</f>
        <v>0</v>
      </c>
      <c r="G182" s="1847">
        <f>SUM(C182:F182)</f>
        <v>2</v>
      </c>
    </row>
    <row r="183" spans="2:7" x14ac:dyDescent="0.35">
      <c r="B183" s="1846" t="s">
        <v>5452</v>
      </c>
      <c r="C183" s="1847" cm="1">
        <f t="array" ref="C183">SUMPRODUCT(ISNUMBER(SEARCH("741",'EFETIVO 11.05.2026'!H$2:H$1919))*('EFETIVO 11.05.2026'!G$2:G$1919="A")*('EFETIVO 11.05.2026'!J$2:J$1919=B183)*('EFETIVO 11.05.2026'!I$2:I$1919="UTE"))</f>
        <v>0</v>
      </c>
      <c r="D183" s="1847" cm="1">
        <f t="array" ref="D183">SUMPRODUCT(ISNUMBER(SEARCH("741",'EFETIVO 11.05.2026'!H$2:H$1919))*('EFETIVO 11.05.2026'!G$2:G$1919="A")*('EFETIVO 11.05.2026'!J$2:J$1919=B183)*('EFETIVO 11.05.2026'!I$2:I$1919="AE"))</f>
        <v>1</v>
      </c>
      <c r="E183" s="1847" cm="1">
        <f t="array" ref="E183">SUMPRODUCT(ISNUMBER(SEARCH("741",'EFETIVO 11.05.2026'!H$2:H$1919))*('EFETIVO 11.05.2026'!G$2:G$1919="A")*('EFETIVO 11.05.2026'!J$2:J$1919=B183)*('EFETIVO 11.05.2026'!I$2:I$1919="TAPERA"))</f>
        <v>0</v>
      </c>
      <c r="F183" s="1847" cm="1">
        <f t="array" ref="F183">SUMPRODUCT(ISNUMBER(SEARCH("741",'EFETIVO 11.05.2026'!H$2:H$1919))*('EFETIVO 11.05.2026'!G$2:G$1919="A")*('EFETIVO 11.05.2026'!J$2:J$1919=B183)*('EFETIVO 11.05.2026'!I$2:I$1919="VAGA UTE"))</f>
        <v>0</v>
      </c>
      <c r="G183" s="1847">
        <f>SUM(C183:F183)</f>
        <v>1</v>
      </c>
    </row>
    <row r="184" spans="2:7" x14ac:dyDescent="0.35">
      <c r="B184" s="1851" t="s">
        <v>459</v>
      </c>
      <c r="C184" s="1852">
        <f>SUM(C171:C183)</f>
        <v>97</v>
      </c>
      <c r="D184" s="1852">
        <f>SUM(D171:D183)</f>
        <v>83</v>
      </c>
      <c r="E184" s="1852">
        <f>SUM(E171:E183)</f>
        <v>3</v>
      </c>
      <c r="F184" s="1852">
        <f>SUM(F171:F183)</f>
        <v>0</v>
      </c>
      <c r="G184" s="1852">
        <f>SUM(G171:G183)</f>
        <v>183</v>
      </c>
    </row>
  </sheetData>
  <mergeCells count="6">
    <mergeCell ref="A1:Z1"/>
    <mergeCell ref="A2:Z2"/>
    <mergeCell ref="B4:N4"/>
    <mergeCell ref="B11:N11"/>
    <mergeCell ref="B75:N75"/>
    <mergeCell ref="B76:N76"/>
  </mergeCells>
  <conditionalFormatting sqref="B14:E71">
    <cfRule type="expression" dxfId="11" priority="1">
      <formula>MOD(ROW(),2)=0</formula>
    </cfRule>
  </conditionalFormatting>
  <conditionalFormatting sqref="B79:E83">
    <cfRule type="expression" dxfId="10" priority="2">
      <formula>MOD(ROW(),2)=0</formula>
    </cfRule>
  </conditionalFormatting>
  <conditionalFormatting sqref="B168:F168">
    <cfRule type="expression" dxfId="9" priority="3">
      <formula>MOD(ROW(),2)=0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BD6C-D53E-41C8-B4B5-91D02FAE9382}">
  <sheetPr codeName="Planilha7"/>
  <dimension ref="A1:J1919"/>
  <sheetViews>
    <sheetView topLeftCell="A601" zoomScaleNormal="100" workbookViewId="0">
      <selection activeCell="H58" sqref="H58"/>
    </sheetView>
  </sheetViews>
  <sheetFormatPr defaultRowHeight="14.5" x14ac:dyDescent="0.35"/>
  <cols>
    <col min="1" max="1" width="9.1796875" style="8" bestFit="1" customWidth="1"/>
    <col min="2" max="2" width="42" bestFit="1" customWidth="1"/>
    <col min="3" max="3" width="30.453125" customWidth="1"/>
    <col min="4" max="4" width="10.1796875" bestFit="1" customWidth="1"/>
    <col min="5" max="5" width="11.26953125" style="9" customWidth="1"/>
    <col min="6" max="6" width="14.54296875" style="9" bestFit="1" customWidth="1"/>
    <col min="7" max="7" width="5.7265625" bestFit="1" customWidth="1"/>
    <col min="8" max="8" width="50.453125" bestFit="1" customWidth="1"/>
    <col min="9" max="9" width="22.81640625" style="1833" customWidth="1"/>
    <col min="10" max="10" width="23.453125" style="1833" customWidth="1"/>
  </cols>
  <sheetData>
    <row r="1" spans="1:10" x14ac:dyDescent="0.35">
      <c r="A1" s="1834" t="s">
        <v>483</v>
      </c>
      <c r="B1" s="1835" t="s">
        <v>484</v>
      </c>
      <c r="C1" s="1835" t="s">
        <v>485</v>
      </c>
      <c r="D1" s="1835" t="s">
        <v>486</v>
      </c>
      <c r="E1" s="1836" t="s">
        <v>487</v>
      </c>
      <c r="F1" s="1836" t="s">
        <v>488</v>
      </c>
      <c r="G1" s="1835" t="s">
        <v>489</v>
      </c>
      <c r="H1" s="1835" t="s">
        <v>490</v>
      </c>
      <c r="I1" s="1830" t="s">
        <v>491</v>
      </c>
      <c r="J1" s="1830" t="s">
        <v>492</v>
      </c>
    </row>
    <row r="2" spans="1:10" ht="15" hidden="1" x14ac:dyDescent="0.35">
      <c r="A2" s="139">
        <v>21283</v>
      </c>
      <c r="B2" s="138" t="s">
        <v>493</v>
      </c>
      <c r="C2" s="138" t="s">
        <v>445</v>
      </c>
      <c r="D2" s="138">
        <v>14778656750</v>
      </c>
      <c r="E2" s="140">
        <v>45779</v>
      </c>
      <c r="F2" s="140">
        <v>45819</v>
      </c>
      <c r="G2" s="138" t="s">
        <v>494</v>
      </c>
      <c r="H2" s="138" t="s">
        <v>495</v>
      </c>
      <c r="I2" t="s">
        <v>496</v>
      </c>
      <c r="J2"/>
    </row>
    <row r="3" spans="1:10" ht="15" hidden="1" x14ac:dyDescent="0.35">
      <c r="A3" s="139">
        <v>22022</v>
      </c>
      <c r="B3" s="138" t="s">
        <v>497</v>
      </c>
      <c r="C3" s="138" t="s">
        <v>445</v>
      </c>
      <c r="D3" s="138">
        <v>16262817778</v>
      </c>
      <c r="E3" s="140">
        <v>45826</v>
      </c>
      <c r="F3" s="140">
        <v>45964</v>
      </c>
      <c r="G3" s="138" t="s">
        <v>494</v>
      </c>
      <c r="H3" s="138" t="s">
        <v>495</v>
      </c>
      <c r="I3" t="s">
        <v>496</v>
      </c>
      <c r="J3"/>
    </row>
    <row r="4" spans="1:10" ht="15" hidden="1" x14ac:dyDescent="0.35">
      <c r="A4" s="1832">
        <v>22357</v>
      </c>
      <c r="B4" s="1837" t="s">
        <v>504</v>
      </c>
      <c r="C4" s="1837" t="s">
        <v>505</v>
      </c>
      <c r="D4" s="1837">
        <v>90158920759</v>
      </c>
      <c r="E4" s="1838">
        <v>45840</v>
      </c>
      <c r="F4" s="1838" t="s">
        <v>499</v>
      </c>
      <c r="G4" s="1837" t="s">
        <v>500</v>
      </c>
      <c r="H4" s="1837" t="s">
        <v>495</v>
      </c>
      <c r="I4" s="1831" t="s">
        <v>4776</v>
      </c>
      <c r="J4" s="1831" t="s">
        <v>382</v>
      </c>
    </row>
    <row r="5" spans="1:10" s="1829" customFormat="1" ht="15" hidden="1" x14ac:dyDescent="0.35">
      <c r="A5" s="1832">
        <v>20764</v>
      </c>
      <c r="B5" s="1837" t="s">
        <v>197</v>
      </c>
      <c r="C5" s="1837" t="s">
        <v>402</v>
      </c>
      <c r="D5" s="1837">
        <v>14215895758</v>
      </c>
      <c r="E5" s="1838">
        <v>45756</v>
      </c>
      <c r="F5" s="1838" t="s">
        <v>499</v>
      </c>
      <c r="G5" s="1837" t="s">
        <v>500</v>
      </c>
      <c r="H5" s="1837" t="s">
        <v>502</v>
      </c>
      <c r="I5" s="1831" t="s">
        <v>468</v>
      </c>
      <c r="J5" s="1831" t="s">
        <v>156</v>
      </c>
    </row>
    <row r="6" spans="1:10" ht="15" hidden="1" x14ac:dyDescent="0.35">
      <c r="A6" s="139">
        <v>20769</v>
      </c>
      <c r="B6" s="138" t="s">
        <v>503</v>
      </c>
      <c r="C6" s="138" t="s">
        <v>457</v>
      </c>
      <c r="D6" s="138">
        <v>9922726700</v>
      </c>
      <c r="E6" s="140">
        <v>45756</v>
      </c>
      <c r="F6" s="140">
        <v>45764</v>
      </c>
      <c r="G6" s="138" t="s">
        <v>494</v>
      </c>
      <c r="H6" s="138" t="s">
        <v>502</v>
      </c>
      <c r="I6" t="s">
        <v>469</v>
      </c>
      <c r="J6"/>
    </row>
    <row r="7" spans="1:10" ht="15" hidden="1" x14ac:dyDescent="0.35">
      <c r="A7" s="1832">
        <v>22919</v>
      </c>
      <c r="B7" s="1837" t="s">
        <v>531</v>
      </c>
      <c r="C7" s="1837" t="s">
        <v>505</v>
      </c>
      <c r="D7" s="1837">
        <v>18040867703</v>
      </c>
      <c r="E7" s="1838">
        <v>45890</v>
      </c>
      <c r="F7" s="1838" t="s">
        <v>499</v>
      </c>
      <c r="G7" s="1837" t="s">
        <v>500</v>
      </c>
      <c r="H7" s="1837" t="s">
        <v>495</v>
      </c>
      <c r="I7" s="1831" t="s">
        <v>496</v>
      </c>
      <c r="J7" s="1831" t="s">
        <v>382</v>
      </c>
    </row>
    <row r="8" spans="1:10" ht="15" hidden="1" x14ac:dyDescent="0.35">
      <c r="A8" s="139">
        <v>21808</v>
      </c>
      <c r="B8" s="138" t="s">
        <v>506</v>
      </c>
      <c r="C8" s="138" t="s">
        <v>416</v>
      </c>
      <c r="D8" s="138">
        <v>16821398755</v>
      </c>
      <c r="E8" s="140">
        <v>45810</v>
      </c>
      <c r="F8" s="140">
        <v>45904</v>
      </c>
      <c r="G8" s="138" t="s">
        <v>494</v>
      </c>
      <c r="H8" s="138" t="s">
        <v>501</v>
      </c>
      <c r="I8" t="s">
        <v>496</v>
      </c>
      <c r="J8"/>
    </row>
    <row r="9" spans="1:10" ht="15" hidden="1" x14ac:dyDescent="0.35">
      <c r="A9" s="1832">
        <v>21908</v>
      </c>
      <c r="B9" s="1837" t="s">
        <v>538</v>
      </c>
      <c r="C9" s="1837" t="s">
        <v>505</v>
      </c>
      <c r="D9" s="1837">
        <v>12898637769</v>
      </c>
      <c r="E9" s="1838">
        <v>45820</v>
      </c>
      <c r="F9" s="1838" t="s">
        <v>499</v>
      </c>
      <c r="G9" s="1837" t="s">
        <v>500</v>
      </c>
      <c r="H9" s="1837" t="s">
        <v>495</v>
      </c>
      <c r="I9" s="1831" t="s">
        <v>496</v>
      </c>
      <c r="J9" s="1831" t="s">
        <v>382</v>
      </c>
    </row>
    <row r="10" spans="1:10" s="1829" customFormat="1" ht="15" hidden="1" x14ac:dyDescent="0.35">
      <c r="A10" s="1832">
        <v>20454</v>
      </c>
      <c r="B10" s="1837" t="s">
        <v>202</v>
      </c>
      <c r="C10" s="1837" t="s">
        <v>402</v>
      </c>
      <c r="D10" s="1837">
        <v>18886236751</v>
      </c>
      <c r="E10" s="1838">
        <v>45729</v>
      </c>
      <c r="F10" s="1838" t="s">
        <v>499</v>
      </c>
      <c r="G10" s="1837" t="s">
        <v>500</v>
      </c>
      <c r="H10" s="1837" t="s">
        <v>502</v>
      </c>
      <c r="I10" s="1831" t="s">
        <v>468</v>
      </c>
      <c r="J10" s="1831" t="s">
        <v>156</v>
      </c>
    </row>
    <row r="11" spans="1:10" s="1829" customFormat="1" ht="15" hidden="1" x14ac:dyDescent="0.35">
      <c r="A11" s="1832">
        <v>21753</v>
      </c>
      <c r="B11" s="1837" t="s">
        <v>303</v>
      </c>
      <c r="C11" s="1837" t="s">
        <v>402</v>
      </c>
      <c r="D11" s="1837">
        <v>12101146746</v>
      </c>
      <c r="E11" s="1838">
        <v>45810</v>
      </c>
      <c r="F11" s="1838" t="s">
        <v>499</v>
      </c>
      <c r="G11" s="1837" t="s">
        <v>500</v>
      </c>
      <c r="H11" s="1837" t="s">
        <v>502</v>
      </c>
      <c r="I11" s="1831" t="s">
        <v>469</v>
      </c>
      <c r="J11" s="1831" t="s">
        <v>156</v>
      </c>
    </row>
    <row r="12" spans="1:10" s="1829" customFormat="1" ht="15" hidden="1" x14ac:dyDescent="0.35">
      <c r="A12" s="1832">
        <v>21001</v>
      </c>
      <c r="B12" s="1837" t="s">
        <v>210</v>
      </c>
      <c r="C12" s="1837" t="s">
        <v>402</v>
      </c>
      <c r="D12" s="1837">
        <v>16187094700</v>
      </c>
      <c r="E12" s="1838">
        <v>45761</v>
      </c>
      <c r="F12" s="1838" t="s">
        <v>499</v>
      </c>
      <c r="G12" s="1837" t="s">
        <v>500</v>
      </c>
      <c r="H12" s="1837" t="s">
        <v>502</v>
      </c>
      <c r="I12" s="1831" t="s">
        <v>468</v>
      </c>
      <c r="J12" s="1831" t="s">
        <v>156</v>
      </c>
    </row>
    <row r="13" spans="1:10" ht="15" hidden="1" x14ac:dyDescent="0.35">
      <c r="A13" s="1832">
        <v>21272</v>
      </c>
      <c r="B13" s="1837" t="s">
        <v>548</v>
      </c>
      <c r="C13" s="1837" t="s">
        <v>549</v>
      </c>
      <c r="D13" s="1837">
        <v>15467886703</v>
      </c>
      <c r="E13" s="1838">
        <v>45779</v>
      </c>
      <c r="F13" s="1838" t="s">
        <v>499</v>
      </c>
      <c r="G13" s="1837" t="s">
        <v>500</v>
      </c>
      <c r="H13" s="1837" t="s">
        <v>495</v>
      </c>
      <c r="I13" s="1831" t="s">
        <v>496</v>
      </c>
      <c r="J13" s="1831" t="s">
        <v>382</v>
      </c>
    </row>
    <row r="14" spans="1:10" ht="15" hidden="1" x14ac:dyDescent="0.35">
      <c r="A14" s="139">
        <v>23249</v>
      </c>
      <c r="B14" s="138" t="s">
        <v>510</v>
      </c>
      <c r="C14" s="138" t="s">
        <v>436</v>
      </c>
      <c r="D14" s="138">
        <v>13262226785</v>
      </c>
      <c r="E14" s="140">
        <v>45912</v>
      </c>
      <c r="F14" s="140">
        <v>46090</v>
      </c>
      <c r="G14" s="138" t="s">
        <v>494</v>
      </c>
      <c r="H14" s="138" t="s">
        <v>501</v>
      </c>
      <c r="I14" t="s">
        <v>496</v>
      </c>
      <c r="J14"/>
    </row>
    <row r="15" spans="1:10" s="1829" customFormat="1" ht="15" hidden="1" x14ac:dyDescent="0.35">
      <c r="A15" s="1832">
        <v>20766</v>
      </c>
      <c r="B15" s="1837" t="s">
        <v>196</v>
      </c>
      <c r="C15" s="1837" t="s">
        <v>403</v>
      </c>
      <c r="D15" s="1837">
        <v>19878182703</v>
      </c>
      <c r="E15" s="1838">
        <v>45756</v>
      </c>
      <c r="F15" s="1838" t="s">
        <v>499</v>
      </c>
      <c r="G15" s="1837" t="s">
        <v>500</v>
      </c>
      <c r="H15" s="1837" t="s">
        <v>502</v>
      </c>
      <c r="I15" s="1831" t="s">
        <v>468</v>
      </c>
      <c r="J15" s="1831" t="s">
        <v>155</v>
      </c>
    </row>
    <row r="16" spans="1:10" ht="15" hidden="1" x14ac:dyDescent="0.35">
      <c r="A16" s="1832">
        <v>22887</v>
      </c>
      <c r="B16" s="1837" t="s">
        <v>554</v>
      </c>
      <c r="C16" s="1837" t="s">
        <v>555</v>
      </c>
      <c r="D16" s="1837">
        <v>14081348707</v>
      </c>
      <c r="E16" s="1838">
        <v>45889</v>
      </c>
      <c r="F16" s="1838" t="s">
        <v>499</v>
      </c>
      <c r="G16" s="1837" t="s">
        <v>500</v>
      </c>
      <c r="H16" s="1837" t="s">
        <v>495</v>
      </c>
      <c r="I16" s="1831" t="s">
        <v>496</v>
      </c>
      <c r="J16" s="1831" t="s">
        <v>382</v>
      </c>
    </row>
    <row r="17" spans="1:10" ht="15" hidden="1" x14ac:dyDescent="0.35">
      <c r="A17" s="139">
        <v>23762</v>
      </c>
      <c r="B17" s="138" t="s">
        <v>512</v>
      </c>
      <c r="C17" s="138" t="s">
        <v>420</v>
      </c>
      <c r="D17" s="138">
        <v>16375884705</v>
      </c>
      <c r="E17" s="140">
        <v>45964</v>
      </c>
      <c r="F17" s="140">
        <v>46059</v>
      </c>
      <c r="G17" s="138" t="s">
        <v>494</v>
      </c>
      <c r="H17" s="138" t="s">
        <v>508</v>
      </c>
      <c r="I17"/>
      <c r="J17"/>
    </row>
    <row r="18" spans="1:10" ht="15" hidden="1" x14ac:dyDescent="0.35">
      <c r="A18" s="1832">
        <v>22918</v>
      </c>
      <c r="B18" s="1837" t="s">
        <v>560</v>
      </c>
      <c r="C18" s="1837" t="s">
        <v>555</v>
      </c>
      <c r="D18" s="1837">
        <v>13096838755</v>
      </c>
      <c r="E18" s="1838">
        <v>45890</v>
      </c>
      <c r="F18" s="1838" t="s">
        <v>499</v>
      </c>
      <c r="G18" s="1837" t="s">
        <v>500</v>
      </c>
      <c r="H18" s="1837" t="s">
        <v>495</v>
      </c>
      <c r="I18" s="1831" t="s">
        <v>496</v>
      </c>
      <c r="J18" s="1831" t="s">
        <v>382</v>
      </c>
    </row>
    <row r="19" spans="1:10" ht="15" hidden="1" x14ac:dyDescent="0.35">
      <c r="A19" s="139">
        <v>21777</v>
      </c>
      <c r="B19" s="138" t="s">
        <v>514</v>
      </c>
      <c r="C19" s="138" t="s">
        <v>433</v>
      </c>
      <c r="D19" s="138">
        <v>10112667414</v>
      </c>
      <c r="E19" s="140">
        <v>45810</v>
      </c>
      <c r="F19" s="140">
        <v>45842</v>
      </c>
      <c r="G19" s="138" t="s">
        <v>494</v>
      </c>
      <c r="H19" s="138" t="s">
        <v>495</v>
      </c>
      <c r="I19" t="s">
        <v>496</v>
      </c>
      <c r="J19"/>
    </row>
    <row r="20" spans="1:10" ht="15" hidden="1" x14ac:dyDescent="0.35">
      <c r="A20" s="1832">
        <v>21140</v>
      </c>
      <c r="B20" s="1837" t="s">
        <v>513</v>
      </c>
      <c r="C20" s="1837" t="s">
        <v>402</v>
      </c>
      <c r="D20" s="1837">
        <v>2782522574</v>
      </c>
      <c r="E20" s="1838">
        <v>45772</v>
      </c>
      <c r="F20" s="1838" t="s">
        <v>499</v>
      </c>
      <c r="G20" s="1837" t="s">
        <v>500</v>
      </c>
      <c r="H20" s="1837" t="s">
        <v>495</v>
      </c>
      <c r="I20" s="1831" t="s">
        <v>496</v>
      </c>
      <c r="J20" s="1831" t="s">
        <v>5448</v>
      </c>
    </row>
    <row r="21" spans="1:10" ht="15" hidden="1" x14ac:dyDescent="0.35">
      <c r="A21" s="139">
        <v>22517</v>
      </c>
      <c r="B21" s="138" t="s">
        <v>517</v>
      </c>
      <c r="C21" s="138" t="s">
        <v>428</v>
      </c>
      <c r="D21" s="138">
        <v>12216776750</v>
      </c>
      <c r="E21" s="140">
        <v>45852</v>
      </c>
      <c r="F21" s="140">
        <v>45975</v>
      </c>
      <c r="G21" s="138" t="s">
        <v>494</v>
      </c>
      <c r="H21" s="138" t="s">
        <v>502</v>
      </c>
      <c r="I21"/>
      <c r="J21"/>
    </row>
    <row r="22" spans="1:10" ht="15" hidden="1" x14ac:dyDescent="0.35">
      <c r="A22" s="139">
        <v>21069</v>
      </c>
      <c r="B22" s="138" t="s">
        <v>518</v>
      </c>
      <c r="C22" s="138" t="s">
        <v>427</v>
      </c>
      <c r="D22" s="138">
        <v>3049054700</v>
      </c>
      <c r="E22" s="140">
        <v>45763</v>
      </c>
      <c r="F22" s="140">
        <v>45847</v>
      </c>
      <c r="G22" s="138" t="s">
        <v>494</v>
      </c>
      <c r="H22" s="138" t="s">
        <v>495</v>
      </c>
      <c r="I22" t="s">
        <v>496</v>
      </c>
      <c r="J22"/>
    </row>
    <row r="23" spans="1:10" ht="15" hidden="1" x14ac:dyDescent="0.35">
      <c r="A23" s="1832">
        <v>23136</v>
      </c>
      <c r="B23" s="1837" t="s">
        <v>714</v>
      </c>
      <c r="C23" s="1837" t="s">
        <v>402</v>
      </c>
      <c r="D23" s="1837">
        <v>17651694708</v>
      </c>
      <c r="E23" s="1838">
        <v>45903</v>
      </c>
      <c r="F23" s="1838" t="s">
        <v>499</v>
      </c>
      <c r="G23" s="1837" t="s">
        <v>500</v>
      </c>
      <c r="H23" s="1837" t="s">
        <v>495</v>
      </c>
      <c r="I23" s="1831" t="s">
        <v>496</v>
      </c>
      <c r="J23" s="1831" t="s">
        <v>156</v>
      </c>
    </row>
    <row r="24" spans="1:10" ht="15" hidden="1" x14ac:dyDescent="0.35">
      <c r="A24" s="1832">
        <v>22505</v>
      </c>
      <c r="B24" s="1837" t="s">
        <v>785</v>
      </c>
      <c r="C24" s="1837" t="s">
        <v>402</v>
      </c>
      <c r="D24" s="1837">
        <v>15467827707</v>
      </c>
      <c r="E24" s="1838">
        <v>45849</v>
      </c>
      <c r="F24" s="1838" t="s">
        <v>499</v>
      </c>
      <c r="G24" s="1837" t="s">
        <v>500</v>
      </c>
      <c r="H24" s="1837" t="s">
        <v>495</v>
      </c>
      <c r="I24" s="1831" t="s">
        <v>496</v>
      </c>
      <c r="J24" s="1831" t="s">
        <v>156</v>
      </c>
    </row>
    <row r="25" spans="1:10" ht="15" hidden="1" x14ac:dyDescent="0.35">
      <c r="A25" s="1832">
        <v>21833</v>
      </c>
      <c r="B25" s="1837" t="s">
        <v>791</v>
      </c>
      <c r="C25" s="1837" t="s">
        <v>402</v>
      </c>
      <c r="D25" s="1837">
        <v>13169925784</v>
      </c>
      <c r="E25" s="1838">
        <v>45810</v>
      </c>
      <c r="F25" s="1838" t="s">
        <v>499</v>
      </c>
      <c r="G25" s="1837" t="s">
        <v>500</v>
      </c>
      <c r="H25" s="1837" t="s">
        <v>495</v>
      </c>
      <c r="I25" s="1831" t="s">
        <v>496</v>
      </c>
      <c r="J25" s="1831" t="s">
        <v>5448</v>
      </c>
    </row>
    <row r="26" spans="1:10" ht="15" hidden="1" x14ac:dyDescent="0.35">
      <c r="A26" s="139">
        <v>22275</v>
      </c>
      <c r="B26" s="138" t="s">
        <v>522</v>
      </c>
      <c r="C26" s="138" t="s">
        <v>402</v>
      </c>
      <c r="D26" s="138">
        <v>3268742750</v>
      </c>
      <c r="E26" s="140">
        <v>45839</v>
      </c>
      <c r="F26" s="140">
        <v>46120</v>
      </c>
      <c r="G26" s="138" t="s">
        <v>494</v>
      </c>
      <c r="H26" s="138" t="s">
        <v>495</v>
      </c>
      <c r="I26" t="s">
        <v>496</v>
      </c>
      <c r="J26"/>
    </row>
    <row r="27" spans="1:10" ht="15" hidden="1" x14ac:dyDescent="0.35">
      <c r="A27" s="139">
        <v>21733</v>
      </c>
      <c r="B27" s="138" t="s">
        <v>523</v>
      </c>
      <c r="C27" s="138" t="s">
        <v>416</v>
      </c>
      <c r="D27" s="138">
        <v>17214072785</v>
      </c>
      <c r="E27" s="140">
        <v>45810</v>
      </c>
      <c r="F27" s="140">
        <v>45819</v>
      </c>
      <c r="G27" s="138" t="s">
        <v>494</v>
      </c>
      <c r="H27" s="138" t="s">
        <v>508</v>
      </c>
      <c r="I27"/>
      <c r="J27"/>
    </row>
    <row r="28" spans="1:10" s="1829" customFormat="1" ht="15" hidden="1" x14ac:dyDescent="0.35">
      <c r="A28" s="1832">
        <v>21262</v>
      </c>
      <c r="B28" s="1837" t="s">
        <v>299</v>
      </c>
      <c r="C28" s="1837" t="s">
        <v>403</v>
      </c>
      <c r="D28" s="1837">
        <v>15437298781</v>
      </c>
      <c r="E28" s="1838">
        <v>45779</v>
      </c>
      <c r="F28" s="1838" t="s">
        <v>499</v>
      </c>
      <c r="G28" s="1837" t="s">
        <v>500</v>
      </c>
      <c r="H28" s="1837" t="s">
        <v>502</v>
      </c>
      <c r="I28" s="1831" t="s">
        <v>469</v>
      </c>
      <c r="J28" s="1831" t="s">
        <v>156</v>
      </c>
    </row>
    <row r="29" spans="1:10" s="1829" customFormat="1" ht="15" hidden="1" x14ac:dyDescent="0.35">
      <c r="A29" s="1832">
        <v>21316</v>
      </c>
      <c r="B29" s="1837" t="s">
        <v>294</v>
      </c>
      <c r="C29" s="1837" t="s">
        <v>403</v>
      </c>
      <c r="D29" s="1837">
        <v>12694893724</v>
      </c>
      <c r="E29" s="1838">
        <v>45779</v>
      </c>
      <c r="F29" s="1838" t="s">
        <v>499</v>
      </c>
      <c r="G29" s="1837" t="s">
        <v>500</v>
      </c>
      <c r="H29" s="1837" t="s">
        <v>502</v>
      </c>
      <c r="I29" s="1831" t="s">
        <v>469</v>
      </c>
      <c r="J29" s="1831" t="s">
        <v>156</v>
      </c>
    </row>
    <row r="30" spans="1:10" ht="15" hidden="1" x14ac:dyDescent="0.35">
      <c r="A30" s="1832">
        <v>21166</v>
      </c>
      <c r="B30" s="1837" t="s">
        <v>857</v>
      </c>
      <c r="C30" s="1837" t="s">
        <v>402</v>
      </c>
      <c r="D30" s="1837">
        <v>19156831730</v>
      </c>
      <c r="E30" s="1838">
        <v>45772</v>
      </c>
      <c r="F30" s="1838" t="s">
        <v>499</v>
      </c>
      <c r="G30" s="1837" t="s">
        <v>500</v>
      </c>
      <c r="H30" s="1837" t="s">
        <v>495</v>
      </c>
      <c r="I30" s="1831" t="s">
        <v>496</v>
      </c>
      <c r="J30" s="1831" t="s">
        <v>156</v>
      </c>
    </row>
    <row r="31" spans="1:10" s="1829" customFormat="1" ht="15" hidden="1" x14ac:dyDescent="0.35">
      <c r="A31" s="1832">
        <v>20942</v>
      </c>
      <c r="B31" s="1837" t="s">
        <v>186</v>
      </c>
      <c r="C31" s="1837" t="s">
        <v>404</v>
      </c>
      <c r="D31" s="1837">
        <v>17769571723</v>
      </c>
      <c r="E31" s="1838">
        <v>45761</v>
      </c>
      <c r="F31" s="1838" t="s">
        <v>499</v>
      </c>
      <c r="G31" s="1837" t="s">
        <v>500</v>
      </c>
      <c r="H31" s="1837" t="s">
        <v>502</v>
      </c>
      <c r="I31" s="1831" t="s">
        <v>468</v>
      </c>
      <c r="J31" s="1831" t="s">
        <v>155</v>
      </c>
    </row>
    <row r="32" spans="1:10" ht="15" hidden="1" x14ac:dyDescent="0.35">
      <c r="A32" s="1832">
        <v>22892</v>
      </c>
      <c r="B32" s="1837" t="s">
        <v>972</v>
      </c>
      <c r="C32" s="1837" t="s">
        <v>402</v>
      </c>
      <c r="D32" s="1837">
        <v>6019189759</v>
      </c>
      <c r="E32" s="1838">
        <v>45889</v>
      </c>
      <c r="F32" s="1838" t="s">
        <v>499</v>
      </c>
      <c r="G32" s="1837" t="s">
        <v>500</v>
      </c>
      <c r="H32" s="1837" t="s">
        <v>495</v>
      </c>
      <c r="I32" s="1831" t="s">
        <v>496</v>
      </c>
      <c r="J32" s="1831" t="s">
        <v>156</v>
      </c>
    </row>
    <row r="33" spans="1:10" ht="15" hidden="1" x14ac:dyDescent="0.35">
      <c r="A33" s="139">
        <v>22831</v>
      </c>
      <c r="B33" s="138" t="s">
        <v>528</v>
      </c>
      <c r="C33" s="138" t="s">
        <v>427</v>
      </c>
      <c r="D33" s="138">
        <v>18498193788</v>
      </c>
      <c r="E33" s="140">
        <v>45887</v>
      </c>
      <c r="F33" s="140">
        <v>46083</v>
      </c>
      <c r="G33" s="138" t="s">
        <v>494</v>
      </c>
      <c r="H33" s="138" t="s">
        <v>495</v>
      </c>
      <c r="I33" t="s">
        <v>496</v>
      </c>
      <c r="J33"/>
    </row>
    <row r="34" spans="1:10" ht="15" hidden="1" x14ac:dyDescent="0.35">
      <c r="A34" s="139">
        <v>21160</v>
      </c>
      <c r="B34" s="138" t="s">
        <v>529</v>
      </c>
      <c r="C34" s="138" t="s">
        <v>420</v>
      </c>
      <c r="D34" s="138">
        <v>16083637759</v>
      </c>
      <c r="E34" s="140">
        <v>45772</v>
      </c>
      <c r="F34" s="140">
        <v>45881</v>
      </c>
      <c r="G34" s="138" t="s">
        <v>494</v>
      </c>
      <c r="H34" s="138" t="s">
        <v>501</v>
      </c>
      <c r="I34" t="s">
        <v>496</v>
      </c>
      <c r="J34"/>
    </row>
    <row r="35" spans="1:10" ht="15" hidden="1" x14ac:dyDescent="0.35">
      <c r="A35" s="139">
        <v>20501</v>
      </c>
      <c r="B35" s="138" t="s">
        <v>530</v>
      </c>
      <c r="C35" s="138" t="s">
        <v>445</v>
      </c>
      <c r="D35" s="138">
        <v>15454281743</v>
      </c>
      <c r="E35" s="140">
        <v>45737</v>
      </c>
      <c r="F35" s="140">
        <v>45924</v>
      </c>
      <c r="G35" s="138" t="s">
        <v>494</v>
      </c>
      <c r="H35" s="138" t="s">
        <v>502</v>
      </c>
      <c r="I35"/>
      <c r="J35"/>
    </row>
    <row r="36" spans="1:10" ht="15" hidden="1" x14ac:dyDescent="0.35">
      <c r="A36" s="1832">
        <v>21330</v>
      </c>
      <c r="B36" s="1837" t="s">
        <v>985</v>
      </c>
      <c r="C36" s="1837" t="s">
        <v>402</v>
      </c>
      <c r="D36" s="1837">
        <v>19729268703</v>
      </c>
      <c r="E36" s="1838">
        <v>45779</v>
      </c>
      <c r="F36" s="1838" t="s">
        <v>499</v>
      </c>
      <c r="G36" s="1837" t="s">
        <v>500</v>
      </c>
      <c r="H36" s="1837" t="s">
        <v>495</v>
      </c>
      <c r="I36" s="1831" t="s">
        <v>496</v>
      </c>
      <c r="J36" s="1831" t="s">
        <v>5448</v>
      </c>
    </row>
    <row r="37" spans="1:10" s="1829" customFormat="1" ht="15" hidden="1" x14ac:dyDescent="0.35">
      <c r="A37" s="1832">
        <v>21824</v>
      </c>
      <c r="B37" s="1837" t="s">
        <v>298</v>
      </c>
      <c r="C37" s="1837" t="s">
        <v>405</v>
      </c>
      <c r="D37" s="1837">
        <v>9304164737</v>
      </c>
      <c r="E37" s="1838">
        <v>45810</v>
      </c>
      <c r="F37" s="1838" t="s">
        <v>499</v>
      </c>
      <c r="G37" s="1837" t="s">
        <v>500</v>
      </c>
      <c r="H37" s="1837" t="s">
        <v>502</v>
      </c>
      <c r="I37" s="1831" t="s">
        <v>469</v>
      </c>
      <c r="J37" s="1831" t="s">
        <v>155</v>
      </c>
    </row>
    <row r="38" spans="1:10" s="1829" customFormat="1" ht="15" hidden="1" x14ac:dyDescent="0.35">
      <c r="A38" s="1832">
        <v>21371</v>
      </c>
      <c r="B38" s="1837" t="s">
        <v>302</v>
      </c>
      <c r="C38" s="1837" t="s">
        <v>405</v>
      </c>
      <c r="D38" s="1837">
        <v>15443282735</v>
      </c>
      <c r="E38" s="1838">
        <v>45782</v>
      </c>
      <c r="F38" s="1838" t="s">
        <v>499</v>
      </c>
      <c r="G38" s="1837" t="s">
        <v>500</v>
      </c>
      <c r="H38" s="1837" t="s">
        <v>502</v>
      </c>
      <c r="I38" s="1831" t="s">
        <v>469</v>
      </c>
      <c r="J38" s="1831" t="s">
        <v>155</v>
      </c>
    </row>
    <row r="39" spans="1:10" ht="15" hidden="1" x14ac:dyDescent="0.35">
      <c r="A39" s="1832">
        <v>21780</v>
      </c>
      <c r="B39" s="1837" t="s">
        <v>1032</v>
      </c>
      <c r="C39" s="1837" t="s">
        <v>402</v>
      </c>
      <c r="D39" s="1837">
        <v>19569910771</v>
      </c>
      <c r="E39" s="1838">
        <v>45810</v>
      </c>
      <c r="F39" s="1838" t="s">
        <v>499</v>
      </c>
      <c r="G39" s="1837" t="s">
        <v>500</v>
      </c>
      <c r="H39" s="1837" t="s">
        <v>495</v>
      </c>
      <c r="I39" s="1831" t="s">
        <v>496</v>
      </c>
      <c r="J39" s="1831" t="s">
        <v>5448</v>
      </c>
    </row>
    <row r="40" spans="1:10" ht="15" hidden="1" x14ac:dyDescent="0.35">
      <c r="A40" s="1832">
        <v>23944</v>
      </c>
      <c r="B40" s="1837" t="s">
        <v>786</v>
      </c>
      <c r="C40" s="1837" t="s">
        <v>404</v>
      </c>
      <c r="D40" s="1837">
        <v>18389906740</v>
      </c>
      <c r="E40" s="1838">
        <v>46008</v>
      </c>
      <c r="F40" s="1838" t="s">
        <v>499</v>
      </c>
      <c r="G40" s="1837" t="s">
        <v>500</v>
      </c>
      <c r="H40" s="1837" t="s">
        <v>495</v>
      </c>
      <c r="I40" s="1831" t="s">
        <v>496</v>
      </c>
      <c r="J40" s="1831" t="s">
        <v>156</v>
      </c>
    </row>
    <row r="41" spans="1:10" ht="15" hidden="1" x14ac:dyDescent="0.35">
      <c r="A41" s="1832">
        <v>24786</v>
      </c>
      <c r="B41" s="1837" t="s">
        <v>862</v>
      </c>
      <c r="C41" s="1837" t="s">
        <v>404</v>
      </c>
      <c r="D41" s="1837">
        <v>18083991708</v>
      </c>
      <c r="E41" s="1838">
        <v>46128</v>
      </c>
      <c r="F41" s="1838" t="s">
        <v>499</v>
      </c>
      <c r="G41" s="1837" t="s">
        <v>500</v>
      </c>
      <c r="H41" s="1837" t="s">
        <v>495</v>
      </c>
      <c r="I41" s="1831" t="s">
        <v>4776</v>
      </c>
      <c r="J41" s="1831" t="s">
        <v>156</v>
      </c>
    </row>
    <row r="42" spans="1:10" ht="15" hidden="1" x14ac:dyDescent="0.35">
      <c r="A42" s="1832">
        <v>23949</v>
      </c>
      <c r="B42" s="1837" t="s">
        <v>924</v>
      </c>
      <c r="C42" s="1837" t="s">
        <v>404</v>
      </c>
      <c r="D42" s="1837">
        <v>6220364759</v>
      </c>
      <c r="E42" s="1838">
        <v>46008</v>
      </c>
      <c r="F42" s="1838" t="s">
        <v>499</v>
      </c>
      <c r="G42" s="1837" t="s">
        <v>500</v>
      </c>
      <c r="H42" s="1837" t="s">
        <v>495</v>
      </c>
      <c r="I42" s="1831" t="s">
        <v>496</v>
      </c>
      <c r="J42" s="1831" t="s">
        <v>156</v>
      </c>
    </row>
    <row r="43" spans="1:10" s="1829" customFormat="1" ht="15" hidden="1" x14ac:dyDescent="0.35">
      <c r="A43" s="1832">
        <v>23753</v>
      </c>
      <c r="B43" s="1837" t="s">
        <v>239</v>
      </c>
      <c r="C43" s="1837" t="s">
        <v>407</v>
      </c>
      <c r="D43" s="1837">
        <v>13744630781</v>
      </c>
      <c r="E43" s="1838">
        <v>45964</v>
      </c>
      <c r="F43" s="1838" t="s">
        <v>499</v>
      </c>
      <c r="G43" s="1837" t="s">
        <v>500</v>
      </c>
      <c r="H43" s="1837" t="s">
        <v>502</v>
      </c>
      <c r="I43" s="1831" t="s">
        <v>468</v>
      </c>
      <c r="J43" s="1831" t="s">
        <v>382</v>
      </c>
    </row>
    <row r="44" spans="1:10" ht="15" hidden="1" x14ac:dyDescent="0.35">
      <c r="A44" s="139">
        <v>21260</v>
      </c>
      <c r="B44" s="138" t="s">
        <v>537</v>
      </c>
      <c r="C44" s="138" t="s">
        <v>443</v>
      </c>
      <c r="D44" s="138">
        <v>13732914780</v>
      </c>
      <c r="E44" s="140">
        <v>45772</v>
      </c>
      <c r="F44" s="140">
        <v>45876</v>
      </c>
      <c r="G44" s="138" t="s">
        <v>494</v>
      </c>
      <c r="H44" s="138" t="s">
        <v>502</v>
      </c>
      <c r="I44"/>
      <c r="J44"/>
    </row>
    <row r="45" spans="1:10" ht="15" hidden="1" x14ac:dyDescent="0.35">
      <c r="A45" s="1832">
        <v>24759</v>
      </c>
      <c r="B45" s="1837" t="s">
        <v>1041</v>
      </c>
      <c r="C45" s="1837" t="s">
        <v>404</v>
      </c>
      <c r="D45" s="1837">
        <v>16910375750</v>
      </c>
      <c r="E45" s="1838">
        <v>46127</v>
      </c>
      <c r="F45" s="1838" t="s">
        <v>499</v>
      </c>
      <c r="G45" s="1837" t="s">
        <v>500</v>
      </c>
      <c r="H45" s="1837" t="s">
        <v>495</v>
      </c>
      <c r="I45" s="1831" t="s">
        <v>496</v>
      </c>
      <c r="J45" s="1831" t="s">
        <v>156</v>
      </c>
    </row>
    <row r="46" spans="1:10" ht="15" hidden="1" x14ac:dyDescent="0.35">
      <c r="A46" s="139">
        <v>22764</v>
      </c>
      <c r="B46" s="138" t="s">
        <v>539</v>
      </c>
      <c r="C46" s="138" t="s">
        <v>439</v>
      </c>
      <c r="D46" s="138">
        <v>8282944530</v>
      </c>
      <c r="E46" s="140">
        <v>45877</v>
      </c>
      <c r="F46" s="140">
        <v>45902</v>
      </c>
      <c r="G46" s="138" t="s">
        <v>494</v>
      </c>
      <c r="H46" s="138" t="s">
        <v>502</v>
      </c>
      <c r="I46"/>
      <c r="J46"/>
    </row>
    <row r="47" spans="1:10" s="1829" customFormat="1" ht="15" hidden="1" x14ac:dyDescent="0.35">
      <c r="A47" s="1832">
        <v>23754</v>
      </c>
      <c r="B47" s="1837" t="s">
        <v>235</v>
      </c>
      <c r="C47" s="1837" t="s">
        <v>407</v>
      </c>
      <c r="D47" s="1837">
        <v>9804875608</v>
      </c>
      <c r="E47" s="1838">
        <v>45964</v>
      </c>
      <c r="F47" s="1838" t="s">
        <v>499</v>
      </c>
      <c r="G47" s="1837" t="s">
        <v>500</v>
      </c>
      <c r="H47" s="1837" t="s">
        <v>502</v>
      </c>
      <c r="I47" s="1831" t="s">
        <v>468</v>
      </c>
      <c r="J47" s="1831" t="s">
        <v>382</v>
      </c>
    </row>
    <row r="48" spans="1:10" ht="15" hidden="1" x14ac:dyDescent="0.35">
      <c r="A48" s="139">
        <v>22381</v>
      </c>
      <c r="B48" s="138" t="s">
        <v>540</v>
      </c>
      <c r="C48" s="138" t="s">
        <v>410</v>
      </c>
      <c r="D48" s="138">
        <v>3096407509</v>
      </c>
      <c r="E48" s="140">
        <v>45845</v>
      </c>
      <c r="F48" s="140">
        <v>45922</v>
      </c>
      <c r="G48" s="138" t="s">
        <v>494</v>
      </c>
      <c r="H48" s="138" t="s">
        <v>495</v>
      </c>
      <c r="I48" t="s">
        <v>496</v>
      </c>
      <c r="J48"/>
    </row>
    <row r="49" spans="1:10" ht="15" hidden="1" x14ac:dyDescent="0.35">
      <c r="A49" s="139">
        <v>21550</v>
      </c>
      <c r="B49" s="138" t="s">
        <v>541</v>
      </c>
      <c r="C49" s="138" t="s">
        <v>441</v>
      </c>
      <c r="D49" s="138">
        <v>12878011708</v>
      </c>
      <c r="E49" s="140">
        <v>45785</v>
      </c>
      <c r="F49" s="140">
        <v>45962</v>
      </c>
      <c r="G49" s="138" t="s">
        <v>494</v>
      </c>
      <c r="H49" s="138" t="s">
        <v>501</v>
      </c>
      <c r="I49" t="s">
        <v>496</v>
      </c>
      <c r="J49"/>
    </row>
    <row r="50" spans="1:10" ht="15" hidden="1" x14ac:dyDescent="0.35">
      <c r="A50" s="139">
        <v>20466</v>
      </c>
      <c r="B50" s="138" t="s">
        <v>542</v>
      </c>
      <c r="C50" s="138" t="s">
        <v>420</v>
      </c>
      <c r="D50" s="138">
        <v>1322069514</v>
      </c>
      <c r="E50" s="140">
        <v>45730</v>
      </c>
      <c r="F50" s="140">
        <v>45873</v>
      </c>
      <c r="G50" s="138" t="s">
        <v>494</v>
      </c>
      <c r="H50" s="138" t="s">
        <v>508</v>
      </c>
      <c r="I50"/>
      <c r="J50"/>
    </row>
    <row r="51" spans="1:10" ht="15" hidden="1" x14ac:dyDescent="0.35">
      <c r="A51" s="1832">
        <v>22917</v>
      </c>
      <c r="B51" s="1837" t="s">
        <v>562</v>
      </c>
      <c r="C51" s="1837" t="s">
        <v>563</v>
      </c>
      <c r="D51" s="1837">
        <v>3042563316</v>
      </c>
      <c r="E51" s="1838">
        <v>45890</v>
      </c>
      <c r="F51" s="1838" t="s">
        <v>499</v>
      </c>
      <c r="G51" s="1837" t="s">
        <v>500</v>
      </c>
      <c r="H51" s="1837" t="s">
        <v>495</v>
      </c>
      <c r="I51" s="1831" t="s">
        <v>496</v>
      </c>
      <c r="J51" s="1831" t="s">
        <v>382</v>
      </c>
    </row>
    <row r="52" spans="1:10" s="1829" customFormat="1" ht="15" hidden="1" x14ac:dyDescent="0.35">
      <c r="A52" s="1832">
        <v>21751</v>
      </c>
      <c r="B52" s="1837" t="s">
        <v>96</v>
      </c>
      <c r="C52" s="1837" t="s">
        <v>409</v>
      </c>
      <c r="D52" s="1837">
        <v>4895295699</v>
      </c>
      <c r="E52" s="1838">
        <v>45810</v>
      </c>
      <c r="F52" s="1838" t="s">
        <v>499</v>
      </c>
      <c r="G52" s="1837" t="s">
        <v>500</v>
      </c>
      <c r="H52" s="1837" t="s">
        <v>502</v>
      </c>
      <c r="I52" s="1831" t="s">
        <v>468</v>
      </c>
      <c r="J52" s="1831" t="s">
        <v>4818</v>
      </c>
    </row>
    <row r="53" spans="1:10" ht="15" hidden="1" x14ac:dyDescent="0.35">
      <c r="A53" s="1832">
        <v>21101</v>
      </c>
      <c r="B53" s="1837" t="s">
        <v>566</v>
      </c>
      <c r="C53" s="1837" t="s">
        <v>563</v>
      </c>
      <c r="D53" s="1837">
        <v>12769806718</v>
      </c>
      <c r="E53" s="1838">
        <v>45764</v>
      </c>
      <c r="F53" s="1838" t="s">
        <v>499</v>
      </c>
      <c r="G53" s="1837" t="s">
        <v>500</v>
      </c>
      <c r="H53" s="1837" t="s">
        <v>495</v>
      </c>
      <c r="I53" s="1831" t="s">
        <v>496</v>
      </c>
      <c r="J53" s="1831" t="s">
        <v>382</v>
      </c>
    </row>
    <row r="54" spans="1:10" ht="15" hidden="1" x14ac:dyDescent="0.35">
      <c r="A54" s="1832">
        <v>22697</v>
      </c>
      <c r="B54" s="1837" t="s">
        <v>621</v>
      </c>
      <c r="C54" s="1837" t="s">
        <v>405</v>
      </c>
      <c r="D54" s="1837">
        <v>9872059780</v>
      </c>
      <c r="E54" s="1838">
        <v>45870</v>
      </c>
      <c r="F54" s="1838" t="s">
        <v>499</v>
      </c>
      <c r="G54" s="1837" t="s">
        <v>500</v>
      </c>
      <c r="H54" s="1837" t="s">
        <v>495</v>
      </c>
      <c r="I54" s="1831" t="s">
        <v>496</v>
      </c>
      <c r="J54" s="1831" t="s">
        <v>5449</v>
      </c>
    </row>
    <row r="55" spans="1:10" ht="15" hidden="1" x14ac:dyDescent="0.35">
      <c r="A55" s="1832">
        <v>22778</v>
      </c>
      <c r="B55" s="1837" t="s">
        <v>818</v>
      </c>
      <c r="C55" s="1837" t="s">
        <v>405</v>
      </c>
      <c r="D55" s="1837">
        <v>14551868728</v>
      </c>
      <c r="E55" s="1838">
        <v>45880</v>
      </c>
      <c r="F55" s="1838" t="s">
        <v>499</v>
      </c>
      <c r="G55" s="1837" t="s">
        <v>500</v>
      </c>
      <c r="H55" s="1837" t="s">
        <v>495</v>
      </c>
      <c r="I55" s="1831" t="s">
        <v>496</v>
      </c>
      <c r="J55" s="1831" t="s">
        <v>5449</v>
      </c>
    </row>
    <row r="56" spans="1:10" ht="15" hidden="1" x14ac:dyDescent="0.35">
      <c r="A56" s="1832">
        <v>22835</v>
      </c>
      <c r="B56" s="1837" t="s">
        <v>932</v>
      </c>
      <c r="C56" s="1837" t="s">
        <v>405</v>
      </c>
      <c r="D56" s="1837">
        <v>2840590565</v>
      </c>
      <c r="E56" s="1838">
        <v>45887</v>
      </c>
      <c r="F56" s="1838" t="s">
        <v>499</v>
      </c>
      <c r="G56" s="1837" t="s">
        <v>500</v>
      </c>
      <c r="H56" s="1837" t="s">
        <v>495</v>
      </c>
      <c r="I56" s="1831" t="s">
        <v>496</v>
      </c>
      <c r="J56" s="1831" t="s">
        <v>5449</v>
      </c>
    </row>
    <row r="57" spans="1:10" s="1829" customFormat="1" ht="15" hidden="1" x14ac:dyDescent="0.35">
      <c r="A57" s="1832">
        <v>24398</v>
      </c>
      <c r="B57" s="1837" t="s">
        <v>103</v>
      </c>
      <c r="C57" s="1837" t="s">
        <v>409</v>
      </c>
      <c r="D57" s="1837">
        <v>9243758764</v>
      </c>
      <c r="E57" s="1838">
        <v>46099</v>
      </c>
      <c r="F57" s="1838" t="s">
        <v>499</v>
      </c>
      <c r="G57" s="1837" t="s">
        <v>500</v>
      </c>
      <c r="H57" s="1837" t="s">
        <v>502</v>
      </c>
      <c r="I57" s="1831" t="s">
        <v>469</v>
      </c>
      <c r="J57" s="1831" t="s">
        <v>4818</v>
      </c>
    </row>
    <row r="58" spans="1:10" ht="15" hidden="1" x14ac:dyDescent="0.35">
      <c r="A58" s="1832">
        <v>21064</v>
      </c>
      <c r="B58" s="1837" t="s">
        <v>569</v>
      </c>
      <c r="C58" s="1837" t="s">
        <v>406</v>
      </c>
      <c r="D58" s="1837">
        <v>8382774709</v>
      </c>
      <c r="E58" s="1838">
        <v>45763</v>
      </c>
      <c r="F58" s="1838" t="s">
        <v>499</v>
      </c>
      <c r="G58" s="1837" t="s">
        <v>500</v>
      </c>
      <c r="H58" s="1837" t="s">
        <v>495</v>
      </c>
      <c r="I58" s="1831" t="s">
        <v>496</v>
      </c>
      <c r="J58" s="1831" t="s">
        <v>382</v>
      </c>
    </row>
    <row r="59" spans="1:10" ht="15" hidden="1" x14ac:dyDescent="0.35">
      <c r="A59" s="139">
        <v>22006</v>
      </c>
      <c r="B59" s="138" t="s">
        <v>551</v>
      </c>
      <c r="C59" s="138" t="s">
        <v>552</v>
      </c>
      <c r="D59" s="138">
        <v>13761288700</v>
      </c>
      <c r="E59" s="140">
        <v>45825</v>
      </c>
      <c r="F59" s="140">
        <v>45840</v>
      </c>
      <c r="G59" s="138" t="s">
        <v>494</v>
      </c>
      <c r="H59" s="138" t="s">
        <v>495</v>
      </c>
      <c r="I59" t="s">
        <v>496</v>
      </c>
      <c r="J59"/>
    </row>
    <row r="60" spans="1:10" ht="15" hidden="1" x14ac:dyDescent="0.35">
      <c r="A60" s="139">
        <v>22920</v>
      </c>
      <c r="B60" s="138" t="s">
        <v>553</v>
      </c>
      <c r="C60" s="138" t="s">
        <v>403</v>
      </c>
      <c r="D60" s="138">
        <v>16959168759</v>
      </c>
      <c r="E60" s="140">
        <v>45890</v>
      </c>
      <c r="F60" s="140">
        <v>45964</v>
      </c>
      <c r="G60" s="138" t="s">
        <v>494</v>
      </c>
      <c r="H60" s="138" t="s">
        <v>495</v>
      </c>
      <c r="I60" t="s">
        <v>496</v>
      </c>
      <c r="J60"/>
    </row>
    <row r="61" spans="1:10" ht="15" hidden="1" x14ac:dyDescent="0.35">
      <c r="A61" s="1832">
        <v>21180</v>
      </c>
      <c r="B61" s="1837" t="s">
        <v>571</v>
      </c>
      <c r="C61" s="1837" t="s">
        <v>406</v>
      </c>
      <c r="D61" s="1837">
        <v>5929696730</v>
      </c>
      <c r="E61" s="1838">
        <v>45772</v>
      </c>
      <c r="F61" s="1838" t="s">
        <v>499</v>
      </c>
      <c r="G61" s="1837" t="s">
        <v>500</v>
      </c>
      <c r="H61" s="1837" t="s">
        <v>495</v>
      </c>
      <c r="I61" s="1831" t="s">
        <v>496</v>
      </c>
      <c r="J61" s="1831" t="s">
        <v>382</v>
      </c>
    </row>
    <row r="62" spans="1:10" ht="15" hidden="1" x14ac:dyDescent="0.35">
      <c r="A62" s="1832">
        <v>21308</v>
      </c>
      <c r="B62" s="1837" t="s">
        <v>575</v>
      </c>
      <c r="C62" s="1837" t="s">
        <v>406</v>
      </c>
      <c r="D62" s="1837">
        <v>15449161751</v>
      </c>
      <c r="E62" s="1838">
        <v>45779</v>
      </c>
      <c r="F62" s="1838" t="s">
        <v>499</v>
      </c>
      <c r="G62" s="1837" t="s">
        <v>500</v>
      </c>
      <c r="H62" s="1837" t="s">
        <v>495</v>
      </c>
      <c r="I62" s="1831" t="s">
        <v>496</v>
      </c>
      <c r="J62" s="1831" t="s">
        <v>382</v>
      </c>
    </row>
    <row r="63" spans="1:10" ht="15" hidden="1" x14ac:dyDescent="0.35">
      <c r="A63" s="139">
        <v>20772</v>
      </c>
      <c r="B63" s="138" t="s">
        <v>557</v>
      </c>
      <c r="C63" s="138" t="s">
        <v>403</v>
      </c>
      <c r="D63" s="138">
        <v>17694549777</v>
      </c>
      <c r="E63" s="140">
        <v>45756</v>
      </c>
      <c r="F63" s="140">
        <v>45874</v>
      </c>
      <c r="G63" s="138" t="s">
        <v>494</v>
      </c>
      <c r="H63" s="138" t="s">
        <v>502</v>
      </c>
      <c r="I63"/>
      <c r="J63"/>
    </row>
    <row r="64" spans="1:10" ht="15" hidden="1" x14ac:dyDescent="0.35">
      <c r="A64" s="139">
        <v>21822</v>
      </c>
      <c r="B64" s="138" t="s">
        <v>558</v>
      </c>
      <c r="C64" s="138" t="s">
        <v>416</v>
      </c>
      <c r="D64" s="138">
        <v>16866880750</v>
      </c>
      <c r="E64" s="140">
        <v>45810</v>
      </c>
      <c r="F64" s="140">
        <v>46064</v>
      </c>
      <c r="G64" s="138" t="s">
        <v>494</v>
      </c>
      <c r="H64" s="138" t="s">
        <v>501</v>
      </c>
      <c r="I64" t="s">
        <v>496</v>
      </c>
      <c r="J64"/>
    </row>
    <row r="65" spans="1:10" ht="15" hidden="1" x14ac:dyDescent="0.35">
      <c r="A65" s="139">
        <v>21830</v>
      </c>
      <c r="B65" s="138" t="s">
        <v>559</v>
      </c>
      <c r="C65" s="138" t="s">
        <v>443</v>
      </c>
      <c r="D65" s="138">
        <v>19771072730</v>
      </c>
      <c r="E65" s="140">
        <v>45810</v>
      </c>
      <c r="F65" s="140">
        <v>46066</v>
      </c>
      <c r="G65" s="138" t="s">
        <v>494</v>
      </c>
      <c r="H65" s="138" t="s">
        <v>495</v>
      </c>
      <c r="I65" t="s">
        <v>496</v>
      </c>
      <c r="J65"/>
    </row>
    <row r="66" spans="1:10" s="1829" customFormat="1" ht="15" hidden="1" x14ac:dyDescent="0.35">
      <c r="A66" s="1832">
        <v>21061</v>
      </c>
      <c r="B66" s="1837" t="s">
        <v>312</v>
      </c>
      <c r="C66" s="1837" t="s">
        <v>410</v>
      </c>
      <c r="D66" s="1837">
        <v>15965366752</v>
      </c>
      <c r="E66" s="1838">
        <v>45763</v>
      </c>
      <c r="F66" s="1838" t="s">
        <v>499</v>
      </c>
      <c r="G66" s="1837" t="s">
        <v>500</v>
      </c>
      <c r="H66" s="1837" t="s">
        <v>502</v>
      </c>
      <c r="I66" s="1831" t="s">
        <v>469</v>
      </c>
      <c r="J66" s="1831" t="s">
        <v>382</v>
      </c>
    </row>
    <row r="67" spans="1:10" ht="15" hidden="1" x14ac:dyDescent="0.35">
      <c r="A67" s="1832">
        <v>23138</v>
      </c>
      <c r="B67" s="1837" t="s">
        <v>579</v>
      </c>
      <c r="C67" s="1837" t="s">
        <v>406</v>
      </c>
      <c r="D67" s="1837">
        <v>15826032782</v>
      </c>
      <c r="E67" s="1838">
        <v>45903</v>
      </c>
      <c r="F67" s="1838" t="s">
        <v>499</v>
      </c>
      <c r="G67" s="1837" t="s">
        <v>500</v>
      </c>
      <c r="H67" s="1837" t="s">
        <v>495</v>
      </c>
      <c r="I67" s="1831" t="s">
        <v>496</v>
      </c>
      <c r="J67" s="1831" t="s">
        <v>382</v>
      </c>
    </row>
    <row r="68" spans="1:10" ht="15" hidden="1" x14ac:dyDescent="0.35">
      <c r="A68" s="1832">
        <v>21790</v>
      </c>
      <c r="B68" s="1837" t="s">
        <v>580</v>
      </c>
      <c r="C68" s="1837" t="s">
        <v>406</v>
      </c>
      <c r="D68" s="1837">
        <v>17299623781</v>
      </c>
      <c r="E68" s="1838">
        <v>45810</v>
      </c>
      <c r="F68" s="1838" t="s">
        <v>499</v>
      </c>
      <c r="G68" s="1837" t="s">
        <v>500</v>
      </c>
      <c r="H68" s="1837" t="s">
        <v>495</v>
      </c>
      <c r="I68" s="1831" t="s">
        <v>496</v>
      </c>
      <c r="J68" s="1831" t="s">
        <v>382</v>
      </c>
    </row>
    <row r="69" spans="1:10" s="1829" customFormat="1" ht="15" hidden="1" x14ac:dyDescent="0.35">
      <c r="A69" s="1832">
        <v>24347</v>
      </c>
      <c r="B69" s="1837" t="s">
        <v>329</v>
      </c>
      <c r="C69" s="1837" t="s">
        <v>410</v>
      </c>
      <c r="D69" s="1837">
        <v>9833303790</v>
      </c>
      <c r="E69" s="1838">
        <v>46093</v>
      </c>
      <c r="F69" s="1838" t="s">
        <v>499</v>
      </c>
      <c r="G69" s="1837" t="s">
        <v>500</v>
      </c>
      <c r="H69" s="1837" t="s">
        <v>502</v>
      </c>
      <c r="I69" s="1831" t="s">
        <v>469</v>
      </c>
      <c r="J69" s="1831" t="s">
        <v>382</v>
      </c>
    </row>
    <row r="70" spans="1:10" ht="15" hidden="1" x14ac:dyDescent="0.35">
      <c r="A70" s="1832">
        <v>22889</v>
      </c>
      <c r="B70" s="1837" t="s">
        <v>581</v>
      </c>
      <c r="C70" s="1837" t="s">
        <v>406</v>
      </c>
      <c r="D70" s="1837">
        <v>3060826757</v>
      </c>
      <c r="E70" s="1838">
        <v>45889</v>
      </c>
      <c r="F70" s="1838" t="s">
        <v>499</v>
      </c>
      <c r="G70" s="1837" t="s">
        <v>500</v>
      </c>
      <c r="H70" s="1837" t="s">
        <v>495</v>
      </c>
      <c r="I70" s="1831" t="s">
        <v>496</v>
      </c>
      <c r="J70" s="1831" t="s">
        <v>382</v>
      </c>
    </row>
    <row r="71" spans="1:10" ht="15" hidden="1" x14ac:dyDescent="0.35">
      <c r="A71" s="1832">
        <v>22910</v>
      </c>
      <c r="B71" s="1837" t="s">
        <v>588</v>
      </c>
      <c r="C71" s="1837" t="s">
        <v>406</v>
      </c>
      <c r="D71" s="1837">
        <v>17580281732</v>
      </c>
      <c r="E71" s="1838">
        <v>45890</v>
      </c>
      <c r="F71" s="1838" t="s">
        <v>499</v>
      </c>
      <c r="G71" s="1837" t="s">
        <v>500</v>
      </c>
      <c r="H71" s="1837" t="s">
        <v>495</v>
      </c>
      <c r="I71" s="1831" t="s">
        <v>496</v>
      </c>
      <c r="J71" s="1831" t="s">
        <v>382</v>
      </c>
    </row>
    <row r="72" spans="1:10" ht="15" hidden="1" x14ac:dyDescent="0.35">
      <c r="A72" s="139">
        <v>21426</v>
      </c>
      <c r="B72" s="138" t="s">
        <v>565</v>
      </c>
      <c r="C72" s="138" t="s">
        <v>407</v>
      </c>
      <c r="D72" s="138">
        <v>15982421723</v>
      </c>
      <c r="E72" s="140">
        <v>45784</v>
      </c>
      <c r="F72" s="140">
        <v>45842</v>
      </c>
      <c r="G72" s="138" t="s">
        <v>494</v>
      </c>
      <c r="H72" s="138" t="s">
        <v>495</v>
      </c>
      <c r="I72" t="s">
        <v>496</v>
      </c>
      <c r="J72"/>
    </row>
    <row r="73" spans="1:10" ht="15" hidden="1" x14ac:dyDescent="0.35">
      <c r="A73" s="1832">
        <v>21810</v>
      </c>
      <c r="B73" s="1837" t="s">
        <v>611</v>
      </c>
      <c r="C73" s="1837" t="s">
        <v>406</v>
      </c>
      <c r="D73" s="1837">
        <v>17691088744</v>
      </c>
      <c r="E73" s="1838">
        <v>45810</v>
      </c>
      <c r="F73" s="1838" t="s">
        <v>499</v>
      </c>
      <c r="G73" s="1837" t="s">
        <v>500</v>
      </c>
      <c r="H73" s="1837" t="s">
        <v>495</v>
      </c>
      <c r="I73" s="1831" t="s">
        <v>4776</v>
      </c>
      <c r="J73" s="1831" t="s">
        <v>382</v>
      </c>
    </row>
    <row r="74" spans="1:10" s="1829" customFormat="1" ht="15" hidden="1" x14ac:dyDescent="0.35">
      <c r="A74" s="1832">
        <v>21403</v>
      </c>
      <c r="B74" s="1837" t="s">
        <v>317</v>
      </c>
      <c r="C74" s="1837" t="s">
        <v>410</v>
      </c>
      <c r="D74" s="1837">
        <v>91724015753</v>
      </c>
      <c r="E74" s="1838">
        <v>45783</v>
      </c>
      <c r="F74" s="1838" t="s">
        <v>499</v>
      </c>
      <c r="G74" s="1837" t="s">
        <v>500</v>
      </c>
      <c r="H74" s="1837" t="s">
        <v>502</v>
      </c>
      <c r="I74" s="1831" t="s">
        <v>469</v>
      </c>
      <c r="J74" s="1831" t="s">
        <v>382</v>
      </c>
    </row>
    <row r="75" spans="1:10" ht="15" hidden="1" x14ac:dyDescent="0.35">
      <c r="A75" s="139">
        <v>21288</v>
      </c>
      <c r="B75" s="138" t="s">
        <v>567</v>
      </c>
      <c r="C75" s="138" t="s">
        <v>437</v>
      </c>
      <c r="D75" s="138">
        <v>17282607796</v>
      </c>
      <c r="E75" s="140">
        <v>45779</v>
      </c>
      <c r="F75" s="140">
        <v>46066</v>
      </c>
      <c r="G75" s="138" t="s">
        <v>494</v>
      </c>
      <c r="H75" s="138" t="s">
        <v>495</v>
      </c>
      <c r="I75" t="s">
        <v>496</v>
      </c>
      <c r="J75"/>
    </row>
    <row r="76" spans="1:10" ht="15" hidden="1" x14ac:dyDescent="0.35">
      <c r="A76" s="1832">
        <v>21647</v>
      </c>
      <c r="B76" s="1837" t="s">
        <v>617</v>
      </c>
      <c r="C76" s="1837" t="s">
        <v>407</v>
      </c>
      <c r="D76" s="1837">
        <v>14724426799</v>
      </c>
      <c r="E76" s="1838">
        <v>45792</v>
      </c>
      <c r="F76" s="1838" t="s">
        <v>499</v>
      </c>
      <c r="G76" s="1837" t="s">
        <v>500</v>
      </c>
      <c r="H76" s="1837" t="s">
        <v>495</v>
      </c>
      <c r="I76" s="1831" t="s">
        <v>496</v>
      </c>
      <c r="J76" s="1831" t="s">
        <v>382</v>
      </c>
    </row>
    <row r="77" spans="1:10" ht="15" hidden="1" x14ac:dyDescent="0.35">
      <c r="A77" s="139">
        <v>22061</v>
      </c>
      <c r="B77" s="138" t="s">
        <v>568</v>
      </c>
      <c r="C77" s="138" t="s">
        <v>437</v>
      </c>
      <c r="D77" s="138">
        <v>17703753769</v>
      </c>
      <c r="E77" s="140">
        <v>45828</v>
      </c>
      <c r="F77" s="140">
        <v>45870</v>
      </c>
      <c r="G77" s="138" t="s">
        <v>494</v>
      </c>
      <c r="H77" s="138" t="s">
        <v>495</v>
      </c>
      <c r="I77" t="s">
        <v>496</v>
      </c>
      <c r="J77"/>
    </row>
    <row r="78" spans="1:10" ht="15" hidden="1" x14ac:dyDescent="0.35">
      <c r="A78" s="1832">
        <v>22024</v>
      </c>
      <c r="B78" s="1837" t="s">
        <v>627</v>
      </c>
      <c r="C78" s="1837" t="s">
        <v>407</v>
      </c>
      <c r="D78" s="1837">
        <v>6589409706</v>
      </c>
      <c r="E78" s="1838">
        <v>45826</v>
      </c>
      <c r="F78" s="1838" t="s">
        <v>499</v>
      </c>
      <c r="G78" s="1837" t="s">
        <v>500</v>
      </c>
      <c r="H78" s="1837" t="s">
        <v>495</v>
      </c>
      <c r="I78" s="1831" t="s">
        <v>496</v>
      </c>
      <c r="J78" s="1831" t="s">
        <v>382</v>
      </c>
    </row>
    <row r="79" spans="1:10" ht="15" hidden="1" x14ac:dyDescent="0.35">
      <c r="A79" s="139">
        <v>21661</v>
      </c>
      <c r="B79" s="138" t="s">
        <v>570</v>
      </c>
      <c r="C79" s="138" t="s">
        <v>401</v>
      </c>
      <c r="D79" s="138">
        <v>16697585757</v>
      </c>
      <c r="E79" s="140">
        <v>45793</v>
      </c>
      <c r="F79" s="140">
        <v>46129</v>
      </c>
      <c r="G79" s="138" t="s">
        <v>494</v>
      </c>
      <c r="H79" s="138" t="s">
        <v>502</v>
      </c>
      <c r="I79"/>
      <c r="J79"/>
    </row>
    <row r="80" spans="1:10" ht="15" hidden="1" x14ac:dyDescent="0.35">
      <c r="A80" s="1832">
        <v>24020</v>
      </c>
      <c r="B80" s="1837" t="s">
        <v>661</v>
      </c>
      <c r="C80" s="1837" t="s">
        <v>407</v>
      </c>
      <c r="D80" s="1837">
        <v>13435218746</v>
      </c>
      <c r="E80" s="1838">
        <v>46037</v>
      </c>
      <c r="F80" s="1838" t="s">
        <v>499</v>
      </c>
      <c r="G80" s="1837" t="s">
        <v>500</v>
      </c>
      <c r="H80" s="1837" t="s">
        <v>495</v>
      </c>
      <c r="I80" s="1831" t="s">
        <v>496</v>
      </c>
      <c r="J80" s="1831" t="s">
        <v>382</v>
      </c>
    </row>
    <row r="81" spans="1:10" s="1829" customFormat="1" ht="15" hidden="1" x14ac:dyDescent="0.35">
      <c r="A81" s="1832">
        <v>21703</v>
      </c>
      <c r="B81" s="1837" t="s">
        <v>318</v>
      </c>
      <c r="C81" s="1837" t="s">
        <v>410</v>
      </c>
      <c r="D81" s="1837">
        <v>4188894733</v>
      </c>
      <c r="E81" s="1838">
        <v>45797</v>
      </c>
      <c r="F81" s="1838" t="s">
        <v>499</v>
      </c>
      <c r="G81" s="1837" t="s">
        <v>500</v>
      </c>
      <c r="H81" s="1837" t="s">
        <v>502</v>
      </c>
      <c r="I81" s="1831" t="s">
        <v>469</v>
      </c>
      <c r="J81" s="1831" t="s">
        <v>382</v>
      </c>
    </row>
    <row r="82" spans="1:10" ht="15" hidden="1" x14ac:dyDescent="0.35">
      <c r="A82" s="1832">
        <v>21786</v>
      </c>
      <c r="B82" s="1837" t="s">
        <v>669</v>
      </c>
      <c r="C82" s="1837" t="s">
        <v>407</v>
      </c>
      <c r="D82" s="1837">
        <v>8285844510</v>
      </c>
      <c r="E82" s="1838">
        <v>45810</v>
      </c>
      <c r="F82" s="1838" t="s">
        <v>499</v>
      </c>
      <c r="G82" s="1837" t="s">
        <v>500</v>
      </c>
      <c r="H82" s="1837" t="s">
        <v>495</v>
      </c>
      <c r="I82" s="1831" t="s">
        <v>496</v>
      </c>
      <c r="J82" s="1831" t="s">
        <v>382</v>
      </c>
    </row>
    <row r="83" spans="1:10" ht="15" hidden="1" x14ac:dyDescent="0.35">
      <c r="A83" s="139">
        <v>20765</v>
      </c>
      <c r="B83" s="138" t="s">
        <v>573</v>
      </c>
      <c r="C83" s="138" t="s">
        <v>441</v>
      </c>
      <c r="D83" s="138">
        <v>16783388778</v>
      </c>
      <c r="E83" s="140">
        <v>45756</v>
      </c>
      <c r="F83" s="140">
        <v>45940</v>
      </c>
      <c r="G83" s="138" t="s">
        <v>494</v>
      </c>
      <c r="H83" s="138" t="s">
        <v>508</v>
      </c>
      <c r="I83"/>
      <c r="J83"/>
    </row>
    <row r="84" spans="1:10" ht="15" hidden="1" x14ac:dyDescent="0.35">
      <c r="A84" s="139">
        <v>21897</v>
      </c>
      <c r="B84" s="138" t="s">
        <v>574</v>
      </c>
      <c r="C84" s="138" t="s">
        <v>416</v>
      </c>
      <c r="D84" s="138">
        <v>21260225798</v>
      </c>
      <c r="E84" s="140">
        <v>45818</v>
      </c>
      <c r="F84" s="140">
        <v>45980</v>
      </c>
      <c r="G84" s="138" t="s">
        <v>494</v>
      </c>
      <c r="H84" s="138" t="s">
        <v>501</v>
      </c>
      <c r="I84" t="s">
        <v>496</v>
      </c>
      <c r="J84"/>
    </row>
    <row r="85" spans="1:10" ht="15" hidden="1" x14ac:dyDescent="0.35">
      <c r="A85" s="1832">
        <v>22047</v>
      </c>
      <c r="B85" s="1837" t="s">
        <v>672</v>
      </c>
      <c r="C85" s="1837" t="s">
        <v>407</v>
      </c>
      <c r="D85" s="1837">
        <v>12205633740</v>
      </c>
      <c r="E85" s="1838">
        <v>45828</v>
      </c>
      <c r="F85" s="1838" t="s">
        <v>499</v>
      </c>
      <c r="G85" s="1837" t="s">
        <v>500</v>
      </c>
      <c r="H85" s="1837" t="s">
        <v>495</v>
      </c>
      <c r="I85" s="1831" t="s">
        <v>4776</v>
      </c>
      <c r="J85" s="1831" t="s">
        <v>382</v>
      </c>
    </row>
    <row r="86" spans="1:10" ht="15" hidden="1" x14ac:dyDescent="0.35">
      <c r="A86" s="1832">
        <v>21783</v>
      </c>
      <c r="B86" s="1837" t="s">
        <v>684</v>
      </c>
      <c r="C86" s="1837" t="s">
        <v>408</v>
      </c>
      <c r="D86" s="1837">
        <v>92360440772</v>
      </c>
      <c r="E86" s="1838">
        <v>45810</v>
      </c>
      <c r="F86" s="1838" t="s">
        <v>499</v>
      </c>
      <c r="G86" s="1837" t="s">
        <v>500</v>
      </c>
      <c r="H86" s="1837" t="s">
        <v>495</v>
      </c>
      <c r="I86" s="1831" t="s">
        <v>496</v>
      </c>
      <c r="J86" s="1831" t="s">
        <v>382</v>
      </c>
    </row>
    <row r="87" spans="1:10" ht="15" hidden="1" x14ac:dyDescent="0.35">
      <c r="A87" s="139">
        <v>22353</v>
      </c>
      <c r="B87" s="138" t="s">
        <v>577</v>
      </c>
      <c r="C87" s="138" t="s">
        <v>578</v>
      </c>
      <c r="D87" s="138">
        <v>18950640740</v>
      </c>
      <c r="E87" s="140">
        <v>45840</v>
      </c>
      <c r="F87" s="140">
        <v>45853</v>
      </c>
      <c r="G87" s="138" t="s">
        <v>494</v>
      </c>
      <c r="H87" s="138" t="s">
        <v>495</v>
      </c>
      <c r="I87" t="s">
        <v>496</v>
      </c>
      <c r="J87"/>
    </row>
    <row r="88" spans="1:10" ht="15" hidden="1" x14ac:dyDescent="0.35">
      <c r="A88" s="1832">
        <v>24783</v>
      </c>
      <c r="B88" s="1837" t="s">
        <v>752</v>
      </c>
      <c r="C88" s="1837" t="s">
        <v>753</v>
      </c>
      <c r="D88" s="1837">
        <v>20314597751</v>
      </c>
      <c r="E88" s="1838">
        <v>46128</v>
      </c>
      <c r="F88" s="1838" t="s">
        <v>499</v>
      </c>
      <c r="G88" s="1837" t="s">
        <v>500</v>
      </c>
      <c r="H88" s="1837" t="s">
        <v>495</v>
      </c>
      <c r="I88" s="1831" t="s">
        <v>496</v>
      </c>
      <c r="J88" s="1831" t="s">
        <v>5450</v>
      </c>
    </row>
    <row r="89" spans="1:10" s="1829" customFormat="1" ht="15" hidden="1" x14ac:dyDescent="0.35">
      <c r="A89" s="1832">
        <v>21328</v>
      </c>
      <c r="B89" s="1837" t="s">
        <v>323</v>
      </c>
      <c r="C89" s="1837" t="s">
        <v>410</v>
      </c>
      <c r="D89" s="1837">
        <v>8205279713</v>
      </c>
      <c r="E89" s="1838">
        <v>45779</v>
      </c>
      <c r="F89" s="1838" t="s">
        <v>499</v>
      </c>
      <c r="G89" s="1837" t="s">
        <v>500</v>
      </c>
      <c r="H89" s="1837" t="s">
        <v>502</v>
      </c>
      <c r="I89" s="1831" t="s">
        <v>469</v>
      </c>
      <c r="J89" s="1831" t="s">
        <v>382</v>
      </c>
    </row>
    <row r="90" spans="1:10" s="1829" customFormat="1" ht="15" hidden="1" x14ac:dyDescent="0.35">
      <c r="A90" s="1832">
        <v>23770</v>
      </c>
      <c r="B90" s="1837" t="s">
        <v>346</v>
      </c>
      <c r="C90" s="1837" t="s">
        <v>410</v>
      </c>
      <c r="D90" s="1837">
        <v>86089379565</v>
      </c>
      <c r="E90" s="1838">
        <v>45964</v>
      </c>
      <c r="F90" s="1838" t="s">
        <v>499</v>
      </c>
      <c r="G90" s="1837" t="s">
        <v>500</v>
      </c>
      <c r="H90" s="1837" t="s">
        <v>508</v>
      </c>
      <c r="I90" s="1831" t="s">
        <v>700</v>
      </c>
      <c r="J90" s="1831" t="s">
        <v>382</v>
      </c>
    </row>
    <row r="91" spans="1:10" ht="15" hidden="1" x14ac:dyDescent="0.35">
      <c r="A91" s="1832">
        <v>21392</v>
      </c>
      <c r="B91" s="1837" t="s">
        <v>534</v>
      </c>
      <c r="C91" s="1837" t="s">
        <v>409</v>
      </c>
      <c r="D91" s="1837">
        <v>17068929770</v>
      </c>
      <c r="E91" s="1838">
        <v>45782</v>
      </c>
      <c r="F91" s="1838" t="s">
        <v>499</v>
      </c>
      <c r="G91" s="1837" t="s">
        <v>500</v>
      </c>
      <c r="H91" s="1837" t="s">
        <v>495</v>
      </c>
      <c r="I91" s="1831" t="s">
        <v>496</v>
      </c>
      <c r="J91" s="1831" t="s">
        <v>4818</v>
      </c>
    </row>
    <row r="92" spans="1:10" s="1829" customFormat="1" ht="15" hidden="1" x14ac:dyDescent="0.35">
      <c r="A92" s="1832">
        <v>21265</v>
      </c>
      <c r="B92" s="1837" t="s">
        <v>708</v>
      </c>
      <c r="C92" s="1837" t="s">
        <v>410</v>
      </c>
      <c r="D92" s="1837">
        <v>7733023793</v>
      </c>
      <c r="E92" s="1838">
        <v>45779</v>
      </c>
      <c r="F92" s="1838" t="s">
        <v>499</v>
      </c>
      <c r="G92" s="1837" t="s">
        <v>500</v>
      </c>
      <c r="H92" s="1837" t="s">
        <v>502</v>
      </c>
      <c r="I92" s="1831" t="s">
        <v>468</v>
      </c>
      <c r="J92" s="1831" t="s">
        <v>382</v>
      </c>
    </row>
    <row r="93" spans="1:10" s="1829" customFormat="1" ht="15" hidden="1" x14ac:dyDescent="0.35">
      <c r="A93" s="1832">
        <v>21745</v>
      </c>
      <c r="B93" s="1837" t="s">
        <v>308</v>
      </c>
      <c r="C93" s="1837" t="s">
        <v>410</v>
      </c>
      <c r="D93" s="1837">
        <v>1402744722</v>
      </c>
      <c r="E93" s="1838">
        <v>45810</v>
      </c>
      <c r="F93" s="1838" t="s">
        <v>499</v>
      </c>
      <c r="G93" s="1837" t="s">
        <v>500</v>
      </c>
      <c r="H93" s="1837" t="s">
        <v>502</v>
      </c>
      <c r="I93" s="1831" t="s">
        <v>469</v>
      </c>
      <c r="J93" s="1831" t="s">
        <v>382</v>
      </c>
    </row>
    <row r="94" spans="1:10" ht="15" hidden="1" x14ac:dyDescent="0.35">
      <c r="A94" s="1832">
        <v>17935</v>
      </c>
      <c r="B94" s="1837" t="s">
        <v>832</v>
      </c>
      <c r="C94" s="1837" t="s">
        <v>409</v>
      </c>
      <c r="D94" s="1837">
        <v>15782595760</v>
      </c>
      <c r="E94" s="1838">
        <v>45401</v>
      </c>
      <c r="F94" s="1838" t="s">
        <v>499</v>
      </c>
      <c r="G94" s="1837" t="s">
        <v>500</v>
      </c>
      <c r="H94" s="1837" t="s">
        <v>495</v>
      </c>
      <c r="I94" s="1831" t="s">
        <v>496</v>
      </c>
      <c r="J94" s="1831" t="s">
        <v>5455</v>
      </c>
    </row>
    <row r="95" spans="1:10" ht="15" hidden="1" x14ac:dyDescent="0.35">
      <c r="A95" s="139">
        <v>21594</v>
      </c>
      <c r="B95" s="138" t="s">
        <v>582</v>
      </c>
      <c r="C95" s="138" t="s">
        <v>417</v>
      </c>
      <c r="D95" s="138">
        <v>86515026560</v>
      </c>
      <c r="E95" s="140">
        <v>45791</v>
      </c>
      <c r="F95" s="140">
        <v>45932</v>
      </c>
      <c r="G95" s="138" t="s">
        <v>494</v>
      </c>
      <c r="H95" s="138" t="s">
        <v>502</v>
      </c>
      <c r="I95"/>
      <c r="J95"/>
    </row>
    <row r="96" spans="1:10" ht="15" hidden="1" x14ac:dyDescent="0.35">
      <c r="A96" s="1832">
        <v>22618</v>
      </c>
      <c r="B96" s="1837" t="s">
        <v>685</v>
      </c>
      <c r="C96" s="1837" t="s">
        <v>410</v>
      </c>
      <c r="D96" s="1837">
        <v>1757705732</v>
      </c>
      <c r="E96" s="1838">
        <v>45859</v>
      </c>
      <c r="F96" s="1838" t="s">
        <v>499</v>
      </c>
      <c r="G96" s="1837" t="s">
        <v>500</v>
      </c>
      <c r="H96" s="1837" t="s">
        <v>495</v>
      </c>
      <c r="I96" s="1831" t="s">
        <v>4776</v>
      </c>
      <c r="J96" s="1831" t="s">
        <v>382</v>
      </c>
    </row>
    <row r="97" spans="1:10" s="168" customFormat="1" ht="15" hidden="1" x14ac:dyDescent="0.35">
      <c r="A97" s="165">
        <v>21888</v>
      </c>
      <c r="B97" s="166" t="s">
        <v>584</v>
      </c>
      <c r="C97" s="166" t="s">
        <v>420</v>
      </c>
      <c r="D97" s="166">
        <v>13860774700</v>
      </c>
      <c r="E97" s="167">
        <v>45818</v>
      </c>
      <c r="F97" s="167">
        <v>45784</v>
      </c>
      <c r="G97" s="166" t="s">
        <v>494</v>
      </c>
      <c r="H97" s="166" t="s">
        <v>508</v>
      </c>
    </row>
    <row r="98" spans="1:10" s="1829" customFormat="1" ht="15" hidden="1" x14ac:dyDescent="0.35">
      <c r="A98" s="1832">
        <v>20758</v>
      </c>
      <c r="B98" s="1837" t="s">
        <v>231</v>
      </c>
      <c r="C98" s="1837" t="s">
        <v>410</v>
      </c>
      <c r="D98" s="1837">
        <v>92102832791</v>
      </c>
      <c r="E98" s="1838">
        <v>45756</v>
      </c>
      <c r="F98" s="1838" t="s">
        <v>499</v>
      </c>
      <c r="G98" s="1837" t="s">
        <v>500</v>
      </c>
      <c r="H98" s="1837" t="s">
        <v>502</v>
      </c>
      <c r="I98" s="1831" t="s">
        <v>468</v>
      </c>
      <c r="J98" s="1831" t="s">
        <v>382</v>
      </c>
    </row>
    <row r="99" spans="1:10" ht="15" hidden="1" x14ac:dyDescent="0.35">
      <c r="A99" s="1832">
        <v>24241</v>
      </c>
      <c r="B99" s="1837" t="s">
        <v>693</v>
      </c>
      <c r="C99" s="1837" t="s">
        <v>410</v>
      </c>
      <c r="D99" s="1837">
        <v>36694592515</v>
      </c>
      <c r="E99" s="1838">
        <v>46084</v>
      </c>
      <c r="F99" s="1838" t="s">
        <v>499</v>
      </c>
      <c r="G99" s="1837" t="s">
        <v>500</v>
      </c>
      <c r="H99" s="1837" t="s">
        <v>495</v>
      </c>
      <c r="I99" s="1831" t="s">
        <v>496</v>
      </c>
      <c r="J99" s="1831" t="s">
        <v>382</v>
      </c>
    </row>
    <row r="100" spans="1:10" s="1829" customFormat="1" ht="15" hidden="1" x14ac:dyDescent="0.35">
      <c r="A100" s="1832">
        <v>20778</v>
      </c>
      <c r="B100" s="1837" t="s">
        <v>236</v>
      </c>
      <c r="C100" s="1837" t="s">
        <v>410</v>
      </c>
      <c r="D100" s="1837">
        <v>5514722511</v>
      </c>
      <c r="E100" s="1838">
        <v>45756</v>
      </c>
      <c r="F100" s="1838" t="s">
        <v>499</v>
      </c>
      <c r="G100" s="1837" t="s">
        <v>500</v>
      </c>
      <c r="H100" s="1837" t="s">
        <v>502</v>
      </c>
      <c r="I100" s="1831" t="s">
        <v>468</v>
      </c>
      <c r="J100" s="1831" t="s">
        <v>382</v>
      </c>
    </row>
    <row r="101" spans="1:10" ht="15" hidden="1" x14ac:dyDescent="0.35">
      <c r="A101" s="1832">
        <v>21274</v>
      </c>
      <c r="B101" s="1837" t="s">
        <v>703</v>
      </c>
      <c r="C101" s="1837" t="s">
        <v>410</v>
      </c>
      <c r="D101" s="1837">
        <v>13302719710</v>
      </c>
      <c r="E101" s="1838">
        <v>45779</v>
      </c>
      <c r="F101" s="1838" t="s">
        <v>499</v>
      </c>
      <c r="G101" s="1837" t="s">
        <v>500</v>
      </c>
      <c r="H101" s="1837" t="s">
        <v>495</v>
      </c>
      <c r="I101" s="1831" t="s">
        <v>496</v>
      </c>
      <c r="J101" s="1831" t="s">
        <v>382</v>
      </c>
    </row>
    <row r="102" spans="1:10" ht="15" hidden="1" x14ac:dyDescent="0.35">
      <c r="A102" s="1832">
        <v>24156</v>
      </c>
      <c r="B102" s="1837" t="s">
        <v>707</v>
      </c>
      <c r="C102" s="1837" t="s">
        <v>410</v>
      </c>
      <c r="D102" s="1837">
        <v>57039704749</v>
      </c>
      <c r="E102" s="1838">
        <v>46062</v>
      </c>
      <c r="F102" s="1838" t="s">
        <v>499</v>
      </c>
      <c r="G102" s="1837" t="s">
        <v>500</v>
      </c>
      <c r="H102" s="1837" t="s">
        <v>495</v>
      </c>
      <c r="I102" s="1831" t="s">
        <v>496</v>
      </c>
      <c r="J102" s="1831" t="s">
        <v>382</v>
      </c>
    </row>
    <row r="103" spans="1:10" ht="15" hidden="1" x14ac:dyDescent="0.35">
      <c r="A103" s="139">
        <v>22239</v>
      </c>
      <c r="B103" s="138" t="s">
        <v>589</v>
      </c>
      <c r="C103" s="138" t="s">
        <v>416</v>
      </c>
      <c r="D103" s="138">
        <v>7652104793</v>
      </c>
      <c r="E103" s="140">
        <v>45833</v>
      </c>
      <c r="F103" s="140">
        <v>45952</v>
      </c>
      <c r="G103" s="138" t="s">
        <v>494</v>
      </c>
      <c r="H103" s="138" t="s">
        <v>508</v>
      </c>
      <c r="I103"/>
      <c r="J103"/>
    </row>
    <row r="104" spans="1:10" ht="15" hidden="1" x14ac:dyDescent="0.35">
      <c r="A104" s="1832">
        <v>23999</v>
      </c>
      <c r="B104" s="1837" t="s">
        <v>710</v>
      </c>
      <c r="C104" s="1837" t="s">
        <v>410</v>
      </c>
      <c r="D104" s="1837">
        <v>1951139500</v>
      </c>
      <c r="E104" s="1838">
        <v>46027</v>
      </c>
      <c r="F104" s="1838" t="s">
        <v>499</v>
      </c>
      <c r="G104" s="1837" t="s">
        <v>500</v>
      </c>
      <c r="H104" s="1837" t="s">
        <v>495</v>
      </c>
      <c r="I104" s="1831" t="s">
        <v>496</v>
      </c>
      <c r="J104" s="1831" t="s">
        <v>382</v>
      </c>
    </row>
    <row r="105" spans="1:10" s="1829" customFormat="1" ht="15" hidden="1" x14ac:dyDescent="0.35">
      <c r="A105" s="1832">
        <v>24899</v>
      </c>
      <c r="B105" s="1837" t="s">
        <v>342</v>
      </c>
      <c r="C105" s="1837" t="s">
        <v>410</v>
      </c>
      <c r="D105" s="1837">
        <v>7177633740</v>
      </c>
      <c r="E105" s="1838">
        <v>46150</v>
      </c>
      <c r="F105" s="1838" t="s">
        <v>499</v>
      </c>
      <c r="G105" s="1837" t="s">
        <v>500</v>
      </c>
      <c r="H105" s="1837" t="s">
        <v>502</v>
      </c>
      <c r="I105" s="1831" t="s">
        <v>469</v>
      </c>
      <c r="J105" s="1831" t="s">
        <v>382</v>
      </c>
    </row>
    <row r="106" spans="1:10" ht="15" hidden="1" x14ac:dyDescent="0.35">
      <c r="A106" s="139">
        <v>21250</v>
      </c>
      <c r="B106" s="138" t="s">
        <v>592</v>
      </c>
      <c r="C106" s="138" t="s">
        <v>432</v>
      </c>
      <c r="D106" s="138">
        <v>12442598701</v>
      </c>
      <c r="E106" s="140">
        <v>45772</v>
      </c>
      <c r="F106" s="140">
        <v>46101</v>
      </c>
      <c r="G106" s="138" t="s">
        <v>494</v>
      </c>
      <c r="H106" s="138" t="s">
        <v>502</v>
      </c>
      <c r="I106"/>
      <c r="J106"/>
    </row>
    <row r="107" spans="1:10" s="1829" customFormat="1" ht="15" hidden="1" x14ac:dyDescent="0.35">
      <c r="A107" s="1832">
        <v>20795</v>
      </c>
      <c r="B107" s="1837" t="s">
        <v>222</v>
      </c>
      <c r="C107" s="1837" t="s">
        <v>410</v>
      </c>
      <c r="D107" s="1837">
        <v>5919129700</v>
      </c>
      <c r="E107" s="1838">
        <v>45757</v>
      </c>
      <c r="F107" s="1838" t="s">
        <v>499</v>
      </c>
      <c r="G107" s="1837" t="s">
        <v>500</v>
      </c>
      <c r="H107" s="1837" t="s">
        <v>502</v>
      </c>
      <c r="I107" s="1831" t="s">
        <v>468</v>
      </c>
      <c r="J107" s="1831" t="s">
        <v>382</v>
      </c>
    </row>
    <row r="108" spans="1:10" ht="15" hidden="1" x14ac:dyDescent="0.35">
      <c r="A108" s="1832">
        <v>22520</v>
      </c>
      <c r="B108" s="1837" t="s">
        <v>712</v>
      </c>
      <c r="C108" s="1837" t="s">
        <v>410</v>
      </c>
      <c r="D108" s="1837">
        <v>10544563727</v>
      </c>
      <c r="E108" s="1838">
        <v>45852</v>
      </c>
      <c r="F108" s="1838" t="s">
        <v>499</v>
      </c>
      <c r="G108" s="1837" t="s">
        <v>500</v>
      </c>
      <c r="H108" s="1837" t="s">
        <v>495</v>
      </c>
      <c r="I108" s="1831" t="s">
        <v>4776</v>
      </c>
      <c r="J108" s="1831" t="s">
        <v>382</v>
      </c>
    </row>
    <row r="109" spans="1:10" s="1829" customFormat="1" ht="15" hidden="1" x14ac:dyDescent="0.35">
      <c r="A109" s="1832">
        <v>23832</v>
      </c>
      <c r="B109" s="1837" t="s">
        <v>190</v>
      </c>
      <c r="C109" s="1837" t="s">
        <v>410</v>
      </c>
      <c r="D109" s="1837">
        <v>1437282709</v>
      </c>
      <c r="E109" s="1838">
        <v>45975</v>
      </c>
      <c r="F109" s="1838" t="s">
        <v>499</v>
      </c>
      <c r="G109" s="1837" t="s">
        <v>500</v>
      </c>
      <c r="H109" s="1837" t="s">
        <v>502</v>
      </c>
      <c r="I109" s="1831" t="s">
        <v>468</v>
      </c>
      <c r="J109" s="1831" t="s">
        <v>382</v>
      </c>
    </row>
    <row r="110" spans="1:10" ht="15" hidden="1" x14ac:dyDescent="0.35">
      <c r="A110" s="139">
        <v>21595</v>
      </c>
      <c r="B110" s="138" t="s">
        <v>594</v>
      </c>
      <c r="C110" s="138" t="s">
        <v>420</v>
      </c>
      <c r="D110" s="138">
        <v>2291202537</v>
      </c>
      <c r="E110" s="140">
        <v>45791</v>
      </c>
      <c r="F110" s="140">
        <v>46146</v>
      </c>
      <c r="G110" s="138" t="s">
        <v>494</v>
      </c>
      <c r="H110" s="138" t="s">
        <v>501</v>
      </c>
      <c r="I110" t="s">
        <v>496</v>
      </c>
      <c r="J110"/>
    </row>
    <row r="111" spans="1:10" ht="15" hidden="1" x14ac:dyDescent="0.35">
      <c r="A111" s="1832">
        <v>22428</v>
      </c>
      <c r="B111" s="1837" t="s">
        <v>76</v>
      </c>
      <c r="C111" s="1837" t="s">
        <v>411</v>
      </c>
      <c r="D111" s="1837">
        <v>14521424759</v>
      </c>
      <c r="E111" s="1838">
        <v>45848</v>
      </c>
      <c r="F111" s="1838" t="s">
        <v>499</v>
      </c>
      <c r="G111" s="1837" t="s">
        <v>500</v>
      </c>
      <c r="H111" s="1837" t="s">
        <v>495</v>
      </c>
      <c r="I111" s="1831" t="s">
        <v>496</v>
      </c>
      <c r="J111" s="1831" t="s">
        <v>374</v>
      </c>
    </row>
    <row r="112" spans="1:10" ht="15" hidden="1" x14ac:dyDescent="0.35">
      <c r="A112" s="1832">
        <v>22830</v>
      </c>
      <c r="B112" s="1837" t="s">
        <v>761</v>
      </c>
      <c r="C112" s="1837" t="s">
        <v>411</v>
      </c>
      <c r="D112" s="1837">
        <v>17382664783</v>
      </c>
      <c r="E112" s="1838">
        <v>45887</v>
      </c>
      <c r="F112" s="1838" t="s">
        <v>499</v>
      </c>
      <c r="G112" s="1837" t="s">
        <v>500</v>
      </c>
      <c r="H112" s="1837" t="s">
        <v>495</v>
      </c>
      <c r="I112" s="1831" t="s">
        <v>496</v>
      </c>
      <c r="J112" s="1831" t="s">
        <v>377</v>
      </c>
    </row>
    <row r="113" spans="1:10" ht="15" hidden="1" x14ac:dyDescent="0.35">
      <c r="A113" s="1832">
        <v>23251</v>
      </c>
      <c r="B113" s="1837" t="s">
        <v>81</v>
      </c>
      <c r="C113" s="1837" t="s">
        <v>411</v>
      </c>
      <c r="D113" s="1837">
        <v>16195126705</v>
      </c>
      <c r="E113" s="1838">
        <v>45912</v>
      </c>
      <c r="F113" s="1838" t="s">
        <v>499</v>
      </c>
      <c r="G113" s="1837" t="s">
        <v>500</v>
      </c>
      <c r="H113" s="1837" t="s">
        <v>495</v>
      </c>
      <c r="I113" s="1831" t="s">
        <v>496</v>
      </c>
      <c r="J113" s="1831" t="s">
        <v>374</v>
      </c>
    </row>
    <row r="114" spans="1:10" s="1829" customFormat="1" ht="15" hidden="1" x14ac:dyDescent="0.35">
      <c r="A114" s="1832">
        <v>21834</v>
      </c>
      <c r="B114" s="1837" t="s">
        <v>279</v>
      </c>
      <c r="C114" s="1837" t="s">
        <v>410</v>
      </c>
      <c r="D114" s="1837">
        <v>89904281734</v>
      </c>
      <c r="E114" s="1838">
        <v>45810</v>
      </c>
      <c r="F114" s="1838" t="s">
        <v>499</v>
      </c>
      <c r="G114" s="1837" t="s">
        <v>500</v>
      </c>
      <c r="H114" s="1837" t="s">
        <v>502</v>
      </c>
      <c r="I114" s="1831" t="s">
        <v>469</v>
      </c>
      <c r="J114" s="1831" t="s">
        <v>382</v>
      </c>
    </row>
    <row r="115" spans="1:10" s="1829" customFormat="1" ht="15" hidden="1" x14ac:dyDescent="0.35">
      <c r="A115" s="1832">
        <v>23240</v>
      </c>
      <c r="B115" s="1837" t="s">
        <v>179</v>
      </c>
      <c r="C115" s="1837" t="s">
        <v>410</v>
      </c>
      <c r="D115" s="1837">
        <v>13378030739</v>
      </c>
      <c r="E115" s="1838">
        <v>45912</v>
      </c>
      <c r="F115" s="1838" t="s">
        <v>499</v>
      </c>
      <c r="G115" s="1837" t="s">
        <v>500</v>
      </c>
      <c r="H115" s="1837" t="s">
        <v>502</v>
      </c>
      <c r="I115" s="1831" t="s">
        <v>468</v>
      </c>
      <c r="J115" s="1831" t="s">
        <v>382</v>
      </c>
    </row>
    <row r="116" spans="1:10" s="1829" customFormat="1" ht="15" hidden="1" x14ac:dyDescent="0.35">
      <c r="A116" s="1832">
        <v>20759</v>
      </c>
      <c r="B116" s="1837" t="s">
        <v>240</v>
      </c>
      <c r="C116" s="1837" t="s">
        <v>410</v>
      </c>
      <c r="D116" s="1837">
        <v>14300795762</v>
      </c>
      <c r="E116" s="1838">
        <v>45756</v>
      </c>
      <c r="F116" s="1838" t="s">
        <v>499</v>
      </c>
      <c r="G116" s="1837" t="s">
        <v>500</v>
      </c>
      <c r="H116" s="1837" t="s">
        <v>502</v>
      </c>
      <c r="I116" s="1831" t="s">
        <v>468</v>
      </c>
      <c r="J116" s="1831" t="s">
        <v>382</v>
      </c>
    </row>
    <row r="117" spans="1:10" s="1829" customFormat="1" ht="15" hidden="1" x14ac:dyDescent="0.35">
      <c r="A117" s="1832">
        <v>23750</v>
      </c>
      <c r="B117" s="1837" t="s">
        <v>350</v>
      </c>
      <c r="C117" s="1837" t="s">
        <v>410</v>
      </c>
      <c r="D117" s="1837">
        <v>13294079702</v>
      </c>
      <c r="E117" s="1838">
        <v>45964</v>
      </c>
      <c r="F117" s="1838" t="s">
        <v>499</v>
      </c>
      <c r="G117" s="1837" t="s">
        <v>500</v>
      </c>
      <c r="H117" s="1837" t="s">
        <v>502</v>
      </c>
      <c r="I117" s="1831" t="s">
        <v>469</v>
      </c>
      <c r="J117" s="1831" t="s">
        <v>382</v>
      </c>
    </row>
    <row r="118" spans="1:10" s="1829" customFormat="1" ht="15" hidden="1" x14ac:dyDescent="0.35">
      <c r="A118" s="1832">
        <v>21235</v>
      </c>
      <c r="B118" s="1837" t="s">
        <v>230</v>
      </c>
      <c r="C118" s="1837" t="s">
        <v>410</v>
      </c>
      <c r="D118" s="1837">
        <v>1399619764</v>
      </c>
      <c r="E118" s="1838">
        <v>45772</v>
      </c>
      <c r="F118" s="1838" t="s">
        <v>499</v>
      </c>
      <c r="G118" s="1837" t="s">
        <v>500</v>
      </c>
      <c r="H118" s="1837" t="s">
        <v>502</v>
      </c>
      <c r="I118" s="1831" t="s">
        <v>468</v>
      </c>
      <c r="J118" s="1831" t="s">
        <v>382</v>
      </c>
    </row>
    <row r="119" spans="1:10" ht="15" hidden="1" x14ac:dyDescent="0.35">
      <c r="A119" s="139">
        <v>21742</v>
      </c>
      <c r="B119" s="138" t="s">
        <v>598</v>
      </c>
      <c r="C119" s="138" t="s">
        <v>421</v>
      </c>
      <c r="D119" s="138">
        <v>30767879856</v>
      </c>
      <c r="E119" s="140">
        <v>45810</v>
      </c>
      <c r="F119" s="140">
        <v>45860</v>
      </c>
      <c r="G119" s="138" t="s">
        <v>494</v>
      </c>
      <c r="H119" s="138" t="s">
        <v>502</v>
      </c>
      <c r="I119"/>
      <c r="J119"/>
    </row>
    <row r="120" spans="1:10" ht="15" hidden="1" x14ac:dyDescent="0.35">
      <c r="A120" s="1832">
        <v>21676</v>
      </c>
      <c r="B120" s="1837" t="s">
        <v>1016</v>
      </c>
      <c r="C120" s="1837" t="s">
        <v>411</v>
      </c>
      <c r="D120" s="1837">
        <v>7124320518</v>
      </c>
      <c r="E120" s="1838">
        <v>45796</v>
      </c>
      <c r="F120" s="1838" t="s">
        <v>499</v>
      </c>
      <c r="G120" s="1837" t="s">
        <v>500</v>
      </c>
      <c r="H120" s="1837" t="s">
        <v>495</v>
      </c>
      <c r="I120" s="1831" t="s">
        <v>496</v>
      </c>
      <c r="J120" s="1831" t="s">
        <v>113</v>
      </c>
    </row>
    <row r="121" spans="1:10" ht="15" hidden="1" x14ac:dyDescent="0.35">
      <c r="A121" s="1832">
        <v>17503</v>
      </c>
      <c r="B121" s="1837" t="s">
        <v>970</v>
      </c>
      <c r="C121" s="1837" t="s">
        <v>412</v>
      </c>
      <c r="D121" s="1837">
        <v>17140777721</v>
      </c>
      <c r="E121" s="1838">
        <v>45358</v>
      </c>
      <c r="F121" s="1838" t="s">
        <v>499</v>
      </c>
      <c r="G121" s="1837" t="s">
        <v>500</v>
      </c>
      <c r="H121" s="1837" t="s">
        <v>495</v>
      </c>
      <c r="I121" s="1831" t="s">
        <v>496</v>
      </c>
      <c r="J121" s="1831" t="s">
        <v>5451</v>
      </c>
    </row>
    <row r="122" spans="1:10" ht="15" hidden="1" x14ac:dyDescent="0.35">
      <c r="A122" s="1832">
        <v>21177</v>
      </c>
      <c r="B122" s="1837" t="s">
        <v>623</v>
      </c>
      <c r="C122" s="1837" t="s">
        <v>413</v>
      </c>
      <c r="D122" s="1837">
        <v>17274830732</v>
      </c>
      <c r="E122" s="1838">
        <v>45772</v>
      </c>
      <c r="F122" s="1838" t="s">
        <v>499</v>
      </c>
      <c r="G122" s="1837" t="s">
        <v>500</v>
      </c>
      <c r="H122" s="1837" t="s">
        <v>495</v>
      </c>
      <c r="I122" s="1831" t="s">
        <v>496</v>
      </c>
      <c r="J122" s="1831" t="s">
        <v>5452</v>
      </c>
    </row>
    <row r="123" spans="1:10" ht="15" hidden="1" x14ac:dyDescent="0.35">
      <c r="A123" s="1832">
        <v>22710</v>
      </c>
      <c r="B123" s="1837" t="s">
        <v>773</v>
      </c>
      <c r="C123" s="1837" t="s">
        <v>413</v>
      </c>
      <c r="D123" s="1837">
        <v>16323758776</v>
      </c>
      <c r="E123" s="1838">
        <v>45873</v>
      </c>
      <c r="F123" s="1838" t="s">
        <v>499</v>
      </c>
      <c r="G123" s="1837" t="s">
        <v>500</v>
      </c>
      <c r="H123" s="1837" t="s">
        <v>495</v>
      </c>
      <c r="I123" s="1831" t="s">
        <v>496</v>
      </c>
      <c r="J123" s="1831" t="s">
        <v>377</v>
      </c>
    </row>
    <row r="124" spans="1:10" ht="15" hidden="1" x14ac:dyDescent="0.35">
      <c r="A124" s="139">
        <v>22051</v>
      </c>
      <c r="B124" s="138" t="s">
        <v>604</v>
      </c>
      <c r="C124" s="138" t="s">
        <v>415</v>
      </c>
      <c r="D124" s="138">
        <v>31701723875</v>
      </c>
      <c r="E124" s="140">
        <v>45828</v>
      </c>
      <c r="F124" s="140">
        <v>45975</v>
      </c>
      <c r="G124" s="138" t="s">
        <v>494</v>
      </c>
      <c r="H124" s="138" t="s">
        <v>502</v>
      </c>
      <c r="I124"/>
      <c r="J124"/>
    </row>
    <row r="125" spans="1:10" ht="15" hidden="1" x14ac:dyDescent="0.35">
      <c r="A125" s="139">
        <v>23186</v>
      </c>
      <c r="B125" s="138" t="s">
        <v>605</v>
      </c>
      <c r="C125" s="138" t="s">
        <v>606</v>
      </c>
      <c r="D125" s="138">
        <v>3766190580</v>
      </c>
      <c r="E125" s="140">
        <v>45908</v>
      </c>
      <c r="F125" s="140">
        <v>46132</v>
      </c>
      <c r="G125" s="138" t="s">
        <v>494</v>
      </c>
      <c r="H125" s="138" t="s">
        <v>495</v>
      </c>
      <c r="I125" t="s">
        <v>496</v>
      </c>
      <c r="J125"/>
    </row>
    <row r="126" spans="1:10" ht="15" hidden="1" x14ac:dyDescent="0.35">
      <c r="A126" s="1832">
        <v>23995</v>
      </c>
      <c r="B126" s="1837" t="s">
        <v>820</v>
      </c>
      <c r="C126" s="1837" t="s">
        <v>413</v>
      </c>
      <c r="D126" s="1837">
        <v>13125465737</v>
      </c>
      <c r="E126" s="1838">
        <v>46027</v>
      </c>
      <c r="F126" s="1838" t="s">
        <v>499</v>
      </c>
      <c r="G126" s="1837" t="s">
        <v>500</v>
      </c>
      <c r="H126" s="1837" t="s">
        <v>495</v>
      </c>
      <c r="I126" s="1831" t="s">
        <v>496</v>
      </c>
      <c r="J126" s="1831" t="s">
        <v>377</v>
      </c>
    </row>
    <row r="127" spans="1:10" s="1829" customFormat="1" ht="15" hidden="1" x14ac:dyDescent="0.35">
      <c r="A127" s="1832">
        <v>21568</v>
      </c>
      <c r="B127" s="1837" t="s">
        <v>289</v>
      </c>
      <c r="C127" s="1837" t="s">
        <v>410</v>
      </c>
      <c r="D127" s="1837">
        <v>10400976773</v>
      </c>
      <c r="E127" s="1838">
        <v>45789</v>
      </c>
      <c r="F127" s="1838" t="s">
        <v>499</v>
      </c>
      <c r="G127" s="1837" t="s">
        <v>500</v>
      </c>
      <c r="H127" s="1837" t="s">
        <v>502</v>
      </c>
      <c r="I127" s="1831" t="s">
        <v>469</v>
      </c>
      <c r="J127" s="1831" t="s">
        <v>382</v>
      </c>
    </row>
    <row r="128" spans="1:10" ht="15" hidden="1" x14ac:dyDescent="0.35">
      <c r="A128" s="1832">
        <v>21178</v>
      </c>
      <c r="B128" s="1837" t="s">
        <v>737</v>
      </c>
      <c r="C128" s="1837" t="s">
        <v>738</v>
      </c>
      <c r="D128" s="1837">
        <v>14046629797</v>
      </c>
      <c r="E128" s="1838">
        <v>45772</v>
      </c>
      <c r="F128" s="1838" t="s">
        <v>499</v>
      </c>
      <c r="G128" s="1837" t="s">
        <v>500</v>
      </c>
      <c r="H128" s="1837" t="s">
        <v>495</v>
      </c>
      <c r="I128" s="1831" t="s">
        <v>496</v>
      </c>
      <c r="J128" s="1831" t="s">
        <v>4818</v>
      </c>
    </row>
    <row r="129" spans="1:10" ht="15" hidden="1" x14ac:dyDescent="0.35">
      <c r="A129" s="1832">
        <v>21174</v>
      </c>
      <c r="B129" s="1837" t="s">
        <v>831</v>
      </c>
      <c r="C129" s="1837" t="s">
        <v>738</v>
      </c>
      <c r="D129" s="1837">
        <v>22544229799</v>
      </c>
      <c r="E129" s="1838">
        <v>45772</v>
      </c>
      <c r="F129" s="1838" t="s">
        <v>499</v>
      </c>
      <c r="G129" s="1837" t="s">
        <v>500</v>
      </c>
      <c r="H129" s="1837" t="s">
        <v>495</v>
      </c>
      <c r="I129" s="1831" t="s">
        <v>496</v>
      </c>
      <c r="J129" s="1831" t="s">
        <v>4818</v>
      </c>
    </row>
    <row r="130" spans="1:10" ht="15" hidden="1" x14ac:dyDescent="0.35">
      <c r="A130" s="1832">
        <v>22671</v>
      </c>
      <c r="B130" s="1837" t="s">
        <v>509</v>
      </c>
      <c r="C130" s="1837" t="s">
        <v>416</v>
      </c>
      <c r="D130" s="1837">
        <v>18097490773</v>
      </c>
      <c r="E130" s="1838">
        <v>45859</v>
      </c>
      <c r="F130" s="1838" t="s">
        <v>499</v>
      </c>
      <c r="G130" s="1837" t="s">
        <v>500</v>
      </c>
      <c r="H130" s="1837" t="s">
        <v>501</v>
      </c>
      <c r="I130" s="1831" t="s">
        <v>496</v>
      </c>
      <c r="J130" s="1831" t="s">
        <v>4777</v>
      </c>
    </row>
    <row r="131" spans="1:10" ht="15" hidden="1" x14ac:dyDescent="0.35">
      <c r="A131" s="1832">
        <v>23935</v>
      </c>
      <c r="B131" s="1837" t="s">
        <v>545</v>
      </c>
      <c r="C131" s="1837" t="s">
        <v>416</v>
      </c>
      <c r="D131" s="1837">
        <v>17672300792</v>
      </c>
      <c r="E131" s="1838">
        <v>46001</v>
      </c>
      <c r="F131" s="1838" t="s">
        <v>499</v>
      </c>
      <c r="G131" s="1837" t="s">
        <v>500</v>
      </c>
      <c r="H131" s="1837" t="s">
        <v>501</v>
      </c>
      <c r="I131" s="1831" t="s">
        <v>496</v>
      </c>
      <c r="J131" s="1831" t="s">
        <v>4777</v>
      </c>
    </row>
    <row r="132" spans="1:10" s="1829" customFormat="1" ht="15" hidden="1" x14ac:dyDescent="0.35">
      <c r="A132" s="1832">
        <v>20757</v>
      </c>
      <c r="B132" s="1837" t="s">
        <v>224</v>
      </c>
      <c r="C132" s="1837" t="s">
        <v>410</v>
      </c>
      <c r="D132" s="1837">
        <v>38337481846</v>
      </c>
      <c r="E132" s="1838">
        <v>45756</v>
      </c>
      <c r="F132" s="1838" t="s">
        <v>499</v>
      </c>
      <c r="G132" s="1837" t="s">
        <v>500</v>
      </c>
      <c r="H132" s="1837" t="s">
        <v>502</v>
      </c>
      <c r="I132" s="1831" t="s">
        <v>468</v>
      </c>
      <c r="J132" s="1831" t="s">
        <v>382</v>
      </c>
    </row>
    <row r="133" spans="1:10" ht="15" hidden="1" x14ac:dyDescent="0.35">
      <c r="A133" s="139">
        <v>22669</v>
      </c>
      <c r="B133" s="138" t="s">
        <v>612</v>
      </c>
      <c r="C133" s="138" t="s">
        <v>416</v>
      </c>
      <c r="D133" s="138">
        <v>12347902709</v>
      </c>
      <c r="E133" s="140">
        <v>45859</v>
      </c>
      <c r="F133" s="140">
        <v>45931</v>
      </c>
      <c r="G133" s="138" t="s">
        <v>494</v>
      </c>
      <c r="H133" s="138" t="s">
        <v>501</v>
      </c>
      <c r="I133" t="s">
        <v>496</v>
      </c>
      <c r="J133"/>
    </row>
    <row r="134" spans="1:10" ht="15" hidden="1" x14ac:dyDescent="0.35">
      <c r="A134" s="139">
        <v>21273</v>
      </c>
      <c r="B134" s="138" t="s">
        <v>613</v>
      </c>
      <c r="C134" s="138" t="s">
        <v>423</v>
      </c>
      <c r="D134" s="138">
        <v>5628222836</v>
      </c>
      <c r="E134" s="140">
        <v>45779</v>
      </c>
      <c r="F134" s="140">
        <v>45922</v>
      </c>
      <c r="G134" s="138" t="s">
        <v>494</v>
      </c>
      <c r="H134" s="138" t="s">
        <v>495</v>
      </c>
      <c r="I134" t="s">
        <v>496</v>
      </c>
      <c r="J134"/>
    </row>
    <row r="135" spans="1:10" ht="15" hidden="1" x14ac:dyDescent="0.35">
      <c r="A135" s="1832">
        <v>21785</v>
      </c>
      <c r="B135" s="1837" t="s">
        <v>572</v>
      </c>
      <c r="C135" s="1837" t="s">
        <v>416</v>
      </c>
      <c r="D135" s="1837">
        <v>17825084730</v>
      </c>
      <c r="E135" s="1838">
        <v>45810</v>
      </c>
      <c r="F135" s="1838" t="s">
        <v>499</v>
      </c>
      <c r="G135" s="1837" t="s">
        <v>500</v>
      </c>
      <c r="H135" s="1837" t="s">
        <v>501</v>
      </c>
      <c r="I135" s="1831" t="s">
        <v>496</v>
      </c>
      <c r="J135" s="1831" t="s">
        <v>4777</v>
      </c>
    </row>
    <row r="136" spans="1:10" s="1829" customFormat="1" ht="15" hidden="1" x14ac:dyDescent="0.35">
      <c r="A136" s="1832">
        <v>23604</v>
      </c>
      <c r="B136" s="1837" t="s">
        <v>198</v>
      </c>
      <c r="C136" s="1837" t="s">
        <v>411</v>
      </c>
      <c r="D136" s="1837">
        <v>13934462723</v>
      </c>
      <c r="E136" s="1838">
        <v>45943</v>
      </c>
      <c r="F136" s="1838" t="s">
        <v>499</v>
      </c>
      <c r="G136" s="1837" t="s">
        <v>500</v>
      </c>
      <c r="H136" s="1837" t="s">
        <v>502</v>
      </c>
      <c r="I136" s="1831" t="s">
        <v>468</v>
      </c>
      <c r="J136" s="1831" t="s">
        <v>5452</v>
      </c>
    </row>
    <row r="137" spans="1:10" ht="15" hidden="1" x14ac:dyDescent="0.35">
      <c r="A137" s="139">
        <v>22511</v>
      </c>
      <c r="B137" s="138" t="s">
        <v>615</v>
      </c>
      <c r="C137" s="138" t="s">
        <v>606</v>
      </c>
      <c r="D137" s="138">
        <v>497783312</v>
      </c>
      <c r="E137" s="140">
        <v>45852</v>
      </c>
      <c r="F137" s="140">
        <v>45883</v>
      </c>
      <c r="G137" s="138" t="s">
        <v>494</v>
      </c>
      <c r="H137" s="138" t="s">
        <v>495</v>
      </c>
      <c r="I137" t="s">
        <v>496</v>
      </c>
      <c r="J137"/>
    </row>
    <row r="138" spans="1:10" ht="15" hidden="1" x14ac:dyDescent="0.35">
      <c r="A138" s="139">
        <v>21399</v>
      </c>
      <c r="B138" s="138" t="s">
        <v>616</v>
      </c>
      <c r="C138" s="138" t="s">
        <v>407</v>
      </c>
      <c r="D138" s="138">
        <v>83232885500</v>
      </c>
      <c r="E138" s="140">
        <v>45783</v>
      </c>
      <c r="F138" s="140">
        <v>45870</v>
      </c>
      <c r="G138" s="138" t="s">
        <v>494</v>
      </c>
      <c r="H138" s="138" t="s">
        <v>502</v>
      </c>
      <c r="I138"/>
      <c r="J138"/>
    </row>
    <row r="139" spans="1:10" ht="15" hidden="1" x14ac:dyDescent="0.35">
      <c r="A139" s="1832">
        <v>24237</v>
      </c>
      <c r="B139" s="1837" t="s">
        <v>583</v>
      </c>
      <c r="C139" s="1837" t="s">
        <v>416</v>
      </c>
      <c r="D139" s="1837">
        <v>16636450789</v>
      </c>
      <c r="E139" s="1838">
        <v>46084</v>
      </c>
      <c r="F139" s="1838" t="s">
        <v>499</v>
      </c>
      <c r="G139" s="1837" t="s">
        <v>500</v>
      </c>
      <c r="H139" s="1837" t="s">
        <v>501</v>
      </c>
      <c r="I139" s="1831" t="s">
        <v>496</v>
      </c>
      <c r="J139" s="1831" t="s">
        <v>4777</v>
      </c>
    </row>
    <row r="140" spans="1:10" ht="15" hidden="1" x14ac:dyDescent="0.35">
      <c r="A140" s="1832">
        <v>21146</v>
      </c>
      <c r="B140" s="1837" t="s">
        <v>602</v>
      </c>
      <c r="C140" s="1837" t="s">
        <v>416</v>
      </c>
      <c r="D140" s="1837">
        <v>19098108784</v>
      </c>
      <c r="E140" s="1838">
        <v>45772</v>
      </c>
      <c r="F140" s="1838" t="s">
        <v>499</v>
      </c>
      <c r="G140" s="1837" t="s">
        <v>500</v>
      </c>
      <c r="H140" s="1837" t="s">
        <v>501</v>
      </c>
      <c r="I140" s="1831" t="s">
        <v>496</v>
      </c>
      <c r="J140" s="1831" t="s">
        <v>4777</v>
      </c>
    </row>
    <row r="141" spans="1:10" ht="15" hidden="1" x14ac:dyDescent="0.35">
      <c r="A141" s="1832">
        <v>24222</v>
      </c>
      <c r="B141" s="1837" t="s">
        <v>607</v>
      </c>
      <c r="C141" s="1837" t="s">
        <v>416</v>
      </c>
      <c r="D141" s="1837">
        <v>6492787714</v>
      </c>
      <c r="E141" s="1838">
        <v>46083</v>
      </c>
      <c r="F141" s="1838" t="s">
        <v>499</v>
      </c>
      <c r="G141" s="1837" t="s">
        <v>500</v>
      </c>
      <c r="H141" s="1837" t="s">
        <v>501</v>
      </c>
      <c r="I141" s="1831" t="s">
        <v>496</v>
      </c>
      <c r="J141" s="1831" t="s">
        <v>4777</v>
      </c>
    </row>
    <row r="142" spans="1:10" ht="15" hidden="1" x14ac:dyDescent="0.35">
      <c r="A142" s="1832">
        <v>21832</v>
      </c>
      <c r="B142" s="1837" t="s">
        <v>637</v>
      </c>
      <c r="C142" s="1837" t="s">
        <v>416</v>
      </c>
      <c r="D142" s="1837">
        <v>5715712475</v>
      </c>
      <c r="E142" s="1838">
        <v>45810</v>
      </c>
      <c r="F142" s="1838" t="s">
        <v>499</v>
      </c>
      <c r="G142" s="1837" t="s">
        <v>500</v>
      </c>
      <c r="H142" s="1837" t="s">
        <v>501</v>
      </c>
      <c r="I142" s="1831" t="s">
        <v>496</v>
      </c>
      <c r="J142" s="1831" t="s">
        <v>4777</v>
      </c>
    </row>
    <row r="143" spans="1:10" ht="15" hidden="1" x14ac:dyDescent="0.35">
      <c r="A143" s="139">
        <v>21237</v>
      </c>
      <c r="B143" s="138" t="s">
        <v>622</v>
      </c>
      <c r="C143" s="138" t="s">
        <v>417</v>
      </c>
      <c r="D143" s="138">
        <v>13408892776</v>
      </c>
      <c r="E143" s="140">
        <v>45772</v>
      </c>
      <c r="F143" s="140">
        <v>46059</v>
      </c>
      <c r="G143" s="138" t="s">
        <v>494</v>
      </c>
      <c r="H143" s="138" t="s">
        <v>502</v>
      </c>
      <c r="I143"/>
      <c r="J143"/>
    </row>
    <row r="144" spans="1:10" ht="15" hidden="1" x14ac:dyDescent="0.35">
      <c r="A144" s="1832">
        <v>24227</v>
      </c>
      <c r="B144" s="1837" t="s">
        <v>649</v>
      </c>
      <c r="C144" s="1837" t="s">
        <v>416</v>
      </c>
      <c r="D144" s="1837">
        <v>19012471710</v>
      </c>
      <c r="E144" s="1838">
        <v>46084</v>
      </c>
      <c r="F144" s="1838" t="s">
        <v>499</v>
      </c>
      <c r="G144" s="1837" t="s">
        <v>500</v>
      </c>
      <c r="H144" s="1837" t="s">
        <v>501</v>
      </c>
      <c r="I144" s="1831" t="s">
        <v>496</v>
      </c>
      <c r="J144" s="1831" t="s">
        <v>4777</v>
      </c>
    </row>
    <row r="145" spans="1:10" ht="15" hidden="1" x14ac:dyDescent="0.35">
      <c r="A145" s="1832">
        <v>21976</v>
      </c>
      <c r="B145" s="1837" t="s">
        <v>659</v>
      </c>
      <c r="C145" s="1837" t="s">
        <v>416</v>
      </c>
      <c r="D145" s="1837">
        <v>10155223780</v>
      </c>
      <c r="E145" s="1838">
        <v>45824</v>
      </c>
      <c r="F145" s="1838" t="s">
        <v>499</v>
      </c>
      <c r="G145" s="1837" t="s">
        <v>500</v>
      </c>
      <c r="H145" s="1837" t="s">
        <v>501</v>
      </c>
      <c r="I145" s="1831" t="s">
        <v>496</v>
      </c>
      <c r="J145" s="1831" t="s">
        <v>4777</v>
      </c>
    </row>
    <row r="146" spans="1:10" ht="15" hidden="1" x14ac:dyDescent="0.35">
      <c r="A146" s="139">
        <v>21586</v>
      </c>
      <c r="B146" s="138" t="s">
        <v>626</v>
      </c>
      <c r="C146" s="138" t="s">
        <v>544</v>
      </c>
      <c r="D146" s="138">
        <v>15917604703</v>
      </c>
      <c r="E146" s="140">
        <v>45790</v>
      </c>
      <c r="F146" s="140">
        <v>45889</v>
      </c>
      <c r="G146" s="138" t="s">
        <v>494</v>
      </c>
      <c r="H146" s="138" t="s">
        <v>495</v>
      </c>
      <c r="I146" t="s">
        <v>496</v>
      </c>
      <c r="J146"/>
    </row>
    <row r="147" spans="1:10" s="1829" customFormat="1" ht="15" hidden="1" x14ac:dyDescent="0.35">
      <c r="A147" s="1832">
        <v>21023</v>
      </c>
      <c r="B147" s="1837" t="s">
        <v>109</v>
      </c>
      <c r="C147" s="1837" t="s">
        <v>411</v>
      </c>
      <c r="D147" s="1837">
        <v>17297976792</v>
      </c>
      <c r="E147" s="1838">
        <v>45762</v>
      </c>
      <c r="F147" s="1838" t="s">
        <v>499</v>
      </c>
      <c r="G147" s="1837" t="s">
        <v>500</v>
      </c>
      <c r="H147" s="1837" t="s">
        <v>502</v>
      </c>
      <c r="I147" s="1831" t="s">
        <v>468</v>
      </c>
      <c r="J147" s="1831" t="s">
        <v>377</v>
      </c>
    </row>
    <row r="148" spans="1:10" s="1829" customFormat="1" ht="15" hidden="1" x14ac:dyDescent="0.35">
      <c r="A148" s="1832">
        <v>23603</v>
      </c>
      <c r="B148" s="1837" t="s">
        <v>100</v>
      </c>
      <c r="C148" s="1837" t="s">
        <v>411</v>
      </c>
      <c r="D148" s="1837">
        <v>18433083716</v>
      </c>
      <c r="E148" s="1838">
        <v>45943</v>
      </c>
      <c r="F148" s="1838" t="s">
        <v>499</v>
      </c>
      <c r="G148" s="1837" t="s">
        <v>500</v>
      </c>
      <c r="H148" s="1837" t="s">
        <v>502</v>
      </c>
      <c r="I148" s="1831" t="s">
        <v>468</v>
      </c>
      <c r="J148" s="1831" t="s">
        <v>377</v>
      </c>
    </row>
    <row r="149" spans="1:10" ht="15" hidden="1" x14ac:dyDescent="0.35">
      <c r="A149" s="1832">
        <v>22475</v>
      </c>
      <c r="B149" s="1837" t="s">
        <v>676</v>
      </c>
      <c r="C149" s="1837" t="s">
        <v>416</v>
      </c>
      <c r="D149" s="1837">
        <v>18639609705</v>
      </c>
      <c r="E149" s="1838">
        <v>45849</v>
      </c>
      <c r="F149" s="1838" t="s">
        <v>499</v>
      </c>
      <c r="G149" s="1837" t="s">
        <v>500</v>
      </c>
      <c r="H149" s="1837" t="s">
        <v>501</v>
      </c>
      <c r="I149" s="1831" t="s">
        <v>496</v>
      </c>
      <c r="J149" s="1831" t="s">
        <v>4777</v>
      </c>
    </row>
    <row r="150" spans="1:10" ht="15" hidden="1" x14ac:dyDescent="0.35">
      <c r="A150" s="139">
        <v>21744</v>
      </c>
      <c r="B150" s="138" t="s">
        <v>628</v>
      </c>
      <c r="C150" s="138" t="s">
        <v>439</v>
      </c>
      <c r="D150" s="138">
        <v>12318679738</v>
      </c>
      <c r="E150" s="140">
        <v>45810</v>
      </c>
      <c r="F150" s="140">
        <v>45825</v>
      </c>
      <c r="G150" s="138" t="s">
        <v>494</v>
      </c>
      <c r="H150" s="138" t="s">
        <v>502</v>
      </c>
      <c r="I150"/>
      <c r="J150"/>
    </row>
    <row r="151" spans="1:10" ht="15" hidden="1" x14ac:dyDescent="0.35">
      <c r="A151" s="1832">
        <v>21196</v>
      </c>
      <c r="B151" s="1837" t="s">
        <v>702</v>
      </c>
      <c r="C151" s="1837" t="s">
        <v>416</v>
      </c>
      <c r="D151" s="1837">
        <v>14610317702</v>
      </c>
      <c r="E151" s="1838">
        <v>45772</v>
      </c>
      <c r="F151" s="1838" t="s">
        <v>499</v>
      </c>
      <c r="G151" s="1837" t="s">
        <v>500</v>
      </c>
      <c r="H151" s="1837" t="s">
        <v>501</v>
      </c>
      <c r="I151" s="1831" t="s">
        <v>496</v>
      </c>
      <c r="J151" s="1831" t="s">
        <v>4777</v>
      </c>
    </row>
    <row r="152" spans="1:10" ht="15" hidden="1" x14ac:dyDescent="0.35">
      <c r="A152" s="139">
        <v>21066</v>
      </c>
      <c r="B152" s="138" t="s">
        <v>630</v>
      </c>
      <c r="C152" s="138" t="s">
        <v>426</v>
      </c>
      <c r="D152" s="138">
        <v>15023272796</v>
      </c>
      <c r="E152" s="140">
        <v>45763</v>
      </c>
      <c r="F152" s="140">
        <v>45974</v>
      </c>
      <c r="G152" s="138" t="s">
        <v>494</v>
      </c>
      <c r="H152" s="138" t="s">
        <v>502</v>
      </c>
      <c r="I152"/>
      <c r="J152"/>
    </row>
    <row r="153" spans="1:10" ht="15" hidden="1" x14ac:dyDescent="0.35">
      <c r="A153" s="139">
        <v>21022</v>
      </c>
      <c r="B153" s="138" t="s">
        <v>631</v>
      </c>
      <c r="C153" s="138" t="s">
        <v>444</v>
      </c>
      <c r="D153" s="138">
        <v>13825634779</v>
      </c>
      <c r="E153" s="140">
        <v>45762</v>
      </c>
      <c r="F153" s="140">
        <v>45873</v>
      </c>
      <c r="G153" s="138" t="s">
        <v>494</v>
      </c>
      <c r="H153" s="138" t="s">
        <v>502</v>
      </c>
      <c r="I153"/>
      <c r="J153"/>
    </row>
    <row r="154" spans="1:10" ht="15" hidden="1" x14ac:dyDescent="0.35">
      <c r="A154" s="1832">
        <v>23252</v>
      </c>
      <c r="B154" s="1837" t="s">
        <v>716</v>
      </c>
      <c r="C154" s="1837" t="s">
        <v>416</v>
      </c>
      <c r="D154" s="1837">
        <v>11653112409</v>
      </c>
      <c r="E154" s="1838">
        <v>45912</v>
      </c>
      <c r="F154" s="1838" t="s">
        <v>499</v>
      </c>
      <c r="G154" s="1837" t="s">
        <v>500</v>
      </c>
      <c r="H154" s="1837" t="s">
        <v>501</v>
      </c>
      <c r="I154" s="1831" t="s">
        <v>496</v>
      </c>
      <c r="J154" s="1831" t="s">
        <v>4777</v>
      </c>
    </row>
    <row r="155" spans="1:10" s="10" customFormat="1" ht="15" hidden="1" x14ac:dyDescent="0.35">
      <c r="A155" s="169">
        <v>21809</v>
      </c>
      <c r="B155" s="170" t="s">
        <v>633</v>
      </c>
      <c r="C155" s="170" t="s">
        <v>406</v>
      </c>
      <c r="D155" s="170">
        <v>13391184752</v>
      </c>
      <c r="E155" s="171">
        <v>45810</v>
      </c>
      <c r="F155" s="171" t="s">
        <v>499</v>
      </c>
      <c r="G155" s="170" t="s">
        <v>634</v>
      </c>
      <c r="H155" s="170" t="s">
        <v>495</v>
      </c>
      <c r="I155" s="10" t="s">
        <v>496</v>
      </c>
    </row>
    <row r="156" spans="1:10" s="1829" customFormat="1" ht="15" hidden="1" x14ac:dyDescent="0.35">
      <c r="A156" s="1832">
        <v>24778</v>
      </c>
      <c r="B156" s="1837" t="s">
        <v>92</v>
      </c>
      <c r="C156" s="1837" t="s">
        <v>412</v>
      </c>
      <c r="D156" s="1837">
        <v>6229803518</v>
      </c>
      <c r="E156" s="1838">
        <v>46128</v>
      </c>
      <c r="F156" s="1838" t="s">
        <v>499</v>
      </c>
      <c r="G156" s="1837" t="s">
        <v>500</v>
      </c>
      <c r="H156" s="1837" t="s">
        <v>502</v>
      </c>
      <c r="I156" s="1831" t="s">
        <v>469</v>
      </c>
      <c r="J156" s="1831" t="s">
        <v>5451</v>
      </c>
    </row>
    <row r="157" spans="1:10" ht="15" hidden="1" x14ac:dyDescent="0.35">
      <c r="A157" s="139">
        <v>21912</v>
      </c>
      <c r="B157" s="138" t="s">
        <v>635</v>
      </c>
      <c r="C157" s="138" t="s">
        <v>549</v>
      </c>
      <c r="D157" s="138">
        <v>19957435779</v>
      </c>
      <c r="E157" s="140">
        <v>45820</v>
      </c>
      <c r="F157" s="140">
        <v>45922</v>
      </c>
      <c r="G157" s="138" t="s">
        <v>494</v>
      </c>
      <c r="H157" s="138" t="s">
        <v>495</v>
      </c>
      <c r="I157" t="s">
        <v>496</v>
      </c>
      <c r="J157"/>
    </row>
    <row r="158" spans="1:10" ht="15" hidden="1" x14ac:dyDescent="0.35">
      <c r="A158" s="139">
        <v>21289</v>
      </c>
      <c r="B158" s="138" t="s">
        <v>636</v>
      </c>
      <c r="C158" s="138" t="s">
        <v>406</v>
      </c>
      <c r="D158" s="138">
        <v>15917091722</v>
      </c>
      <c r="E158" s="140">
        <v>45779</v>
      </c>
      <c r="F158" s="140">
        <v>45842</v>
      </c>
      <c r="G158" s="138" t="s">
        <v>494</v>
      </c>
      <c r="H158" s="138" t="s">
        <v>495</v>
      </c>
      <c r="I158" t="s">
        <v>496</v>
      </c>
      <c r="J158"/>
    </row>
    <row r="159" spans="1:10" ht="15" hidden="1" x14ac:dyDescent="0.35">
      <c r="A159" s="1832">
        <v>21583</v>
      </c>
      <c r="B159" s="1837" t="s">
        <v>727</v>
      </c>
      <c r="C159" s="1837" t="s">
        <v>416</v>
      </c>
      <c r="D159" s="1837">
        <v>7351981795</v>
      </c>
      <c r="E159" s="1838">
        <v>45790</v>
      </c>
      <c r="F159" s="1838" t="s">
        <v>499</v>
      </c>
      <c r="G159" s="1837" t="s">
        <v>500</v>
      </c>
      <c r="H159" s="1837" t="s">
        <v>501</v>
      </c>
      <c r="I159" s="1831" t="s">
        <v>496</v>
      </c>
      <c r="J159" s="1831" t="s">
        <v>4777</v>
      </c>
    </row>
    <row r="160" spans="1:10" ht="15" hidden="1" x14ac:dyDescent="0.35">
      <c r="A160" s="139">
        <v>22663</v>
      </c>
      <c r="B160" s="138" t="s">
        <v>638</v>
      </c>
      <c r="C160" s="138" t="s">
        <v>408</v>
      </c>
      <c r="D160" s="138">
        <v>19483041716</v>
      </c>
      <c r="E160" s="140">
        <v>45859</v>
      </c>
      <c r="F160" s="140">
        <v>45972</v>
      </c>
      <c r="G160" s="138" t="s">
        <v>494</v>
      </c>
      <c r="H160" s="138" t="s">
        <v>495</v>
      </c>
      <c r="I160" t="s">
        <v>496</v>
      </c>
      <c r="J160"/>
    </row>
    <row r="161" spans="1:10" ht="15" hidden="1" x14ac:dyDescent="0.35">
      <c r="A161" s="1832">
        <v>21797</v>
      </c>
      <c r="B161" s="1837" t="s">
        <v>740</v>
      </c>
      <c r="C161" s="1837" t="s">
        <v>416</v>
      </c>
      <c r="D161" s="1837">
        <v>14073705709</v>
      </c>
      <c r="E161" s="1838">
        <v>45810</v>
      </c>
      <c r="F161" s="1838" t="s">
        <v>499</v>
      </c>
      <c r="G161" s="1837" t="s">
        <v>500</v>
      </c>
      <c r="H161" s="1837" t="s">
        <v>501</v>
      </c>
      <c r="I161" s="1831" t="s">
        <v>496</v>
      </c>
      <c r="J161" s="1831" t="s">
        <v>4777</v>
      </c>
    </row>
    <row r="162" spans="1:10" ht="15" hidden="1" x14ac:dyDescent="0.35">
      <c r="A162" s="139">
        <v>20773</v>
      </c>
      <c r="B162" s="138" t="s">
        <v>640</v>
      </c>
      <c r="C162" s="138" t="s">
        <v>441</v>
      </c>
      <c r="D162" s="138">
        <v>15858173764</v>
      </c>
      <c r="E162" s="140">
        <v>45756</v>
      </c>
      <c r="F162" s="140">
        <v>45996</v>
      </c>
      <c r="G162" s="138" t="s">
        <v>494</v>
      </c>
      <c r="H162" s="138" t="s">
        <v>508</v>
      </c>
      <c r="I162"/>
      <c r="J162"/>
    </row>
    <row r="163" spans="1:10" ht="15" hidden="1" x14ac:dyDescent="0.35">
      <c r="A163" s="1832">
        <v>21193</v>
      </c>
      <c r="B163" s="1837" t="s">
        <v>750</v>
      </c>
      <c r="C163" s="1837" t="s">
        <v>416</v>
      </c>
      <c r="D163" s="1837">
        <v>15186349747</v>
      </c>
      <c r="E163" s="1838">
        <v>45772</v>
      </c>
      <c r="F163" s="1838" t="s">
        <v>499</v>
      </c>
      <c r="G163" s="1837" t="s">
        <v>500</v>
      </c>
      <c r="H163" s="1837" t="s">
        <v>501</v>
      </c>
      <c r="I163" s="1831" t="s">
        <v>496</v>
      </c>
      <c r="J163" s="1831" t="s">
        <v>4777</v>
      </c>
    </row>
    <row r="164" spans="1:10" ht="15" hidden="1" x14ac:dyDescent="0.35">
      <c r="A164" s="139">
        <v>22021</v>
      </c>
      <c r="B164" s="138" t="s">
        <v>643</v>
      </c>
      <c r="C164" s="138" t="s">
        <v>625</v>
      </c>
      <c r="D164" s="138">
        <v>6228561707</v>
      </c>
      <c r="E164" s="140">
        <v>45826</v>
      </c>
      <c r="F164" s="140">
        <v>45903</v>
      </c>
      <c r="G164" s="138" t="s">
        <v>494</v>
      </c>
      <c r="H164" s="138" t="s">
        <v>495</v>
      </c>
      <c r="I164" t="s">
        <v>496</v>
      </c>
      <c r="J164"/>
    </row>
    <row r="165" spans="1:10" ht="15" hidden="1" x14ac:dyDescent="0.35">
      <c r="A165" s="1832">
        <v>24228</v>
      </c>
      <c r="B165" s="1837" t="s">
        <v>770</v>
      </c>
      <c r="C165" s="1837" t="s">
        <v>416</v>
      </c>
      <c r="D165" s="1837">
        <v>17195168719</v>
      </c>
      <c r="E165" s="1838">
        <v>46084</v>
      </c>
      <c r="F165" s="1838" t="s">
        <v>499</v>
      </c>
      <c r="G165" s="1837" t="s">
        <v>500</v>
      </c>
      <c r="H165" s="1837" t="s">
        <v>501</v>
      </c>
      <c r="I165" s="1831" t="s">
        <v>496</v>
      </c>
      <c r="J165" s="1831" t="s">
        <v>4777</v>
      </c>
    </row>
    <row r="166" spans="1:10" s="10" customFormat="1" ht="15" hidden="1" x14ac:dyDescent="0.35">
      <c r="A166" s="169">
        <v>21161</v>
      </c>
      <c r="B166" s="170" t="s">
        <v>645</v>
      </c>
      <c r="C166" s="170" t="s">
        <v>408</v>
      </c>
      <c r="D166" s="170">
        <v>20356721710</v>
      </c>
      <c r="E166" s="171">
        <v>45772</v>
      </c>
      <c r="F166" s="171" t="s">
        <v>499</v>
      </c>
      <c r="G166" s="170" t="s">
        <v>634</v>
      </c>
      <c r="H166" s="170" t="s">
        <v>495</v>
      </c>
      <c r="I166" s="10" t="s">
        <v>496</v>
      </c>
    </row>
    <row r="167" spans="1:10" s="1829" customFormat="1" ht="15" hidden="1" x14ac:dyDescent="0.35">
      <c r="A167" s="1832">
        <v>23899</v>
      </c>
      <c r="B167" s="1837" t="s">
        <v>98</v>
      </c>
      <c r="C167" s="1837" t="s">
        <v>412</v>
      </c>
      <c r="D167" s="1837">
        <v>15599312720</v>
      </c>
      <c r="E167" s="1838">
        <v>45994</v>
      </c>
      <c r="F167" s="1838" t="s">
        <v>499</v>
      </c>
      <c r="G167" s="1837" t="s">
        <v>500</v>
      </c>
      <c r="H167" s="1837" t="s">
        <v>502</v>
      </c>
      <c r="I167" s="1831" t="s">
        <v>468</v>
      </c>
      <c r="J167" s="1831" t="s">
        <v>376</v>
      </c>
    </row>
    <row r="168" spans="1:10" ht="15" hidden="1" x14ac:dyDescent="0.35">
      <c r="A168" s="1832">
        <v>21203</v>
      </c>
      <c r="B168" s="1837" t="s">
        <v>787</v>
      </c>
      <c r="C168" s="1837" t="s">
        <v>416</v>
      </c>
      <c r="D168" s="1837">
        <v>19731613706</v>
      </c>
      <c r="E168" s="1838">
        <v>45772</v>
      </c>
      <c r="F168" s="1838" t="s">
        <v>499</v>
      </c>
      <c r="G168" s="1837" t="s">
        <v>500</v>
      </c>
      <c r="H168" s="1837" t="s">
        <v>501</v>
      </c>
      <c r="I168" s="1831" t="s">
        <v>496</v>
      </c>
      <c r="J168" s="1831" t="s">
        <v>4777</v>
      </c>
    </row>
    <row r="169" spans="1:10" s="1829" customFormat="1" ht="15" hidden="1" x14ac:dyDescent="0.35">
      <c r="A169" s="1832">
        <v>24764</v>
      </c>
      <c r="B169" s="1837" t="s">
        <v>102</v>
      </c>
      <c r="C169" s="1837" t="s">
        <v>413</v>
      </c>
      <c r="D169" s="1837">
        <v>12722068664</v>
      </c>
      <c r="E169" s="1838">
        <v>46127</v>
      </c>
      <c r="F169" s="1838" t="s">
        <v>499</v>
      </c>
      <c r="G169" s="1837" t="s">
        <v>500</v>
      </c>
      <c r="H169" s="1837" t="s">
        <v>508</v>
      </c>
      <c r="I169" s="1831" t="s">
        <v>468</v>
      </c>
      <c r="J169" s="1831" t="s">
        <v>113</v>
      </c>
    </row>
    <row r="170" spans="1:10" ht="15" hidden="1" x14ac:dyDescent="0.35">
      <c r="A170" s="1832">
        <v>24232</v>
      </c>
      <c r="B170" s="1837" t="s">
        <v>788</v>
      </c>
      <c r="C170" s="1837" t="s">
        <v>416</v>
      </c>
      <c r="D170" s="1837">
        <v>11637478747</v>
      </c>
      <c r="E170" s="1838">
        <v>46084</v>
      </c>
      <c r="F170" s="1838" t="s">
        <v>499</v>
      </c>
      <c r="G170" s="1837" t="s">
        <v>500</v>
      </c>
      <c r="H170" s="1837" t="s">
        <v>501</v>
      </c>
      <c r="I170" s="1831" t="s">
        <v>496</v>
      </c>
      <c r="J170" s="1831" t="s">
        <v>4777</v>
      </c>
    </row>
    <row r="171" spans="1:10" s="1829" customFormat="1" ht="15" hidden="1" x14ac:dyDescent="0.35">
      <c r="A171" s="1832">
        <v>22352</v>
      </c>
      <c r="B171" s="1837" t="s">
        <v>95</v>
      </c>
      <c r="C171" s="1837" t="s">
        <v>413</v>
      </c>
      <c r="D171" s="1837">
        <v>12519625724</v>
      </c>
      <c r="E171" s="1838">
        <v>45840</v>
      </c>
      <c r="F171" s="1838" t="s">
        <v>499</v>
      </c>
      <c r="G171" s="1837" t="s">
        <v>500</v>
      </c>
      <c r="H171" s="1837" t="s">
        <v>502</v>
      </c>
      <c r="I171" s="1831" t="s">
        <v>468</v>
      </c>
      <c r="J171" s="1831" t="s">
        <v>113</v>
      </c>
    </row>
    <row r="172" spans="1:10" ht="15" hidden="1" x14ac:dyDescent="0.35">
      <c r="A172" s="139">
        <v>20711</v>
      </c>
      <c r="B172" s="138" t="s">
        <v>648</v>
      </c>
      <c r="C172" s="138" t="s">
        <v>457</v>
      </c>
      <c r="D172" s="138">
        <v>10234092750</v>
      </c>
      <c r="E172" s="140">
        <v>45751</v>
      </c>
      <c r="F172" s="140">
        <v>46055</v>
      </c>
      <c r="G172" s="138" t="s">
        <v>494</v>
      </c>
      <c r="H172" s="138" t="s">
        <v>502</v>
      </c>
      <c r="I172"/>
      <c r="J172"/>
    </row>
    <row r="173" spans="1:10" ht="15" hidden="1" x14ac:dyDescent="0.35">
      <c r="A173" s="1832">
        <v>21158</v>
      </c>
      <c r="B173" s="1837" t="s">
        <v>790</v>
      </c>
      <c r="C173" s="1837" t="s">
        <v>416</v>
      </c>
      <c r="D173" s="1837">
        <v>18138091789</v>
      </c>
      <c r="E173" s="1838">
        <v>45772</v>
      </c>
      <c r="F173" s="1838" t="s">
        <v>499</v>
      </c>
      <c r="G173" s="1837" t="s">
        <v>500</v>
      </c>
      <c r="H173" s="1837" t="s">
        <v>501</v>
      </c>
      <c r="I173" s="1831" t="s">
        <v>496</v>
      </c>
      <c r="J173" s="1831" t="s">
        <v>4777</v>
      </c>
    </row>
    <row r="174" spans="1:10" ht="15" hidden="1" x14ac:dyDescent="0.35">
      <c r="A174" s="139">
        <v>21552</v>
      </c>
      <c r="B174" s="138" t="s">
        <v>650</v>
      </c>
      <c r="C174" s="138" t="s">
        <v>416</v>
      </c>
      <c r="D174" s="138">
        <v>16650374741</v>
      </c>
      <c r="E174" s="140">
        <v>45785</v>
      </c>
      <c r="F174" s="140">
        <v>46094</v>
      </c>
      <c r="G174" s="138" t="s">
        <v>494</v>
      </c>
      <c r="H174" s="138" t="s">
        <v>501</v>
      </c>
      <c r="I174" t="s">
        <v>496</v>
      </c>
      <c r="J174"/>
    </row>
    <row r="175" spans="1:10" ht="15" hidden="1" x14ac:dyDescent="0.35">
      <c r="A175" s="139">
        <v>21800</v>
      </c>
      <c r="B175" s="138" t="s">
        <v>651</v>
      </c>
      <c r="C175" s="138" t="s">
        <v>406</v>
      </c>
      <c r="D175" s="138">
        <v>85993762500</v>
      </c>
      <c r="E175" s="140">
        <v>45810</v>
      </c>
      <c r="F175" s="140">
        <v>46092</v>
      </c>
      <c r="G175" s="138" t="s">
        <v>494</v>
      </c>
      <c r="H175" s="138" t="s">
        <v>495</v>
      </c>
      <c r="I175" t="s">
        <v>496</v>
      </c>
      <c r="J175"/>
    </row>
    <row r="176" spans="1:10" ht="15" hidden="1" x14ac:dyDescent="0.35">
      <c r="A176" s="1832">
        <v>21162</v>
      </c>
      <c r="B176" s="1837" t="s">
        <v>826</v>
      </c>
      <c r="C176" s="1837" t="s">
        <v>416</v>
      </c>
      <c r="D176" s="1837">
        <v>17243056709</v>
      </c>
      <c r="E176" s="1838">
        <v>45772</v>
      </c>
      <c r="F176" s="1838" t="s">
        <v>499</v>
      </c>
      <c r="G176" s="1837" t="s">
        <v>500</v>
      </c>
      <c r="H176" s="1837" t="s">
        <v>501</v>
      </c>
      <c r="I176" s="1831" t="s">
        <v>496</v>
      </c>
      <c r="J176" s="1831" t="s">
        <v>4777</v>
      </c>
    </row>
    <row r="177" spans="1:10" ht="15" hidden="1" x14ac:dyDescent="0.35">
      <c r="A177" s="1832">
        <v>21297</v>
      </c>
      <c r="B177" s="1837" t="s">
        <v>828</v>
      </c>
      <c r="C177" s="1837" t="s">
        <v>416</v>
      </c>
      <c r="D177" s="1837">
        <v>86207015509</v>
      </c>
      <c r="E177" s="1838">
        <v>45779</v>
      </c>
      <c r="F177" s="1838" t="s">
        <v>499</v>
      </c>
      <c r="G177" s="1837" t="s">
        <v>500</v>
      </c>
      <c r="H177" s="1837" t="s">
        <v>501</v>
      </c>
      <c r="I177" s="1831" t="s">
        <v>496</v>
      </c>
      <c r="J177" s="1831" t="s">
        <v>4777</v>
      </c>
    </row>
    <row r="178" spans="1:10" ht="15" hidden="1" x14ac:dyDescent="0.35">
      <c r="A178" s="1832">
        <v>22521</v>
      </c>
      <c r="B178" s="1837" t="s">
        <v>854</v>
      </c>
      <c r="C178" s="1837" t="s">
        <v>416</v>
      </c>
      <c r="D178" s="1837">
        <v>18031683743</v>
      </c>
      <c r="E178" s="1838">
        <v>45852</v>
      </c>
      <c r="F178" s="1838" t="s">
        <v>499</v>
      </c>
      <c r="G178" s="1837" t="s">
        <v>500</v>
      </c>
      <c r="H178" s="1837" t="s">
        <v>501</v>
      </c>
      <c r="I178" s="1831" t="s">
        <v>496</v>
      </c>
      <c r="J178" s="1831" t="s">
        <v>4777</v>
      </c>
    </row>
    <row r="179" spans="1:10" ht="15" hidden="1" x14ac:dyDescent="0.35">
      <c r="A179" s="1832">
        <v>21343</v>
      </c>
      <c r="B179" s="1837" t="s">
        <v>891</v>
      </c>
      <c r="C179" s="1837" t="s">
        <v>416</v>
      </c>
      <c r="D179" s="1837">
        <v>20998525707</v>
      </c>
      <c r="E179" s="1838">
        <v>45779</v>
      </c>
      <c r="F179" s="1838" t="s">
        <v>499</v>
      </c>
      <c r="G179" s="1837" t="s">
        <v>500</v>
      </c>
      <c r="H179" s="1837" t="s">
        <v>501</v>
      </c>
      <c r="I179" s="1831" t="s">
        <v>496</v>
      </c>
      <c r="J179" s="1831" t="s">
        <v>4777</v>
      </c>
    </row>
    <row r="180" spans="1:10" s="10" customFormat="1" ht="15" hidden="1" x14ac:dyDescent="0.35">
      <c r="A180" s="141">
        <v>17701</v>
      </c>
      <c r="B180" s="142" t="s">
        <v>656</v>
      </c>
      <c r="C180" s="142" t="s">
        <v>420</v>
      </c>
      <c r="D180" s="142">
        <v>1117136507</v>
      </c>
      <c r="E180" s="143">
        <v>45377</v>
      </c>
      <c r="F180" s="143" t="s">
        <v>499</v>
      </c>
      <c r="G180" s="142" t="s">
        <v>634</v>
      </c>
      <c r="H180" s="142" t="s">
        <v>508</v>
      </c>
      <c r="I180" s="10" t="s">
        <v>468</v>
      </c>
    </row>
    <row r="181" spans="1:10" s="1829" customFormat="1" ht="15" hidden="1" x14ac:dyDescent="0.35">
      <c r="A181" s="1832">
        <v>23918</v>
      </c>
      <c r="B181" s="1837" t="s">
        <v>123</v>
      </c>
      <c r="C181" s="1837" t="s">
        <v>414</v>
      </c>
      <c r="D181" s="1837">
        <v>15552008774</v>
      </c>
      <c r="E181" s="1838">
        <v>46000</v>
      </c>
      <c r="F181" s="1838" t="s">
        <v>499</v>
      </c>
      <c r="G181" s="1837" t="s">
        <v>500</v>
      </c>
      <c r="H181" s="1837" t="s">
        <v>502</v>
      </c>
      <c r="I181" s="1831" t="s">
        <v>468</v>
      </c>
      <c r="J181" s="1831" t="s">
        <v>4818</v>
      </c>
    </row>
    <row r="182" spans="1:10" s="1829" customFormat="1" ht="15" hidden="1" x14ac:dyDescent="0.35">
      <c r="A182" s="1832">
        <v>22073</v>
      </c>
      <c r="B182" s="1837" t="s">
        <v>114</v>
      </c>
      <c r="C182" s="1837" t="s">
        <v>414</v>
      </c>
      <c r="D182" s="1837">
        <v>13943485765</v>
      </c>
      <c r="E182" s="1838">
        <v>45828</v>
      </c>
      <c r="F182" s="1838" t="s">
        <v>499</v>
      </c>
      <c r="G182" s="1837" t="s">
        <v>500</v>
      </c>
      <c r="H182" s="1837" t="s">
        <v>502</v>
      </c>
      <c r="I182" s="1831" t="s">
        <v>468</v>
      </c>
      <c r="J182" s="1831" t="s">
        <v>4818</v>
      </c>
    </row>
    <row r="183" spans="1:10" ht="15" hidden="1" x14ac:dyDescent="0.35">
      <c r="A183" s="139">
        <v>22659</v>
      </c>
      <c r="B183" s="138" t="s">
        <v>657</v>
      </c>
      <c r="C183" s="138" t="s">
        <v>600</v>
      </c>
      <c r="D183" s="138">
        <v>13184847748</v>
      </c>
      <c r="E183" s="140">
        <v>45859</v>
      </c>
      <c r="F183" s="140">
        <v>45951</v>
      </c>
      <c r="G183" s="138" t="s">
        <v>494</v>
      </c>
      <c r="H183" s="138" t="s">
        <v>495</v>
      </c>
      <c r="I183" t="s">
        <v>496</v>
      </c>
      <c r="J183"/>
    </row>
    <row r="184" spans="1:10" s="10" customFormat="1" ht="15" hidden="1" x14ac:dyDescent="0.35">
      <c r="A184" s="141">
        <v>21290</v>
      </c>
      <c r="B184" s="142" t="s">
        <v>348</v>
      </c>
      <c r="C184" s="142" t="s">
        <v>410</v>
      </c>
      <c r="D184" s="142">
        <v>7550339732</v>
      </c>
      <c r="E184" s="143">
        <v>45779</v>
      </c>
      <c r="F184" s="143" t="s">
        <v>499</v>
      </c>
      <c r="G184" s="142" t="s">
        <v>634</v>
      </c>
      <c r="H184" s="142" t="s">
        <v>502</v>
      </c>
      <c r="I184" s="10" t="s">
        <v>469</v>
      </c>
    </row>
    <row r="185" spans="1:10" s="1829" customFormat="1" ht="15" hidden="1" x14ac:dyDescent="0.35">
      <c r="A185" s="1832">
        <v>20809</v>
      </c>
      <c r="B185" s="1837" t="s">
        <v>203</v>
      </c>
      <c r="C185" s="1837" t="s">
        <v>416</v>
      </c>
      <c r="D185" s="1837">
        <v>12235502733</v>
      </c>
      <c r="E185" s="1838">
        <v>45758</v>
      </c>
      <c r="F185" s="1838" t="s">
        <v>499</v>
      </c>
      <c r="G185" s="1837" t="s">
        <v>500</v>
      </c>
      <c r="H185" s="1837" t="s">
        <v>508</v>
      </c>
      <c r="I185" s="1831" t="s">
        <v>468</v>
      </c>
      <c r="J185" s="1831" t="s">
        <v>4777</v>
      </c>
    </row>
    <row r="186" spans="1:10" s="1829" customFormat="1" ht="15" hidden="1" x14ac:dyDescent="0.35">
      <c r="A186" s="1832">
        <v>24269</v>
      </c>
      <c r="B186" s="1837" t="s">
        <v>199</v>
      </c>
      <c r="C186" s="1837" t="s">
        <v>416</v>
      </c>
      <c r="D186" s="1837">
        <v>19318333706</v>
      </c>
      <c r="E186" s="1838">
        <v>46087</v>
      </c>
      <c r="F186" s="1838" t="s">
        <v>499</v>
      </c>
      <c r="G186" s="1837" t="s">
        <v>500</v>
      </c>
      <c r="H186" s="1837" t="s">
        <v>508</v>
      </c>
      <c r="I186" s="1831" t="s">
        <v>468</v>
      </c>
      <c r="J186" s="1831" t="s">
        <v>4777</v>
      </c>
    </row>
    <row r="187" spans="1:10" ht="15" hidden="1" x14ac:dyDescent="0.35">
      <c r="A187" s="139">
        <v>22541</v>
      </c>
      <c r="B187" s="138" t="s">
        <v>658</v>
      </c>
      <c r="C187" s="138" t="s">
        <v>413</v>
      </c>
      <c r="D187" s="138">
        <v>15007925780</v>
      </c>
      <c r="E187" s="140">
        <v>45854</v>
      </c>
      <c r="F187" s="140">
        <v>45919</v>
      </c>
      <c r="G187" s="138" t="s">
        <v>494</v>
      </c>
      <c r="H187" s="138" t="s">
        <v>502</v>
      </c>
      <c r="I187"/>
      <c r="J187"/>
    </row>
    <row r="188" spans="1:10" ht="15" hidden="1" x14ac:dyDescent="0.35">
      <c r="A188" s="1832">
        <v>23738</v>
      </c>
      <c r="B188" s="1837" t="s">
        <v>906</v>
      </c>
      <c r="C188" s="1837" t="s">
        <v>416</v>
      </c>
      <c r="D188" s="1837">
        <v>8910761741</v>
      </c>
      <c r="E188" s="1838">
        <v>45964</v>
      </c>
      <c r="F188" s="1838" t="s">
        <v>499</v>
      </c>
      <c r="G188" s="1837" t="s">
        <v>500</v>
      </c>
      <c r="H188" s="1837" t="s">
        <v>501</v>
      </c>
      <c r="I188" s="1831" t="s">
        <v>496</v>
      </c>
      <c r="J188" s="1831" t="s">
        <v>4777</v>
      </c>
    </row>
    <row r="189" spans="1:10" ht="15" hidden="1" x14ac:dyDescent="0.35">
      <c r="A189" s="139">
        <v>21821</v>
      </c>
      <c r="B189" s="138" t="s">
        <v>660</v>
      </c>
      <c r="C189" s="138" t="s">
        <v>441</v>
      </c>
      <c r="D189" s="138">
        <v>14172154700</v>
      </c>
      <c r="E189" s="140">
        <v>45810</v>
      </c>
      <c r="F189" s="140">
        <v>45812</v>
      </c>
      <c r="G189" s="138" t="s">
        <v>494</v>
      </c>
      <c r="H189" s="138" t="s">
        <v>501</v>
      </c>
      <c r="I189" t="s">
        <v>496</v>
      </c>
      <c r="J189"/>
    </row>
    <row r="190" spans="1:10" s="1829" customFormat="1" ht="15" hidden="1" x14ac:dyDescent="0.35">
      <c r="A190" s="1832">
        <v>21544</v>
      </c>
      <c r="B190" s="1837" t="s">
        <v>290</v>
      </c>
      <c r="C190" s="1837" t="s">
        <v>416</v>
      </c>
      <c r="D190" s="1837">
        <v>17299867737</v>
      </c>
      <c r="E190" s="1838">
        <v>45785</v>
      </c>
      <c r="F190" s="1838" t="s">
        <v>499</v>
      </c>
      <c r="G190" s="1837" t="s">
        <v>500</v>
      </c>
      <c r="H190" s="1837" t="s">
        <v>508</v>
      </c>
      <c r="I190" s="1831" t="s">
        <v>469</v>
      </c>
      <c r="J190" s="1831" t="s">
        <v>4777</v>
      </c>
    </row>
    <row r="191" spans="1:10" ht="15" hidden="1" x14ac:dyDescent="0.35">
      <c r="A191" s="1832">
        <v>21149</v>
      </c>
      <c r="B191" s="1837" t="s">
        <v>909</v>
      </c>
      <c r="C191" s="1837" t="s">
        <v>416</v>
      </c>
      <c r="D191" s="1837">
        <v>6386505778</v>
      </c>
      <c r="E191" s="1838">
        <v>45772</v>
      </c>
      <c r="F191" s="1838" t="s">
        <v>499</v>
      </c>
      <c r="G191" s="1837" t="s">
        <v>500</v>
      </c>
      <c r="H191" s="1837" t="s">
        <v>501</v>
      </c>
      <c r="I191" s="1831" t="s">
        <v>496</v>
      </c>
      <c r="J191" s="1831" t="s">
        <v>4777</v>
      </c>
    </row>
    <row r="192" spans="1:10" ht="15" hidden="1" x14ac:dyDescent="0.35">
      <c r="A192" s="139">
        <v>20768</v>
      </c>
      <c r="B192" s="138" t="s">
        <v>662</v>
      </c>
      <c r="C192" s="138" t="s">
        <v>428</v>
      </c>
      <c r="D192" s="138">
        <v>727259580</v>
      </c>
      <c r="E192" s="140">
        <v>45756</v>
      </c>
      <c r="F192" s="140">
        <v>45845</v>
      </c>
      <c r="G192" s="138" t="s">
        <v>494</v>
      </c>
      <c r="H192" s="138" t="s">
        <v>502</v>
      </c>
      <c r="I192"/>
      <c r="J192"/>
    </row>
    <row r="193" spans="1:10" ht="15" hidden="1" x14ac:dyDescent="0.35">
      <c r="A193" s="1832">
        <v>22916</v>
      </c>
      <c r="B193" s="1837" t="s">
        <v>920</v>
      </c>
      <c r="C193" s="1837" t="s">
        <v>416</v>
      </c>
      <c r="D193" s="1837">
        <v>18135844786</v>
      </c>
      <c r="E193" s="1838">
        <v>45890</v>
      </c>
      <c r="F193" s="1838" t="s">
        <v>499</v>
      </c>
      <c r="G193" s="1837" t="s">
        <v>500</v>
      </c>
      <c r="H193" s="1837" t="s">
        <v>501</v>
      </c>
      <c r="I193" s="1831" t="s">
        <v>496</v>
      </c>
      <c r="J193" s="1831" t="s">
        <v>4777</v>
      </c>
    </row>
    <row r="194" spans="1:10" s="10" customFormat="1" ht="15" hidden="1" x14ac:dyDescent="0.35">
      <c r="A194" s="141">
        <v>21216</v>
      </c>
      <c r="B194" s="142" t="s">
        <v>664</v>
      </c>
      <c r="C194" s="142" t="s">
        <v>430</v>
      </c>
      <c r="D194" s="142">
        <v>16392683755</v>
      </c>
      <c r="E194" s="143">
        <v>45772</v>
      </c>
      <c r="F194" s="143" t="s">
        <v>499</v>
      </c>
      <c r="G194" s="142" t="s">
        <v>665</v>
      </c>
      <c r="H194" s="142" t="s">
        <v>501</v>
      </c>
      <c r="I194" s="10" t="s">
        <v>496</v>
      </c>
    </row>
    <row r="195" spans="1:10" ht="15" hidden="1" x14ac:dyDescent="0.35">
      <c r="A195" s="1832">
        <v>23960</v>
      </c>
      <c r="B195" s="1837" t="s">
        <v>925</v>
      </c>
      <c r="C195" s="1837" t="s">
        <v>416</v>
      </c>
      <c r="D195" s="1837">
        <v>23182195751</v>
      </c>
      <c r="E195" s="1838">
        <v>46008</v>
      </c>
      <c r="F195" s="1838" t="s">
        <v>499</v>
      </c>
      <c r="G195" s="1837" t="s">
        <v>926</v>
      </c>
      <c r="H195" s="1837" t="s">
        <v>501</v>
      </c>
      <c r="I195" s="1831" t="s">
        <v>496</v>
      </c>
      <c r="J195" s="1831" t="s">
        <v>4777</v>
      </c>
    </row>
    <row r="196" spans="1:10" ht="15" hidden="1" x14ac:dyDescent="0.35">
      <c r="A196" s="139">
        <v>21152</v>
      </c>
      <c r="B196" s="138" t="s">
        <v>667</v>
      </c>
      <c r="C196" s="138" t="s">
        <v>405</v>
      </c>
      <c r="D196" s="138">
        <v>7950222476</v>
      </c>
      <c r="E196" s="140">
        <v>45772</v>
      </c>
      <c r="F196" s="140">
        <v>45840</v>
      </c>
      <c r="G196" s="138" t="s">
        <v>494</v>
      </c>
      <c r="H196" s="138" t="s">
        <v>495</v>
      </c>
      <c r="I196" t="s">
        <v>496</v>
      </c>
      <c r="J196"/>
    </row>
    <row r="197" spans="1:10" ht="15" hidden="1" x14ac:dyDescent="0.35">
      <c r="A197" s="1832">
        <v>23955</v>
      </c>
      <c r="B197" s="1837" t="s">
        <v>959</v>
      </c>
      <c r="C197" s="1837" t="s">
        <v>416</v>
      </c>
      <c r="D197" s="1837">
        <v>15453679735</v>
      </c>
      <c r="E197" s="1838">
        <v>46008</v>
      </c>
      <c r="F197" s="1838" t="s">
        <v>499</v>
      </c>
      <c r="G197" s="1837" t="s">
        <v>500</v>
      </c>
      <c r="H197" s="1837" t="s">
        <v>501</v>
      </c>
      <c r="I197" s="1831" t="s">
        <v>496</v>
      </c>
      <c r="J197" s="1831" t="s">
        <v>4777</v>
      </c>
    </row>
    <row r="198" spans="1:10" ht="15" hidden="1" x14ac:dyDescent="0.35">
      <c r="A198" s="1832">
        <v>21187</v>
      </c>
      <c r="B198" s="1837" t="s">
        <v>961</v>
      </c>
      <c r="C198" s="1837" t="s">
        <v>416</v>
      </c>
      <c r="D198" s="1837">
        <v>14280194726</v>
      </c>
      <c r="E198" s="1838">
        <v>45772</v>
      </c>
      <c r="F198" s="1838" t="s">
        <v>499</v>
      </c>
      <c r="G198" s="1837" t="s">
        <v>500</v>
      </c>
      <c r="H198" s="1837" t="s">
        <v>501</v>
      </c>
      <c r="I198" s="1831" t="s">
        <v>496</v>
      </c>
      <c r="J198" s="1831" t="s">
        <v>4777</v>
      </c>
    </row>
    <row r="199" spans="1:10" s="1829" customFormat="1" ht="15" hidden="1" x14ac:dyDescent="0.35">
      <c r="A199" s="1832">
        <v>23851</v>
      </c>
      <c r="B199" s="1837" t="s">
        <v>351</v>
      </c>
      <c r="C199" s="1837" t="s">
        <v>416</v>
      </c>
      <c r="D199" s="1837">
        <v>17781933745</v>
      </c>
      <c r="E199" s="1838">
        <v>45979</v>
      </c>
      <c r="F199" s="1838" t="s">
        <v>499</v>
      </c>
      <c r="G199" s="1837" t="s">
        <v>500</v>
      </c>
      <c r="H199" s="1837" t="s">
        <v>508</v>
      </c>
      <c r="I199" s="1831" t="s">
        <v>469</v>
      </c>
      <c r="J199" s="1831" t="s">
        <v>4777</v>
      </c>
    </row>
    <row r="200" spans="1:10" ht="15" hidden="1" x14ac:dyDescent="0.35">
      <c r="A200" s="1832">
        <v>21189</v>
      </c>
      <c r="B200" s="1837" t="s">
        <v>987</v>
      </c>
      <c r="C200" s="1837" t="s">
        <v>416</v>
      </c>
      <c r="D200" s="1837">
        <v>17140299722</v>
      </c>
      <c r="E200" s="1838">
        <v>45772</v>
      </c>
      <c r="F200" s="1838" t="s">
        <v>499</v>
      </c>
      <c r="G200" s="1837" t="s">
        <v>500</v>
      </c>
      <c r="H200" s="1837" t="s">
        <v>501</v>
      </c>
      <c r="I200" s="1831" t="s">
        <v>496</v>
      </c>
      <c r="J200" s="1831" t="s">
        <v>4777</v>
      </c>
    </row>
    <row r="201" spans="1:10" s="1829" customFormat="1" ht="15" hidden="1" x14ac:dyDescent="0.35">
      <c r="A201" s="1832">
        <v>23849</v>
      </c>
      <c r="B201" s="1837" t="s">
        <v>295</v>
      </c>
      <c r="C201" s="1837" t="s">
        <v>416</v>
      </c>
      <c r="D201" s="1837">
        <v>21020497793</v>
      </c>
      <c r="E201" s="1838">
        <v>45979</v>
      </c>
      <c r="F201" s="1838" t="s">
        <v>499</v>
      </c>
      <c r="G201" s="1837" t="s">
        <v>500</v>
      </c>
      <c r="H201" s="1837" t="s">
        <v>508</v>
      </c>
      <c r="I201" s="1831" t="s">
        <v>469</v>
      </c>
      <c r="J201" s="1831" t="s">
        <v>4777</v>
      </c>
    </row>
    <row r="202" spans="1:10" s="1829" customFormat="1" ht="15" hidden="1" x14ac:dyDescent="0.35">
      <c r="A202" s="1832">
        <v>23856</v>
      </c>
      <c r="B202" s="1837" t="s">
        <v>347</v>
      </c>
      <c r="C202" s="1837" t="s">
        <v>416</v>
      </c>
      <c r="D202" s="1837">
        <v>1533893705</v>
      </c>
      <c r="E202" s="1838">
        <v>45979</v>
      </c>
      <c r="F202" s="1838" t="s">
        <v>499</v>
      </c>
      <c r="G202" s="1837" t="s">
        <v>500</v>
      </c>
      <c r="H202" s="1837" t="s">
        <v>508</v>
      </c>
      <c r="I202" s="1831" t="s">
        <v>469</v>
      </c>
      <c r="J202" s="1831" t="s">
        <v>4777</v>
      </c>
    </row>
    <row r="203" spans="1:10" ht="15" hidden="1" x14ac:dyDescent="0.35">
      <c r="A203" s="1832">
        <v>21105</v>
      </c>
      <c r="B203" s="1837" t="s">
        <v>989</v>
      </c>
      <c r="C203" s="1837" t="s">
        <v>416</v>
      </c>
      <c r="D203" s="1837">
        <v>18317575756</v>
      </c>
      <c r="E203" s="1838">
        <v>45764</v>
      </c>
      <c r="F203" s="1838" t="s">
        <v>499</v>
      </c>
      <c r="G203" s="1837" t="s">
        <v>500</v>
      </c>
      <c r="H203" s="1837" t="s">
        <v>501</v>
      </c>
      <c r="I203" s="1831" t="s">
        <v>496</v>
      </c>
      <c r="J203" s="1831" t="s">
        <v>4777</v>
      </c>
    </row>
    <row r="204" spans="1:10" ht="15" hidden="1" x14ac:dyDescent="0.35">
      <c r="A204" s="1832">
        <v>21201</v>
      </c>
      <c r="B204" s="1837" t="s">
        <v>995</v>
      </c>
      <c r="C204" s="1837" t="s">
        <v>416</v>
      </c>
      <c r="D204" s="1837">
        <v>9488186704</v>
      </c>
      <c r="E204" s="1838">
        <v>45772</v>
      </c>
      <c r="F204" s="1838" t="s">
        <v>499</v>
      </c>
      <c r="G204" s="1837" t="s">
        <v>500</v>
      </c>
      <c r="H204" s="1837" t="s">
        <v>501</v>
      </c>
      <c r="I204" s="1831" t="s">
        <v>496</v>
      </c>
      <c r="J204" s="1831" t="s">
        <v>4777</v>
      </c>
    </row>
    <row r="205" spans="1:10" ht="15" hidden="1" x14ac:dyDescent="0.35">
      <c r="A205" s="139">
        <v>21891</v>
      </c>
      <c r="B205" s="138" t="s">
        <v>674</v>
      </c>
      <c r="C205" s="138" t="s">
        <v>416</v>
      </c>
      <c r="D205" s="138">
        <v>18072697790</v>
      </c>
      <c r="E205" s="140">
        <v>45818</v>
      </c>
      <c r="F205" s="140">
        <v>45951</v>
      </c>
      <c r="G205" s="138" t="s">
        <v>494</v>
      </c>
      <c r="H205" s="138" t="s">
        <v>508</v>
      </c>
      <c r="I205"/>
      <c r="J205"/>
    </row>
    <row r="206" spans="1:10" ht="15" hidden="1" x14ac:dyDescent="0.35">
      <c r="A206" s="139">
        <v>21680</v>
      </c>
      <c r="B206" s="138" t="s">
        <v>675</v>
      </c>
      <c r="C206" s="138" t="s">
        <v>420</v>
      </c>
      <c r="D206" s="138">
        <v>13002924660</v>
      </c>
      <c r="E206" s="140">
        <v>45796</v>
      </c>
      <c r="F206" s="140">
        <v>45855</v>
      </c>
      <c r="G206" s="138" t="s">
        <v>494</v>
      </c>
      <c r="H206" s="138" t="s">
        <v>508</v>
      </c>
      <c r="I206"/>
      <c r="J206"/>
    </row>
    <row r="207" spans="1:10" s="1829" customFormat="1" ht="15" hidden="1" x14ac:dyDescent="0.35">
      <c r="A207" s="1832">
        <v>23744</v>
      </c>
      <c r="B207" s="1837" t="s">
        <v>335</v>
      </c>
      <c r="C207" s="1837" t="s">
        <v>416</v>
      </c>
      <c r="D207" s="1837">
        <v>20030825733</v>
      </c>
      <c r="E207" s="1838">
        <v>45964</v>
      </c>
      <c r="F207" s="1838" t="s">
        <v>499</v>
      </c>
      <c r="G207" s="1837" t="s">
        <v>500</v>
      </c>
      <c r="H207" s="1837" t="s">
        <v>508</v>
      </c>
      <c r="I207" s="1831" t="s">
        <v>469</v>
      </c>
      <c r="J207" s="1831" t="s">
        <v>4777</v>
      </c>
    </row>
    <row r="208" spans="1:10" s="1829" customFormat="1" ht="15" hidden="1" x14ac:dyDescent="0.35">
      <c r="A208" s="1832">
        <v>23747</v>
      </c>
      <c r="B208" s="1837" t="s">
        <v>340</v>
      </c>
      <c r="C208" s="1837" t="s">
        <v>416</v>
      </c>
      <c r="D208" s="1837">
        <v>12974728707</v>
      </c>
      <c r="E208" s="1838">
        <v>45964</v>
      </c>
      <c r="F208" s="1838" t="s">
        <v>499</v>
      </c>
      <c r="G208" s="1837" t="s">
        <v>500</v>
      </c>
      <c r="H208" s="1837" t="s">
        <v>508</v>
      </c>
      <c r="I208" s="1831" t="s">
        <v>469</v>
      </c>
      <c r="J208" s="1831" t="s">
        <v>4777</v>
      </c>
    </row>
    <row r="209" spans="1:10" s="1829" customFormat="1" ht="15" hidden="1" x14ac:dyDescent="0.35">
      <c r="A209" s="1832">
        <v>22080</v>
      </c>
      <c r="B209" s="1837" t="s">
        <v>300</v>
      </c>
      <c r="C209" s="1837" t="s">
        <v>416</v>
      </c>
      <c r="D209" s="1837">
        <v>18343324781</v>
      </c>
      <c r="E209" s="1838">
        <v>45831</v>
      </c>
      <c r="F209" s="1838" t="s">
        <v>499</v>
      </c>
      <c r="G209" s="1837" t="s">
        <v>500</v>
      </c>
      <c r="H209" s="1837" t="s">
        <v>508</v>
      </c>
      <c r="I209" s="1831" t="s">
        <v>469</v>
      </c>
      <c r="J209" s="1831" t="s">
        <v>4777</v>
      </c>
    </row>
    <row r="210" spans="1:10" ht="15" hidden="1" x14ac:dyDescent="0.35">
      <c r="A210" s="1832">
        <v>21789</v>
      </c>
      <c r="B210" s="1837" t="s">
        <v>1001</v>
      </c>
      <c r="C210" s="1837" t="s">
        <v>416</v>
      </c>
      <c r="D210" s="1837">
        <v>23297935707</v>
      </c>
      <c r="E210" s="1838">
        <v>45810</v>
      </c>
      <c r="F210" s="1838" t="s">
        <v>499</v>
      </c>
      <c r="G210" s="1837" t="s">
        <v>500</v>
      </c>
      <c r="H210" s="1837" t="s">
        <v>501</v>
      </c>
      <c r="I210" s="1831" t="s">
        <v>496</v>
      </c>
      <c r="J210" s="1831" t="s">
        <v>4777</v>
      </c>
    </row>
    <row r="211" spans="1:10" ht="15" hidden="1" x14ac:dyDescent="0.35">
      <c r="A211" s="139">
        <v>21814</v>
      </c>
      <c r="B211" s="138" t="s">
        <v>677</v>
      </c>
      <c r="C211" s="138" t="s">
        <v>416</v>
      </c>
      <c r="D211" s="138">
        <v>14059979740</v>
      </c>
      <c r="E211" s="140">
        <v>45810</v>
      </c>
      <c r="F211" s="140">
        <v>45980</v>
      </c>
      <c r="G211" s="138" t="s">
        <v>494</v>
      </c>
      <c r="H211" s="138" t="s">
        <v>501</v>
      </c>
      <c r="I211" t="s">
        <v>496</v>
      </c>
      <c r="J211"/>
    </row>
    <row r="212" spans="1:10" ht="15" hidden="1" x14ac:dyDescent="0.35">
      <c r="A212" s="1832">
        <v>21547</v>
      </c>
      <c r="B212" s="1837" t="s">
        <v>1002</v>
      </c>
      <c r="C212" s="1837" t="s">
        <v>416</v>
      </c>
      <c r="D212" s="1837">
        <v>15119841716</v>
      </c>
      <c r="E212" s="1838">
        <v>45785</v>
      </c>
      <c r="F212" s="1838" t="s">
        <v>499</v>
      </c>
      <c r="G212" s="1837" t="s">
        <v>500</v>
      </c>
      <c r="H212" s="1837" t="s">
        <v>501</v>
      </c>
      <c r="I212" s="1831" t="s">
        <v>496</v>
      </c>
      <c r="J212" s="1831" t="s">
        <v>4777</v>
      </c>
    </row>
    <row r="213" spans="1:10" ht="15" hidden="1" x14ac:dyDescent="0.35">
      <c r="A213" s="1832">
        <v>23686</v>
      </c>
      <c r="B213" s="1837" t="s">
        <v>1007</v>
      </c>
      <c r="C213" s="1837" t="s">
        <v>416</v>
      </c>
      <c r="D213" s="1837">
        <v>21142597733</v>
      </c>
      <c r="E213" s="1838">
        <v>45950</v>
      </c>
      <c r="F213" s="1838" t="s">
        <v>499</v>
      </c>
      <c r="G213" s="1837" t="s">
        <v>500</v>
      </c>
      <c r="H213" s="1837" t="s">
        <v>501</v>
      </c>
      <c r="I213" s="1831" t="s">
        <v>496</v>
      </c>
      <c r="J213" s="1831" t="s">
        <v>4777</v>
      </c>
    </row>
    <row r="214" spans="1:10" ht="15" hidden="1" x14ac:dyDescent="0.35">
      <c r="A214" s="1832">
        <v>24231</v>
      </c>
      <c r="B214" s="1837" t="s">
        <v>1022</v>
      </c>
      <c r="C214" s="1837" t="s">
        <v>416</v>
      </c>
      <c r="D214" s="1837">
        <v>11550509756</v>
      </c>
      <c r="E214" s="1838">
        <v>46084</v>
      </c>
      <c r="F214" s="1838" t="s">
        <v>499</v>
      </c>
      <c r="G214" s="1837" t="s">
        <v>500</v>
      </c>
      <c r="H214" s="1837" t="s">
        <v>501</v>
      </c>
      <c r="I214" s="1831" t="s">
        <v>496</v>
      </c>
      <c r="J214" s="1831" t="s">
        <v>4777</v>
      </c>
    </row>
    <row r="215" spans="1:10" ht="15" hidden="1" x14ac:dyDescent="0.35">
      <c r="A215" s="139">
        <v>23621</v>
      </c>
      <c r="B215" s="138" t="s">
        <v>681</v>
      </c>
      <c r="C215" s="138" t="s">
        <v>439</v>
      </c>
      <c r="D215" s="138">
        <v>4779752590</v>
      </c>
      <c r="E215" s="140">
        <v>45945</v>
      </c>
      <c r="F215" s="140">
        <v>46036</v>
      </c>
      <c r="G215" s="138" t="s">
        <v>494</v>
      </c>
      <c r="H215" s="138" t="s">
        <v>502</v>
      </c>
      <c r="I215"/>
      <c r="J215"/>
    </row>
    <row r="216" spans="1:10" ht="15" hidden="1" x14ac:dyDescent="0.35">
      <c r="A216" s="139">
        <v>21397</v>
      </c>
      <c r="B216" s="138" t="s">
        <v>682</v>
      </c>
      <c r="C216" s="138" t="s">
        <v>407</v>
      </c>
      <c r="D216" s="138">
        <v>10706985710</v>
      </c>
      <c r="E216" s="140">
        <v>45783</v>
      </c>
      <c r="F216" s="140">
        <v>45994</v>
      </c>
      <c r="G216" s="138" t="s">
        <v>494</v>
      </c>
      <c r="H216" s="138" t="s">
        <v>495</v>
      </c>
      <c r="I216" t="s">
        <v>496</v>
      </c>
      <c r="J216"/>
    </row>
    <row r="217" spans="1:10" ht="15" hidden="1" x14ac:dyDescent="0.35">
      <c r="A217" s="139">
        <v>22346</v>
      </c>
      <c r="B217" s="138" t="s">
        <v>683</v>
      </c>
      <c r="C217" s="138" t="s">
        <v>420</v>
      </c>
      <c r="D217" s="138">
        <v>13337232701</v>
      </c>
      <c r="E217" s="140">
        <v>45840</v>
      </c>
      <c r="F217" s="140">
        <v>46003</v>
      </c>
      <c r="G217" s="138" t="s">
        <v>494</v>
      </c>
      <c r="H217" s="138" t="s">
        <v>508</v>
      </c>
      <c r="I217"/>
      <c r="J217"/>
    </row>
    <row r="218" spans="1:10" ht="15" hidden="1" x14ac:dyDescent="0.35">
      <c r="A218" s="1832">
        <v>21843</v>
      </c>
      <c r="B218" s="1837" t="s">
        <v>1029</v>
      </c>
      <c r="C218" s="1837" t="s">
        <v>416</v>
      </c>
      <c r="D218" s="1837">
        <v>12484432763</v>
      </c>
      <c r="E218" s="1838">
        <v>45812</v>
      </c>
      <c r="F218" s="1838" t="s">
        <v>499</v>
      </c>
      <c r="G218" s="1837" t="s">
        <v>500</v>
      </c>
      <c r="H218" s="1837" t="s">
        <v>501</v>
      </c>
      <c r="I218" s="1831" t="s">
        <v>496</v>
      </c>
      <c r="J218" s="1831" t="s">
        <v>4777</v>
      </c>
    </row>
    <row r="219" spans="1:10" ht="15" hidden="1" x14ac:dyDescent="0.35">
      <c r="A219" s="1832">
        <v>22791</v>
      </c>
      <c r="B219" s="1837" t="s">
        <v>1033</v>
      </c>
      <c r="C219" s="1837" t="s">
        <v>416</v>
      </c>
      <c r="D219" s="1837">
        <v>434139785</v>
      </c>
      <c r="E219" s="1838">
        <v>45881</v>
      </c>
      <c r="F219" s="1838" t="s">
        <v>499</v>
      </c>
      <c r="G219" s="1837" t="s">
        <v>500</v>
      </c>
      <c r="H219" s="1837" t="s">
        <v>501</v>
      </c>
      <c r="I219" s="1831" t="s">
        <v>496</v>
      </c>
      <c r="J219" s="1831" t="s">
        <v>4777</v>
      </c>
    </row>
    <row r="220" spans="1:10" ht="15" hidden="1" x14ac:dyDescent="0.35">
      <c r="A220" s="1832">
        <v>21192</v>
      </c>
      <c r="B220" s="1837" t="s">
        <v>1040</v>
      </c>
      <c r="C220" s="1837" t="s">
        <v>416</v>
      </c>
      <c r="D220" s="1837">
        <v>8211591782</v>
      </c>
      <c r="E220" s="1838">
        <v>45772</v>
      </c>
      <c r="F220" s="1838" t="s">
        <v>499</v>
      </c>
      <c r="G220" s="1837" t="s">
        <v>500</v>
      </c>
      <c r="H220" s="1837" t="s">
        <v>501</v>
      </c>
      <c r="I220" s="1831" t="s">
        <v>496</v>
      </c>
      <c r="J220" s="1831" t="s">
        <v>4777</v>
      </c>
    </row>
    <row r="221" spans="1:10" s="1829" customFormat="1" ht="15" hidden="1" x14ac:dyDescent="0.35">
      <c r="A221" s="1832">
        <v>22012</v>
      </c>
      <c r="B221" s="1837" t="s">
        <v>304</v>
      </c>
      <c r="C221" s="1837" t="s">
        <v>416</v>
      </c>
      <c r="D221" s="1837">
        <v>15069347730</v>
      </c>
      <c r="E221" s="1838">
        <v>45825</v>
      </c>
      <c r="F221" s="1838" t="s">
        <v>499</v>
      </c>
      <c r="G221" s="1837" t="s">
        <v>500</v>
      </c>
      <c r="H221" s="1837" t="s">
        <v>508</v>
      </c>
      <c r="I221" s="1831" t="s">
        <v>469</v>
      </c>
      <c r="J221" s="1831" t="s">
        <v>4777</v>
      </c>
    </row>
    <row r="222" spans="1:10" ht="15" hidden="1" x14ac:dyDescent="0.35">
      <c r="A222" s="139">
        <v>21781</v>
      </c>
      <c r="B222" s="138" t="s">
        <v>687</v>
      </c>
      <c r="C222" s="138" t="s">
        <v>549</v>
      </c>
      <c r="D222" s="138">
        <v>13289092712</v>
      </c>
      <c r="E222" s="140">
        <v>45810</v>
      </c>
      <c r="F222" s="140">
        <v>46072</v>
      </c>
      <c r="G222" s="138" t="s">
        <v>494</v>
      </c>
      <c r="H222" s="138" t="s">
        <v>495</v>
      </c>
      <c r="I222" t="s">
        <v>496</v>
      </c>
      <c r="J222"/>
    </row>
    <row r="223" spans="1:10" ht="15" hidden="1" x14ac:dyDescent="0.35">
      <c r="A223" s="139">
        <v>23242</v>
      </c>
      <c r="B223" s="138" t="s">
        <v>688</v>
      </c>
      <c r="C223" s="138" t="s">
        <v>428</v>
      </c>
      <c r="D223" s="138">
        <v>8448769767</v>
      </c>
      <c r="E223" s="140">
        <v>45912</v>
      </c>
      <c r="F223" s="140">
        <v>46013</v>
      </c>
      <c r="G223" s="138" t="s">
        <v>494</v>
      </c>
      <c r="H223" s="138" t="s">
        <v>502</v>
      </c>
      <c r="I223"/>
      <c r="J223"/>
    </row>
    <row r="224" spans="1:10" ht="15" hidden="1" x14ac:dyDescent="0.35">
      <c r="A224" s="1832">
        <v>24893</v>
      </c>
      <c r="B224" s="1837" t="s">
        <v>730</v>
      </c>
      <c r="C224" s="1837" t="s">
        <v>417</v>
      </c>
      <c r="D224" s="1837">
        <v>20142766763</v>
      </c>
      <c r="E224" s="1838">
        <v>46150</v>
      </c>
      <c r="F224" s="1838" t="s">
        <v>499</v>
      </c>
      <c r="G224" s="1837" t="s">
        <v>500</v>
      </c>
      <c r="H224" s="1837" t="s">
        <v>495</v>
      </c>
      <c r="I224" s="1831" t="s">
        <v>496</v>
      </c>
      <c r="J224" s="1831" t="s">
        <v>382</v>
      </c>
    </row>
    <row r="225" spans="1:10" ht="15" hidden="1" x14ac:dyDescent="0.35">
      <c r="A225" s="139">
        <v>22849</v>
      </c>
      <c r="B225" s="138" t="s">
        <v>690</v>
      </c>
      <c r="C225" s="138" t="s">
        <v>410</v>
      </c>
      <c r="D225" s="138">
        <v>12860407790</v>
      </c>
      <c r="E225" s="140">
        <v>45887</v>
      </c>
      <c r="F225" s="140">
        <v>46100</v>
      </c>
      <c r="G225" s="138" t="s">
        <v>494</v>
      </c>
      <c r="H225" s="138" t="s">
        <v>502</v>
      </c>
      <c r="I225"/>
      <c r="J225"/>
    </row>
    <row r="226" spans="1:10" s="1829" customFormat="1" ht="15" hidden="1" x14ac:dyDescent="0.35">
      <c r="A226" s="1832">
        <v>23827</v>
      </c>
      <c r="B226" s="1837" t="s">
        <v>207</v>
      </c>
      <c r="C226" s="1837" t="s">
        <v>416</v>
      </c>
      <c r="D226" s="1837">
        <v>13134504723</v>
      </c>
      <c r="E226" s="1838">
        <v>45975</v>
      </c>
      <c r="F226" s="1838" t="s">
        <v>499</v>
      </c>
      <c r="G226" s="1837" t="s">
        <v>500</v>
      </c>
      <c r="H226" s="1837" t="s">
        <v>508</v>
      </c>
      <c r="I226" s="1831" t="s">
        <v>468</v>
      </c>
      <c r="J226" s="1831" t="s">
        <v>4777</v>
      </c>
    </row>
    <row r="227" spans="1:10" ht="15" hidden="1" x14ac:dyDescent="0.35">
      <c r="A227" s="1832">
        <v>24609</v>
      </c>
      <c r="B227" s="1837" t="s">
        <v>742</v>
      </c>
      <c r="C227" s="1837" t="s">
        <v>417</v>
      </c>
      <c r="D227" s="1837">
        <v>14659593789</v>
      </c>
      <c r="E227" s="1838">
        <v>46113</v>
      </c>
      <c r="F227" s="1838" t="s">
        <v>499</v>
      </c>
      <c r="G227" s="1837" t="s">
        <v>500</v>
      </c>
      <c r="H227" s="1837" t="s">
        <v>495</v>
      </c>
      <c r="I227" s="1831" t="s">
        <v>496</v>
      </c>
      <c r="J227" s="1831" t="s">
        <v>382</v>
      </c>
    </row>
    <row r="228" spans="1:10" ht="15" hidden="1" x14ac:dyDescent="0.35">
      <c r="A228" s="139">
        <v>22646</v>
      </c>
      <c r="B228" s="138" t="s">
        <v>692</v>
      </c>
      <c r="C228" s="138" t="s">
        <v>420</v>
      </c>
      <c r="D228" s="138">
        <v>15648665725</v>
      </c>
      <c r="E228" s="140">
        <v>45859</v>
      </c>
      <c r="F228" s="140">
        <v>46094</v>
      </c>
      <c r="G228" s="138" t="s">
        <v>494</v>
      </c>
      <c r="H228" s="138" t="s">
        <v>501</v>
      </c>
      <c r="I228" t="s">
        <v>496</v>
      </c>
      <c r="J228"/>
    </row>
    <row r="229" spans="1:10" ht="15" hidden="1" x14ac:dyDescent="0.35">
      <c r="A229" s="1832">
        <v>21223</v>
      </c>
      <c r="B229" s="1837" t="s">
        <v>746</v>
      </c>
      <c r="C229" s="1837" t="s">
        <v>417</v>
      </c>
      <c r="D229" s="1837">
        <v>11571393706</v>
      </c>
      <c r="E229" s="1838">
        <v>45772</v>
      </c>
      <c r="F229" s="1838" t="s">
        <v>499</v>
      </c>
      <c r="G229" s="1837" t="s">
        <v>500</v>
      </c>
      <c r="H229" s="1837" t="s">
        <v>501</v>
      </c>
      <c r="I229" s="1831" t="s">
        <v>496</v>
      </c>
      <c r="J229" s="1831" t="s">
        <v>382</v>
      </c>
    </row>
    <row r="230" spans="1:10" ht="15" hidden="1" x14ac:dyDescent="0.35">
      <c r="A230" s="139">
        <v>22359</v>
      </c>
      <c r="B230" s="138" t="s">
        <v>694</v>
      </c>
      <c r="C230" s="138" t="s">
        <v>420</v>
      </c>
      <c r="D230" s="138">
        <v>18141392735</v>
      </c>
      <c r="E230" s="140">
        <v>45840</v>
      </c>
      <c r="F230" s="140">
        <v>46146</v>
      </c>
      <c r="G230" s="138" t="s">
        <v>494</v>
      </c>
      <c r="H230" s="138" t="s">
        <v>508</v>
      </c>
      <c r="I230" t="s">
        <v>469</v>
      </c>
      <c r="J230"/>
    </row>
    <row r="231" spans="1:10" s="1829" customFormat="1" ht="15" hidden="1" x14ac:dyDescent="0.35">
      <c r="A231" s="1832">
        <v>23743</v>
      </c>
      <c r="B231" s="1837" t="s">
        <v>344</v>
      </c>
      <c r="C231" s="1837" t="s">
        <v>416</v>
      </c>
      <c r="D231" s="1837">
        <v>12621384773</v>
      </c>
      <c r="E231" s="1838">
        <v>45964</v>
      </c>
      <c r="F231" s="1838" t="s">
        <v>499</v>
      </c>
      <c r="G231" s="1837" t="s">
        <v>500</v>
      </c>
      <c r="H231" s="1837" t="s">
        <v>508</v>
      </c>
      <c r="I231" s="1831" t="s">
        <v>469</v>
      </c>
      <c r="J231" s="1831" t="s">
        <v>4777</v>
      </c>
    </row>
    <row r="232" spans="1:10" ht="15" hidden="1" x14ac:dyDescent="0.35">
      <c r="A232" s="139">
        <v>21837</v>
      </c>
      <c r="B232" s="138" t="s">
        <v>695</v>
      </c>
      <c r="C232" s="138" t="s">
        <v>423</v>
      </c>
      <c r="D232" s="138">
        <v>16006396742</v>
      </c>
      <c r="E232" s="140">
        <v>45811</v>
      </c>
      <c r="F232" s="140">
        <v>45999</v>
      </c>
      <c r="G232" s="138" t="s">
        <v>494</v>
      </c>
      <c r="H232" s="138" t="s">
        <v>502</v>
      </c>
      <c r="I232"/>
      <c r="J232"/>
    </row>
    <row r="233" spans="1:10" ht="15" hidden="1" x14ac:dyDescent="0.35">
      <c r="A233" s="139">
        <v>19923</v>
      </c>
      <c r="B233" s="138" t="s">
        <v>696</v>
      </c>
      <c r="C233" s="138" t="s">
        <v>420</v>
      </c>
      <c r="D233" s="138">
        <v>15013005710</v>
      </c>
      <c r="E233" s="140">
        <v>45692</v>
      </c>
      <c r="F233" s="140">
        <v>45786</v>
      </c>
      <c r="G233" s="138" t="s">
        <v>494</v>
      </c>
      <c r="H233" s="138" t="s">
        <v>508</v>
      </c>
      <c r="I233"/>
      <c r="J233"/>
    </row>
    <row r="234" spans="1:10" ht="15" hidden="1" x14ac:dyDescent="0.35">
      <c r="A234" s="139">
        <v>21799</v>
      </c>
      <c r="B234" s="138" t="s">
        <v>697</v>
      </c>
      <c r="C234" s="138" t="s">
        <v>416</v>
      </c>
      <c r="D234" s="138">
        <v>20910255776</v>
      </c>
      <c r="E234" s="140">
        <v>45810</v>
      </c>
      <c r="F234" s="140">
        <v>46129</v>
      </c>
      <c r="G234" s="138" t="s">
        <v>494</v>
      </c>
      <c r="H234" s="138" t="s">
        <v>501</v>
      </c>
      <c r="I234" t="s">
        <v>496</v>
      </c>
      <c r="J234"/>
    </row>
    <row r="235" spans="1:10" s="1829" customFormat="1" ht="15" hidden="1" x14ac:dyDescent="0.35">
      <c r="A235" s="1832">
        <v>22037</v>
      </c>
      <c r="B235" s="1837" t="s">
        <v>309</v>
      </c>
      <c r="C235" s="1837" t="s">
        <v>416</v>
      </c>
      <c r="D235" s="1837">
        <v>33591834874</v>
      </c>
      <c r="E235" s="1838">
        <v>45826</v>
      </c>
      <c r="F235" s="1838" t="s">
        <v>499</v>
      </c>
      <c r="G235" s="1837" t="s">
        <v>500</v>
      </c>
      <c r="H235" s="1837" t="s">
        <v>508</v>
      </c>
      <c r="I235" s="1831" t="s">
        <v>469</v>
      </c>
      <c r="J235" s="1831" t="s">
        <v>4777</v>
      </c>
    </row>
    <row r="236" spans="1:10" ht="15" hidden="1" x14ac:dyDescent="0.35">
      <c r="A236" s="139">
        <v>21093</v>
      </c>
      <c r="B236" s="138" t="s">
        <v>698</v>
      </c>
      <c r="C236" s="138" t="s">
        <v>433</v>
      </c>
      <c r="D236" s="138">
        <v>11181584744</v>
      </c>
      <c r="E236" s="140">
        <v>45764</v>
      </c>
      <c r="F236" s="140">
        <v>45995</v>
      </c>
      <c r="G236" s="138" t="s">
        <v>494</v>
      </c>
      <c r="H236" s="138" t="s">
        <v>495</v>
      </c>
      <c r="I236" t="s">
        <v>496</v>
      </c>
      <c r="J236"/>
    </row>
    <row r="237" spans="1:10" ht="15" hidden="1" x14ac:dyDescent="0.35">
      <c r="A237" s="139">
        <v>21310</v>
      </c>
      <c r="B237" s="138" t="s">
        <v>699</v>
      </c>
      <c r="C237" s="138" t="s">
        <v>417</v>
      </c>
      <c r="D237" s="138">
        <v>13259227733</v>
      </c>
      <c r="E237" s="140">
        <v>45779</v>
      </c>
      <c r="F237" s="140">
        <v>46113</v>
      </c>
      <c r="G237" s="138" t="s">
        <v>494</v>
      </c>
      <c r="H237" s="138" t="s">
        <v>502</v>
      </c>
      <c r="I237"/>
      <c r="J237"/>
    </row>
    <row r="238" spans="1:10" s="1829" customFormat="1" ht="15" hidden="1" x14ac:dyDescent="0.35">
      <c r="A238" s="1832">
        <v>20775</v>
      </c>
      <c r="B238" s="1837" t="s">
        <v>215</v>
      </c>
      <c r="C238" s="1837" t="s">
        <v>416</v>
      </c>
      <c r="D238" s="1837">
        <v>17472026735</v>
      </c>
      <c r="E238" s="1838">
        <v>45756</v>
      </c>
      <c r="F238" s="1838" t="s">
        <v>499</v>
      </c>
      <c r="G238" s="1837" t="s">
        <v>500</v>
      </c>
      <c r="H238" s="1837" t="s">
        <v>508</v>
      </c>
      <c r="I238" s="1831" t="s">
        <v>469</v>
      </c>
      <c r="J238" s="1831" t="s">
        <v>4777</v>
      </c>
    </row>
    <row r="239" spans="1:10" s="1829" customFormat="1" ht="15" hidden="1" x14ac:dyDescent="0.35">
      <c r="A239" s="1832">
        <v>23854</v>
      </c>
      <c r="B239" s="1837" t="s">
        <v>349</v>
      </c>
      <c r="C239" s="1837" t="s">
        <v>416</v>
      </c>
      <c r="D239" s="1837">
        <v>16496481709</v>
      </c>
      <c r="E239" s="1838">
        <v>45979</v>
      </c>
      <c r="F239" s="1838" t="s">
        <v>499</v>
      </c>
      <c r="G239" s="1837" t="s">
        <v>500</v>
      </c>
      <c r="H239" s="1837" t="s">
        <v>508</v>
      </c>
      <c r="I239" s="1831" t="s">
        <v>469</v>
      </c>
      <c r="J239" s="1831" t="s">
        <v>4777</v>
      </c>
    </row>
    <row r="240" spans="1:10" s="1829" customFormat="1" ht="15" hidden="1" x14ac:dyDescent="0.35">
      <c r="A240" s="1832">
        <v>20776</v>
      </c>
      <c r="B240" s="1837" t="s">
        <v>225</v>
      </c>
      <c r="C240" s="1837" t="s">
        <v>416</v>
      </c>
      <c r="D240" s="1837">
        <v>21181758769</v>
      </c>
      <c r="E240" s="1838">
        <v>45756</v>
      </c>
      <c r="F240" s="1838" t="s">
        <v>499</v>
      </c>
      <c r="G240" s="1837" t="s">
        <v>500</v>
      </c>
      <c r="H240" s="1837" t="s">
        <v>508</v>
      </c>
      <c r="I240" s="1831" t="s">
        <v>468</v>
      </c>
      <c r="J240" s="1831" t="s">
        <v>4777</v>
      </c>
    </row>
    <row r="241" spans="1:10" s="1829" customFormat="1" ht="15" hidden="1" x14ac:dyDescent="0.35">
      <c r="A241" s="1832">
        <v>23742</v>
      </c>
      <c r="B241" s="1837" t="s">
        <v>330</v>
      </c>
      <c r="C241" s="1837" t="s">
        <v>416</v>
      </c>
      <c r="D241" s="1837">
        <v>19417173731</v>
      </c>
      <c r="E241" s="1838">
        <v>45964</v>
      </c>
      <c r="F241" s="1838" t="s">
        <v>499</v>
      </c>
      <c r="G241" s="1837" t="s">
        <v>500</v>
      </c>
      <c r="H241" s="1837" t="s">
        <v>508</v>
      </c>
      <c r="I241" s="1831" t="s">
        <v>469</v>
      </c>
      <c r="J241" s="1831" t="s">
        <v>4777</v>
      </c>
    </row>
    <row r="242" spans="1:10" s="1829" customFormat="1" ht="15" hidden="1" x14ac:dyDescent="0.35">
      <c r="A242" s="1832">
        <v>22130</v>
      </c>
      <c r="B242" s="1837" t="s">
        <v>314</v>
      </c>
      <c r="C242" s="1837" t="s">
        <v>416</v>
      </c>
      <c r="D242" s="1837">
        <v>17969570704</v>
      </c>
      <c r="E242" s="1838">
        <v>45833</v>
      </c>
      <c r="F242" s="1838" t="s">
        <v>499</v>
      </c>
      <c r="G242" s="1837" t="s">
        <v>500</v>
      </c>
      <c r="H242" s="1837" t="s">
        <v>508</v>
      </c>
      <c r="I242" s="1831" t="s">
        <v>469</v>
      </c>
      <c r="J242" s="1831" t="s">
        <v>4777</v>
      </c>
    </row>
    <row r="243" spans="1:10" s="1829" customFormat="1" ht="15" hidden="1" x14ac:dyDescent="0.35">
      <c r="A243" s="1832">
        <v>23818</v>
      </c>
      <c r="B243" s="1837" t="s">
        <v>336</v>
      </c>
      <c r="C243" s="1837" t="s">
        <v>416</v>
      </c>
      <c r="D243" s="1837">
        <v>19451468773</v>
      </c>
      <c r="E243" s="1838">
        <v>45972</v>
      </c>
      <c r="F243" s="1838" t="s">
        <v>499</v>
      </c>
      <c r="G243" s="1837" t="s">
        <v>500</v>
      </c>
      <c r="H243" s="1837" t="s">
        <v>508</v>
      </c>
      <c r="I243" s="1831" t="s">
        <v>469</v>
      </c>
      <c r="J243" s="1831" t="s">
        <v>4777</v>
      </c>
    </row>
    <row r="244" spans="1:10" ht="15" hidden="1" x14ac:dyDescent="0.35">
      <c r="A244" s="1832">
        <v>24123</v>
      </c>
      <c r="B244" s="1837" t="s">
        <v>748</v>
      </c>
      <c r="C244" s="1837" t="s">
        <v>417</v>
      </c>
      <c r="D244" s="1837">
        <v>15926929741</v>
      </c>
      <c r="E244" s="1838">
        <v>46059</v>
      </c>
      <c r="F244" s="1838" t="s">
        <v>499</v>
      </c>
      <c r="G244" s="1837" t="s">
        <v>500</v>
      </c>
      <c r="H244" s="1837" t="s">
        <v>495</v>
      </c>
      <c r="I244" s="1831" t="s">
        <v>496</v>
      </c>
      <c r="J244" s="1831" t="s">
        <v>382</v>
      </c>
    </row>
    <row r="245" spans="1:10" ht="15" hidden="1" x14ac:dyDescent="0.35">
      <c r="A245" s="1832">
        <v>24083</v>
      </c>
      <c r="B245" s="1837" t="s">
        <v>757</v>
      </c>
      <c r="C245" s="1837" t="s">
        <v>417</v>
      </c>
      <c r="D245" s="1837">
        <v>6907116545</v>
      </c>
      <c r="E245" s="1838">
        <v>46055</v>
      </c>
      <c r="F245" s="1838" t="s">
        <v>499</v>
      </c>
      <c r="G245" s="1837" t="s">
        <v>500</v>
      </c>
      <c r="H245" s="1837" t="s">
        <v>495</v>
      </c>
      <c r="I245" s="1831" t="s">
        <v>496</v>
      </c>
      <c r="J245" s="1831" t="s">
        <v>382</v>
      </c>
    </row>
    <row r="246" spans="1:10" s="1829" customFormat="1" ht="15" hidden="1" x14ac:dyDescent="0.35">
      <c r="A246" s="1832">
        <v>21737</v>
      </c>
      <c r="B246" s="1837" t="s">
        <v>319</v>
      </c>
      <c r="C246" s="1837" t="s">
        <v>416</v>
      </c>
      <c r="D246" s="1837">
        <v>16093458784</v>
      </c>
      <c r="E246" s="1838">
        <v>45810</v>
      </c>
      <c r="F246" s="1838" t="s">
        <v>499</v>
      </c>
      <c r="G246" s="1837" t="s">
        <v>500</v>
      </c>
      <c r="H246" s="1837" t="s">
        <v>508</v>
      </c>
      <c r="I246" s="1831" t="s">
        <v>469</v>
      </c>
      <c r="J246" s="1831" t="s">
        <v>4777</v>
      </c>
    </row>
    <row r="247" spans="1:10" ht="15" hidden="1" x14ac:dyDescent="0.35">
      <c r="A247" s="1832">
        <v>24183</v>
      </c>
      <c r="B247" s="1837" t="s">
        <v>758</v>
      </c>
      <c r="C247" s="1837" t="s">
        <v>417</v>
      </c>
      <c r="D247" s="1837">
        <v>6254079704</v>
      </c>
      <c r="E247" s="1838">
        <v>46064</v>
      </c>
      <c r="F247" s="1838" t="s">
        <v>499</v>
      </c>
      <c r="G247" s="1837" t="s">
        <v>500</v>
      </c>
      <c r="H247" s="1837" t="s">
        <v>495</v>
      </c>
      <c r="I247" s="1831" t="s">
        <v>496</v>
      </c>
      <c r="J247" s="1831" t="s">
        <v>382</v>
      </c>
    </row>
    <row r="248" spans="1:10" ht="15" hidden="1" x14ac:dyDescent="0.35">
      <c r="A248" s="139">
        <v>22013</v>
      </c>
      <c r="B248" s="138" t="s">
        <v>705</v>
      </c>
      <c r="C248" s="138" t="s">
        <v>555</v>
      </c>
      <c r="D248" s="138">
        <v>14253794785</v>
      </c>
      <c r="E248" s="140">
        <v>45825</v>
      </c>
      <c r="F248" s="140">
        <v>46055</v>
      </c>
      <c r="G248" s="138" t="s">
        <v>494</v>
      </c>
      <c r="H248" s="138" t="s">
        <v>495</v>
      </c>
      <c r="I248" t="s">
        <v>496</v>
      </c>
      <c r="J248"/>
    </row>
    <row r="249" spans="1:10" s="1829" customFormat="1" ht="15" hidden="1" x14ac:dyDescent="0.35">
      <c r="A249" s="1832">
        <v>21648</v>
      </c>
      <c r="B249" s="1837" t="s">
        <v>325</v>
      </c>
      <c r="C249" s="1837" t="s">
        <v>416</v>
      </c>
      <c r="D249" s="1837">
        <v>7137064736</v>
      </c>
      <c r="E249" s="1838">
        <v>45792</v>
      </c>
      <c r="F249" s="1838" t="s">
        <v>499</v>
      </c>
      <c r="G249" s="1837" t="s">
        <v>500</v>
      </c>
      <c r="H249" s="1837" t="s">
        <v>508</v>
      </c>
      <c r="I249" s="1831" t="s">
        <v>469</v>
      </c>
      <c r="J249" s="1831" t="s">
        <v>4777</v>
      </c>
    </row>
    <row r="250" spans="1:10" ht="15" hidden="1" x14ac:dyDescent="0.35">
      <c r="A250" s="139">
        <v>22083</v>
      </c>
      <c r="B250" s="138" t="s">
        <v>706</v>
      </c>
      <c r="C250" s="138" t="s">
        <v>426</v>
      </c>
      <c r="D250" s="138">
        <v>9606028798</v>
      </c>
      <c r="E250" s="140">
        <v>45831</v>
      </c>
      <c r="F250" s="140">
        <v>46105</v>
      </c>
      <c r="G250" s="138" t="s">
        <v>494</v>
      </c>
      <c r="H250" s="138" t="s">
        <v>495</v>
      </c>
      <c r="I250" t="s">
        <v>496</v>
      </c>
      <c r="J250"/>
    </row>
    <row r="251" spans="1:10" ht="15" hidden="1" x14ac:dyDescent="0.35">
      <c r="A251" s="1832">
        <v>24819</v>
      </c>
      <c r="B251" s="1837" t="s">
        <v>766</v>
      </c>
      <c r="C251" s="1837" t="s">
        <v>417</v>
      </c>
      <c r="D251" s="1837">
        <v>16658199795</v>
      </c>
      <c r="E251" s="1838">
        <v>46146</v>
      </c>
      <c r="F251" s="1838" t="s">
        <v>499</v>
      </c>
      <c r="G251" s="1837" t="s">
        <v>500</v>
      </c>
      <c r="H251" s="1837" t="s">
        <v>495</v>
      </c>
      <c r="I251" s="1831" t="s">
        <v>496</v>
      </c>
      <c r="J251" s="1831" t="s">
        <v>382</v>
      </c>
    </row>
    <row r="252" spans="1:10" s="1829" customFormat="1" ht="15" hidden="1" x14ac:dyDescent="0.35">
      <c r="A252" s="1832">
        <v>23768</v>
      </c>
      <c r="B252" s="1837" t="s">
        <v>237</v>
      </c>
      <c r="C252" s="1837" t="s">
        <v>416</v>
      </c>
      <c r="D252" s="1837">
        <v>14718896703</v>
      </c>
      <c r="E252" s="1838">
        <v>45964</v>
      </c>
      <c r="F252" s="1838" t="s">
        <v>499</v>
      </c>
      <c r="G252" s="1837" t="s">
        <v>500</v>
      </c>
      <c r="H252" s="1837" t="s">
        <v>508</v>
      </c>
      <c r="I252" s="1831" t="s">
        <v>468</v>
      </c>
      <c r="J252" s="1831" t="s">
        <v>4777</v>
      </c>
    </row>
    <row r="253" spans="1:10" ht="15" hidden="1" x14ac:dyDescent="0.35">
      <c r="A253" s="1832">
        <v>24132</v>
      </c>
      <c r="B253" s="1837" t="s">
        <v>769</v>
      </c>
      <c r="C253" s="1837" t="s">
        <v>417</v>
      </c>
      <c r="D253" s="1837">
        <v>17024241705</v>
      </c>
      <c r="E253" s="1838">
        <v>46059</v>
      </c>
      <c r="F253" s="1838" t="s">
        <v>499</v>
      </c>
      <c r="G253" s="1837" t="s">
        <v>500</v>
      </c>
      <c r="H253" s="1837" t="s">
        <v>495</v>
      </c>
      <c r="I253" s="1831" t="s">
        <v>496</v>
      </c>
      <c r="J253" s="1831" t="s">
        <v>382</v>
      </c>
    </row>
    <row r="254" spans="1:10" s="1829" customFormat="1" ht="15" hidden="1" x14ac:dyDescent="0.35">
      <c r="A254" s="1832">
        <v>23898</v>
      </c>
      <c r="B254" s="1837" t="s">
        <v>241</v>
      </c>
      <c r="C254" s="1837" t="s">
        <v>416</v>
      </c>
      <c r="D254" s="1837">
        <v>15921635723</v>
      </c>
      <c r="E254" s="1838">
        <v>45994</v>
      </c>
      <c r="F254" s="1838" t="s">
        <v>499</v>
      </c>
      <c r="G254" s="1837" t="s">
        <v>500</v>
      </c>
      <c r="H254" s="1837" t="s">
        <v>508</v>
      </c>
      <c r="I254" s="1831" t="s">
        <v>468</v>
      </c>
      <c r="J254" s="1831" t="s">
        <v>4777</v>
      </c>
    </row>
    <row r="255" spans="1:10" ht="15" hidden="1" x14ac:dyDescent="0.35">
      <c r="A255" s="1832">
        <v>24082</v>
      </c>
      <c r="B255" s="1837" t="s">
        <v>772</v>
      </c>
      <c r="C255" s="1837" t="s">
        <v>417</v>
      </c>
      <c r="D255" s="1837">
        <v>16195206725</v>
      </c>
      <c r="E255" s="1838">
        <v>46055</v>
      </c>
      <c r="F255" s="1838" t="s">
        <v>499</v>
      </c>
      <c r="G255" s="1837" t="s">
        <v>500</v>
      </c>
      <c r="H255" s="1837" t="s">
        <v>495</v>
      </c>
      <c r="I255" s="1831" t="s">
        <v>496</v>
      </c>
      <c r="J255" s="1831" t="s">
        <v>382</v>
      </c>
    </row>
    <row r="256" spans="1:10" ht="15" hidden="1" x14ac:dyDescent="0.35">
      <c r="A256" s="139">
        <v>23142</v>
      </c>
      <c r="B256" s="138" t="s">
        <v>711</v>
      </c>
      <c r="C256" s="138" t="s">
        <v>403</v>
      </c>
      <c r="D256" s="138">
        <v>19681307720</v>
      </c>
      <c r="E256" s="140">
        <v>45904</v>
      </c>
      <c r="F256" s="140">
        <v>46065</v>
      </c>
      <c r="G256" s="138" t="s">
        <v>494</v>
      </c>
      <c r="H256" s="138" t="s">
        <v>502</v>
      </c>
      <c r="I256"/>
      <c r="J256"/>
    </row>
    <row r="257" spans="1:10" ht="15" hidden="1" x14ac:dyDescent="0.35">
      <c r="A257" s="1832">
        <v>24285</v>
      </c>
      <c r="B257" s="1837" t="s">
        <v>799</v>
      </c>
      <c r="C257" s="1837" t="s">
        <v>418</v>
      </c>
      <c r="D257" s="1837">
        <v>14646736756</v>
      </c>
      <c r="E257" s="1838">
        <v>46090</v>
      </c>
      <c r="F257" s="1838" t="s">
        <v>499</v>
      </c>
      <c r="G257" s="1837" t="s">
        <v>500</v>
      </c>
      <c r="H257" s="1837" t="s">
        <v>495</v>
      </c>
      <c r="I257" s="1831" t="s">
        <v>496</v>
      </c>
      <c r="J257" s="1831" t="s">
        <v>382</v>
      </c>
    </row>
    <row r="258" spans="1:10" ht="15" hidden="1" x14ac:dyDescent="0.35">
      <c r="A258" s="139">
        <v>21256</v>
      </c>
      <c r="B258" s="138" t="s">
        <v>713</v>
      </c>
      <c r="C258" s="138" t="s">
        <v>437</v>
      </c>
      <c r="D258" s="138">
        <v>16644022766</v>
      </c>
      <c r="E258" s="140">
        <v>45772</v>
      </c>
      <c r="F258" s="140">
        <v>45820</v>
      </c>
      <c r="G258" s="138" t="s">
        <v>494</v>
      </c>
      <c r="H258" s="138" t="s">
        <v>502</v>
      </c>
      <c r="I258"/>
      <c r="J258"/>
    </row>
    <row r="259" spans="1:10" ht="15" hidden="1" x14ac:dyDescent="0.35">
      <c r="A259" s="1832">
        <v>24651</v>
      </c>
      <c r="B259" s="1837" t="s">
        <v>851</v>
      </c>
      <c r="C259" s="1837" t="s">
        <v>419</v>
      </c>
      <c r="D259" s="1837">
        <v>18284519755</v>
      </c>
      <c r="E259" s="1838">
        <v>46118</v>
      </c>
      <c r="F259" s="1838" t="s">
        <v>499</v>
      </c>
      <c r="G259" s="1837" t="s">
        <v>500</v>
      </c>
      <c r="H259" s="1837" t="s">
        <v>495</v>
      </c>
      <c r="I259" s="1831" t="s">
        <v>496</v>
      </c>
      <c r="J259" s="1831" t="s">
        <v>139</v>
      </c>
    </row>
    <row r="260" spans="1:10" s="1829" customFormat="1" ht="15" hidden="1" x14ac:dyDescent="0.35">
      <c r="A260" s="1832">
        <v>24762</v>
      </c>
      <c r="B260" s="1837" t="s">
        <v>339</v>
      </c>
      <c r="C260" s="1837" t="s">
        <v>417</v>
      </c>
      <c r="D260" s="1837">
        <v>12812904755</v>
      </c>
      <c r="E260" s="1838">
        <v>46127</v>
      </c>
      <c r="F260" s="1838" t="s">
        <v>499</v>
      </c>
      <c r="G260" s="1837" t="s">
        <v>500</v>
      </c>
      <c r="H260" s="1837" t="s">
        <v>502</v>
      </c>
      <c r="I260" s="1831" t="s">
        <v>469</v>
      </c>
      <c r="J260" s="1831" t="s">
        <v>382</v>
      </c>
    </row>
    <row r="261" spans="1:10" s="1829" customFormat="1" ht="15" hidden="1" x14ac:dyDescent="0.35">
      <c r="A261" s="1832">
        <v>22053</v>
      </c>
      <c r="B261" s="1837" t="s">
        <v>352</v>
      </c>
      <c r="C261" s="1837" t="s">
        <v>417</v>
      </c>
      <c r="D261" s="1837">
        <v>14505549704</v>
      </c>
      <c r="E261" s="1838">
        <v>45828</v>
      </c>
      <c r="F261" s="1838" t="s">
        <v>499</v>
      </c>
      <c r="G261" s="1837" t="s">
        <v>500</v>
      </c>
      <c r="H261" s="1837" t="s">
        <v>502</v>
      </c>
      <c r="I261" s="1831" t="s">
        <v>469</v>
      </c>
      <c r="J261" s="1831" t="s">
        <v>382</v>
      </c>
    </row>
    <row r="262" spans="1:10" s="1829" customFormat="1" ht="15" hidden="1" x14ac:dyDescent="0.35">
      <c r="A262" s="1832">
        <v>22044</v>
      </c>
      <c r="B262" s="1837" t="s">
        <v>334</v>
      </c>
      <c r="C262" s="1837" t="s">
        <v>417</v>
      </c>
      <c r="D262" s="1837">
        <v>9888042718</v>
      </c>
      <c r="E262" s="1838">
        <v>45828</v>
      </c>
      <c r="F262" s="1838" t="s">
        <v>499</v>
      </c>
      <c r="G262" s="1837" t="s">
        <v>500</v>
      </c>
      <c r="H262" s="1837" t="s">
        <v>502</v>
      </c>
      <c r="I262" s="1831" t="s">
        <v>469</v>
      </c>
      <c r="J262" s="1831" t="s">
        <v>382</v>
      </c>
    </row>
    <row r="263" spans="1:10" ht="15" hidden="1" x14ac:dyDescent="0.35">
      <c r="A263" s="1832">
        <v>24540</v>
      </c>
      <c r="B263" s="1837" t="s">
        <v>852</v>
      </c>
      <c r="C263" s="1837" t="s">
        <v>419</v>
      </c>
      <c r="D263" s="1837">
        <v>17274637738</v>
      </c>
      <c r="E263" s="1838">
        <v>46100</v>
      </c>
      <c r="F263" s="1838" t="s">
        <v>499</v>
      </c>
      <c r="G263" s="1837" t="s">
        <v>500</v>
      </c>
      <c r="H263" s="1837" t="s">
        <v>495</v>
      </c>
      <c r="I263" s="1831" t="s">
        <v>496</v>
      </c>
      <c r="J263" s="1831" t="s">
        <v>139</v>
      </c>
    </row>
    <row r="264" spans="1:10" ht="15" hidden="1" x14ac:dyDescent="0.35">
      <c r="A264" s="139">
        <v>21267</v>
      </c>
      <c r="B264" s="138" t="s">
        <v>717</v>
      </c>
      <c r="C264" s="138" t="s">
        <v>444</v>
      </c>
      <c r="D264" s="138">
        <v>16848673714</v>
      </c>
      <c r="E264" s="140">
        <v>45779</v>
      </c>
      <c r="F264" s="140">
        <v>45910</v>
      </c>
      <c r="G264" s="138" t="s">
        <v>494</v>
      </c>
      <c r="H264" s="138" t="s">
        <v>502</v>
      </c>
      <c r="I264"/>
      <c r="J264"/>
    </row>
    <row r="265" spans="1:10" ht="15" hidden="1" x14ac:dyDescent="0.35">
      <c r="A265" s="139">
        <v>22854</v>
      </c>
      <c r="B265" s="138" t="s">
        <v>718</v>
      </c>
      <c r="C265" s="138" t="s">
        <v>416</v>
      </c>
      <c r="D265" s="138">
        <v>19883214766</v>
      </c>
      <c r="E265" s="140">
        <v>45887</v>
      </c>
      <c r="F265" s="140">
        <v>46055</v>
      </c>
      <c r="G265" s="138" t="s">
        <v>494</v>
      </c>
      <c r="H265" s="138" t="s">
        <v>501</v>
      </c>
      <c r="I265" t="s">
        <v>496</v>
      </c>
      <c r="J265"/>
    </row>
    <row r="266" spans="1:10" s="1829" customFormat="1" ht="15" hidden="1" x14ac:dyDescent="0.35">
      <c r="A266" s="1832">
        <v>21311</v>
      </c>
      <c r="B266" s="1837" t="s">
        <v>338</v>
      </c>
      <c r="C266" s="1837" t="s">
        <v>417</v>
      </c>
      <c r="D266" s="1837">
        <v>17243078788</v>
      </c>
      <c r="E266" s="1838">
        <v>45779</v>
      </c>
      <c r="F266" s="1838" t="s">
        <v>499</v>
      </c>
      <c r="G266" s="1837" t="s">
        <v>500</v>
      </c>
      <c r="H266" s="1837" t="s">
        <v>502</v>
      </c>
      <c r="I266" s="1831" t="s">
        <v>469</v>
      </c>
      <c r="J266" s="1831" t="s">
        <v>382</v>
      </c>
    </row>
    <row r="267" spans="1:10" ht="15" hidden="1" x14ac:dyDescent="0.35">
      <c r="A267" s="1832">
        <v>21782</v>
      </c>
      <c r="B267" s="1837" t="s">
        <v>498</v>
      </c>
      <c r="C267" s="1837" t="s">
        <v>420</v>
      </c>
      <c r="D267" s="1837">
        <v>4811244460</v>
      </c>
      <c r="E267" s="1838">
        <v>45810</v>
      </c>
      <c r="F267" s="1838" t="s">
        <v>499</v>
      </c>
      <c r="G267" s="1837" t="s">
        <v>500</v>
      </c>
      <c r="H267" s="1837" t="s">
        <v>501</v>
      </c>
      <c r="I267" s="1831" t="s">
        <v>496</v>
      </c>
      <c r="J267" s="1831" t="s">
        <v>5453</v>
      </c>
    </row>
    <row r="268" spans="1:10" ht="15" hidden="1" x14ac:dyDescent="0.35">
      <c r="A268" s="139">
        <v>21660</v>
      </c>
      <c r="B268" s="138" t="s">
        <v>719</v>
      </c>
      <c r="C268" s="138" t="s">
        <v>457</v>
      </c>
      <c r="D268" s="138">
        <v>5843207790</v>
      </c>
      <c r="E268" s="140">
        <v>45793</v>
      </c>
      <c r="F268" s="140">
        <v>45946</v>
      </c>
      <c r="G268" s="138" t="s">
        <v>494</v>
      </c>
      <c r="H268" s="138" t="s">
        <v>502</v>
      </c>
      <c r="I268"/>
      <c r="J268"/>
    </row>
    <row r="269" spans="1:10" ht="15" hidden="1" x14ac:dyDescent="0.35">
      <c r="A269" s="1832">
        <v>22822</v>
      </c>
      <c r="B269" s="1837" t="s">
        <v>507</v>
      </c>
      <c r="C269" s="1837" t="s">
        <v>420</v>
      </c>
      <c r="D269" s="1837">
        <v>8648987709</v>
      </c>
      <c r="E269" s="1838">
        <v>45883</v>
      </c>
      <c r="F269" s="1838" t="s">
        <v>499</v>
      </c>
      <c r="G269" s="1837" t="s">
        <v>500</v>
      </c>
      <c r="H269" s="1837" t="s">
        <v>501</v>
      </c>
      <c r="I269" s="1831" t="s">
        <v>496</v>
      </c>
      <c r="J269" s="1831" t="s">
        <v>5453</v>
      </c>
    </row>
    <row r="270" spans="1:10" s="1829" customFormat="1" ht="15" hidden="1" x14ac:dyDescent="0.35">
      <c r="A270" s="1832">
        <v>24244</v>
      </c>
      <c r="B270" s="1837" t="s">
        <v>353</v>
      </c>
      <c r="C270" s="1837" t="s">
        <v>417</v>
      </c>
      <c r="D270" s="1837">
        <v>15359889756</v>
      </c>
      <c r="E270" s="1838">
        <v>46084</v>
      </c>
      <c r="F270" s="1838" t="s">
        <v>499</v>
      </c>
      <c r="G270" s="1837" t="s">
        <v>500</v>
      </c>
      <c r="H270" s="1837" t="s">
        <v>502</v>
      </c>
      <c r="I270" s="1831" t="s">
        <v>469</v>
      </c>
      <c r="J270" s="1831" t="s">
        <v>382</v>
      </c>
    </row>
    <row r="271" spans="1:10" s="1829" customFormat="1" ht="15" hidden="1" x14ac:dyDescent="0.35">
      <c r="A271" s="1832">
        <v>21731</v>
      </c>
      <c r="B271" s="1837" t="s">
        <v>328</v>
      </c>
      <c r="C271" s="1837" t="s">
        <v>417</v>
      </c>
      <c r="D271" s="1837">
        <v>12390242740</v>
      </c>
      <c r="E271" s="1838">
        <v>45810</v>
      </c>
      <c r="F271" s="1838" t="s">
        <v>499</v>
      </c>
      <c r="G271" s="1837" t="s">
        <v>500</v>
      </c>
      <c r="H271" s="1837" t="s">
        <v>502</v>
      </c>
      <c r="I271" s="1831" t="s">
        <v>469</v>
      </c>
      <c r="J271" s="1831" t="s">
        <v>382</v>
      </c>
    </row>
    <row r="272" spans="1:10" ht="15" hidden="1" x14ac:dyDescent="0.35">
      <c r="A272" s="1832">
        <v>21157</v>
      </c>
      <c r="B272" s="1837" t="s">
        <v>519</v>
      </c>
      <c r="C272" s="1837" t="s">
        <v>420</v>
      </c>
      <c r="D272" s="1837">
        <v>9052476713</v>
      </c>
      <c r="E272" s="1838">
        <v>45772</v>
      </c>
      <c r="F272" s="1838" t="s">
        <v>499</v>
      </c>
      <c r="G272" s="1837" t="s">
        <v>500</v>
      </c>
      <c r="H272" s="1837" t="s">
        <v>501</v>
      </c>
      <c r="I272" s="1831" t="s">
        <v>496</v>
      </c>
      <c r="J272" s="1831" t="s">
        <v>5453</v>
      </c>
    </row>
    <row r="273" spans="1:10" ht="15" hidden="1" x14ac:dyDescent="0.35">
      <c r="A273" s="139">
        <v>21137</v>
      </c>
      <c r="B273" s="138" t="s">
        <v>722</v>
      </c>
      <c r="C273" s="138" t="s">
        <v>427</v>
      </c>
      <c r="D273" s="138">
        <v>46268537572</v>
      </c>
      <c r="E273" s="140">
        <v>45771</v>
      </c>
      <c r="F273" s="140">
        <v>45840</v>
      </c>
      <c r="G273" s="138" t="s">
        <v>494</v>
      </c>
      <c r="H273" s="138" t="s">
        <v>502</v>
      </c>
      <c r="I273"/>
      <c r="J273"/>
    </row>
    <row r="274" spans="1:10" s="1829" customFormat="1" ht="15" hidden="1" x14ac:dyDescent="0.35">
      <c r="A274" s="1832">
        <v>20455</v>
      </c>
      <c r="B274" s="1837" t="s">
        <v>885</v>
      </c>
      <c r="C274" s="1837" t="s">
        <v>417</v>
      </c>
      <c r="D274" s="1837">
        <v>17058391777</v>
      </c>
      <c r="E274" s="1838">
        <v>45729</v>
      </c>
      <c r="F274" s="1838" t="s">
        <v>499</v>
      </c>
      <c r="G274" s="1837" t="s">
        <v>500</v>
      </c>
      <c r="H274" s="1837" t="s">
        <v>502</v>
      </c>
      <c r="I274" s="1831"/>
      <c r="J274" s="1831" t="s">
        <v>382</v>
      </c>
    </row>
    <row r="275" spans="1:10" ht="15" hidden="1" x14ac:dyDescent="0.35">
      <c r="A275" s="1832">
        <v>21141</v>
      </c>
      <c r="B275" s="1837" t="s">
        <v>533</v>
      </c>
      <c r="C275" s="1837" t="s">
        <v>420</v>
      </c>
      <c r="D275" s="1837">
        <v>87832496568</v>
      </c>
      <c r="E275" s="1838">
        <v>45772</v>
      </c>
      <c r="F275" s="1838" t="s">
        <v>499</v>
      </c>
      <c r="G275" s="1837" t="s">
        <v>500</v>
      </c>
      <c r="H275" s="1837" t="s">
        <v>501</v>
      </c>
      <c r="I275" s="1831" t="s">
        <v>496</v>
      </c>
      <c r="J275" s="1831" t="s">
        <v>5453</v>
      </c>
    </row>
    <row r="276" spans="1:10" ht="15" hidden="1" x14ac:dyDescent="0.35">
      <c r="A276" s="1832">
        <v>21154</v>
      </c>
      <c r="B276" s="1837" t="s">
        <v>535</v>
      </c>
      <c r="C276" s="1837" t="s">
        <v>420</v>
      </c>
      <c r="D276" s="1837">
        <v>3072081760</v>
      </c>
      <c r="E276" s="1838">
        <v>45772</v>
      </c>
      <c r="F276" s="1838" t="s">
        <v>499</v>
      </c>
      <c r="G276" s="1837" t="s">
        <v>500</v>
      </c>
      <c r="H276" s="1837" t="s">
        <v>501</v>
      </c>
      <c r="I276" s="1831" t="s">
        <v>4780</v>
      </c>
      <c r="J276" s="1831" t="s">
        <v>5453</v>
      </c>
    </row>
    <row r="277" spans="1:10" s="1829" customFormat="1" ht="15" x14ac:dyDescent="0.35">
      <c r="A277" s="1832">
        <v>21596</v>
      </c>
      <c r="B277" s="1837" t="s">
        <v>333</v>
      </c>
      <c r="C277" s="1837" t="s">
        <v>417</v>
      </c>
      <c r="D277" s="1837">
        <v>6418220730</v>
      </c>
      <c r="E277" s="1838">
        <v>45791</v>
      </c>
      <c r="F277" s="1838" t="s">
        <v>499</v>
      </c>
      <c r="G277" s="1837" t="s">
        <v>500</v>
      </c>
      <c r="H277" s="1837" t="s">
        <v>502</v>
      </c>
      <c r="I277" s="1831" t="s">
        <v>469</v>
      </c>
      <c r="J277" s="1831" t="s">
        <v>382</v>
      </c>
    </row>
    <row r="278" spans="1:10" ht="15" hidden="1" x14ac:dyDescent="0.35">
      <c r="A278" s="1832">
        <v>21188</v>
      </c>
      <c r="B278" s="1837" t="s">
        <v>546</v>
      </c>
      <c r="C278" s="1837" t="s">
        <v>420</v>
      </c>
      <c r="D278" s="1837">
        <v>5517106757</v>
      </c>
      <c r="E278" s="1838">
        <v>45772</v>
      </c>
      <c r="F278" s="1838" t="s">
        <v>499</v>
      </c>
      <c r="G278" s="1837" t="s">
        <v>500</v>
      </c>
      <c r="H278" s="1837" t="s">
        <v>501</v>
      </c>
      <c r="I278" s="1831" t="s">
        <v>496</v>
      </c>
      <c r="J278" s="1831" t="s">
        <v>5453</v>
      </c>
    </row>
    <row r="279" spans="1:10" ht="15" hidden="1" x14ac:dyDescent="0.35">
      <c r="A279" s="139">
        <v>21678</v>
      </c>
      <c r="B279" s="138" t="s">
        <v>726</v>
      </c>
      <c r="C279" s="138" t="s">
        <v>420</v>
      </c>
      <c r="D279" s="138">
        <v>10404527523</v>
      </c>
      <c r="E279" s="140">
        <v>45796</v>
      </c>
      <c r="F279" s="140">
        <v>45855</v>
      </c>
      <c r="G279" s="138" t="s">
        <v>494</v>
      </c>
      <c r="H279" s="138" t="s">
        <v>508</v>
      </c>
      <c r="I279"/>
      <c r="J279"/>
    </row>
    <row r="280" spans="1:10" ht="15" hidden="1" x14ac:dyDescent="0.35">
      <c r="A280" s="1832">
        <v>21580</v>
      </c>
      <c r="B280" s="1837" t="s">
        <v>561</v>
      </c>
      <c r="C280" s="1837" t="s">
        <v>420</v>
      </c>
      <c r="D280" s="1837">
        <v>83124829549</v>
      </c>
      <c r="E280" s="1838">
        <v>45790</v>
      </c>
      <c r="F280" s="1838" t="s">
        <v>499</v>
      </c>
      <c r="G280" s="1837" t="s">
        <v>500</v>
      </c>
      <c r="H280" s="1837" t="s">
        <v>501</v>
      </c>
      <c r="I280" s="1831" t="s">
        <v>496</v>
      </c>
      <c r="J280" s="1831" t="s">
        <v>5453</v>
      </c>
    </row>
    <row r="281" spans="1:10" ht="15" hidden="1" x14ac:dyDescent="0.35">
      <c r="A281" s="139">
        <v>21255</v>
      </c>
      <c r="B281" s="138" t="s">
        <v>728</v>
      </c>
      <c r="C281" s="138" t="s">
        <v>441</v>
      </c>
      <c r="D281" s="138">
        <v>18064489717</v>
      </c>
      <c r="E281" s="140">
        <v>45772</v>
      </c>
      <c r="F281" s="140">
        <v>45839</v>
      </c>
      <c r="G281" s="138" t="s">
        <v>494</v>
      </c>
      <c r="H281" s="138" t="s">
        <v>508</v>
      </c>
      <c r="I281"/>
      <c r="J281"/>
    </row>
    <row r="282" spans="1:10" ht="15" hidden="1" x14ac:dyDescent="0.35">
      <c r="A282" s="1832">
        <v>21183</v>
      </c>
      <c r="B282" s="1837" t="s">
        <v>596</v>
      </c>
      <c r="C282" s="1837" t="s">
        <v>420</v>
      </c>
      <c r="D282" s="1837">
        <v>4768090702</v>
      </c>
      <c r="E282" s="1838">
        <v>45772</v>
      </c>
      <c r="F282" s="1838" t="s">
        <v>499</v>
      </c>
      <c r="G282" s="1837" t="s">
        <v>500</v>
      </c>
      <c r="H282" s="1837" t="s">
        <v>501</v>
      </c>
      <c r="I282" s="1831" t="s">
        <v>496</v>
      </c>
      <c r="J282" s="1831" t="s">
        <v>5453</v>
      </c>
    </row>
    <row r="283" spans="1:10" ht="15" hidden="1" x14ac:dyDescent="0.35">
      <c r="A283" s="1832">
        <v>23187</v>
      </c>
      <c r="B283" s="1837" t="s">
        <v>597</v>
      </c>
      <c r="C283" s="1837" t="s">
        <v>420</v>
      </c>
      <c r="D283" s="1837">
        <v>17402108759</v>
      </c>
      <c r="E283" s="1838">
        <v>45908</v>
      </c>
      <c r="F283" s="1838" t="s">
        <v>499</v>
      </c>
      <c r="G283" s="1837" t="s">
        <v>500</v>
      </c>
      <c r="H283" s="1837" t="s">
        <v>501</v>
      </c>
      <c r="I283" s="1831" t="s">
        <v>496</v>
      </c>
      <c r="J283" s="1831" t="s">
        <v>5453</v>
      </c>
    </row>
    <row r="284" spans="1:10" ht="15" hidden="1" x14ac:dyDescent="0.35">
      <c r="A284" s="1832">
        <v>21181</v>
      </c>
      <c r="B284" s="1837" t="s">
        <v>603</v>
      </c>
      <c r="C284" s="1837" t="s">
        <v>420</v>
      </c>
      <c r="D284" s="1837">
        <v>10454878729</v>
      </c>
      <c r="E284" s="1838">
        <v>45772</v>
      </c>
      <c r="F284" s="1838" t="s">
        <v>499</v>
      </c>
      <c r="G284" s="1837" t="s">
        <v>500</v>
      </c>
      <c r="H284" s="1837" t="s">
        <v>501</v>
      </c>
      <c r="I284" s="1831" t="s">
        <v>496</v>
      </c>
      <c r="J284" s="1831" t="s">
        <v>5453</v>
      </c>
    </row>
    <row r="285" spans="1:10" s="1829" customFormat="1" ht="15" hidden="1" x14ac:dyDescent="0.35">
      <c r="A285" s="1832">
        <v>24368</v>
      </c>
      <c r="B285" s="1837" t="s">
        <v>355</v>
      </c>
      <c r="C285" s="1837" t="s">
        <v>417</v>
      </c>
      <c r="D285" s="1837">
        <v>21135747725</v>
      </c>
      <c r="E285" s="1838">
        <v>46094</v>
      </c>
      <c r="F285" s="1838" t="s">
        <v>499</v>
      </c>
      <c r="G285" s="1837" t="s">
        <v>500</v>
      </c>
      <c r="H285" s="1837" t="s">
        <v>502</v>
      </c>
      <c r="I285" s="1831" t="s">
        <v>469</v>
      </c>
      <c r="J285" s="1831" t="s">
        <v>382</v>
      </c>
    </row>
    <row r="286" spans="1:10" s="1829" customFormat="1" ht="15" hidden="1" x14ac:dyDescent="0.35">
      <c r="A286" s="1832">
        <v>24521</v>
      </c>
      <c r="B286" s="1837" t="s">
        <v>356</v>
      </c>
      <c r="C286" s="1837" t="s">
        <v>417</v>
      </c>
      <c r="D286" s="1837">
        <v>2854496213</v>
      </c>
      <c r="E286" s="1838">
        <v>46100</v>
      </c>
      <c r="F286" s="1838" t="s">
        <v>499</v>
      </c>
      <c r="G286" s="1837" t="s">
        <v>500</v>
      </c>
      <c r="H286" s="1837" t="s">
        <v>502</v>
      </c>
      <c r="I286" s="1831" t="s">
        <v>469</v>
      </c>
      <c r="J286" s="1831" t="s">
        <v>382</v>
      </c>
    </row>
    <row r="287" spans="1:10" ht="15" hidden="1" x14ac:dyDescent="0.35">
      <c r="A287" s="1832">
        <v>21199</v>
      </c>
      <c r="B287" s="1837" t="s">
        <v>618</v>
      </c>
      <c r="C287" s="1837" t="s">
        <v>420</v>
      </c>
      <c r="D287" s="1837">
        <v>18386351730</v>
      </c>
      <c r="E287" s="1838">
        <v>45772</v>
      </c>
      <c r="F287" s="1838" t="s">
        <v>499</v>
      </c>
      <c r="G287" s="1837" t="s">
        <v>500</v>
      </c>
      <c r="H287" s="1837" t="s">
        <v>501</v>
      </c>
      <c r="I287" s="1831" t="s">
        <v>4776</v>
      </c>
      <c r="J287" s="1831" t="s">
        <v>5453</v>
      </c>
    </row>
    <row r="288" spans="1:10" ht="15" hidden="1" x14ac:dyDescent="0.35">
      <c r="A288" s="139">
        <v>21752</v>
      </c>
      <c r="B288" s="138" t="s">
        <v>733</v>
      </c>
      <c r="C288" s="138" t="s">
        <v>458</v>
      </c>
      <c r="D288" s="138">
        <v>8457164767</v>
      </c>
      <c r="E288" s="140">
        <v>45810</v>
      </c>
      <c r="F288" s="140">
        <v>45873</v>
      </c>
      <c r="G288" s="138" t="s">
        <v>494</v>
      </c>
      <c r="H288" s="138" t="s">
        <v>502</v>
      </c>
      <c r="I288"/>
      <c r="J288"/>
    </row>
    <row r="289" spans="1:10" ht="15" hidden="1" x14ac:dyDescent="0.35">
      <c r="A289" s="1832">
        <v>21163</v>
      </c>
      <c r="B289" s="1837" t="s">
        <v>629</v>
      </c>
      <c r="C289" s="1837" t="s">
        <v>420</v>
      </c>
      <c r="D289" s="1837">
        <v>1783512709</v>
      </c>
      <c r="E289" s="1838">
        <v>45772</v>
      </c>
      <c r="F289" s="1838" t="s">
        <v>499</v>
      </c>
      <c r="G289" s="1837" t="s">
        <v>500</v>
      </c>
      <c r="H289" s="1837" t="s">
        <v>501</v>
      </c>
      <c r="I289" s="1831" t="s">
        <v>496</v>
      </c>
      <c r="J289" s="1831" t="s">
        <v>5453</v>
      </c>
    </row>
    <row r="290" spans="1:10" ht="15" hidden="1" x14ac:dyDescent="0.35">
      <c r="A290" s="139">
        <v>21226</v>
      </c>
      <c r="B290" s="138" t="s">
        <v>735</v>
      </c>
      <c r="C290" s="138" t="s">
        <v>420</v>
      </c>
      <c r="D290" s="138">
        <v>13123497780</v>
      </c>
      <c r="E290" s="140">
        <v>45772</v>
      </c>
      <c r="F290" s="140">
        <v>45952</v>
      </c>
      <c r="G290" s="138" t="s">
        <v>494</v>
      </c>
      <c r="H290" s="138" t="s">
        <v>501</v>
      </c>
      <c r="I290" t="s">
        <v>496</v>
      </c>
      <c r="J290"/>
    </row>
    <row r="291" spans="1:10" ht="15" hidden="1" x14ac:dyDescent="0.35">
      <c r="A291" s="1832">
        <v>21165</v>
      </c>
      <c r="B291" s="1837" t="s">
        <v>652</v>
      </c>
      <c r="C291" s="1837" t="s">
        <v>420</v>
      </c>
      <c r="D291" s="1837">
        <v>8425712483</v>
      </c>
      <c r="E291" s="1838">
        <v>45772</v>
      </c>
      <c r="F291" s="1838" t="s">
        <v>499</v>
      </c>
      <c r="G291" s="1837" t="s">
        <v>500</v>
      </c>
      <c r="H291" s="1837" t="s">
        <v>501</v>
      </c>
      <c r="I291" s="1831" t="s">
        <v>496</v>
      </c>
      <c r="J291" s="1831" t="s">
        <v>5453</v>
      </c>
    </row>
    <row r="292" spans="1:10" ht="15" hidden="1" x14ac:dyDescent="0.35">
      <c r="A292" s="1832">
        <v>23134</v>
      </c>
      <c r="B292" s="1837" t="s">
        <v>653</v>
      </c>
      <c r="C292" s="1837" t="s">
        <v>420</v>
      </c>
      <c r="D292" s="1837">
        <v>18829362727</v>
      </c>
      <c r="E292" s="1838">
        <v>45903</v>
      </c>
      <c r="F292" s="1838" t="s">
        <v>499</v>
      </c>
      <c r="G292" s="1837" t="s">
        <v>500</v>
      </c>
      <c r="H292" s="1837" t="s">
        <v>501</v>
      </c>
      <c r="I292" s="1831" t="s">
        <v>496</v>
      </c>
      <c r="J292" s="1831" t="s">
        <v>5453</v>
      </c>
    </row>
    <row r="293" spans="1:10" ht="15" hidden="1" x14ac:dyDescent="0.35">
      <c r="A293" s="1832">
        <v>24271</v>
      </c>
      <c r="B293" s="1837" t="s">
        <v>654</v>
      </c>
      <c r="C293" s="1837" t="s">
        <v>420</v>
      </c>
      <c r="D293" s="1837">
        <v>13005789713</v>
      </c>
      <c r="E293" s="1838">
        <v>46087</v>
      </c>
      <c r="F293" s="1838" t="s">
        <v>499</v>
      </c>
      <c r="G293" s="1837" t="s">
        <v>500</v>
      </c>
      <c r="H293" s="1837" t="s">
        <v>501</v>
      </c>
      <c r="I293" s="1831" t="s">
        <v>496</v>
      </c>
      <c r="J293" s="1831" t="s">
        <v>5453</v>
      </c>
    </row>
    <row r="294" spans="1:10" ht="15" hidden="1" x14ac:dyDescent="0.35">
      <c r="A294" s="1832">
        <v>21170</v>
      </c>
      <c r="B294" s="1837" t="s">
        <v>655</v>
      </c>
      <c r="C294" s="1837" t="s">
        <v>420</v>
      </c>
      <c r="D294" s="1837">
        <v>2403423564</v>
      </c>
      <c r="E294" s="1838">
        <v>45772</v>
      </c>
      <c r="F294" s="1838" t="s">
        <v>499</v>
      </c>
      <c r="G294" s="1837" t="s">
        <v>500</v>
      </c>
      <c r="H294" s="1837" t="s">
        <v>501</v>
      </c>
      <c r="I294" s="1831" t="s">
        <v>496</v>
      </c>
      <c r="J294" s="1831" t="s">
        <v>5453</v>
      </c>
    </row>
    <row r="295" spans="1:10" ht="15" hidden="1" x14ac:dyDescent="0.35">
      <c r="A295" s="139">
        <v>21213</v>
      </c>
      <c r="B295" s="138" t="s">
        <v>741</v>
      </c>
      <c r="C295" s="138" t="s">
        <v>439</v>
      </c>
      <c r="D295" s="138">
        <v>10769877702</v>
      </c>
      <c r="E295" s="140">
        <v>45772</v>
      </c>
      <c r="F295" s="140">
        <v>45950</v>
      </c>
      <c r="G295" s="138" t="s">
        <v>494</v>
      </c>
      <c r="H295" s="138" t="s">
        <v>495</v>
      </c>
      <c r="I295" t="s">
        <v>496</v>
      </c>
      <c r="J295"/>
    </row>
    <row r="296" spans="1:10" ht="15" hidden="1" x14ac:dyDescent="0.35">
      <c r="A296" s="1832">
        <v>24247</v>
      </c>
      <c r="B296" s="1837" t="s">
        <v>671</v>
      </c>
      <c r="C296" s="1837" t="s">
        <v>420</v>
      </c>
      <c r="D296" s="1837">
        <v>81069316504</v>
      </c>
      <c r="E296" s="1838">
        <v>46084</v>
      </c>
      <c r="F296" s="1838" t="s">
        <v>499</v>
      </c>
      <c r="G296" s="1837" t="s">
        <v>500</v>
      </c>
      <c r="H296" s="1837" t="s">
        <v>501</v>
      </c>
      <c r="I296" s="1831" t="s">
        <v>496</v>
      </c>
      <c r="J296" s="1831" t="s">
        <v>5453</v>
      </c>
    </row>
    <row r="297" spans="1:10" s="1829" customFormat="1" ht="15" hidden="1" x14ac:dyDescent="0.35">
      <c r="A297" s="1832">
        <v>24522</v>
      </c>
      <c r="B297" s="1837" t="s">
        <v>357</v>
      </c>
      <c r="C297" s="1837" t="s">
        <v>417</v>
      </c>
      <c r="D297" s="1837">
        <v>12513240707</v>
      </c>
      <c r="E297" s="1838">
        <v>46100</v>
      </c>
      <c r="F297" s="1838" t="s">
        <v>499</v>
      </c>
      <c r="G297" s="1837" t="s">
        <v>500</v>
      </c>
      <c r="H297" s="1837" t="s">
        <v>502</v>
      </c>
      <c r="I297" s="1831" t="s">
        <v>469</v>
      </c>
      <c r="J297" s="1831" t="s">
        <v>382</v>
      </c>
    </row>
    <row r="298" spans="1:10" ht="15" hidden="1" x14ac:dyDescent="0.35">
      <c r="A298" s="139">
        <v>23905</v>
      </c>
      <c r="B298" s="138" t="s">
        <v>743</v>
      </c>
      <c r="C298" s="138" t="s">
        <v>419</v>
      </c>
      <c r="D298" s="138">
        <v>14299035704</v>
      </c>
      <c r="E298" s="140">
        <v>45995</v>
      </c>
      <c r="F298" s="140">
        <v>46121</v>
      </c>
      <c r="G298" s="138" t="s">
        <v>494</v>
      </c>
      <c r="H298" s="138" t="s">
        <v>502</v>
      </c>
      <c r="I298"/>
      <c r="J298"/>
    </row>
    <row r="299" spans="1:10" ht="15" hidden="1" x14ac:dyDescent="0.35">
      <c r="A299" s="1832">
        <v>23188</v>
      </c>
      <c r="B299" s="1837" t="s">
        <v>678</v>
      </c>
      <c r="C299" s="1837" t="s">
        <v>420</v>
      </c>
      <c r="D299" s="1837">
        <v>13383653714</v>
      </c>
      <c r="E299" s="1838">
        <v>45908</v>
      </c>
      <c r="F299" s="1838" t="s">
        <v>499</v>
      </c>
      <c r="G299" s="1837" t="s">
        <v>500</v>
      </c>
      <c r="H299" s="1837" t="s">
        <v>501</v>
      </c>
      <c r="I299" s="1831" t="s">
        <v>496</v>
      </c>
      <c r="J299" s="1831" t="s">
        <v>5453</v>
      </c>
    </row>
    <row r="300" spans="1:10" ht="15" hidden="1" x14ac:dyDescent="0.35">
      <c r="A300" s="139">
        <v>24335</v>
      </c>
      <c r="B300" s="138" t="s">
        <v>745</v>
      </c>
      <c r="C300" s="138" t="s">
        <v>419</v>
      </c>
      <c r="D300" s="138">
        <v>20320982700</v>
      </c>
      <c r="E300" s="140">
        <v>46093</v>
      </c>
      <c r="F300" s="140">
        <v>46113</v>
      </c>
      <c r="G300" s="138" t="s">
        <v>494</v>
      </c>
      <c r="H300" s="138" t="s">
        <v>502</v>
      </c>
      <c r="I300"/>
      <c r="J300"/>
    </row>
    <row r="301" spans="1:10" ht="15" hidden="1" x14ac:dyDescent="0.35">
      <c r="A301" s="1832">
        <v>21173</v>
      </c>
      <c r="B301" s="1837" t="s">
        <v>679</v>
      </c>
      <c r="C301" s="1837" t="s">
        <v>420</v>
      </c>
      <c r="D301" s="1837">
        <v>1289090645</v>
      </c>
      <c r="E301" s="1838">
        <v>45772</v>
      </c>
      <c r="F301" s="1838" t="s">
        <v>499</v>
      </c>
      <c r="G301" s="1837" t="s">
        <v>500</v>
      </c>
      <c r="H301" s="1837" t="s">
        <v>501</v>
      </c>
      <c r="I301" s="1831" t="s">
        <v>496</v>
      </c>
      <c r="J301" s="1831" t="s">
        <v>5453</v>
      </c>
    </row>
    <row r="302" spans="1:10" s="1829" customFormat="1" ht="15" hidden="1" x14ac:dyDescent="0.35">
      <c r="A302" s="1832">
        <v>24779</v>
      </c>
      <c r="B302" s="1837" t="s">
        <v>358</v>
      </c>
      <c r="C302" s="1837" t="s">
        <v>417</v>
      </c>
      <c r="D302" s="1837">
        <v>10782614744</v>
      </c>
      <c r="E302" s="1838">
        <v>46128</v>
      </c>
      <c r="F302" s="1838" t="s">
        <v>499</v>
      </c>
      <c r="G302" s="1837" t="s">
        <v>500</v>
      </c>
      <c r="H302" s="1837" t="s">
        <v>502</v>
      </c>
      <c r="I302" s="1831" t="s">
        <v>469</v>
      </c>
      <c r="J302" s="1831" t="s">
        <v>382</v>
      </c>
    </row>
    <row r="303" spans="1:10" ht="15" hidden="1" x14ac:dyDescent="0.35">
      <c r="A303" s="139">
        <v>21062</v>
      </c>
      <c r="B303" s="138" t="s">
        <v>747</v>
      </c>
      <c r="C303" s="138" t="s">
        <v>420</v>
      </c>
      <c r="D303" s="138">
        <v>20648956717</v>
      </c>
      <c r="E303" s="140">
        <v>45763</v>
      </c>
      <c r="F303" s="140">
        <v>45952</v>
      </c>
      <c r="G303" s="138" t="s">
        <v>494</v>
      </c>
      <c r="H303" s="138" t="s">
        <v>501</v>
      </c>
      <c r="I303" t="s">
        <v>496</v>
      </c>
      <c r="J303"/>
    </row>
    <row r="304" spans="1:10" s="1829" customFormat="1" ht="15" hidden="1" x14ac:dyDescent="0.35">
      <c r="A304" s="1832">
        <v>23936</v>
      </c>
      <c r="B304" s="1837" t="s">
        <v>288</v>
      </c>
      <c r="C304" s="1837" t="s">
        <v>418</v>
      </c>
      <c r="D304" s="1837">
        <v>19815281720</v>
      </c>
      <c r="E304" s="1838">
        <v>46002</v>
      </c>
      <c r="F304" s="1838" t="s">
        <v>499</v>
      </c>
      <c r="G304" s="1837" t="s">
        <v>500</v>
      </c>
      <c r="H304" s="1837" t="s">
        <v>502</v>
      </c>
      <c r="I304" s="1831" t="s">
        <v>468</v>
      </c>
      <c r="J304" s="1831" t="s">
        <v>382</v>
      </c>
    </row>
    <row r="305" spans="1:10" s="1829" customFormat="1" ht="15" hidden="1" x14ac:dyDescent="0.35">
      <c r="A305" s="1832">
        <v>24892</v>
      </c>
      <c r="B305" s="1837" t="s">
        <v>120</v>
      </c>
      <c r="C305" s="1837" t="s">
        <v>419</v>
      </c>
      <c r="D305" s="1837">
        <v>16700729750</v>
      </c>
      <c r="E305" s="1838">
        <v>46150</v>
      </c>
      <c r="F305" s="1838" t="s">
        <v>499</v>
      </c>
      <c r="G305" s="1837" t="s">
        <v>500</v>
      </c>
      <c r="H305" s="1837" t="s">
        <v>502</v>
      </c>
      <c r="I305" s="1831" t="s">
        <v>469</v>
      </c>
      <c r="J305" s="1831" t="s">
        <v>139</v>
      </c>
    </row>
    <row r="306" spans="1:10" ht="15" hidden="1" x14ac:dyDescent="0.35">
      <c r="A306" s="1832">
        <v>21169</v>
      </c>
      <c r="B306" s="1837" t="s">
        <v>689</v>
      </c>
      <c r="C306" s="1837" t="s">
        <v>420</v>
      </c>
      <c r="D306" s="1837">
        <v>9531986770</v>
      </c>
      <c r="E306" s="1838">
        <v>45772</v>
      </c>
      <c r="F306" s="1838" t="s">
        <v>499</v>
      </c>
      <c r="G306" s="1837" t="s">
        <v>500</v>
      </c>
      <c r="H306" s="1837" t="s">
        <v>501</v>
      </c>
      <c r="I306" s="1831" t="s">
        <v>496</v>
      </c>
      <c r="J306" s="1831" t="s">
        <v>5453</v>
      </c>
    </row>
    <row r="307" spans="1:10" s="1829" customFormat="1" ht="15" hidden="1" x14ac:dyDescent="0.35">
      <c r="A307" s="1832">
        <v>24236</v>
      </c>
      <c r="B307" s="1837" t="s">
        <v>126</v>
      </c>
      <c r="C307" s="1837" t="s">
        <v>419</v>
      </c>
      <c r="D307" s="1837">
        <v>14155660709</v>
      </c>
      <c r="E307" s="1838">
        <v>46084</v>
      </c>
      <c r="F307" s="1838" t="s">
        <v>499</v>
      </c>
      <c r="G307" s="1837" t="s">
        <v>500</v>
      </c>
      <c r="H307" s="1837" t="s">
        <v>502</v>
      </c>
      <c r="I307" s="1831" t="s">
        <v>468</v>
      </c>
      <c r="J307" s="1831" t="s">
        <v>139</v>
      </c>
    </row>
    <row r="308" spans="1:10" s="1829" customFormat="1" ht="15" hidden="1" x14ac:dyDescent="0.35">
      <c r="A308" s="1832">
        <v>21155</v>
      </c>
      <c r="B308" s="1837" t="s">
        <v>361</v>
      </c>
      <c r="C308" s="1837" t="s">
        <v>420</v>
      </c>
      <c r="D308" s="1837">
        <v>718117700</v>
      </c>
      <c r="E308" s="1838">
        <v>45772</v>
      </c>
      <c r="F308" s="1838" t="s">
        <v>499</v>
      </c>
      <c r="G308" s="1837" t="s">
        <v>500</v>
      </c>
      <c r="H308" s="1837" t="s">
        <v>508</v>
      </c>
      <c r="I308" s="1832" t="s">
        <v>359</v>
      </c>
      <c r="J308" s="1831" t="s">
        <v>5453</v>
      </c>
    </row>
    <row r="309" spans="1:10" ht="15" hidden="1" x14ac:dyDescent="0.35">
      <c r="A309" s="1832">
        <v>22118</v>
      </c>
      <c r="B309" s="1837" t="s">
        <v>691</v>
      </c>
      <c r="C309" s="1837" t="s">
        <v>420</v>
      </c>
      <c r="D309" s="1837">
        <v>13652701739</v>
      </c>
      <c r="E309" s="1838">
        <v>45833</v>
      </c>
      <c r="F309" s="1838" t="s">
        <v>499</v>
      </c>
      <c r="G309" s="1837" t="s">
        <v>500</v>
      </c>
      <c r="H309" s="1837" t="s">
        <v>501</v>
      </c>
      <c r="I309" s="1831" t="s">
        <v>496</v>
      </c>
      <c r="J309" s="1831" t="s">
        <v>5453</v>
      </c>
    </row>
    <row r="310" spans="1:10" ht="15" hidden="1" x14ac:dyDescent="0.35">
      <c r="A310" s="1832">
        <v>21171</v>
      </c>
      <c r="B310" s="1837" t="s">
        <v>709</v>
      </c>
      <c r="C310" s="1837" t="s">
        <v>420</v>
      </c>
      <c r="D310" s="1837">
        <v>8070947730</v>
      </c>
      <c r="E310" s="1838">
        <v>45772</v>
      </c>
      <c r="F310" s="1838" t="s">
        <v>499</v>
      </c>
      <c r="G310" s="1837" t="s">
        <v>500</v>
      </c>
      <c r="H310" s="1837" t="s">
        <v>501</v>
      </c>
      <c r="I310" s="1831" t="s">
        <v>496</v>
      </c>
      <c r="J310" s="1831" t="s">
        <v>5453</v>
      </c>
    </row>
    <row r="311" spans="1:10" ht="15" hidden="1" x14ac:dyDescent="0.35">
      <c r="A311" s="1832">
        <v>21176</v>
      </c>
      <c r="B311" s="1837" t="s">
        <v>734</v>
      </c>
      <c r="C311" s="1837" t="s">
        <v>420</v>
      </c>
      <c r="D311" s="1837">
        <v>39872716803</v>
      </c>
      <c r="E311" s="1838">
        <v>45772</v>
      </c>
      <c r="F311" s="1838" t="s">
        <v>499</v>
      </c>
      <c r="G311" s="1837" t="s">
        <v>500</v>
      </c>
      <c r="H311" s="1837" t="s">
        <v>501</v>
      </c>
      <c r="I311" s="1831" t="s">
        <v>496</v>
      </c>
      <c r="J311" s="1831" t="s">
        <v>5453</v>
      </c>
    </row>
    <row r="312" spans="1:10" ht="15" hidden="1" x14ac:dyDescent="0.35">
      <c r="A312" s="1832">
        <v>21784</v>
      </c>
      <c r="B312" s="1837" t="s">
        <v>736</v>
      </c>
      <c r="C312" s="1837" t="s">
        <v>420</v>
      </c>
      <c r="D312" s="1837">
        <v>6388865704</v>
      </c>
      <c r="E312" s="1838">
        <v>45810</v>
      </c>
      <c r="F312" s="1838" t="s">
        <v>499</v>
      </c>
      <c r="G312" s="1837" t="s">
        <v>500</v>
      </c>
      <c r="H312" s="1837" t="s">
        <v>501</v>
      </c>
      <c r="I312" s="1831" t="s">
        <v>496</v>
      </c>
      <c r="J312" s="1831" t="s">
        <v>5453</v>
      </c>
    </row>
    <row r="313" spans="1:10" ht="15" hidden="1" x14ac:dyDescent="0.35">
      <c r="A313" s="139">
        <v>20023</v>
      </c>
      <c r="B313" s="138" t="s">
        <v>754</v>
      </c>
      <c r="C313" s="138" t="s">
        <v>441</v>
      </c>
      <c r="D313" s="138">
        <v>10608959782</v>
      </c>
      <c r="E313" s="140">
        <v>45698</v>
      </c>
      <c r="F313" s="140">
        <v>45904</v>
      </c>
      <c r="G313" s="138" t="s">
        <v>494</v>
      </c>
      <c r="H313" s="138" t="s">
        <v>508</v>
      </c>
      <c r="I313"/>
      <c r="J313"/>
    </row>
    <row r="314" spans="1:10" s="1829" customFormat="1" ht="15" hidden="1" x14ac:dyDescent="0.35">
      <c r="A314" s="1832">
        <v>21526</v>
      </c>
      <c r="B314" s="1837" t="s">
        <v>274</v>
      </c>
      <c r="C314" s="1837" t="s">
        <v>420</v>
      </c>
      <c r="D314" s="1837">
        <v>14506599268</v>
      </c>
      <c r="E314" s="1838">
        <v>45784</v>
      </c>
      <c r="F314" s="1838" t="s">
        <v>499</v>
      </c>
      <c r="G314" s="1837" t="s">
        <v>500</v>
      </c>
      <c r="H314" s="1837" t="s">
        <v>508</v>
      </c>
      <c r="I314" s="1832" t="s">
        <v>469</v>
      </c>
      <c r="J314" s="1831" t="s">
        <v>5453</v>
      </c>
    </row>
    <row r="315" spans="1:10" ht="15" hidden="1" x14ac:dyDescent="0.35">
      <c r="A315" s="1832">
        <v>20742</v>
      </c>
      <c r="B315" s="1837" t="s">
        <v>739</v>
      </c>
      <c r="C315" s="1837" t="s">
        <v>420</v>
      </c>
      <c r="D315" s="1837">
        <v>13467633722</v>
      </c>
      <c r="E315" s="1838">
        <v>45754</v>
      </c>
      <c r="F315" s="1838" t="s">
        <v>499</v>
      </c>
      <c r="G315" s="1837" t="s">
        <v>500</v>
      </c>
      <c r="H315" s="1837" t="s">
        <v>501</v>
      </c>
      <c r="I315" s="1831" t="s">
        <v>496</v>
      </c>
      <c r="J315" s="1831" t="s">
        <v>5453</v>
      </c>
    </row>
    <row r="316" spans="1:10" s="1829" customFormat="1" ht="15" hidden="1" x14ac:dyDescent="0.35">
      <c r="A316" s="1832">
        <v>21893</v>
      </c>
      <c r="B316" s="1837" t="s">
        <v>217</v>
      </c>
      <c r="C316" s="1837" t="s">
        <v>420</v>
      </c>
      <c r="D316" s="1837">
        <v>20628850751</v>
      </c>
      <c r="E316" s="1838">
        <v>45818</v>
      </c>
      <c r="F316" s="1838" t="s">
        <v>499</v>
      </c>
      <c r="G316" s="1837" t="s">
        <v>500</v>
      </c>
      <c r="H316" s="1837" t="s">
        <v>508</v>
      </c>
      <c r="I316" s="1831" t="s">
        <v>468</v>
      </c>
      <c r="J316" s="1831" t="s">
        <v>5453</v>
      </c>
    </row>
    <row r="317" spans="1:10" ht="15" hidden="1" x14ac:dyDescent="0.35">
      <c r="A317" s="139">
        <v>22662</v>
      </c>
      <c r="B317" s="138" t="s">
        <v>756</v>
      </c>
      <c r="C317" s="138" t="s">
        <v>428</v>
      </c>
      <c r="D317" s="138">
        <v>1570024545</v>
      </c>
      <c r="E317" s="140">
        <v>45859</v>
      </c>
      <c r="F317" s="140">
        <v>46038</v>
      </c>
      <c r="G317" s="138" t="s">
        <v>494</v>
      </c>
      <c r="H317" s="138" t="s">
        <v>495</v>
      </c>
      <c r="I317" t="s">
        <v>496</v>
      </c>
      <c r="J317"/>
    </row>
    <row r="318" spans="1:10" s="1829" customFormat="1" ht="15" hidden="1" x14ac:dyDescent="0.35">
      <c r="A318" s="1832">
        <v>21578</v>
      </c>
      <c r="B318" s="1837" t="s">
        <v>282</v>
      </c>
      <c r="C318" s="1837" t="s">
        <v>420</v>
      </c>
      <c r="D318" s="1837">
        <v>14898731716</v>
      </c>
      <c r="E318" s="1838">
        <v>45789</v>
      </c>
      <c r="F318" s="1838" t="s">
        <v>499</v>
      </c>
      <c r="G318" s="1837" t="s">
        <v>500</v>
      </c>
      <c r="H318" s="1837" t="s">
        <v>508</v>
      </c>
      <c r="I318" s="1832" t="s">
        <v>469</v>
      </c>
      <c r="J318" s="1831" t="s">
        <v>5453</v>
      </c>
    </row>
    <row r="319" spans="1:10" ht="15" hidden="1" x14ac:dyDescent="0.35">
      <c r="A319" s="1832">
        <v>21179</v>
      </c>
      <c r="B319" s="1837" t="s">
        <v>778</v>
      </c>
      <c r="C319" s="1837" t="s">
        <v>420</v>
      </c>
      <c r="D319" s="1837">
        <v>13438006766</v>
      </c>
      <c r="E319" s="1838">
        <v>45772</v>
      </c>
      <c r="F319" s="1838" t="s">
        <v>499</v>
      </c>
      <c r="G319" s="1837" t="s">
        <v>500</v>
      </c>
      <c r="H319" s="1837" t="s">
        <v>501</v>
      </c>
      <c r="I319" s="1831" t="s">
        <v>496</v>
      </c>
      <c r="J319" s="1831" t="s">
        <v>5453</v>
      </c>
    </row>
    <row r="320" spans="1:10" ht="15" hidden="1" x14ac:dyDescent="0.35">
      <c r="A320" s="1832">
        <v>22821</v>
      </c>
      <c r="B320" s="1837" t="s">
        <v>784</v>
      </c>
      <c r="C320" s="1837" t="s">
        <v>420</v>
      </c>
      <c r="D320" s="1837">
        <v>15827180750</v>
      </c>
      <c r="E320" s="1838">
        <v>45883</v>
      </c>
      <c r="F320" s="1838" t="s">
        <v>499</v>
      </c>
      <c r="G320" s="1837" t="s">
        <v>500</v>
      </c>
      <c r="H320" s="1837" t="s">
        <v>501</v>
      </c>
      <c r="I320" s="1831" t="s">
        <v>4776</v>
      </c>
      <c r="J320" s="1831" t="s">
        <v>5453</v>
      </c>
    </row>
    <row r="321" spans="1:10" ht="15" hidden="1" x14ac:dyDescent="0.35">
      <c r="A321" s="1832">
        <v>21318</v>
      </c>
      <c r="B321" s="1837" t="s">
        <v>817</v>
      </c>
      <c r="C321" s="1837" t="s">
        <v>420</v>
      </c>
      <c r="D321" s="1837">
        <v>14092869754</v>
      </c>
      <c r="E321" s="1838">
        <v>45779</v>
      </c>
      <c r="F321" s="1838" t="s">
        <v>499</v>
      </c>
      <c r="G321" s="1837" t="s">
        <v>500</v>
      </c>
      <c r="H321" s="1837" t="s">
        <v>501</v>
      </c>
      <c r="I321" s="1831" t="s">
        <v>496</v>
      </c>
      <c r="J321" s="1831" t="s">
        <v>5453</v>
      </c>
    </row>
    <row r="322" spans="1:10" ht="15" hidden="1" x14ac:dyDescent="0.35">
      <c r="A322" s="139">
        <v>20741</v>
      </c>
      <c r="B322" s="138" t="s">
        <v>760</v>
      </c>
      <c r="C322" s="138" t="s">
        <v>457</v>
      </c>
      <c r="D322" s="138">
        <v>10204526760</v>
      </c>
      <c r="E322" s="140">
        <v>45754</v>
      </c>
      <c r="F322" s="140">
        <v>45782</v>
      </c>
      <c r="G322" s="138" t="s">
        <v>494</v>
      </c>
      <c r="H322" s="138" t="s">
        <v>495</v>
      </c>
      <c r="I322" t="s">
        <v>496</v>
      </c>
      <c r="J322"/>
    </row>
    <row r="323" spans="1:10" ht="15" hidden="1" x14ac:dyDescent="0.35">
      <c r="A323" s="1832">
        <v>21184</v>
      </c>
      <c r="B323" s="1837" t="s">
        <v>830</v>
      </c>
      <c r="C323" s="1837" t="s">
        <v>420</v>
      </c>
      <c r="D323" s="1837">
        <v>15966141703</v>
      </c>
      <c r="E323" s="1838">
        <v>45772</v>
      </c>
      <c r="F323" s="1838" t="s">
        <v>499</v>
      </c>
      <c r="G323" s="1837" t="s">
        <v>500</v>
      </c>
      <c r="H323" s="1837" t="s">
        <v>501</v>
      </c>
      <c r="I323" s="1831" t="s">
        <v>496</v>
      </c>
      <c r="J323" s="1831" t="s">
        <v>5453</v>
      </c>
    </row>
    <row r="324" spans="1:10" s="1829" customFormat="1" ht="15" hidden="1" x14ac:dyDescent="0.35">
      <c r="A324" s="1832">
        <v>19921</v>
      </c>
      <c r="B324" s="1837" t="s">
        <v>233</v>
      </c>
      <c r="C324" s="1837" t="s">
        <v>420</v>
      </c>
      <c r="D324" s="1837">
        <v>12738703798</v>
      </c>
      <c r="E324" s="1838">
        <v>45692</v>
      </c>
      <c r="F324" s="1838" t="s">
        <v>499</v>
      </c>
      <c r="G324" s="1837" t="s">
        <v>500</v>
      </c>
      <c r="H324" s="1837" t="s">
        <v>508</v>
      </c>
      <c r="I324" s="1831" t="s">
        <v>468</v>
      </c>
      <c r="J324" s="1831" t="s">
        <v>5453</v>
      </c>
    </row>
    <row r="325" spans="1:10" ht="15" hidden="1" x14ac:dyDescent="0.35">
      <c r="A325" s="1832">
        <v>21801</v>
      </c>
      <c r="B325" s="1837" t="s">
        <v>849</v>
      </c>
      <c r="C325" s="1837" t="s">
        <v>420</v>
      </c>
      <c r="D325" s="1837">
        <v>15329902789</v>
      </c>
      <c r="E325" s="1838">
        <v>45810</v>
      </c>
      <c r="F325" s="1838" t="s">
        <v>499</v>
      </c>
      <c r="G325" s="1837" t="s">
        <v>500</v>
      </c>
      <c r="H325" s="1837" t="s">
        <v>501</v>
      </c>
      <c r="I325" s="1831" t="s">
        <v>496</v>
      </c>
      <c r="J325" s="1831" t="s">
        <v>5453</v>
      </c>
    </row>
    <row r="326" spans="1:10" s="1829" customFormat="1" ht="15" hidden="1" x14ac:dyDescent="0.35">
      <c r="A326" s="1832">
        <v>21334</v>
      </c>
      <c r="B326" s="1837" t="s">
        <v>292</v>
      </c>
      <c r="C326" s="1837" t="s">
        <v>420</v>
      </c>
      <c r="D326" s="1837">
        <v>9260589754</v>
      </c>
      <c r="E326" s="1838">
        <v>45779</v>
      </c>
      <c r="F326" s="1838" t="s">
        <v>499</v>
      </c>
      <c r="G326" s="1837" t="s">
        <v>500</v>
      </c>
      <c r="H326" s="1837" t="s">
        <v>508</v>
      </c>
      <c r="I326" s="1832" t="s">
        <v>469</v>
      </c>
      <c r="J326" s="1831" t="s">
        <v>5453</v>
      </c>
    </row>
    <row r="327" spans="1:10" ht="15" hidden="1" x14ac:dyDescent="0.35">
      <c r="A327" s="1832">
        <v>21217</v>
      </c>
      <c r="B327" s="1837" t="s">
        <v>863</v>
      </c>
      <c r="C327" s="1837" t="s">
        <v>420</v>
      </c>
      <c r="D327" s="1837">
        <v>5352717780</v>
      </c>
      <c r="E327" s="1838">
        <v>45772</v>
      </c>
      <c r="F327" s="1838" t="s">
        <v>499</v>
      </c>
      <c r="G327" s="1837" t="s">
        <v>500</v>
      </c>
      <c r="H327" s="1837" t="s">
        <v>501</v>
      </c>
      <c r="I327" s="1831" t="s">
        <v>496</v>
      </c>
      <c r="J327" s="1831" t="s">
        <v>5453</v>
      </c>
    </row>
    <row r="328" spans="1:10" ht="15" hidden="1" x14ac:dyDescent="0.35">
      <c r="A328" s="139">
        <v>20774</v>
      </c>
      <c r="B328" s="138" t="s">
        <v>765</v>
      </c>
      <c r="C328" s="138" t="s">
        <v>441</v>
      </c>
      <c r="D328" s="138">
        <v>18678824778</v>
      </c>
      <c r="E328" s="140">
        <v>45756</v>
      </c>
      <c r="F328" s="140">
        <v>45952</v>
      </c>
      <c r="G328" s="138" t="s">
        <v>494</v>
      </c>
      <c r="H328" s="138" t="s">
        <v>508</v>
      </c>
      <c r="I328"/>
      <c r="J328"/>
    </row>
    <row r="329" spans="1:10" s="1829" customFormat="1" ht="15" hidden="1" x14ac:dyDescent="0.35">
      <c r="A329" s="1832">
        <v>21671</v>
      </c>
      <c r="B329" s="1837" t="s">
        <v>297</v>
      </c>
      <c r="C329" s="1837" t="s">
        <v>420</v>
      </c>
      <c r="D329" s="1837">
        <v>82350035700</v>
      </c>
      <c r="E329" s="1838">
        <v>45796</v>
      </c>
      <c r="F329" s="1838" t="s">
        <v>499</v>
      </c>
      <c r="G329" s="1837" t="s">
        <v>500</v>
      </c>
      <c r="H329" s="1837" t="s">
        <v>508</v>
      </c>
      <c r="I329" s="1832" t="s">
        <v>469</v>
      </c>
      <c r="J329" s="1831" t="s">
        <v>5453</v>
      </c>
    </row>
    <row r="330" spans="1:10" ht="15" hidden="1" x14ac:dyDescent="0.35">
      <c r="A330" s="1832">
        <v>20794</v>
      </c>
      <c r="B330" s="1837" t="s">
        <v>884</v>
      </c>
      <c r="C330" s="1837" t="s">
        <v>420</v>
      </c>
      <c r="D330" s="1837">
        <v>1784403709</v>
      </c>
      <c r="E330" s="1838">
        <v>45757</v>
      </c>
      <c r="F330" s="1838" t="s">
        <v>499</v>
      </c>
      <c r="G330" s="1837" t="s">
        <v>500</v>
      </c>
      <c r="H330" s="1837" t="s">
        <v>501</v>
      </c>
      <c r="I330" s="1831" t="s">
        <v>496</v>
      </c>
      <c r="J330" s="1831" t="s">
        <v>5453</v>
      </c>
    </row>
    <row r="331" spans="1:10" ht="15" hidden="1" x14ac:dyDescent="0.35">
      <c r="A331" s="139">
        <v>21788</v>
      </c>
      <c r="B331" s="138" t="s">
        <v>767</v>
      </c>
      <c r="C331" s="138" t="s">
        <v>768</v>
      </c>
      <c r="D331" s="138">
        <v>8701470728</v>
      </c>
      <c r="E331" s="140">
        <v>45810</v>
      </c>
      <c r="F331" s="140">
        <v>45845</v>
      </c>
      <c r="G331" s="138" t="s">
        <v>494</v>
      </c>
      <c r="H331" s="138" t="s">
        <v>495</v>
      </c>
      <c r="I331" t="s">
        <v>496</v>
      </c>
      <c r="J331"/>
    </row>
    <row r="332" spans="1:10" s="1829" customFormat="1" ht="15" hidden="1" x14ac:dyDescent="0.35">
      <c r="A332" s="1832">
        <v>23829</v>
      </c>
      <c r="B332" s="1837" t="s">
        <v>345</v>
      </c>
      <c r="C332" s="1837" t="s">
        <v>420</v>
      </c>
      <c r="D332" s="1837">
        <v>2104508517</v>
      </c>
      <c r="E332" s="1838">
        <v>45975</v>
      </c>
      <c r="F332" s="1838" t="s">
        <v>499</v>
      </c>
      <c r="G332" s="1837" t="s">
        <v>500</v>
      </c>
      <c r="H332" s="1837" t="s">
        <v>508</v>
      </c>
      <c r="I332" s="1832" t="s">
        <v>469</v>
      </c>
      <c r="J332" s="1831" t="s">
        <v>5453</v>
      </c>
    </row>
    <row r="333" spans="1:10" s="1829" customFormat="1" ht="15" hidden="1" x14ac:dyDescent="0.35">
      <c r="A333" s="1832">
        <v>24737</v>
      </c>
      <c r="B333" s="1837" t="s">
        <v>670</v>
      </c>
      <c r="C333" s="1837" t="s">
        <v>420</v>
      </c>
      <c r="D333" s="1837">
        <v>10779158709</v>
      </c>
      <c r="E333" s="1838">
        <v>46122</v>
      </c>
      <c r="F333" s="1838" t="s">
        <v>499</v>
      </c>
      <c r="G333" s="1837" t="s">
        <v>500</v>
      </c>
      <c r="H333" s="1837" t="s">
        <v>508</v>
      </c>
      <c r="I333" s="1831" t="s">
        <v>468</v>
      </c>
      <c r="J333" s="1831" t="s">
        <v>5453</v>
      </c>
    </row>
    <row r="334" spans="1:10" ht="15" hidden="1" x14ac:dyDescent="0.35">
      <c r="A334" s="1832">
        <v>21194</v>
      </c>
      <c r="B334" s="1837" t="s">
        <v>900</v>
      </c>
      <c r="C334" s="1837" t="s">
        <v>420</v>
      </c>
      <c r="D334" s="1837">
        <v>5185999730</v>
      </c>
      <c r="E334" s="1838">
        <v>45772</v>
      </c>
      <c r="F334" s="1838" t="s">
        <v>499</v>
      </c>
      <c r="G334" s="1837" t="s">
        <v>500</v>
      </c>
      <c r="H334" s="1837" t="s">
        <v>501</v>
      </c>
      <c r="I334" s="1831" t="s">
        <v>496</v>
      </c>
      <c r="J334" s="1831" t="s">
        <v>5453</v>
      </c>
    </row>
    <row r="335" spans="1:10" ht="15" hidden="1" x14ac:dyDescent="0.35">
      <c r="A335" s="1832">
        <v>21150</v>
      </c>
      <c r="B335" s="1837" t="s">
        <v>911</v>
      </c>
      <c r="C335" s="1837" t="s">
        <v>420</v>
      </c>
      <c r="D335" s="1837">
        <v>11201528798</v>
      </c>
      <c r="E335" s="1838">
        <v>45772</v>
      </c>
      <c r="F335" s="1838" t="s">
        <v>499</v>
      </c>
      <c r="G335" s="1837" t="s">
        <v>500</v>
      </c>
      <c r="H335" s="1837" t="s">
        <v>501</v>
      </c>
      <c r="I335" s="1831" t="s">
        <v>496</v>
      </c>
      <c r="J335" s="1831" t="s">
        <v>5453</v>
      </c>
    </row>
    <row r="336" spans="1:10" s="1829" customFormat="1" ht="15" hidden="1" x14ac:dyDescent="0.35">
      <c r="A336" s="1832">
        <v>17697</v>
      </c>
      <c r="B336" s="1837" t="s">
        <v>201</v>
      </c>
      <c r="C336" s="1837" t="s">
        <v>420</v>
      </c>
      <c r="D336" s="1837">
        <v>12274245746</v>
      </c>
      <c r="E336" s="1838">
        <v>45377</v>
      </c>
      <c r="F336" s="1838" t="s">
        <v>499</v>
      </c>
      <c r="G336" s="1837" t="s">
        <v>500</v>
      </c>
      <c r="H336" s="1837" t="s">
        <v>508</v>
      </c>
      <c r="I336" s="1831" t="s">
        <v>468</v>
      </c>
      <c r="J336" s="1831" t="s">
        <v>5453</v>
      </c>
    </row>
    <row r="337" spans="1:10" ht="15" hidden="1" x14ac:dyDescent="0.35">
      <c r="A337" s="139">
        <v>23182</v>
      </c>
      <c r="B337" s="138" t="s">
        <v>771</v>
      </c>
      <c r="C337" s="138" t="s">
        <v>439</v>
      </c>
      <c r="D337" s="138">
        <v>4049874512</v>
      </c>
      <c r="E337" s="140">
        <v>45908</v>
      </c>
      <c r="F337" s="140">
        <v>46114</v>
      </c>
      <c r="G337" s="138" t="s">
        <v>494</v>
      </c>
      <c r="H337" s="138" t="s">
        <v>502</v>
      </c>
      <c r="I337"/>
      <c r="J337"/>
    </row>
    <row r="338" spans="1:10" s="1829" customFormat="1" ht="15" hidden="1" x14ac:dyDescent="0.35">
      <c r="A338" s="1832">
        <v>17703</v>
      </c>
      <c r="B338" s="1837" t="s">
        <v>238</v>
      </c>
      <c r="C338" s="1837" t="s">
        <v>420</v>
      </c>
      <c r="D338" s="1837">
        <v>10409131725</v>
      </c>
      <c r="E338" s="1838">
        <v>45377</v>
      </c>
      <c r="F338" s="1838" t="s">
        <v>499</v>
      </c>
      <c r="G338" s="1837" t="s">
        <v>500</v>
      </c>
      <c r="H338" s="1837" t="s">
        <v>508</v>
      </c>
      <c r="I338" s="1832" t="s">
        <v>468</v>
      </c>
      <c r="J338" s="1831" t="s">
        <v>5453</v>
      </c>
    </row>
    <row r="339" spans="1:10" ht="15" hidden="1" x14ac:dyDescent="0.35">
      <c r="A339" s="1832">
        <v>21195</v>
      </c>
      <c r="B339" s="1837" t="s">
        <v>912</v>
      </c>
      <c r="C339" s="1837" t="s">
        <v>420</v>
      </c>
      <c r="D339" s="1837">
        <v>94594198520</v>
      </c>
      <c r="E339" s="1838">
        <v>45772</v>
      </c>
      <c r="F339" s="1838" t="s">
        <v>499</v>
      </c>
      <c r="G339" s="1837" t="s">
        <v>500</v>
      </c>
      <c r="H339" s="1837" t="s">
        <v>501</v>
      </c>
      <c r="I339" s="1831" t="s">
        <v>496</v>
      </c>
      <c r="J339" s="1831" t="s">
        <v>5453</v>
      </c>
    </row>
    <row r="340" spans="1:10" ht="15" hidden="1" x14ac:dyDescent="0.35">
      <c r="A340" s="1832">
        <v>21776</v>
      </c>
      <c r="B340" s="1837" t="s">
        <v>913</v>
      </c>
      <c r="C340" s="1837" t="s">
        <v>420</v>
      </c>
      <c r="D340" s="1837">
        <v>14876501750</v>
      </c>
      <c r="E340" s="1838">
        <v>45810</v>
      </c>
      <c r="F340" s="1838" t="s">
        <v>499</v>
      </c>
      <c r="G340" s="1837" t="s">
        <v>500</v>
      </c>
      <c r="H340" s="1837" t="s">
        <v>501</v>
      </c>
      <c r="I340" s="1831" t="s">
        <v>496</v>
      </c>
      <c r="J340" s="1831" t="s">
        <v>5453</v>
      </c>
    </row>
    <row r="341" spans="1:10" ht="15" hidden="1" x14ac:dyDescent="0.35">
      <c r="A341" s="139">
        <v>22653</v>
      </c>
      <c r="B341" s="138" t="s">
        <v>774</v>
      </c>
      <c r="C341" s="138" t="s">
        <v>457</v>
      </c>
      <c r="D341" s="138">
        <v>8574857769</v>
      </c>
      <c r="E341" s="140">
        <v>45859</v>
      </c>
      <c r="F341" s="140">
        <v>46094</v>
      </c>
      <c r="G341" s="138" t="s">
        <v>494</v>
      </c>
      <c r="H341" s="138" t="s">
        <v>502</v>
      </c>
      <c r="I341"/>
      <c r="J341"/>
    </row>
    <row r="342" spans="1:10" ht="15" hidden="1" x14ac:dyDescent="0.35">
      <c r="A342" s="139">
        <v>23241</v>
      </c>
      <c r="B342" s="138" t="s">
        <v>775</v>
      </c>
      <c r="C342" s="138" t="s">
        <v>444</v>
      </c>
      <c r="D342" s="138">
        <v>17896429730</v>
      </c>
      <c r="E342" s="140">
        <v>45912</v>
      </c>
      <c r="F342" s="140">
        <v>45992</v>
      </c>
      <c r="G342" s="138" t="s">
        <v>494</v>
      </c>
      <c r="H342" s="138" t="s">
        <v>502</v>
      </c>
      <c r="I342"/>
      <c r="J342"/>
    </row>
    <row r="343" spans="1:10" ht="15" hidden="1" x14ac:dyDescent="0.35">
      <c r="A343" s="139">
        <v>23178</v>
      </c>
      <c r="B343" s="138" t="s">
        <v>776</v>
      </c>
      <c r="C343" s="138" t="s">
        <v>406</v>
      </c>
      <c r="D343" s="138">
        <v>15067954710</v>
      </c>
      <c r="E343" s="140">
        <v>45908</v>
      </c>
      <c r="F343" s="140">
        <v>46065</v>
      </c>
      <c r="G343" s="138" t="s">
        <v>494</v>
      </c>
      <c r="H343" s="138" t="s">
        <v>502</v>
      </c>
      <c r="I343"/>
      <c r="J343"/>
    </row>
    <row r="344" spans="1:10" s="1829" customFormat="1" ht="15" hidden="1" x14ac:dyDescent="0.35">
      <c r="A344" s="1832">
        <v>22386</v>
      </c>
      <c r="B344" s="1837" t="s">
        <v>306</v>
      </c>
      <c r="C344" s="1837" t="s">
        <v>420</v>
      </c>
      <c r="D344" s="1837">
        <v>12310483796</v>
      </c>
      <c r="E344" s="1838">
        <v>45845</v>
      </c>
      <c r="F344" s="1838" t="s">
        <v>499</v>
      </c>
      <c r="G344" s="1837" t="s">
        <v>500</v>
      </c>
      <c r="H344" s="1837" t="s">
        <v>508</v>
      </c>
      <c r="I344" s="1832" t="s">
        <v>469</v>
      </c>
      <c r="J344" s="1831" t="s">
        <v>5453</v>
      </c>
    </row>
    <row r="345" spans="1:10" s="1829" customFormat="1" ht="15" hidden="1" x14ac:dyDescent="0.35">
      <c r="A345" s="1832">
        <v>21241</v>
      </c>
      <c r="B345" s="1837" t="s">
        <v>311</v>
      </c>
      <c r="C345" s="1837" t="s">
        <v>420</v>
      </c>
      <c r="D345" s="1837">
        <v>15231235750</v>
      </c>
      <c r="E345" s="1838">
        <v>45772</v>
      </c>
      <c r="F345" s="1838" t="s">
        <v>499</v>
      </c>
      <c r="G345" s="1837" t="s">
        <v>500</v>
      </c>
      <c r="H345" s="1837" t="s">
        <v>508</v>
      </c>
      <c r="I345" s="1832" t="s">
        <v>469</v>
      </c>
      <c r="J345" s="1831" t="s">
        <v>5453</v>
      </c>
    </row>
    <row r="346" spans="1:10" s="1829" customFormat="1" ht="15" hidden="1" x14ac:dyDescent="0.35">
      <c r="A346" s="1832">
        <v>21303</v>
      </c>
      <c r="B346" s="1837" t="s">
        <v>316</v>
      </c>
      <c r="C346" s="1837" t="s">
        <v>420</v>
      </c>
      <c r="D346" s="1837">
        <v>9575976738</v>
      </c>
      <c r="E346" s="1838">
        <v>45779</v>
      </c>
      <c r="F346" s="1838" t="s">
        <v>499</v>
      </c>
      <c r="G346" s="1837" t="s">
        <v>500</v>
      </c>
      <c r="H346" s="1837" t="s">
        <v>508</v>
      </c>
      <c r="I346" s="1832" t="s">
        <v>469</v>
      </c>
      <c r="J346" s="1831" t="s">
        <v>5453</v>
      </c>
    </row>
    <row r="347" spans="1:10" ht="15" hidden="1" x14ac:dyDescent="0.35">
      <c r="A347" s="139">
        <v>21300</v>
      </c>
      <c r="B347" s="138" t="s">
        <v>777</v>
      </c>
      <c r="C347" s="138" t="s">
        <v>416</v>
      </c>
      <c r="D347" s="138">
        <v>12690054728</v>
      </c>
      <c r="E347" s="140">
        <v>45779</v>
      </c>
      <c r="F347" s="140">
        <v>46029</v>
      </c>
      <c r="G347" s="138" t="s">
        <v>494</v>
      </c>
      <c r="H347" s="138" t="s">
        <v>501</v>
      </c>
      <c r="I347" t="s">
        <v>496</v>
      </c>
      <c r="J347"/>
    </row>
    <row r="348" spans="1:10" ht="15" hidden="1" x14ac:dyDescent="0.35">
      <c r="A348" s="1832">
        <v>24279</v>
      </c>
      <c r="B348" s="1837" t="s">
        <v>914</v>
      </c>
      <c r="C348" s="1837" t="s">
        <v>420</v>
      </c>
      <c r="D348" s="1837">
        <v>12359704770</v>
      </c>
      <c r="E348" s="1838">
        <v>46090</v>
      </c>
      <c r="F348" s="1838" t="s">
        <v>499</v>
      </c>
      <c r="G348" s="1837" t="s">
        <v>500</v>
      </c>
      <c r="H348" s="1837" t="s">
        <v>501</v>
      </c>
      <c r="I348" s="1831" t="s">
        <v>496</v>
      </c>
      <c r="J348" s="1831" t="s">
        <v>5453</v>
      </c>
    </row>
    <row r="349" spans="1:10" ht="15" hidden="1" x14ac:dyDescent="0.35">
      <c r="A349" s="1832">
        <v>21197</v>
      </c>
      <c r="B349" s="1837" t="s">
        <v>922</v>
      </c>
      <c r="C349" s="1837" t="s">
        <v>420</v>
      </c>
      <c r="D349" s="1837">
        <v>16727867704</v>
      </c>
      <c r="E349" s="1838">
        <v>45772</v>
      </c>
      <c r="F349" s="1838" t="s">
        <v>499</v>
      </c>
      <c r="G349" s="1837" t="s">
        <v>500</v>
      </c>
      <c r="H349" s="1837" t="s">
        <v>501</v>
      </c>
      <c r="I349" s="1831" t="s">
        <v>496</v>
      </c>
      <c r="J349" s="1831" t="s">
        <v>5453</v>
      </c>
    </row>
    <row r="350" spans="1:10" ht="15" hidden="1" x14ac:dyDescent="0.35">
      <c r="A350" s="1832">
        <v>21286</v>
      </c>
      <c r="B350" s="1837" t="s">
        <v>930</v>
      </c>
      <c r="C350" s="1837" t="s">
        <v>420</v>
      </c>
      <c r="D350" s="1837">
        <v>12873704705</v>
      </c>
      <c r="E350" s="1838">
        <v>45779</v>
      </c>
      <c r="F350" s="1838" t="s">
        <v>499</v>
      </c>
      <c r="G350" s="1837" t="s">
        <v>500</v>
      </c>
      <c r="H350" s="1837" t="s">
        <v>501</v>
      </c>
      <c r="I350" s="1831" t="s">
        <v>4776</v>
      </c>
      <c r="J350" s="1831" t="s">
        <v>5453</v>
      </c>
    </row>
    <row r="351" spans="1:10" s="1829" customFormat="1" ht="15" hidden="1" x14ac:dyDescent="0.35">
      <c r="A351" s="1832">
        <v>22519</v>
      </c>
      <c r="B351" s="1837" t="s">
        <v>242</v>
      </c>
      <c r="C351" s="1837" t="s">
        <v>420</v>
      </c>
      <c r="D351" s="1837">
        <v>170864502</v>
      </c>
      <c r="E351" s="1838">
        <v>45852</v>
      </c>
      <c r="F351" s="1838" t="s">
        <v>499</v>
      </c>
      <c r="G351" s="1837" t="s">
        <v>500</v>
      </c>
      <c r="H351" s="1837" t="s">
        <v>508</v>
      </c>
      <c r="I351" s="1831" t="s">
        <v>468</v>
      </c>
      <c r="J351" s="1831" t="s">
        <v>5453</v>
      </c>
    </row>
    <row r="352" spans="1:10" ht="15" hidden="1" x14ac:dyDescent="0.35">
      <c r="A352" s="139">
        <v>17770</v>
      </c>
      <c r="B352" s="138" t="s">
        <v>781</v>
      </c>
      <c r="C352" s="138" t="s">
        <v>420</v>
      </c>
      <c r="D352" s="138">
        <v>1832742610</v>
      </c>
      <c r="E352" s="140">
        <v>45383</v>
      </c>
      <c r="F352" s="140">
        <v>45786</v>
      </c>
      <c r="G352" s="138" t="s">
        <v>494</v>
      </c>
      <c r="H352" s="138" t="s">
        <v>508</v>
      </c>
      <c r="I352"/>
      <c r="J352"/>
    </row>
    <row r="353" spans="1:10" s="1829" customFormat="1" ht="15" hidden="1" x14ac:dyDescent="0.35">
      <c r="A353" s="1832">
        <v>23998</v>
      </c>
      <c r="B353" s="1837" t="s">
        <v>250</v>
      </c>
      <c r="C353" s="1837" t="s">
        <v>420</v>
      </c>
      <c r="D353" s="1837">
        <v>5947231751</v>
      </c>
      <c r="E353" s="1838">
        <v>46027</v>
      </c>
      <c r="F353" s="1838" t="s">
        <v>499</v>
      </c>
      <c r="G353" s="1837" t="s">
        <v>500</v>
      </c>
      <c r="H353" s="1837" t="s">
        <v>508</v>
      </c>
      <c r="I353" s="1832" t="s">
        <v>468</v>
      </c>
      <c r="J353" s="1831" t="s">
        <v>5453</v>
      </c>
    </row>
    <row r="354" spans="1:10" ht="15" hidden="1" x14ac:dyDescent="0.35">
      <c r="A354" s="139">
        <v>20767</v>
      </c>
      <c r="B354" s="138" t="s">
        <v>782</v>
      </c>
      <c r="C354" s="138" t="s">
        <v>444</v>
      </c>
      <c r="D354" s="138">
        <v>6996749727</v>
      </c>
      <c r="E354" s="140">
        <v>45756</v>
      </c>
      <c r="F354" s="140">
        <v>46066</v>
      </c>
      <c r="G354" s="138" t="s">
        <v>494</v>
      </c>
      <c r="H354" s="138" t="s">
        <v>502</v>
      </c>
      <c r="I354"/>
      <c r="J354"/>
    </row>
    <row r="355" spans="1:10" s="10" customFormat="1" ht="15" hidden="1" x14ac:dyDescent="0.35">
      <c r="A355" s="141">
        <v>22027</v>
      </c>
      <c r="B355" s="142" t="s">
        <v>783</v>
      </c>
      <c r="C355" s="142" t="s">
        <v>427</v>
      </c>
      <c r="D355" s="142">
        <v>14646157721</v>
      </c>
      <c r="E355" s="143">
        <v>45826</v>
      </c>
      <c r="F355" s="143" t="s">
        <v>499</v>
      </c>
      <c r="G355" s="142" t="s">
        <v>634</v>
      </c>
      <c r="H355" s="142" t="s">
        <v>495</v>
      </c>
      <c r="I355" s="10" t="s">
        <v>496</v>
      </c>
    </row>
    <row r="356" spans="1:10" s="1829" customFormat="1" ht="15" hidden="1" x14ac:dyDescent="0.35">
      <c r="A356" s="1832">
        <v>24523</v>
      </c>
      <c r="B356" s="1837" t="s">
        <v>341</v>
      </c>
      <c r="C356" s="1837" t="s">
        <v>420</v>
      </c>
      <c r="D356" s="1837">
        <v>804362777</v>
      </c>
      <c r="E356" s="1838">
        <v>46100</v>
      </c>
      <c r="F356" s="1838" t="s">
        <v>499</v>
      </c>
      <c r="G356" s="1837" t="s">
        <v>500</v>
      </c>
      <c r="H356" s="1837" t="s">
        <v>508</v>
      </c>
      <c r="I356" s="1832" t="s">
        <v>469</v>
      </c>
      <c r="J356" s="1831" t="s">
        <v>5453</v>
      </c>
    </row>
    <row r="357" spans="1:10" ht="15" hidden="1" x14ac:dyDescent="0.35">
      <c r="A357" s="1832">
        <v>22788</v>
      </c>
      <c r="B357" s="1837" t="s">
        <v>931</v>
      </c>
      <c r="C357" s="1837" t="s">
        <v>420</v>
      </c>
      <c r="D357" s="1837">
        <v>13696415758</v>
      </c>
      <c r="E357" s="1838">
        <v>45881</v>
      </c>
      <c r="F357" s="1838" t="s">
        <v>499</v>
      </c>
      <c r="G357" s="1837" t="s">
        <v>500</v>
      </c>
      <c r="H357" s="1837" t="s">
        <v>501</v>
      </c>
      <c r="I357" s="1831" t="s">
        <v>4776</v>
      </c>
      <c r="J357" s="1831" t="s">
        <v>5453</v>
      </c>
    </row>
    <row r="358" spans="1:10" s="1829" customFormat="1" ht="15" hidden="1" x14ac:dyDescent="0.35">
      <c r="A358" s="1832">
        <v>21236</v>
      </c>
      <c r="B358" s="1837" t="s">
        <v>321</v>
      </c>
      <c r="C358" s="1837" t="s">
        <v>420</v>
      </c>
      <c r="D358" s="1837">
        <v>10959576789</v>
      </c>
      <c r="E358" s="1838">
        <v>45772</v>
      </c>
      <c r="F358" s="1838" t="s">
        <v>499</v>
      </c>
      <c r="G358" s="1837" t="s">
        <v>500</v>
      </c>
      <c r="H358" s="1837" t="s">
        <v>508</v>
      </c>
      <c r="I358" s="1832" t="s">
        <v>469</v>
      </c>
      <c r="J358" s="1831" t="s">
        <v>5453</v>
      </c>
    </row>
    <row r="359" spans="1:10" ht="15" hidden="1" x14ac:dyDescent="0.35">
      <c r="A359" s="1832">
        <v>23859</v>
      </c>
      <c r="B359" s="1837" t="s">
        <v>948</v>
      </c>
      <c r="C359" s="1837" t="s">
        <v>420</v>
      </c>
      <c r="D359" s="1837">
        <v>17588637730</v>
      </c>
      <c r="E359" s="1838">
        <v>45979</v>
      </c>
      <c r="F359" s="1838" t="s">
        <v>499</v>
      </c>
      <c r="G359" s="1837" t="s">
        <v>500</v>
      </c>
      <c r="H359" s="1837" t="s">
        <v>501</v>
      </c>
      <c r="I359" s="1831" t="s">
        <v>496</v>
      </c>
      <c r="J359" s="1831" t="s">
        <v>5453</v>
      </c>
    </row>
    <row r="360" spans="1:10" ht="15" hidden="1" x14ac:dyDescent="0.35">
      <c r="A360" s="1832">
        <v>21145</v>
      </c>
      <c r="B360" s="1837" t="s">
        <v>950</v>
      </c>
      <c r="C360" s="1837" t="s">
        <v>420</v>
      </c>
      <c r="D360" s="1837">
        <v>8127682721</v>
      </c>
      <c r="E360" s="1838">
        <v>45772</v>
      </c>
      <c r="F360" s="1838" t="s">
        <v>499</v>
      </c>
      <c r="G360" s="1837" t="s">
        <v>500</v>
      </c>
      <c r="H360" s="1837" t="s">
        <v>501</v>
      </c>
      <c r="I360" s="1831" t="s">
        <v>496</v>
      </c>
      <c r="J360" s="1831" t="s">
        <v>5453</v>
      </c>
    </row>
    <row r="361" spans="1:10" ht="15" hidden="1" x14ac:dyDescent="0.35">
      <c r="A361" s="1832">
        <v>21202</v>
      </c>
      <c r="B361" s="1837" t="s">
        <v>951</v>
      </c>
      <c r="C361" s="1837" t="s">
        <v>420</v>
      </c>
      <c r="D361" s="1837">
        <v>10603616712</v>
      </c>
      <c r="E361" s="1838">
        <v>45772</v>
      </c>
      <c r="F361" s="1838" t="s">
        <v>499</v>
      </c>
      <c r="G361" s="1837" t="s">
        <v>500</v>
      </c>
      <c r="H361" s="1837" t="s">
        <v>501</v>
      </c>
      <c r="I361" s="1831" t="s">
        <v>496</v>
      </c>
      <c r="J361" s="1831" t="s">
        <v>5453</v>
      </c>
    </row>
    <row r="362" spans="1:10" ht="15" hidden="1" x14ac:dyDescent="0.35">
      <c r="A362" s="1832">
        <v>21204</v>
      </c>
      <c r="B362" s="1837" t="s">
        <v>971</v>
      </c>
      <c r="C362" s="1837" t="s">
        <v>420</v>
      </c>
      <c r="D362" s="1837">
        <v>4412450724</v>
      </c>
      <c r="E362" s="1838">
        <v>45772</v>
      </c>
      <c r="F362" s="1838" t="s">
        <v>499</v>
      </c>
      <c r="G362" s="1837" t="s">
        <v>500</v>
      </c>
      <c r="H362" s="1837" t="s">
        <v>501</v>
      </c>
      <c r="I362" s="1831" t="s">
        <v>496</v>
      </c>
      <c r="J362" s="1831" t="s">
        <v>5453</v>
      </c>
    </row>
    <row r="363" spans="1:10" ht="15" hidden="1" x14ac:dyDescent="0.35">
      <c r="A363" s="139">
        <v>22621</v>
      </c>
      <c r="B363" s="138" t="s">
        <v>789</v>
      </c>
      <c r="C363" s="138" t="s">
        <v>552</v>
      </c>
      <c r="D363" s="138">
        <v>14593152780</v>
      </c>
      <c r="E363" s="140">
        <v>45859</v>
      </c>
      <c r="F363" s="140">
        <v>45952</v>
      </c>
      <c r="G363" s="138" t="s">
        <v>494</v>
      </c>
      <c r="H363" s="138" t="s">
        <v>495</v>
      </c>
      <c r="I363" t="s">
        <v>496</v>
      </c>
      <c r="J363"/>
    </row>
    <row r="364" spans="1:10" ht="15" hidden="1" x14ac:dyDescent="0.35">
      <c r="A364" s="1832">
        <v>24896</v>
      </c>
      <c r="B364" s="1837" t="s">
        <v>999</v>
      </c>
      <c r="C364" s="1837" t="s">
        <v>420</v>
      </c>
      <c r="D364" s="1837">
        <v>5729349718</v>
      </c>
      <c r="E364" s="1838">
        <v>46150</v>
      </c>
      <c r="F364" s="1838" t="s">
        <v>499</v>
      </c>
      <c r="G364" s="1837" t="s">
        <v>500</v>
      </c>
      <c r="H364" s="1837" t="s">
        <v>501</v>
      </c>
      <c r="I364" s="1831" t="s">
        <v>496</v>
      </c>
      <c r="J364" s="1831" t="s">
        <v>5453</v>
      </c>
    </row>
    <row r="365" spans="1:10" ht="15" hidden="1" x14ac:dyDescent="0.35">
      <c r="A365" s="1832">
        <v>21798</v>
      </c>
      <c r="B365" s="1837" t="s">
        <v>1003</v>
      </c>
      <c r="C365" s="1837" t="s">
        <v>420</v>
      </c>
      <c r="D365" s="1837">
        <v>9725145704</v>
      </c>
      <c r="E365" s="1838">
        <v>45810</v>
      </c>
      <c r="F365" s="1838" t="s">
        <v>499</v>
      </c>
      <c r="G365" s="1837" t="s">
        <v>500</v>
      </c>
      <c r="H365" s="1837" t="s">
        <v>501</v>
      </c>
      <c r="I365" s="1831" t="s">
        <v>496</v>
      </c>
      <c r="J365" s="1831" t="s">
        <v>5453</v>
      </c>
    </row>
    <row r="366" spans="1:10" ht="15" hidden="1" x14ac:dyDescent="0.35">
      <c r="A366" s="139">
        <v>21096</v>
      </c>
      <c r="B366" s="138" t="s">
        <v>792</v>
      </c>
      <c r="C366" s="138" t="s">
        <v>433</v>
      </c>
      <c r="D366" s="138">
        <v>15543337760</v>
      </c>
      <c r="E366" s="140">
        <v>45764</v>
      </c>
      <c r="F366" s="140">
        <v>45842</v>
      </c>
      <c r="G366" s="138" t="s">
        <v>494</v>
      </c>
      <c r="H366" s="138" t="s">
        <v>495</v>
      </c>
      <c r="I366" t="s">
        <v>496</v>
      </c>
      <c r="J366"/>
    </row>
    <row r="367" spans="1:10" ht="15" hidden="1" x14ac:dyDescent="0.35">
      <c r="A367" s="139">
        <v>21245</v>
      </c>
      <c r="B367" s="138" t="s">
        <v>793</v>
      </c>
      <c r="C367" s="138" t="s">
        <v>416</v>
      </c>
      <c r="D367" s="138">
        <v>21973998700</v>
      </c>
      <c r="E367" s="140">
        <v>45772</v>
      </c>
      <c r="F367" s="140">
        <v>45943</v>
      </c>
      <c r="G367" s="138" t="s">
        <v>494</v>
      </c>
      <c r="H367" s="138" t="s">
        <v>508</v>
      </c>
      <c r="I367"/>
      <c r="J367"/>
    </row>
    <row r="368" spans="1:10" ht="15" hidden="1" x14ac:dyDescent="0.35">
      <c r="A368" s="1832">
        <v>21317</v>
      </c>
      <c r="B368" s="1837" t="s">
        <v>1010</v>
      </c>
      <c r="C368" s="1837" t="s">
        <v>420</v>
      </c>
      <c r="D368" s="1837">
        <v>2311920537</v>
      </c>
      <c r="E368" s="1838">
        <v>45779</v>
      </c>
      <c r="F368" s="1838" t="s">
        <v>499</v>
      </c>
      <c r="G368" s="1837" t="s">
        <v>500</v>
      </c>
      <c r="H368" s="1837" t="s">
        <v>501</v>
      </c>
      <c r="I368" s="1831" t="s">
        <v>496</v>
      </c>
      <c r="J368" s="1831" t="s">
        <v>5453</v>
      </c>
    </row>
    <row r="369" spans="1:10" ht="15" hidden="1" x14ac:dyDescent="0.35">
      <c r="A369" s="1832">
        <v>21209</v>
      </c>
      <c r="B369" s="1837" t="s">
        <v>1012</v>
      </c>
      <c r="C369" s="1837" t="s">
        <v>420</v>
      </c>
      <c r="D369" s="1837">
        <v>7638228766</v>
      </c>
      <c r="E369" s="1838">
        <v>45772</v>
      </c>
      <c r="F369" s="1838" t="s">
        <v>499</v>
      </c>
      <c r="G369" s="1837" t="s">
        <v>500</v>
      </c>
      <c r="H369" s="1837" t="s">
        <v>501</v>
      </c>
      <c r="I369" s="1831" t="s">
        <v>496</v>
      </c>
      <c r="J369" s="1831" t="s">
        <v>5453</v>
      </c>
    </row>
    <row r="370" spans="1:10" ht="15" hidden="1" x14ac:dyDescent="0.35">
      <c r="A370" s="1832">
        <v>22019</v>
      </c>
      <c r="B370" s="1837" t="s">
        <v>1013</v>
      </c>
      <c r="C370" s="1837" t="s">
        <v>420</v>
      </c>
      <c r="D370" s="1837">
        <v>10195176707</v>
      </c>
      <c r="E370" s="1838">
        <v>45826</v>
      </c>
      <c r="F370" s="1838" t="s">
        <v>499</v>
      </c>
      <c r="G370" s="1837" t="s">
        <v>500</v>
      </c>
      <c r="H370" s="1837" t="s">
        <v>501</v>
      </c>
      <c r="I370" s="1831" t="s">
        <v>496</v>
      </c>
      <c r="J370" s="1831" t="s">
        <v>5453</v>
      </c>
    </row>
    <row r="371" spans="1:10" ht="15" hidden="1" x14ac:dyDescent="0.35">
      <c r="A371" s="1832">
        <v>24725</v>
      </c>
      <c r="B371" s="1837" t="s">
        <v>1018</v>
      </c>
      <c r="C371" s="1837" t="s">
        <v>420</v>
      </c>
      <c r="D371" s="1837">
        <v>20879703784</v>
      </c>
      <c r="E371" s="1838">
        <v>46121</v>
      </c>
      <c r="F371" s="1838" t="s">
        <v>499</v>
      </c>
      <c r="G371" s="1837" t="s">
        <v>500</v>
      </c>
      <c r="H371" s="1837" t="s">
        <v>501</v>
      </c>
      <c r="I371" s="1831" t="s">
        <v>496</v>
      </c>
      <c r="J371" s="1831" t="s">
        <v>5453</v>
      </c>
    </row>
    <row r="372" spans="1:10" ht="15" hidden="1" x14ac:dyDescent="0.35">
      <c r="A372" s="1832">
        <v>21214</v>
      </c>
      <c r="B372" s="1837" t="s">
        <v>1035</v>
      </c>
      <c r="C372" s="1837" t="s">
        <v>420</v>
      </c>
      <c r="D372" s="1837">
        <v>8128656775</v>
      </c>
      <c r="E372" s="1838">
        <v>45772</v>
      </c>
      <c r="F372" s="1838" t="s">
        <v>499</v>
      </c>
      <c r="G372" s="1837" t="s">
        <v>500</v>
      </c>
      <c r="H372" s="1837" t="s">
        <v>501</v>
      </c>
      <c r="I372" s="1831" t="s">
        <v>496</v>
      </c>
      <c r="J372" s="1831" t="s">
        <v>5453</v>
      </c>
    </row>
    <row r="373" spans="1:10" ht="15" hidden="1" x14ac:dyDescent="0.35">
      <c r="A373" s="139">
        <v>21248</v>
      </c>
      <c r="B373" s="138" t="s">
        <v>800</v>
      </c>
      <c r="C373" s="138" t="s">
        <v>416</v>
      </c>
      <c r="D373" s="138">
        <v>18970294708</v>
      </c>
      <c r="E373" s="140">
        <v>45772</v>
      </c>
      <c r="F373" s="140">
        <v>45933</v>
      </c>
      <c r="G373" s="138" t="s">
        <v>494</v>
      </c>
      <c r="H373" s="138" t="s">
        <v>508</v>
      </c>
      <c r="I373"/>
      <c r="J373"/>
    </row>
    <row r="374" spans="1:10" s="10" customFormat="1" ht="15" hidden="1" x14ac:dyDescent="0.35">
      <c r="A374" s="169">
        <v>23253</v>
      </c>
      <c r="B374" s="170" t="s">
        <v>801</v>
      </c>
      <c r="C374" s="170" t="s">
        <v>406</v>
      </c>
      <c r="D374" s="170">
        <v>6126627725</v>
      </c>
      <c r="E374" s="171">
        <v>45912</v>
      </c>
      <c r="F374" s="171" t="s">
        <v>499</v>
      </c>
      <c r="G374" s="170" t="s">
        <v>634</v>
      </c>
      <c r="H374" s="170" t="s">
        <v>495</v>
      </c>
      <c r="I374" s="10" t="s">
        <v>496</v>
      </c>
    </row>
    <row r="375" spans="1:10" ht="14.15" hidden="1" customHeight="1" x14ac:dyDescent="0.35">
      <c r="A375" s="139">
        <v>21816</v>
      </c>
      <c r="B375" s="138" t="s">
        <v>802</v>
      </c>
      <c r="C375" s="138" t="s">
        <v>444</v>
      </c>
      <c r="D375" s="138">
        <v>19204700777</v>
      </c>
      <c r="E375" s="140">
        <v>45810</v>
      </c>
      <c r="F375" s="140">
        <v>46097</v>
      </c>
      <c r="G375" s="138" t="s">
        <v>494</v>
      </c>
      <c r="H375" s="138" t="s">
        <v>495</v>
      </c>
      <c r="I375" t="s">
        <v>496</v>
      </c>
      <c r="J375"/>
    </row>
    <row r="376" spans="1:10" ht="15" hidden="1" x14ac:dyDescent="0.35">
      <c r="A376" s="1832">
        <v>21212</v>
      </c>
      <c r="B376" s="1837" t="s">
        <v>1051</v>
      </c>
      <c r="C376" s="1837" t="s">
        <v>420</v>
      </c>
      <c r="D376" s="1837">
        <v>9685775478</v>
      </c>
      <c r="E376" s="1838">
        <v>45772</v>
      </c>
      <c r="F376" s="1838" t="s">
        <v>499</v>
      </c>
      <c r="G376" s="1837" t="s">
        <v>500</v>
      </c>
      <c r="H376" s="1837" t="s">
        <v>501</v>
      </c>
      <c r="I376" s="1831" t="s">
        <v>496</v>
      </c>
      <c r="J376" s="1831" t="s">
        <v>5453</v>
      </c>
    </row>
    <row r="377" spans="1:10" ht="15" hidden="1" x14ac:dyDescent="0.35">
      <c r="A377" s="139">
        <v>22274</v>
      </c>
      <c r="B377" s="138" t="s">
        <v>804</v>
      </c>
      <c r="C377" s="138" t="s">
        <v>457</v>
      </c>
      <c r="D377" s="138">
        <v>11054012784</v>
      </c>
      <c r="E377" s="140">
        <v>45839</v>
      </c>
      <c r="F377" s="140">
        <v>46055</v>
      </c>
      <c r="G377" s="138" t="s">
        <v>494</v>
      </c>
      <c r="H377" s="138" t="s">
        <v>495</v>
      </c>
      <c r="I377" t="s">
        <v>496</v>
      </c>
      <c r="J377"/>
    </row>
    <row r="378" spans="1:10" s="1829" customFormat="1" ht="15" hidden="1" x14ac:dyDescent="0.35">
      <c r="A378" s="1832">
        <v>23766</v>
      </c>
      <c r="B378" s="1837" t="s">
        <v>337</v>
      </c>
      <c r="C378" s="1837" t="s">
        <v>420</v>
      </c>
      <c r="D378" s="1837">
        <v>15029805761</v>
      </c>
      <c r="E378" s="1838">
        <v>45964</v>
      </c>
      <c r="F378" s="1838" t="s">
        <v>499</v>
      </c>
      <c r="G378" s="1837" t="s">
        <v>500</v>
      </c>
      <c r="H378" s="1837" t="s">
        <v>508</v>
      </c>
      <c r="I378" s="1832" t="s">
        <v>469</v>
      </c>
      <c r="J378" s="1831" t="s">
        <v>5453</v>
      </c>
    </row>
    <row r="379" spans="1:10" ht="15" hidden="1" x14ac:dyDescent="0.35">
      <c r="A379" s="1832">
        <v>21200</v>
      </c>
      <c r="B379" s="1837" t="s">
        <v>1055</v>
      </c>
      <c r="C379" s="1837" t="s">
        <v>420</v>
      </c>
      <c r="D379" s="1837">
        <v>89703200753</v>
      </c>
      <c r="E379" s="1838">
        <v>45772</v>
      </c>
      <c r="F379" s="1838" t="s">
        <v>499</v>
      </c>
      <c r="G379" s="1837" t="s">
        <v>500</v>
      </c>
      <c r="H379" s="1837" t="s">
        <v>501</v>
      </c>
      <c r="I379" s="1831" t="s">
        <v>496</v>
      </c>
      <c r="J379" s="1831" t="s">
        <v>5453</v>
      </c>
    </row>
    <row r="380" spans="1:10" ht="15" hidden="1" x14ac:dyDescent="0.35">
      <c r="A380" s="1832">
        <v>21305</v>
      </c>
      <c r="B380" s="1837" t="s">
        <v>803</v>
      </c>
      <c r="C380" s="1837" t="s">
        <v>421</v>
      </c>
      <c r="D380" s="1837">
        <v>1070668745</v>
      </c>
      <c r="E380" s="1838">
        <v>45779</v>
      </c>
      <c r="F380" s="1838" t="s">
        <v>499</v>
      </c>
      <c r="G380" s="1837" t="s">
        <v>500</v>
      </c>
      <c r="H380" s="1837" t="s">
        <v>495</v>
      </c>
      <c r="I380" s="1831" t="s">
        <v>496</v>
      </c>
      <c r="J380" s="1831" t="s">
        <v>382</v>
      </c>
    </row>
    <row r="381" spans="1:10" ht="15" hidden="1" x14ac:dyDescent="0.35">
      <c r="A381" s="139">
        <v>21793</v>
      </c>
      <c r="B381" s="138" t="s">
        <v>807</v>
      </c>
      <c r="C381" s="138" t="s">
        <v>423</v>
      </c>
      <c r="D381" s="138">
        <v>2343561702</v>
      </c>
      <c r="E381" s="140">
        <v>45810</v>
      </c>
      <c r="F381" s="140">
        <v>46072</v>
      </c>
      <c r="G381" s="138" t="s">
        <v>494</v>
      </c>
      <c r="H381" s="138" t="s">
        <v>495</v>
      </c>
      <c r="I381" t="s">
        <v>496</v>
      </c>
      <c r="J381"/>
    </row>
    <row r="382" spans="1:10" s="1829" customFormat="1" ht="15" hidden="1" x14ac:dyDescent="0.35">
      <c r="A382" s="1832">
        <v>21243</v>
      </c>
      <c r="B382" s="1837" t="s">
        <v>327</v>
      </c>
      <c r="C382" s="1837" t="s">
        <v>420</v>
      </c>
      <c r="D382" s="1837">
        <v>7187115725</v>
      </c>
      <c r="E382" s="1838">
        <v>45772</v>
      </c>
      <c r="F382" s="1838" t="s">
        <v>499</v>
      </c>
      <c r="G382" s="1837" t="s">
        <v>500</v>
      </c>
      <c r="H382" s="1837" t="s">
        <v>508</v>
      </c>
      <c r="I382" s="1831" t="s">
        <v>469</v>
      </c>
      <c r="J382" s="1831" t="s">
        <v>5453</v>
      </c>
    </row>
    <row r="383" spans="1:10" ht="15" hidden="1" x14ac:dyDescent="0.35">
      <c r="A383" s="139">
        <v>21291</v>
      </c>
      <c r="B383" s="138" t="s">
        <v>808</v>
      </c>
      <c r="C383" s="138" t="s">
        <v>427</v>
      </c>
      <c r="D383" s="138">
        <v>1778683762</v>
      </c>
      <c r="E383" s="140">
        <v>45779</v>
      </c>
      <c r="F383" s="140">
        <v>45909</v>
      </c>
      <c r="G383" s="138" t="s">
        <v>494</v>
      </c>
      <c r="H383" s="138" t="s">
        <v>502</v>
      </c>
      <c r="I383"/>
      <c r="J383"/>
    </row>
    <row r="384" spans="1:10" ht="15" hidden="1" x14ac:dyDescent="0.35">
      <c r="A384" s="1832">
        <v>21234</v>
      </c>
      <c r="B384" s="1837" t="s">
        <v>805</v>
      </c>
      <c r="C384" s="1837" t="s">
        <v>421</v>
      </c>
      <c r="D384" s="1837">
        <v>3061526730</v>
      </c>
      <c r="E384" s="1838">
        <v>45772</v>
      </c>
      <c r="F384" s="1838" t="s">
        <v>499</v>
      </c>
      <c r="G384" s="1837" t="s">
        <v>500</v>
      </c>
      <c r="H384" s="1837" t="s">
        <v>495</v>
      </c>
      <c r="I384" s="1831" t="s">
        <v>496</v>
      </c>
      <c r="J384" s="1831" t="s">
        <v>382</v>
      </c>
    </row>
    <row r="385" spans="1:10" ht="15" hidden="1" x14ac:dyDescent="0.35">
      <c r="A385" s="139">
        <v>22886</v>
      </c>
      <c r="B385" s="138" t="s">
        <v>810</v>
      </c>
      <c r="C385" s="138" t="s">
        <v>428</v>
      </c>
      <c r="D385" s="138">
        <v>4496719762</v>
      </c>
      <c r="E385" s="140">
        <v>45889</v>
      </c>
      <c r="F385" s="140">
        <v>45974</v>
      </c>
      <c r="G385" s="138" t="s">
        <v>494</v>
      </c>
      <c r="H385" s="138" t="s">
        <v>495</v>
      </c>
      <c r="I385" t="s">
        <v>496</v>
      </c>
      <c r="J385"/>
    </row>
    <row r="386" spans="1:10" s="1829" customFormat="1" ht="15" hidden="1" x14ac:dyDescent="0.35">
      <c r="A386" s="1832">
        <v>21672</v>
      </c>
      <c r="B386" s="1837" t="s">
        <v>205</v>
      </c>
      <c r="C386" s="1837" t="s">
        <v>420</v>
      </c>
      <c r="D386" s="1837">
        <v>2926469926</v>
      </c>
      <c r="E386" s="1838">
        <v>45796</v>
      </c>
      <c r="F386" s="1838" t="s">
        <v>499</v>
      </c>
      <c r="G386" s="1837" t="s">
        <v>500</v>
      </c>
      <c r="H386" s="1837" t="s">
        <v>508</v>
      </c>
      <c r="I386" s="1831" t="s">
        <v>468</v>
      </c>
      <c r="J386" s="1831" t="s">
        <v>5453</v>
      </c>
    </row>
    <row r="387" spans="1:10" s="1829" customFormat="1" ht="15" hidden="1" x14ac:dyDescent="0.35">
      <c r="A387" s="1832">
        <v>21253</v>
      </c>
      <c r="B387" s="1837" t="s">
        <v>332</v>
      </c>
      <c r="C387" s="1837" t="s">
        <v>420</v>
      </c>
      <c r="D387" s="1837">
        <v>10052244717</v>
      </c>
      <c r="E387" s="1838">
        <v>45772</v>
      </c>
      <c r="F387" s="1838" t="s">
        <v>499</v>
      </c>
      <c r="G387" s="1837" t="s">
        <v>500</v>
      </c>
      <c r="H387" s="1837" t="s">
        <v>508</v>
      </c>
      <c r="I387" s="1832" t="s">
        <v>469</v>
      </c>
      <c r="J387" s="1831" t="s">
        <v>5453</v>
      </c>
    </row>
    <row r="388" spans="1:10" ht="15" hidden="1" x14ac:dyDescent="0.35">
      <c r="A388" s="139">
        <v>22828</v>
      </c>
      <c r="B388" s="138" t="s">
        <v>811</v>
      </c>
      <c r="C388" s="138" t="s">
        <v>427</v>
      </c>
      <c r="D388" s="138">
        <v>66307414553</v>
      </c>
      <c r="E388" s="140">
        <v>45887</v>
      </c>
      <c r="F388" s="140">
        <v>45975</v>
      </c>
      <c r="G388" s="138" t="s">
        <v>494</v>
      </c>
      <c r="H388" s="138" t="s">
        <v>502</v>
      </c>
      <c r="I388"/>
      <c r="J388"/>
    </row>
    <row r="389" spans="1:10" ht="15" hidden="1" x14ac:dyDescent="0.35">
      <c r="A389" s="139">
        <v>21268</v>
      </c>
      <c r="B389" s="138" t="s">
        <v>812</v>
      </c>
      <c r="C389" s="138" t="s">
        <v>410</v>
      </c>
      <c r="D389" s="138">
        <v>9720597763</v>
      </c>
      <c r="E389" s="140">
        <v>45779</v>
      </c>
      <c r="F389" s="140">
        <v>46113</v>
      </c>
      <c r="G389" s="138" t="s">
        <v>494</v>
      </c>
      <c r="H389" s="138" t="s">
        <v>502</v>
      </c>
      <c r="I389"/>
      <c r="J389"/>
    </row>
    <row r="390" spans="1:10" ht="15" hidden="1" x14ac:dyDescent="0.35">
      <c r="A390" s="1832">
        <v>22314</v>
      </c>
      <c r="B390" s="1837" t="s">
        <v>550</v>
      </c>
      <c r="C390" s="1837" t="s">
        <v>422</v>
      </c>
      <c r="D390" s="1837">
        <v>12632949602</v>
      </c>
      <c r="E390" s="1838">
        <v>45839</v>
      </c>
      <c r="F390" s="1838" t="s">
        <v>499</v>
      </c>
      <c r="G390" s="1837" t="s">
        <v>500</v>
      </c>
      <c r="H390" s="1837" t="s">
        <v>495</v>
      </c>
      <c r="I390" s="1831" t="s">
        <v>496</v>
      </c>
      <c r="J390" s="1831" t="s">
        <v>156</v>
      </c>
    </row>
    <row r="391" spans="1:10" s="1829" customFormat="1" ht="15" hidden="1" x14ac:dyDescent="0.35">
      <c r="A391" s="1832">
        <v>21675</v>
      </c>
      <c r="B391" s="1837" t="s">
        <v>246</v>
      </c>
      <c r="C391" s="1837" t="s">
        <v>420</v>
      </c>
      <c r="D391" s="1837">
        <v>85923094509</v>
      </c>
      <c r="E391" s="1838">
        <v>45796</v>
      </c>
      <c r="F391" s="1838" t="s">
        <v>499</v>
      </c>
      <c r="G391" s="1837" t="s">
        <v>500</v>
      </c>
      <c r="H391" s="1837" t="s">
        <v>508</v>
      </c>
      <c r="I391" s="1831" t="s">
        <v>468</v>
      </c>
      <c r="J391" s="1831" t="s">
        <v>5453</v>
      </c>
    </row>
    <row r="392" spans="1:10" ht="15" hidden="1" x14ac:dyDescent="0.35">
      <c r="A392" s="1832">
        <v>22305</v>
      </c>
      <c r="B392" s="1837" t="s">
        <v>827</v>
      </c>
      <c r="C392" s="1837" t="s">
        <v>422</v>
      </c>
      <c r="D392" s="1837">
        <v>17430847730</v>
      </c>
      <c r="E392" s="1838">
        <v>45839</v>
      </c>
      <c r="F392" s="1838" t="s">
        <v>499</v>
      </c>
      <c r="G392" s="1837" t="s">
        <v>500</v>
      </c>
      <c r="H392" s="1837" t="s">
        <v>495</v>
      </c>
      <c r="I392" s="1831" t="s">
        <v>496</v>
      </c>
      <c r="J392" s="1831" t="s">
        <v>382</v>
      </c>
    </row>
    <row r="393" spans="1:10" s="1829" customFormat="1" ht="15" hidden="1" x14ac:dyDescent="0.35">
      <c r="A393" s="1832">
        <v>24891</v>
      </c>
      <c r="B393" s="1837" t="s">
        <v>245</v>
      </c>
      <c r="C393" s="1837" t="s">
        <v>420</v>
      </c>
      <c r="D393" s="1837">
        <v>85923106523</v>
      </c>
      <c r="E393" s="1838">
        <v>46150</v>
      </c>
      <c r="F393" s="1838" t="s">
        <v>499</v>
      </c>
      <c r="G393" s="1837" t="s">
        <v>500</v>
      </c>
      <c r="H393" s="1837" t="s">
        <v>508</v>
      </c>
      <c r="I393" s="1831" t="s">
        <v>468</v>
      </c>
      <c r="J393" s="1831" t="s">
        <v>5453</v>
      </c>
    </row>
    <row r="394" spans="1:10" ht="15" hidden="1" x14ac:dyDescent="0.35">
      <c r="A394" s="139">
        <v>22915</v>
      </c>
      <c r="B394" s="138" t="s">
        <v>815</v>
      </c>
      <c r="C394" s="138" t="s">
        <v>416</v>
      </c>
      <c r="D394" s="138">
        <v>66911427568</v>
      </c>
      <c r="E394" s="140">
        <v>45890</v>
      </c>
      <c r="F394" s="140">
        <v>45931</v>
      </c>
      <c r="G394" s="138" t="s">
        <v>494</v>
      </c>
      <c r="H394" s="138" t="s">
        <v>501</v>
      </c>
      <c r="I394" t="s">
        <v>496</v>
      </c>
      <c r="J394"/>
    </row>
    <row r="395" spans="1:10" ht="15" hidden="1" x14ac:dyDescent="0.35">
      <c r="A395" s="139">
        <v>17673</v>
      </c>
      <c r="B395" s="138" t="s">
        <v>816</v>
      </c>
      <c r="C395" s="138" t="s">
        <v>420</v>
      </c>
      <c r="D395" s="138">
        <v>11376931770</v>
      </c>
      <c r="E395" s="140">
        <v>45377</v>
      </c>
      <c r="F395" s="140">
        <v>45975</v>
      </c>
      <c r="G395" s="138" t="s">
        <v>494</v>
      </c>
      <c r="H395" s="138" t="s">
        <v>508</v>
      </c>
      <c r="I395"/>
      <c r="J395"/>
    </row>
    <row r="396" spans="1:10" ht="15" hidden="1" x14ac:dyDescent="0.35">
      <c r="A396" s="1832">
        <v>24051</v>
      </c>
      <c r="B396" s="1837" t="s">
        <v>809</v>
      </c>
      <c r="C396" s="1837" t="s">
        <v>423</v>
      </c>
      <c r="D396" s="1837">
        <v>12416020773</v>
      </c>
      <c r="E396" s="1838">
        <v>46042</v>
      </c>
      <c r="F396" s="1838" t="s">
        <v>499</v>
      </c>
      <c r="G396" s="1837" t="s">
        <v>500</v>
      </c>
      <c r="H396" s="1837" t="s">
        <v>495</v>
      </c>
      <c r="I396" s="1831" t="s">
        <v>496</v>
      </c>
      <c r="J396" s="1831" t="s">
        <v>382</v>
      </c>
    </row>
    <row r="397" spans="1:10" s="1829" customFormat="1" ht="15" hidden="1" x14ac:dyDescent="0.35">
      <c r="A397" s="1832">
        <v>24598</v>
      </c>
      <c r="B397" s="1837" t="s">
        <v>249</v>
      </c>
      <c r="C397" s="1837" t="s">
        <v>420</v>
      </c>
      <c r="D397" s="1837">
        <v>166585742</v>
      </c>
      <c r="E397" s="1838">
        <v>46104</v>
      </c>
      <c r="F397" s="1838" t="s">
        <v>499</v>
      </c>
      <c r="G397" s="1837" t="s">
        <v>500</v>
      </c>
      <c r="H397" s="1837" t="s">
        <v>508</v>
      </c>
      <c r="I397" s="1832" t="s">
        <v>468</v>
      </c>
      <c r="J397" s="1831" t="s">
        <v>5453</v>
      </c>
    </row>
    <row r="398" spans="1:10" ht="15" hidden="1" x14ac:dyDescent="0.35">
      <c r="A398" s="1832">
        <v>24122</v>
      </c>
      <c r="B398" s="1837" t="s">
        <v>813</v>
      </c>
      <c r="C398" s="1837" t="s">
        <v>423</v>
      </c>
      <c r="D398" s="1837">
        <v>13277881792</v>
      </c>
      <c r="E398" s="1838">
        <v>46059</v>
      </c>
      <c r="F398" s="1838" t="s">
        <v>499</v>
      </c>
      <c r="G398" s="1837" t="s">
        <v>500</v>
      </c>
      <c r="H398" s="1837" t="s">
        <v>495</v>
      </c>
      <c r="I398" s="1831" t="s">
        <v>496</v>
      </c>
      <c r="J398" s="1831" t="s">
        <v>382</v>
      </c>
    </row>
    <row r="399" spans="1:10" ht="15" hidden="1" x14ac:dyDescent="0.35">
      <c r="A399" s="1832">
        <v>23413</v>
      </c>
      <c r="B399" s="1837" t="s">
        <v>814</v>
      </c>
      <c r="C399" s="1837" t="s">
        <v>423</v>
      </c>
      <c r="D399" s="1837">
        <v>8776735788</v>
      </c>
      <c r="E399" s="1838">
        <v>45933</v>
      </c>
      <c r="F399" s="1838" t="s">
        <v>499</v>
      </c>
      <c r="G399" s="1837" t="s">
        <v>500</v>
      </c>
      <c r="H399" s="1837" t="s">
        <v>495</v>
      </c>
      <c r="I399" s="1831" t="s">
        <v>496</v>
      </c>
      <c r="J399" s="1831" t="s">
        <v>382</v>
      </c>
    </row>
    <row r="400" spans="1:10" s="1829" customFormat="1" ht="15" hidden="1" x14ac:dyDescent="0.35">
      <c r="A400" s="1832">
        <v>22429</v>
      </c>
      <c r="B400" s="1837" t="s">
        <v>247</v>
      </c>
      <c r="C400" s="1837" t="s">
        <v>420</v>
      </c>
      <c r="D400" s="1837">
        <v>65402529191</v>
      </c>
      <c r="E400" s="1838">
        <v>45848</v>
      </c>
      <c r="F400" s="1838" t="s">
        <v>499</v>
      </c>
      <c r="G400" s="1837" t="s">
        <v>500</v>
      </c>
      <c r="H400" s="1837" t="s">
        <v>508</v>
      </c>
      <c r="I400" s="1831" t="s">
        <v>468</v>
      </c>
      <c r="J400" s="1831" t="s">
        <v>5453</v>
      </c>
    </row>
    <row r="401" spans="1:10" ht="15" hidden="1" x14ac:dyDescent="0.35">
      <c r="A401" s="1832">
        <v>21383</v>
      </c>
      <c r="B401" s="1837" t="s">
        <v>819</v>
      </c>
      <c r="C401" s="1837" t="s">
        <v>424</v>
      </c>
      <c r="D401" s="1837">
        <v>10483325783</v>
      </c>
      <c r="E401" s="1838">
        <v>45782</v>
      </c>
      <c r="F401" s="1838" t="s">
        <v>499</v>
      </c>
      <c r="G401" s="1837" t="s">
        <v>500</v>
      </c>
      <c r="H401" s="1837" t="s">
        <v>495</v>
      </c>
      <c r="I401" s="1831" t="s">
        <v>496</v>
      </c>
      <c r="J401" s="1831" t="s">
        <v>382</v>
      </c>
    </row>
    <row r="402" spans="1:10" ht="15" hidden="1" x14ac:dyDescent="0.35">
      <c r="A402" s="1832">
        <v>21222</v>
      </c>
      <c r="B402" s="1837" t="s">
        <v>821</v>
      </c>
      <c r="C402" s="1837" t="s">
        <v>424</v>
      </c>
      <c r="D402" s="1837">
        <v>88665453768</v>
      </c>
      <c r="E402" s="1838">
        <v>45772</v>
      </c>
      <c r="F402" s="1838" t="s">
        <v>499</v>
      </c>
      <c r="G402" s="1837" t="s">
        <v>500</v>
      </c>
      <c r="H402" s="1837" t="s">
        <v>495</v>
      </c>
      <c r="I402" s="1831" t="s">
        <v>496</v>
      </c>
      <c r="J402" s="1831" t="s">
        <v>382</v>
      </c>
    </row>
    <row r="403" spans="1:10" ht="15" hidden="1" x14ac:dyDescent="0.35">
      <c r="A403" s="1832">
        <v>22093</v>
      </c>
      <c r="B403" s="1837" t="s">
        <v>822</v>
      </c>
      <c r="C403" s="1837" t="s">
        <v>424</v>
      </c>
      <c r="D403" s="1837">
        <v>17470522727</v>
      </c>
      <c r="E403" s="1838">
        <v>45833</v>
      </c>
      <c r="F403" s="1838" t="s">
        <v>499</v>
      </c>
      <c r="G403" s="1837" t="s">
        <v>500</v>
      </c>
      <c r="H403" s="1837" t="s">
        <v>495</v>
      </c>
      <c r="I403" s="1831" t="s">
        <v>496</v>
      </c>
      <c r="J403" s="1831" t="s">
        <v>382</v>
      </c>
    </row>
    <row r="404" spans="1:10" ht="15" hidden="1" x14ac:dyDescent="0.35">
      <c r="A404" s="1832">
        <v>21191</v>
      </c>
      <c r="B404" s="1837" t="s">
        <v>564</v>
      </c>
      <c r="C404" s="1837" t="s">
        <v>425</v>
      </c>
      <c r="D404" s="1837">
        <v>15479662708</v>
      </c>
      <c r="E404" s="1838">
        <v>45772</v>
      </c>
      <c r="F404" s="1838" t="s">
        <v>499</v>
      </c>
      <c r="G404" s="1837" t="s">
        <v>500</v>
      </c>
      <c r="H404" s="1837" t="s">
        <v>495</v>
      </c>
      <c r="I404" s="1831" t="s">
        <v>496</v>
      </c>
      <c r="J404" s="1831" t="s">
        <v>376</v>
      </c>
    </row>
    <row r="405" spans="1:10" ht="15" hidden="1" x14ac:dyDescent="0.35">
      <c r="A405" s="139">
        <v>21159</v>
      </c>
      <c r="B405" s="138" t="s">
        <v>824</v>
      </c>
      <c r="C405" s="138" t="s">
        <v>825</v>
      </c>
      <c r="D405" s="138">
        <v>14481428732</v>
      </c>
      <c r="E405" s="140">
        <v>45772</v>
      </c>
      <c r="F405" s="140">
        <v>46083</v>
      </c>
      <c r="G405" s="138" t="s">
        <v>494</v>
      </c>
      <c r="H405" s="138" t="s">
        <v>495</v>
      </c>
      <c r="I405" t="s">
        <v>496</v>
      </c>
      <c r="J405"/>
    </row>
    <row r="406" spans="1:10" ht="15" hidden="1" x14ac:dyDescent="0.35">
      <c r="A406" s="1832">
        <v>21909</v>
      </c>
      <c r="B406" s="1837" t="s">
        <v>609</v>
      </c>
      <c r="C406" s="1837" t="s">
        <v>425</v>
      </c>
      <c r="D406" s="1837">
        <v>2826812726</v>
      </c>
      <c r="E406" s="1838">
        <v>45820</v>
      </c>
      <c r="F406" s="1838" t="s">
        <v>499</v>
      </c>
      <c r="G406" s="1837" t="s">
        <v>500</v>
      </c>
      <c r="H406" s="1837" t="s">
        <v>495</v>
      </c>
      <c r="I406" s="1831" t="s">
        <v>496</v>
      </c>
      <c r="J406" s="1831" t="s">
        <v>376</v>
      </c>
    </row>
    <row r="407" spans="1:10" ht="15" hidden="1" x14ac:dyDescent="0.35">
      <c r="A407" s="1832">
        <v>21206</v>
      </c>
      <c r="B407" s="1837" t="s">
        <v>644</v>
      </c>
      <c r="C407" s="1837" t="s">
        <v>425</v>
      </c>
      <c r="D407" s="1837">
        <v>11897764723</v>
      </c>
      <c r="E407" s="1838">
        <v>45772</v>
      </c>
      <c r="F407" s="1838" t="s">
        <v>499</v>
      </c>
      <c r="G407" s="1837" t="s">
        <v>525</v>
      </c>
      <c r="H407" s="1837" t="s">
        <v>495</v>
      </c>
      <c r="I407" s="1831" t="s">
        <v>496</v>
      </c>
      <c r="J407" s="1831" t="s">
        <v>376</v>
      </c>
    </row>
    <row r="408" spans="1:10" ht="15" hidden="1" x14ac:dyDescent="0.35">
      <c r="A408" s="1832">
        <v>21068</v>
      </c>
      <c r="B408" s="1837" t="s">
        <v>759</v>
      </c>
      <c r="C408" s="1837" t="s">
        <v>425</v>
      </c>
      <c r="D408" s="1837">
        <v>6963499730</v>
      </c>
      <c r="E408" s="1838">
        <v>45763</v>
      </c>
      <c r="F408" s="1838" t="s">
        <v>499</v>
      </c>
      <c r="G408" s="1837" t="s">
        <v>500</v>
      </c>
      <c r="H408" s="1837" t="s">
        <v>495</v>
      </c>
      <c r="I408" s="1831" t="s">
        <v>496</v>
      </c>
      <c r="J408" s="1831" t="s">
        <v>376</v>
      </c>
    </row>
    <row r="409" spans="1:10" s="1829" customFormat="1" ht="15" hidden="1" x14ac:dyDescent="0.35">
      <c r="A409" s="1832">
        <v>24789</v>
      </c>
      <c r="B409" s="1837" t="s">
        <v>209</v>
      </c>
      <c r="C409" s="1837" t="s">
        <v>420</v>
      </c>
      <c r="D409" s="1837">
        <v>6560986519</v>
      </c>
      <c r="E409" s="1838">
        <v>46129</v>
      </c>
      <c r="F409" s="1838" t="s">
        <v>499</v>
      </c>
      <c r="G409" s="1837" t="s">
        <v>500</v>
      </c>
      <c r="H409" s="1837" t="s">
        <v>508</v>
      </c>
      <c r="I409" s="1831" t="s">
        <v>468</v>
      </c>
      <c r="J409" s="1831" t="s">
        <v>5453</v>
      </c>
    </row>
    <row r="410" spans="1:10" s="1829" customFormat="1" ht="15" hidden="1" x14ac:dyDescent="0.35">
      <c r="A410" s="1832">
        <v>22039</v>
      </c>
      <c r="B410" s="1837" t="s">
        <v>261</v>
      </c>
      <c r="C410" s="1837" t="s">
        <v>422</v>
      </c>
      <c r="D410" s="1837">
        <v>13363812728</v>
      </c>
      <c r="E410" s="1838">
        <v>45826</v>
      </c>
      <c r="F410" s="1838" t="s">
        <v>499</v>
      </c>
      <c r="G410" s="1837" t="s">
        <v>500</v>
      </c>
      <c r="H410" s="1837" t="s">
        <v>502</v>
      </c>
      <c r="I410" s="1831" t="s">
        <v>469</v>
      </c>
      <c r="J410" s="1831" t="s">
        <v>382</v>
      </c>
    </row>
    <row r="411" spans="1:10" ht="15" hidden="1" x14ac:dyDescent="0.35">
      <c r="A411" s="1832">
        <v>21279</v>
      </c>
      <c r="B411" s="1837" t="s">
        <v>940</v>
      </c>
      <c r="C411" s="1837" t="s">
        <v>425</v>
      </c>
      <c r="D411" s="1837">
        <v>11581058780</v>
      </c>
      <c r="E411" s="1838">
        <v>45779</v>
      </c>
      <c r="F411" s="1838" t="s">
        <v>499</v>
      </c>
      <c r="G411" s="1837" t="s">
        <v>500</v>
      </c>
      <c r="H411" s="1837" t="s">
        <v>495</v>
      </c>
      <c r="I411" s="1831" t="s">
        <v>496</v>
      </c>
      <c r="J411" s="1831" t="s">
        <v>376</v>
      </c>
    </row>
    <row r="412" spans="1:10" ht="15" hidden="1" x14ac:dyDescent="0.35">
      <c r="A412" s="1832">
        <v>21277</v>
      </c>
      <c r="B412" s="1837" t="s">
        <v>1017</v>
      </c>
      <c r="C412" s="1837" t="s">
        <v>425</v>
      </c>
      <c r="D412" s="1837">
        <v>14488750729</v>
      </c>
      <c r="E412" s="1838">
        <v>45779</v>
      </c>
      <c r="F412" s="1838" t="s">
        <v>499</v>
      </c>
      <c r="G412" s="1837" t="s">
        <v>500</v>
      </c>
      <c r="H412" s="1837" t="s">
        <v>495</v>
      </c>
      <c r="I412" s="1831" t="s">
        <v>496</v>
      </c>
      <c r="J412" s="1831" t="s">
        <v>376</v>
      </c>
    </row>
    <row r="413" spans="1:10" ht="15" hidden="1" x14ac:dyDescent="0.35">
      <c r="A413" s="1832">
        <v>24225</v>
      </c>
      <c r="B413" s="1837" t="s">
        <v>846</v>
      </c>
      <c r="C413" s="1837" t="s">
        <v>426</v>
      </c>
      <c r="D413" s="1837">
        <v>14147693776</v>
      </c>
      <c r="E413" s="1838">
        <v>46084</v>
      </c>
      <c r="F413" s="1838" t="s">
        <v>499</v>
      </c>
      <c r="G413" s="1837" t="s">
        <v>500</v>
      </c>
      <c r="H413" s="1837" t="s">
        <v>495</v>
      </c>
      <c r="I413" s="1831" t="s">
        <v>496</v>
      </c>
      <c r="J413" s="1831" t="s">
        <v>5454</v>
      </c>
    </row>
    <row r="414" spans="1:10" s="1829" customFormat="1" ht="15" hidden="1" x14ac:dyDescent="0.35">
      <c r="A414" s="1832">
        <v>24188</v>
      </c>
      <c r="B414" s="1837" t="s">
        <v>278</v>
      </c>
      <c r="C414" s="1837" t="s">
        <v>423</v>
      </c>
      <c r="D414" s="1837">
        <v>6991266655</v>
      </c>
      <c r="E414" s="1838">
        <v>46064</v>
      </c>
      <c r="F414" s="1838" t="s">
        <v>499</v>
      </c>
      <c r="G414" s="1837" t="s">
        <v>500</v>
      </c>
      <c r="H414" s="1837" t="s">
        <v>502</v>
      </c>
      <c r="I414" s="1831" t="s">
        <v>468</v>
      </c>
      <c r="J414" s="1831" t="s">
        <v>382</v>
      </c>
    </row>
    <row r="415" spans="1:10" s="1829" customFormat="1" ht="15" hidden="1" x14ac:dyDescent="0.35">
      <c r="A415" s="1832">
        <v>23756</v>
      </c>
      <c r="B415" s="1837" t="s">
        <v>223</v>
      </c>
      <c r="C415" s="1837" t="s">
        <v>423</v>
      </c>
      <c r="D415" s="1837">
        <v>13302903723</v>
      </c>
      <c r="E415" s="1838">
        <v>45964</v>
      </c>
      <c r="F415" s="1838" t="s">
        <v>499</v>
      </c>
      <c r="G415" s="1837" t="s">
        <v>500</v>
      </c>
      <c r="H415" s="1837" t="s">
        <v>502</v>
      </c>
      <c r="I415" s="1831" t="s">
        <v>468</v>
      </c>
      <c r="J415" s="1831" t="s">
        <v>382</v>
      </c>
    </row>
    <row r="416" spans="1:10" ht="15" hidden="1" x14ac:dyDescent="0.35">
      <c r="A416" s="1832">
        <v>22930</v>
      </c>
      <c r="B416" s="1837" t="s">
        <v>608</v>
      </c>
      <c r="C416" s="1837" t="s">
        <v>578</v>
      </c>
      <c r="D416" s="1837">
        <v>8440899742</v>
      </c>
      <c r="E416" s="1838">
        <v>45890</v>
      </c>
      <c r="F416" s="1838" t="s">
        <v>499</v>
      </c>
      <c r="G416" s="1837" t="s">
        <v>500</v>
      </c>
      <c r="H416" s="1837" t="s">
        <v>495</v>
      </c>
      <c r="I416" s="1831" t="s">
        <v>496</v>
      </c>
      <c r="J416" s="1831" t="s">
        <v>5448</v>
      </c>
    </row>
    <row r="417" spans="1:10" s="1829" customFormat="1" ht="15" hidden="1" x14ac:dyDescent="0.35">
      <c r="A417" s="1832">
        <v>23414</v>
      </c>
      <c r="B417" s="1837" t="s">
        <v>93</v>
      </c>
      <c r="C417" s="1837" t="s">
        <v>425</v>
      </c>
      <c r="D417" s="1837">
        <v>9145002797</v>
      </c>
      <c r="E417" s="1838">
        <v>45933</v>
      </c>
      <c r="F417" s="1838" t="s">
        <v>499</v>
      </c>
      <c r="G417" s="1837" t="s">
        <v>500</v>
      </c>
      <c r="H417" s="1837" t="s">
        <v>502</v>
      </c>
      <c r="I417" s="1831" t="s">
        <v>468</v>
      </c>
      <c r="J417" s="1831" t="s">
        <v>376</v>
      </c>
    </row>
    <row r="418" spans="1:10" s="1829" customFormat="1" ht="15" hidden="1" x14ac:dyDescent="0.35">
      <c r="A418" s="1832">
        <v>23844</v>
      </c>
      <c r="B418" s="1837" t="s">
        <v>99</v>
      </c>
      <c r="C418" s="1837" t="s">
        <v>425</v>
      </c>
      <c r="D418" s="1837">
        <v>16542489754</v>
      </c>
      <c r="E418" s="1838">
        <v>45978</v>
      </c>
      <c r="F418" s="1838" t="s">
        <v>499</v>
      </c>
      <c r="G418" s="1837" t="s">
        <v>500</v>
      </c>
      <c r="H418" s="1837" t="s">
        <v>502</v>
      </c>
      <c r="I418" s="1831" t="s">
        <v>468</v>
      </c>
      <c r="J418" s="1831" t="s">
        <v>376</v>
      </c>
    </row>
    <row r="419" spans="1:10" s="1829" customFormat="1" ht="15" hidden="1" x14ac:dyDescent="0.35">
      <c r="A419" s="1832">
        <v>23848</v>
      </c>
      <c r="B419" s="1837" t="s">
        <v>532</v>
      </c>
      <c r="C419" s="1837" t="s">
        <v>426</v>
      </c>
      <c r="D419" s="1837">
        <v>6262111581</v>
      </c>
      <c r="E419" s="1838">
        <v>45979</v>
      </c>
      <c r="F419" s="1838" t="s">
        <v>499</v>
      </c>
      <c r="G419" s="1837" t="s">
        <v>500</v>
      </c>
      <c r="H419" s="1837" t="s">
        <v>502</v>
      </c>
      <c r="I419" s="1831" t="s">
        <v>469</v>
      </c>
      <c r="J419" s="1831" t="s">
        <v>5454</v>
      </c>
    </row>
    <row r="420" spans="1:10" s="1829" customFormat="1" ht="15" hidden="1" x14ac:dyDescent="0.35">
      <c r="A420" s="1832">
        <v>21247</v>
      </c>
      <c r="B420" s="1837" t="s">
        <v>276</v>
      </c>
      <c r="C420" s="1837" t="s">
        <v>427</v>
      </c>
      <c r="D420" s="1837">
        <v>730613798</v>
      </c>
      <c r="E420" s="1838">
        <v>45772</v>
      </c>
      <c r="F420" s="1838" t="s">
        <v>499</v>
      </c>
      <c r="G420" s="1837" t="s">
        <v>500</v>
      </c>
      <c r="H420" s="1837" t="s">
        <v>502</v>
      </c>
      <c r="I420" s="1831" t="s">
        <v>469</v>
      </c>
      <c r="J420" s="1831" t="s">
        <v>156</v>
      </c>
    </row>
    <row r="421" spans="1:10" s="1829" customFormat="1" ht="15" hidden="1" x14ac:dyDescent="0.35">
      <c r="A421" s="1832">
        <v>24788</v>
      </c>
      <c r="B421" s="1837" t="s">
        <v>176</v>
      </c>
      <c r="C421" s="1837" t="s">
        <v>427</v>
      </c>
      <c r="D421" s="1837">
        <v>15375680785</v>
      </c>
      <c r="E421" s="1838">
        <v>46129</v>
      </c>
      <c r="F421" s="1838" t="s">
        <v>499</v>
      </c>
      <c r="G421" s="1837" t="s">
        <v>500</v>
      </c>
      <c r="H421" s="1837" t="s">
        <v>502</v>
      </c>
      <c r="I421" s="1831" t="s">
        <v>468</v>
      </c>
      <c r="J421" s="1831" t="s">
        <v>156</v>
      </c>
    </row>
    <row r="422" spans="1:10" ht="15" hidden="1" x14ac:dyDescent="0.35">
      <c r="A422" s="1832">
        <v>21151</v>
      </c>
      <c r="B422" s="1837" t="s">
        <v>794</v>
      </c>
      <c r="C422" s="1837" t="s">
        <v>427</v>
      </c>
      <c r="D422" s="1837">
        <v>2929795760</v>
      </c>
      <c r="E422" s="1838">
        <v>45772</v>
      </c>
      <c r="F422" s="1838" t="s">
        <v>499</v>
      </c>
      <c r="G422" s="1837" t="s">
        <v>500</v>
      </c>
      <c r="H422" s="1837" t="s">
        <v>495</v>
      </c>
      <c r="I422" s="1831" t="s">
        <v>496</v>
      </c>
      <c r="J422" s="1831" t="s">
        <v>156</v>
      </c>
    </row>
    <row r="423" spans="1:10" s="1829" customFormat="1" ht="15" hidden="1" x14ac:dyDescent="0.35">
      <c r="A423" s="1832">
        <v>23820</v>
      </c>
      <c r="B423" s="1837" t="s">
        <v>284</v>
      </c>
      <c r="C423" s="1837" t="s">
        <v>427</v>
      </c>
      <c r="D423" s="1837">
        <v>16810785701</v>
      </c>
      <c r="E423" s="1838">
        <v>45972</v>
      </c>
      <c r="F423" s="1838" t="s">
        <v>499</v>
      </c>
      <c r="G423" s="1837" t="s">
        <v>500</v>
      </c>
      <c r="H423" s="1837" t="s">
        <v>502</v>
      </c>
      <c r="I423" s="1831" t="s">
        <v>469</v>
      </c>
      <c r="J423" s="1831" t="s">
        <v>156</v>
      </c>
    </row>
    <row r="424" spans="1:10" ht="15" hidden="1" x14ac:dyDescent="0.35">
      <c r="A424" s="1832">
        <v>21820</v>
      </c>
      <c r="B424" s="1837" t="s">
        <v>798</v>
      </c>
      <c r="C424" s="1837" t="s">
        <v>427</v>
      </c>
      <c r="D424" s="1837">
        <v>15654553712</v>
      </c>
      <c r="E424" s="1838">
        <v>45810</v>
      </c>
      <c r="F424" s="1838" t="s">
        <v>499</v>
      </c>
      <c r="G424" s="1837" t="s">
        <v>500</v>
      </c>
      <c r="H424" s="1837" t="s">
        <v>495</v>
      </c>
      <c r="I424" s="1831" t="s">
        <v>496</v>
      </c>
      <c r="J424" s="1831" t="s">
        <v>156</v>
      </c>
    </row>
    <row r="425" spans="1:10" s="10" customFormat="1" ht="15" hidden="1" x14ac:dyDescent="0.35">
      <c r="A425" s="141">
        <v>23751</v>
      </c>
      <c r="B425" s="142" t="s">
        <v>313</v>
      </c>
      <c r="C425" s="142" t="s">
        <v>410</v>
      </c>
      <c r="D425" s="142">
        <v>12341736700</v>
      </c>
      <c r="E425" s="143">
        <v>45964</v>
      </c>
      <c r="F425" s="143" t="s">
        <v>499</v>
      </c>
      <c r="G425" s="142" t="s">
        <v>634</v>
      </c>
      <c r="H425" s="142" t="s">
        <v>502</v>
      </c>
      <c r="I425" s="10" t="s">
        <v>469</v>
      </c>
    </row>
    <row r="426" spans="1:10" ht="15" hidden="1" x14ac:dyDescent="0.35">
      <c r="A426" s="1832">
        <v>23959</v>
      </c>
      <c r="B426" s="1837" t="s">
        <v>861</v>
      </c>
      <c r="C426" s="1837" t="s">
        <v>427</v>
      </c>
      <c r="D426" s="1837">
        <v>17616060773</v>
      </c>
      <c r="E426" s="1838">
        <v>46008</v>
      </c>
      <c r="F426" s="1838" t="s">
        <v>499</v>
      </c>
      <c r="G426" s="1837" t="s">
        <v>500</v>
      </c>
      <c r="H426" s="1837" t="s">
        <v>495</v>
      </c>
      <c r="I426" s="1831" t="s">
        <v>496</v>
      </c>
      <c r="J426" s="1831" t="s">
        <v>5448</v>
      </c>
    </row>
    <row r="427" spans="1:10" s="1829" customFormat="1" ht="15" hidden="1" x14ac:dyDescent="0.35">
      <c r="A427" s="1832">
        <v>21844</v>
      </c>
      <c r="B427" s="1837" t="s">
        <v>187</v>
      </c>
      <c r="C427" s="1837" t="s">
        <v>427</v>
      </c>
      <c r="D427" s="1837">
        <v>131213326</v>
      </c>
      <c r="E427" s="1838">
        <v>45812</v>
      </c>
      <c r="F427" s="1838" t="s">
        <v>499</v>
      </c>
      <c r="G427" s="1837" t="s">
        <v>500</v>
      </c>
      <c r="H427" s="1837" t="s">
        <v>502</v>
      </c>
      <c r="I427" s="1831" t="s">
        <v>468</v>
      </c>
      <c r="J427" s="1831" t="s">
        <v>156</v>
      </c>
    </row>
    <row r="428" spans="1:10" ht="15" hidden="1" x14ac:dyDescent="0.35">
      <c r="A428" s="139">
        <v>21164</v>
      </c>
      <c r="B428" s="138" t="s">
        <v>837</v>
      </c>
      <c r="C428" s="138" t="s">
        <v>402</v>
      </c>
      <c r="D428" s="138">
        <v>13676161742</v>
      </c>
      <c r="E428" s="140">
        <v>45772</v>
      </c>
      <c r="F428" s="140">
        <v>45877</v>
      </c>
      <c r="G428" s="138" t="s">
        <v>494</v>
      </c>
      <c r="H428" s="138" t="s">
        <v>495</v>
      </c>
      <c r="I428" t="s">
        <v>496</v>
      </c>
      <c r="J428"/>
    </row>
    <row r="429" spans="1:10" ht="15" x14ac:dyDescent="0.35">
      <c r="A429" s="1832">
        <v>24782</v>
      </c>
      <c r="B429" s="1837" t="s">
        <v>967</v>
      </c>
      <c r="C429" s="1837" t="s">
        <v>427</v>
      </c>
      <c r="D429" s="1837">
        <v>15705576757</v>
      </c>
      <c r="E429" s="1838">
        <v>46128</v>
      </c>
      <c r="F429" s="1838" t="s">
        <v>499</v>
      </c>
      <c r="G429" s="1837" t="s">
        <v>500</v>
      </c>
      <c r="H429" s="1837" t="s">
        <v>495</v>
      </c>
      <c r="I429" s="1831" t="s">
        <v>496</v>
      </c>
      <c r="J429" s="1831" t="s">
        <v>5450</v>
      </c>
    </row>
    <row r="430" spans="1:10" ht="15" hidden="1" x14ac:dyDescent="0.35">
      <c r="A430" s="1832">
        <v>22691</v>
      </c>
      <c r="B430" s="1837" t="s">
        <v>980</v>
      </c>
      <c r="C430" s="1837" t="s">
        <v>427</v>
      </c>
      <c r="D430" s="1837">
        <v>7351530432</v>
      </c>
      <c r="E430" s="1838">
        <v>45870</v>
      </c>
      <c r="F430" s="1838" t="s">
        <v>499</v>
      </c>
      <c r="G430" s="1837" t="s">
        <v>500</v>
      </c>
      <c r="H430" s="1837" t="s">
        <v>495</v>
      </c>
      <c r="I430" s="1831" t="s">
        <v>496</v>
      </c>
      <c r="J430" s="1831" t="s">
        <v>156</v>
      </c>
    </row>
    <row r="431" spans="1:10" ht="15" hidden="1" x14ac:dyDescent="0.35">
      <c r="A431" s="1832">
        <v>21806</v>
      </c>
      <c r="B431" s="1837" t="s">
        <v>1015</v>
      </c>
      <c r="C431" s="1837" t="s">
        <v>427</v>
      </c>
      <c r="D431" s="1837">
        <v>16137398773</v>
      </c>
      <c r="E431" s="1838">
        <v>45810</v>
      </c>
      <c r="F431" s="1838" t="s">
        <v>499</v>
      </c>
      <c r="G431" s="1837" t="s">
        <v>500</v>
      </c>
      <c r="H431" s="1837" t="s">
        <v>495</v>
      </c>
      <c r="I431" s="1831" t="s">
        <v>4776</v>
      </c>
      <c r="J431" s="1831" t="s">
        <v>156</v>
      </c>
    </row>
    <row r="432" spans="1:10" ht="15" hidden="1" x14ac:dyDescent="0.35">
      <c r="A432" s="1832">
        <v>22777</v>
      </c>
      <c r="B432" s="1837" t="s">
        <v>823</v>
      </c>
      <c r="C432" s="1837" t="s">
        <v>428</v>
      </c>
      <c r="D432" s="1837">
        <v>8061517736</v>
      </c>
      <c r="E432" s="1838">
        <v>45880</v>
      </c>
      <c r="F432" s="1838" t="s">
        <v>499</v>
      </c>
      <c r="G432" s="1837" t="s">
        <v>500</v>
      </c>
      <c r="H432" s="1837" t="s">
        <v>495</v>
      </c>
      <c r="I432" s="1831" t="s">
        <v>496</v>
      </c>
      <c r="J432" s="1831" t="s">
        <v>382</v>
      </c>
    </row>
    <row r="433" spans="1:10" s="1829" customFormat="1" ht="15" hidden="1" x14ac:dyDescent="0.35">
      <c r="A433" s="1832">
        <v>21327</v>
      </c>
      <c r="B433" s="1837" t="s">
        <v>262</v>
      </c>
      <c r="C433" s="1837" t="s">
        <v>428</v>
      </c>
      <c r="D433" s="1837">
        <v>3042417760</v>
      </c>
      <c r="E433" s="1838">
        <v>45779</v>
      </c>
      <c r="F433" s="1838" t="s">
        <v>499</v>
      </c>
      <c r="G433" s="1837" t="s">
        <v>500</v>
      </c>
      <c r="H433" s="1837" t="s">
        <v>502</v>
      </c>
      <c r="I433" s="1831" t="s">
        <v>469</v>
      </c>
      <c r="J433" s="1831" t="s">
        <v>382</v>
      </c>
    </row>
    <row r="434" spans="1:10" ht="15" hidden="1" x14ac:dyDescent="0.35">
      <c r="A434" s="1832">
        <v>21682</v>
      </c>
      <c r="B434" s="1837" t="s">
        <v>833</v>
      </c>
      <c r="C434" s="1837" t="s">
        <v>428</v>
      </c>
      <c r="D434" s="1837">
        <v>14483502719</v>
      </c>
      <c r="E434" s="1838">
        <v>45796</v>
      </c>
      <c r="F434" s="1838" t="s">
        <v>499</v>
      </c>
      <c r="G434" s="1837" t="s">
        <v>500</v>
      </c>
      <c r="H434" s="1837" t="s">
        <v>495</v>
      </c>
      <c r="I434" s="1831" t="s">
        <v>496</v>
      </c>
      <c r="J434" s="1831" t="s">
        <v>382</v>
      </c>
    </row>
    <row r="435" spans="1:10" s="1829" customFormat="1" ht="15" hidden="1" x14ac:dyDescent="0.35">
      <c r="A435" s="1832">
        <v>22076</v>
      </c>
      <c r="B435" s="1837" t="s">
        <v>174</v>
      </c>
      <c r="C435" s="1837" t="s">
        <v>429</v>
      </c>
      <c r="D435" s="1837">
        <v>17547935761</v>
      </c>
      <c r="E435" s="1838">
        <v>45828</v>
      </c>
      <c r="F435" s="1838" t="s">
        <v>499</v>
      </c>
      <c r="G435" s="1837" t="s">
        <v>500</v>
      </c>
      <c r="H435" s="1837" t="s">
        <v>508</v>
      </c>
      <c r="I435" s="1832" t="s">
        <v>468</v>
      </c>
      <c r="J435" s="1831" t="s">
        <v>4777</v>
      </c>
    </row>
    <row r="436" spans="1:10" ht="15" hidden="1" x14ac:dyDescent="0.35">
      <c r="A436" s="1832">
        <v>21142</v>
      </c>
      <c r="B436" s="1837" t="s">
        <v>834</v>
      </c>
      <c r="C436" s="1837" t="s">
        <v>428</v>
      </c>
      <c r="D436" s="1837">
        <v>12117858740</v>
      </c>
      <c r="E436" s="1838">
        <v>45772</v>
      </c>
      <c r="F436" s="1838" t="s">
        <v>499</v>
      </c>
      <c r="G436" s="1837" t="s">
        <v>500</v>
      </c>
      <c r="H436" s="1837" t="s">
        <v>495</v>
      </c>
      <c r="I436" s="1831" t="s">
        <v>496</v>
      </c>
      <c r="J436" s="1831" t="s">
        <v>382</v>
      </c>
    </row>
    <row r="437" spans="1:10" ht="15" hidden="1" x14ac:dyDescent="0.35">
      <c r="A437" s="1832">
        <v>21275</v>
      </c>
      <c r="B437" s="1837" t="s">
        <v>838</v>
      </c>
      <c r="C437" s="1837" t="s">
        <v>428</v>
      </c>
      <c r="D437" s="1837">
        <v>9507240764</v>
      </c>
      <c r="E437" s="1838">
        <v>45779</v>
      </c>
      <c r="F437" s="1838" t="s">
        <v>499</v>
      </c>
      <c r="G437" s="1837" t="s">
        <v>500</v>
      </c>
      <c r="H437" s="1837" t="s">
        <v>495</v>
      </c>
      <c r="I437" s="1831" t="s">
        <v>496</v>
      </c>
      <c r="J437" s="1831" t="s">
        <v>382</v>
      </c>
    </row>
    <row r="438" spans="1:10" s="1829" customFormat="1" ht="15" hidden="1" x14ac:dyDescent="0.35">
      <c r="A438" s="1832">
        <v>21229</v>
      </c>
      <c r="B438" s="1837" t="s">
        <v>266</v>
      </c>
      <c r="C438" s="1837" t="s">
        <v>429</v>
      </c>
      <c r="D438" s="1837">
        <v>15304490738</v>
      </c>
      <c r="E438" s="1838">
        <v>45772</v>
      </c>
      <c r="F438" s="1838" t="s">
        <v>499</v>
      </c>
      <c r="G438" s="1837" t="s">
        <v>500</v>
      </c>
      <c r="H438" s="1837" t="s">
        <v>508</v>
      </c>
      <c r="I438" s="1832" t="s">
        <v>469</v>
      </c>
      <c r="J438" s="1831" t="s">
        <v>4777</v>
      </c>
    </row>
    <row r="439" spans="1:10" ht="15" hidden="1" x14ac:dyDescent="0.35">
      <c r="A439" s="1832">
        <v>22345</v>
      </c>
      <c r="B439" s="1837" t="s">
        <v>840</v>
      </c>
      <c r="C439" s="1837" t="s">
        <v>841</v>
      </c>
      <c r="D439" s="1837">
        <v>57766363534</v>
      </c>
      <c r="E439" s="1838">
        <v>45840</v>
      </c>
      <c r="F439" s="1838" t="s">
        <v>499</v>
      </c>
      <c r="G439" s="1837" t="s">
        <v>500</v>
      </c>
      <c r="H439" s="1837" t="s">
        <v>495</v>
      </c>
      <c r="I439" s="1831" t="s">
        <v>496</v>
      </c>
      <c r="J439" s="1831" t="s">
        <v>382</v>
      </c>
    </row>
    <row r="440" spans="1:10" ht="15" hidden="1" x14ac:dyDescent="0.35">
      <c r="A440" s="1832">
        <v>21240</v>
      </c>
      <c r="B440" s="1837" t="s">
        <v>668</v>
      </c>
      <c r="C440" s="1837" t="s">
        <v>429</v>
      </c>
      <c r="D440" s="1837">
        <v>10933180748</v>
      </c>
      <c r="E440" s="1838">
        <v>45772</v>
      </c>
      <c r="F440" s="1838" t="s">
        <v>499</v>
      </c>
      <c r="G440" s="1837" t="s">
        <v>500</v>
      </c>
      <c r="H440" s="1837" t="s">
        <v>501</v>
      </c>
      <c r="I440" s="1831" t="s">
        <v>496</v>
      </c>
      <c r="J440" s="1831" t="s">
        <v>4777</v>
      </c>
    </row>
    <row r="441" spans="1:10" s="1829" customFormat="1" ht="15" hidden="1" x14ac:dyDescent="0.35">
      <c r="A441" s="1832">
        <v>17626</v>
      </c>
      <c r="B441" s="1837" t="s">
        <v>175</v>
      </c>
      <c r="C441" s="1837" t="s">
        <v>430</v>
      </c>
      <c r="D441" s="1837">
        <v>2670877567</v>
      </c>
      <c r="E441" s="1838">
        <v>45376</v>
      </c>
      <c r="F441" s="1838" t="s">
        <v>499</v>
      </c>
      <c r="G441" s="1837" t="s">
        <v>500</v>
      </c>
      <c r="H441" s="1837" t="s">
        <v>508</v>
      </c>
      <c r="I441" s="1831" t="s">
        <v>468</v>
      </c>
      <c r="J441" s="1831" t="s">
        <v>5453</v>
      </c>
    </row>
    <row r="442" spans="1:10" ht="15" hidden="1" x14ac:dyDescent="0.35">
      <c r="A442" s="1832">
        <v>21148</v>
      </c>
      <c r="B442" s="1837" t="s">
        <v>704</v>
      </c>
      <c r="C442" s="1837" t="s">
        <v>429</v>
      </c>
      <c r="D442" s="1837">
        <v>17317949752</v>
      </c>
      <c r="E442" s="1838">
        <v>45772</v>
      </c>
      <c r="F442" s="1838" t="s">
        <v>499</v>
      </c>
      <c r="G442" s="1837" t="s">
        <v>500</v>
      </c>
      <c r="H442" s="1837" t="s">
        <v>501</v>
      </c>
      <c r="I442" s="1831" t="s">
        <v>496</v>
      </c>
      <c r="J442" s="1831" t="s">
        <v>4777</v>
      </c>
    </row>
    <row r="443" spans="1:10" ht="15" hidden="1" x14ac:dyDescent="0.35">
      <c r="A443" s="139">
        <v>21079</v>
      </c>
      <c r="B443" s="138" t="s">
        <v>848</v>
      </c>
      <c r="C443" s="138" t="s">
        <v>457</v>
      </c>
      <c r="D443" s="138">
        <v>17852360750</v>
      </c>
      <c r="E443" s="140">
        <v>45764</v>
      </c>
      <c r="F443" s="140">
        <v>45812</v>
      </c>
      <c r="G443" s="138" t="s">
        <v>494</v>
      </c>
      <c r="H443" s="138" t="s">
        <v>502</v>
      </c>
      <c r="I443"/>
      <c r="J443"/>
    </row>
    <row r="444" spans="1:10" ht="15" hidden="1" x14ac:dyDescent="0.35">
      <c r="A444" s="1832">
        <v>21551</v>
      </c>
      <c r="B444" s="1837" t="s">
        <v>797</v>
      </c>
      <c r="C444" s="1837" t="s">
        <v>429</v>
      </c>
      <c r="D444" s="1837">
        <v>14483499742</v>
      </c>
      <c r="E444" s="1838">
        <v>45785</v>
      </c>
      <c r="F444" s="1838" t="s">
        <v>499</v>
      </c>
      <c r="G444" s="1837" t="s">
        <v>500</v>
      </c>
      <c r="H444" s="1837" t="s">
        <v>501</v>
      </c>
      <c r="I444" s="1831" t="s">
        <v>496</v>
      </c>
      <c r="J444" s="1831" t="s">
        <v>4777</v>
      </c>
    </row>
    <row r="445" spans="1:10" s="1829" customFormat="1" ht="15" hidden="1" x14ac:dyDescent="0.35">
      <c r="A445" s="1832">
        <v>21073</v>
      </c>
      <c r="B445" s="1837" t="s">
        <v>267</v>
      </c>
      <c r="C445" s="1837" t="s">
        <v>430</v>
      </c>
      <c r="D445" s="1837">
        <v>15965383762</v>
      </c>
      <c r="E445" s="1838">
        <v>45763</v>
      </c>
      <c r="F445" s="1838" t="s">
        <v>499</v>
      </c>
      <c r="G445" s="1837" t="s">
        <v>500</v>
      </c>
      <c r="H445" s="1837" t="s">
        <v>508</v>
      </c>
      <c r="I445" s="1831" t="s">
        <v>469</v>
      </c>
      <c r="J445" s="1831" t="s">
        <v>5453</v>
      </c>
    </row>
    <row r="446" spans="1:10" ht="15" hidden="1" x14ac:dyDescent="0.35">
      <c r="A446" s="139">
        <v>21545</v>
      </c>
      <c r="B446" s="138" t="s">
        <v>850</v>
      </c>
      <c r="C446" s="138" t="s">
        <v>437</v>
      </c>
      <c r="D446" s="138">
        <v>13092926714</v>
      </c>
      <c r="E446" s="140">
        <v>45785</v>
      </c>
      <c r="F446" s="140">
        <v>45839</v>
      </c>
      <c r="G446" s="138" t="s">
        <v>494</v>
      </c>
      <c r="H446" s="138" t="s">
        <v>502</v>
      </c>
      <c r="I446"/>
      <c r="J446"/>
    </row>
    <row r="447" spans="1:10" ht="15" hidden="1" x14ac:dyDescent="0.35">
      <c r="A447" s="1832">
        <v>21067</v>
      </c>
      <c r="B447" s="1837" t="s">
        <v>1030</v>
      </c>
      <c r="C447" s="1837" t="s">
        <v>430</v>
      </c>
      <c r="D447" s="1837">
        <v>27307182220</v>
      </c>
      <c r="E447" s="1838">
        <v>45763</v>
      </c>
      <c r="F447" s="1838" t="s">
        <v>499</v>
      </c>
      <c r="G447" s="1837" t="s">
        <v>500</v>
      </c>
      <c r="H447" s="1837" t="s">
        <v>501</v>
      </c>
      <c r="I447" s="1831" t="s">
        <v>496</v>
      </c>
      <c r="J447" s="1831" t="s">
        <v>5453</v>
      </c>
    </row>
    <row r="448" spans="1:10" ht="15" hidden="1" x14ac:dyDescent="0.35">
      <c r="A448" s="1832">
        <v>21312</v>
      </c>
      <c r="B448" s="1837" t="s">
        <v>641</v>
      </c>
      <c r="C448" s="1837" t="s">
        <v>642</v>
      </c>
      <c r="D448" s="1837">
        <v>9969000713</v>
      </c>
      <c r="E448" s="1838">
        <v>45779</v>
      </c>
      <c r="F448" s="1838" t="s">
        <v>499</v>
      </c>
      <c r="G448" s="1837" t="s">
        <v>500</v>
      </c>
      <c r="H448" s="1837" t="s">
        <v>495</v>
      </c>
      <c r="I448" s="1831" t="s">
        <v>496</v>
      </c>
      <c r="J448" s="1831" t="s">
        <v>156</v>
      </c>
    </row>
    <row r="449" spans="1:10" s="1829" customFormat="1" ht="15" hidden="1" x14ac:dyDescent="0.35">
      <c r="A449" s="1832">
        <v>23821</v>
      </c>
      <c r="B449" s="1837" t="s">
        <v>150</v>
      </c>
      <c r="C449" s="1837" t="s">
        <v>431</v>
      </c>
      <c r="D449" s="1837">
        <v>3166923527</v>
      </c>
      <c r="E449" s="1838">
        <v>45972</v>
      </c>
      <c r="F449" s="1838" t="s">
        <v>499</v>
      </c>
      <c r="G449" s="1837" t="s">
        <v>500</v>
      </c>
      <c r="H449" s="1837" t="s">
        <v>502</v>
      </c>
      <c r="I449" s="1831" t="s">
        <v>469</v>
      </c>
      <c r="J449" s="1831" t="s">
        <v>4777</v>
      </c>
    </row>
    <row r="450" spans="1:10" ht="15" hidden="1" x14ac:dyDescent="0.35">
      <c r="A450" s="1832">
        <v>21144</v>
      </c>
      <c r="B450" s="1837" t="s">
        <v>585</v>
      </c>
      <c r="C450" s="1837" t="s">
        <v>586</v>
      </c>
      <c r="D450" s="1837">
        <v>14355608760</v>
      </c>
      <c r="E450" s="1838">
        <v>45772</v>
      </c>
      <c r="F450" s="1838" t="s">
        <v>499</v>
      </c>
      <c r="G450" s="1837" t="s">
        <v>500</v>
      </c>
      <c r="H450" s="1837" t="s">
        <v>495</v>
      </c>
      <c r="I450" s="1831" t="s">
        <v>496</v>
      </c>
      <c r="J450" s="1831" t="s">
        <v>5449</v>
      </c>
    </row>
    <row r="451" spans="1:10" ht="15" hidden="1" x14ac:dyDescent="0.35">
      <c r="A451" s="1832">
        <v>20661</v>
      </c>
      <c r="B451" s="1837" t="s">
        <v>720</v>
      </c>
      <c r="C451" s="1837" t="s">
        <v>432</v>
      </c>
      <c r="D451" s="1837">
        <v>14944269781</v>
      </c>
      <c r="E451" s="1838">
        <v>45749</v>
      </c>
      <c r="F451" s="1838" t="s">
        <v>499</v>
      </c>
      <c r="G451" s="1837" t="s">
        <v>500</v>
      </c>
      <c r="H451" s="1837" t="s">
        <v>495</v>
      </c>
      <c r="I451" s="1831" t="s">
        <v>496</v>
      </c>
      <c r="J451" s="1831" t="s">
        <v>382</v>
      </c>
    </row>
    <row r="452" spans="1:10" s="1829" customFormat="1" ht="15" hidden="1" x14ac:dyDescent="0.35">
      <c r="A452" s="1832">
        <v>24776</v>
      </c>
      <c r="B452" s="1837" t="s">
        <v>149</v>
      </c>
      <c r="C452" s="1837" t="s">
        <v>432</v>
      </c>
      <c r="D452" s="1837">
        <v>5647287727</v>
      </c>
      <c r="E452" s="1838">
        <v>46128</v>
      </c>
      <c r="F452" s="1838" t="s">
        <v>499</v>
      </c>
      <c r="G452" s="1837" t="s">
        <v>500</v>
      </c>
      <c r="H452" s="1837" t="s">
        <v>502</v>
      </c>
      <c r="I452" s="1831" t="s">
        <v>469</v>
      </c>
      <c r="J452" s="1831" t="s">
        <v>382</v>
      </c>
    </row>
    <row r="453" spans="1:10" ht="15" hidden="1" x14ac:dyDescent="0.35">
      <c r="A453" s="139">
        <v>21336</v>
      </c>
      <c r="B453" s="138" t="s">
        <v>855</v>
      </c>
      <c r="C453" s="138" t="s">
        <v>416</v>
      </c>
      <c r="D453" s="138">
        <v>19220095718</v>
      </c>
      <c r="E453" s="140">
        <v>45779</v>
      </c>
      <c r="F453" s="140">
        <v>45793</v>
      </c>
      <c r="G453" s="138" t="s">
        <v>494</v>
      </c>
      <c r="H453" s="138" t="s">
        <v>508</v>
      </c>
      <c r="I453"/>
      <c r="J453"/>
    </row>
    <row r="454" spans="1:10" s="1829" customFormat="1" ht="15" hidden="1" x14ac:dyDescent="0.35">
      <c r="A454" s="1832">
        <v>3833</v>
      </c>
      <c r="B454" s="1837" t="s">
        <v>141</v>
      </c>
      <c r="C454" s="1837" t="s">
        <v>434</v>
      </c>
      <c r="D454" s="1837">
        <v>9672881690</v>
      </c>
      <c r="E454" s="1838">
        <v>42024</v>
      </c>
      <c r="F454" s="1838" t="s">
        <v>499</v>
      </c>
      <c r="G454" s="1837" t="s">
        <v>500</v>
      </c>
      <c r="H454" s="1837" t="s">
        <v>502</v>
      </c>
      <c r="I454" s="1831" t="s">
        <v>468</v>
      </c>
      <c r="J454" s="1831" t="s">
        <v>5454</v>
      </c>
    </row>
    <row r="455" spans="1:10" ht="15" hidden="1" x14ac:dyDescent="0.35">
      <c r="A455" s="139">
        <v>21795</v>
      </c>
      <c r="B455" s="138" t="s">
        <v>856</v>
      </c>
      <c r="C455" s="138" t="s">
        <v>407</v>
      </c>
      <c r="D455" s="138">
        <v>19062396739</v>
      </c>
      <c r="E455" s="140">
        <v>45810</v>
      </c>
      <c r="F455" s="140">
        <v>45882</v>
      </c>
      <c r="G455" s="138" t="s">
        <v>494</v>
      </c>
      <c r="H455" s="138" t="s">
        <v>502</v>
      </c>
      <c r="I455"/>
      <c r="J455"/>
    </row>
    <row r="456" spans="1:10" ht="15" hidden="1" x14ac:dyDescent="0.35">
      <c r="A456" s="1832">
        <v>21854</v>
      </c>
      <c r="B456" s="1837" t="s">
        <v>619</v>
      </c>
      <c r="C456" s="1837" t="s">
        <v>620</v>
      </c>
      <c r="D456" s="1837">
        <v>11640994777</v>
      </c>
      <c r="E456" s="1838">
        <v>45814</v>
      </c>
      <c r="F456" s="1838" t="s">
        <v>499</v>
      </c>
      <c r="G456" s="1837" t="s">
        <v>500</v>
      </c>
      <c r="H456" s="1837" t="s">
        <v>495</v>
      </c>
      <c r="I456" s="1831" t="s">
        <v>496</v>
      </c>
      <c r="J456" s="1831" t="s">
        <v>156</v>
      </c>
    </row>
    <row r="457" spans="1:10" ht="15" hidden="1" x14ac:dyDescent="0.35">
      <c r="A457" s="139">
        <v>21775</v>
      </c>
      <c r="B457" s="138" t="s">
        <v>858</v>
      </c>
      <c r="C457" s="138" t="s">
        <v>402</v>
      </c>
      <c r="D457" s="138">
        <v>10918727758</v>
      </c>
      <c r="E457" s="140">
        <v>45810</v>
      </c>
      <c r="F457" s="140">
        <v>46098</v>
      </c>
      <c r="G457" s="138" t="s">
        <v>494</v>
      </c>
      <c r="H457" s="138" t="s">
        <v>495</v>
      </c>
      <c r="I457" t="s">
        <v>496</v>
      </c>
      <c r="J457"/>
    </row>
    <row r="458" spans="1:10" ht="15" hidden="1" x14ac:dyDescent="0.35">
      <c r="A458" s="1832">
        <v>24112</v>
      </c>
      <c r="B458" s="1837" t="s">
        <v>844</v>
      </c>
      <c r="C458" s="1837" t="s">
        <v>433</v>
      </c>
      <c r="D458" s="1837">
        <v>18189443755</v>
      </c>
      <c r="E458" s="1838">
        <v>46057</v>
      </c>
      <c r="F458" s="1838" t="s">
        <v>499</v>
      </c>
      <c r="G458" s="1837" t="s">
        <v>500</v>
      </c>
      <c r="H458" s="1837" t="s">
        <v>495</v>
      </c>
      <c r="I458" s="1831" t="s">
        <v>496</v>
      </c>
      <c r="J458" s="1831" t="s">
        <v>382</v>
      </c>
    </row>
    <row r="459" spans="1:10" s="10" customFormat="1" ht="15" hidden="1" x14ac:dyDescent="0.35">
      <c r="A459" s="169">
        <v>21233</v>
      </c>
      <c r="B459" s="170" t="s">
        <v>860</v>
      </c>
      <c r="C459" s="170" t="s">
        <v>421</v>
      </c>
      <c r="D459" s="170">
        <v>64591379515</v>
      </c>
      <c r="E459" s="171">
        <v>45772</v>
      </c>
      <c r="F459" s="171" t="s">
        <v>499</v>
      </c>
      <c r="G459" s="170" t="s">
        <v>634</v>
      </c>
      <c r="H459" s="170" t="s">
        <v>495</v>
      </c>
      <c r="I459" s="10" t="s">
        <v>496</v>
      </c>
    </row>
    <row r="460" spans="1:10" s="1829" customFormat="1" ht="15" hidden="1" x14ac:dyDescent="0.35">
      <c r="A460" s="1832">
        <v>2865</v>
      </c>
      <c r="B460" s="1837" t="s">
        <v>70</v>
      </c>
      <c r="C460" s="1837" t="s">
        <v>435</v>
      </c>
      <c r="D460" s="1837">
        <v>3257296541</v>
      </c>
      <c r="E460" s="1838">
        <v>41445</v>
      </c>
      <c r="F460" s="1838" t="s">
        <v>499</v>
      </c>
      <c r="G460" s="1837" t="s">
        <v>500</v>
      </c>
      <c r="H460" s="1837" t="s">
        <v>502</v>
      </c>
      <c r="I460" s="1831" t="s">
        <v>468</v>
      </c>
      <c r="J460" s="1831" t="s">
        <v>5454</v>
      </c>
    </row>
    <row r="461" spans="1:10" ht="15" hidden="1" x14ac:dyDescent="0.35">
      <c r="A461" s="1832">
        <v>21280</v>
      </c>
      <c r="B461" s="1837" t="s">
        <v>845</v>
      </c>
      <c r="C461" s="1837" t="s">
        <v>433</v>
      </c>
      <c r="D461" s="1837">
        <v>14691414770</v>
      </c>
      <c r="E461" s="1838">
        <v>45779</v>
      </c>
      <c r="F461" s="1838" t="s">
        <v>499</v>
      </c>
      <c r="G461" s="1837" t="s">
        <v>500</v>
      </c>
      <c r="H461" s="1837" t="s">
        <v>495</v>
      </c>
      <c r="I461" s="1831" t="s">
        <v>496</v>
      </c>
      <c r="J461" s="1831" t="s">
        <v>382</v>
      </c>
    </row>
    <row r="462" spans="1:10" ht="15" hidden="1" x14ac:dyDescent="0.35">
      <c r="A462" s="1832">
        <v>22829</v>
      </c>
      <c r="B462" s="1837" t="s">
        <v>853</v>
      </c>
      <c r="C462" s="1837" t="s">
        <v>433</v>
      </c>
      <c r="D462" s="1837">
        <v>20283839767</v>
      </c>
      <c r="E462" s="1838">
        <v>45887</v>
      </c>
      <c r="F462" s="1838" t="s">
        <v>499</v>
      </c>
      <c r="G462" s="1837" t="s">
        <v>500</v>
      </c>
      <c r="H462" s="1837" t="s">
        <v>495</v>
      </c>
      <c r="I462" s="1831" t="s">
        <v>496</v>
      </c>
      <c r="J462" s="1831" t="s">
        <v>382</v>
      </c>
    </row>
    <row r="463" spans="1:10" ht="15" hidden="1" x14ac:dyDescent="0.35">
      <c r="A463" s="1832">
        <v>21681</v>
      </c>
      <c r="B463" s="1837" t="s">
        <v>859</v>
      </c>
      <c r="C463" s="1837" t="s">
        <v>433</v>
      </c>
      <c r="D463" s="1837">
        <v>13926702761</v>
      </c>
      <c r="E463" s="1838">
        <v>45796</v>
      </c>
      <c r="F463" s="1838" t="s">
        <v>499</v>
      </c>
      <c r="G463" s="1837" t="s">
        <v>500</v>
      </c>
      <c r="H463" s="1837" t="s">
        <v>495</v>
      </c>
      <c r="I463" s="1831" t="s">
        <v>496</v>
      </c>
      <c r="J463" s="1831" t="s">
        <v>382</v>
      </c>
    </row>
    <row r="464" spans="1:10" ht="15" hidden="1" x14ac:dyDescent="0.35">
      <c r="A464" s="1832">
        <v>24114</v>
      </c>
      <c r="B464" s="1837" t="s">
        <v>864</v>
      </c>
      <c r="C464" s="1837" t="s">
        <v>433</v>
      </c>
      <c r="D464" s="1837">
        <v>17841279736</v>
      </c>
      <c r="E464" s="1838">
        <v>46057</v>
      </c>
      <c r="F464" s="1838" t="s">
        <v>499</v>
      </c>
      <c r="G464" s="1837" t="s">
        <v>500</v>
      </c>
      <c r="H464" s="1837" t="s">
        <v>495</v>
      </c>
      <c r="I464" s="1831" t="s">
        <v>496</v>
      </c>
      <c r="J464" s="1831" t="s">
        <v>382</v>
      </c>
    </row>
    <row r="465" spans="1:10" ht="15" hidden="1" x14ac:dyDescent="0.35">
      <c r="A465" s="1832">
        <v>20622</v>
      </c>
      <c r="B465" s="1837" t="s">
        <v>610</v>
      </c>
      <c r="C465" s="1837" t="s">
        <v>434</v>
      </c>
      <c r="D465" s="1837">
        <v>13702288724</v>
      </c>
      <c r="E465" s="1838">
        <v>45744</v>
      </c>
      <c r="F465" s="1838" t="s">
        <v>499</v>
      </c>
      <c r="G465" s="1837" t="s">
        <v>500</v>
      </c>
      <c r="H465" s="1837" t="s">
        <v>495</v>
      </c>
      <c r="I465" s="1831" t="s">
        <v>496</v>
      </c>
      <c r="J465" s="1831" t="s">
        <v>5454</v>
      </c>
    </row>
    <row r="466" spans="1:10" ht="15" hidden="1" x14ac:dyDescent="0.35">
      <c r="A466" s="139">
        <v>20684</v>
      </c>
      <c r="B466" s="138" t="s">
        <v>866</v>
      </c>
      <c r="C466" s="138" t="s">
        <v>867</v>
      </c>
      <c r="D466" s="138">
        <v>19865541718</v>
      </c>
      <c r="E466" s="140">
        <v>45748</v>
      </c>
      <c r="F466" s="140">
        <v>45859</v>
      </c>
      <c r="G466" s="138" t="s">
        <v>494</v>
      </c>
      <c r="H466" s="138" t="s">
        <v>495</v>
      </c>
      <c r="I466" t="s">
        <v>496</v>
      </c>
      <c r="J466"/>
    </row>
    <row r="467" spans="1:10" s="1829" customFormat="1" ht="15" hidden="1" x14ac:dyDescent="0.35">
      <c r="A467" s="1832">
        <v>21570</v>
      </c>
      <c r="B467" s="1837" t="s">
        <v>272</v>
      </c>
      <c r="C467" s="1837" t="s">
        <v>436</v>
      </c>
      <c r="D467" s="1837">
        <v>17450530775</v>
      </c>
      <c r="E467" s="1838">
        <v>45789</v>
      </c>
      <c r="F467" s="1838" t="s">
        <v>499</v>
      </c>
      <c r="G467" s="1837" t="s">
        <v>500</v>
      </c>
      <c r="H467" s="1837" t="s">
        <v>508</v>
      </c>
      <c r="I467" s="1831" t="s">
        <v>469</v>
      </c>
      <c r="J467" s="1831" t="s">
        <v>4777</v>
      </c>
    </row>
    <row r="468" spans="1:10" s="1829" customFormat="1" ht="15" hidden="1" x14ac:dyDescent="0.35">
      <c r="A468" s="1832">
        <v>18808</v>
      </c>
      <c r="B468" s="1837" t="s">
        <v>191</v>
      </c>
      <c r="C468" s="1837" t="s">
        <v>436</v>
      </c>
      <c r="D468" s="1837">
        <v>20214565793</v>
      </c>
      <c r="E468" s="1838">
        <v>45516</v>
      </c>
      <c r="F468" s="1838" t="s">
        <v>499</v>
      </c>
      <c r="G468" s="1837" t="s">
        <v>500</v>
      </c>
      <c r="H468" s="1837" t="s">
        <v>508</v>
      </c>
      <c r="I468" s="1831" t="s">
        <v>468</v>
      </c>
      <c r="J468" s="1831" t="s">
        <v>4777</v>
      </c>
    </row>
    <row r="469" spans="1:10" ht="15" hidden="1" x14ac:dyDescent="0.35">
      <c r="A469" s="139">
        <v>20777</v>
      </c>
      <c r="B469" s="138" t="s">
        <v>869</v>
      </c>
      <c r="C469" s="138" t="s">
        <v>438</v>
      </c>
      <c r="D469" s="138">
        <v>86902407649</v>
      </c>
      <c r="E469" s="140">
        <v>45756</v>
      </c>
      <c r="F469" s="140">
        <v>45903</v>
      </c>
      <c r="G469" s="138" t="s">
        <v>494</v>
      </c>
      <c r="H469" s="138" t="s">
        <v>502</v>
      </c>
      <c r="I469"/>
      <c r="J469"/>
    </row>
    <row r="470" spans="1:10" ht="15" hidden="1" x14ac:dyDescent="0.35">
      <c r="A470" s="1832">
        <v>22379</v>
      </c>
      <c r="B470" s="1837" t="s">
        <v>865</v>
      </c>
      <c r="C470" s="1837" t="s">
        <v>552</v>
      </c>
      <c r="D470" s="1837">
        <v>13108272730</v>
      </c>
      <c r="E470" s="1838">
        <v>45845</v>
      </c>
      <c r="F470" s="1838" t="s">
        <v>499</v>
      </c>
      <c r="G470" s="1837" t="s">
        <v>500</v>
      </c>
      <c r="H470" s="1837" t="s">
        <v>495</v>
      </c>
      <c r="I470" s="1831" t="s">
        <v>496</v>
      </c>
      <c r="J470" s="1831" t="s">
        <v>382</v>
      </c>
    </row>
    <row r="471" spans="1:10" ht="15" hidden="1" x14ac:dyDescent="0.35">
      <c r="A471" s="1832">
        <v>23247</v>
      </c>
      <c r="B471" s="1837" t="s">
        <v>587</v>
      </c>
      <c r="C471" s="1837" t="s">
        <v>436</v>
      </c>
      <c r="D471" s="1837">
        <v>10495153745</v>
      </c>
      <c r="E471" s="1838">
        <v>45912</v>
      </c>
      <c r="F471" s="1838" t="s">
        <v>499</v>
      </c>
      <c r="G471" s="1837" t="s">
        <v>500</v>
      </c>
      <c r="H471" s="1837" t="s">
        <v>501</v>
      </c>
      <c r="I471" s="1831" t="s">
        <v>496</v>
      </c>
      <c r="J471" s="1831" t="s">
        <v>4777</v>
      </c>
    </row>
    <row r="472" spans="1:10" ht="15" hidden="1" x14ac:dyDescent="0.35">
      <c r="A472" s="139">
        <v>21764</v>
      </c>
      <c r="B472" s="138" t="s">
        <v>873</v>
      </c>
      <c r="C472" s="138" t="s">
        <v>874</v>
      </c>
      <c r="D472" s="138">
        <v>7426590704</v>
      </c>
      <c r="E472" s="140">
        <v>45810</v>
      </c>
      <c r="F472" s="140">
        <v>45933</v>
      </c>
      <c r="G472" s="138" t="s">
        <v>494</v>
      </c>
      <c r="H472" s="138" t="s">
        <v>495</v>
      </c>
      <c r="I472" t="s">
        <v>496</v>
      </c>
      <c r="J472"/>
    </row>
    <row r="473" spans="1:10" s="1829" customFormat="1" ht="15" hidden="1" x14ac:dyDescent="0.35">
      <c r="A473" s="1832">
        <v>23183</v>
      </c>
      <c r="B473" s="1837" t="s">
        <v>280</v>
      </c>
      <c r="C473" s="1837" t="s">
        <v>436</v>
      </c>
      <c r="D473" s="1837">
        <v>178049573</v>
      </c>
      <c r="E473" s="1838">
        <v>45908</v>
      </c>
      <c r="F473" s="1838" t="s">
        <v>499</v>
      </c>
      <c r="G473" s="1837" t="s">
        <v>500</v>
      </c>
      <c r="H473" s="1837" t="s">
        <v>508</v>
      </c>
      <c r="I473" s="1831" t="s">
        <v>469</v>
      </c>
      <c r="J473" s="1831" t="s">
        <v>4777</v>
      </c>
    </row>
    <row r="474" spans="1:10" ht="15" hidden="1" x14ac:dyDescent="0.35">
      <c r="A474" s="1832">
        <v>21871</v>
      </c>
      <c r="B474" s="1837" t="s">
        <v>731</v>
      </c>
      <c r="C474" s="1837" t="s">
        <v>436</v>
      </c>
      <c r="D474" s="1837">
        <v>654413703</v>
      </c>
      <c r="E474" s="1838">
        <v>45817</v>
      </c>
      <c r="F474" s="1838" t="s">
        <v>499</v>
      </c>
      <c r="G474" s="1837" t="s">
        <v>500</v>
      </c>
      <c r="H474" s="1837" t="s">
        <v>501</v>
      </c>
      <c r="I474" s="1831" t="s">
        <v>496</v>
      </c>
      <c r="J474" s="1831" t="s">
        <v>4777</v>
      </c>
    </row>
    <row r="475" spans="1:10" ht="15" hidden="1" x14ac:dyDescent="0.35">
      <c r="A475" s="139">
        <v>21208</v>
      </c>
      <c r="B475" s="138" t="s">
        <v>876</v>
      </c>
      <c r="C475" s="138" t="s">
        <v>420</v>
      </c>
      <c r="D475" s="138">
        <v>6840083780</v>
      </c>
      <c r="E475" s="140">
        <v>45772</v>
      </c>
      <c r="F475" s="140">
        <v>45881</v>
      </c>
      <c r="G475" s="138" t="s">
        <v>494</v>
      </c>
      <c r="H475" s="138" t="s">
        <v>501</v>
      </c>
      <c r="I475" t="s">
        <v>496</v>
      </c>
      <c r="J475"/>
    </row>
    <row r="476" spans="1:10" ht="15" hidden="1" x14ac:dyDescent="0.35">
      <c r="A476" s="1832">
        <v>21898</v>
      </c>
      <c r="B476" s="1837" t="s">
        <v>870</v>
      </c>
      <c r="C476" s="1837" t="s">
        <v>436</v>
      </c>
      <c r="D476" s="1837">
        <v>7878128707</v>
      </c>
      <c r="E476" s="1838">
        <v>45818</v>
      </c>
      <c r="F476" s="1838" t="s">
        <v>499</v>
      </c>
      <c r="G476" s="1837" t="s">
        <v>500</v>
      </c>
      <c r="H476" s="1837" t="s">
        <v>501</v>
      </c>
      <c r="I476" s="1831" t="s">
        <v>496</v>
      </c>
      <c r="J476" s="1831" t="s">
        <v>4777</v>
      </c>
    </row>
    <row r="477" spans="1:10" ht="15" hidden="1" x14ac:dyDescent="0.35">
      <c r="A477" s="1832">
        <v>21175</v>
      </c>
      <c r="B477" s="1837" t="s">
        <v>877</v>
      </c>
      <c r="C477" s="1837" t="s">
        <v>436</v>
      </c>
      <c r="D477" s="1837">
        <v>94256314768</v>
      </c>
      <c r="E477" s="1838">
        <v>45772</v>
      </c>
      <c r="F477" s="1838" t="s">
        <v>499</v>
      </c>
      <c r="G477" s="1837" t="s">
        <v>500</v>
      </c>
      <c r="H477" s="1837" t="s">
        <v>501</v>
      </c>
      <c r="I477" s="1831" t="s">
        <v>496</v>
      </c>
      <c r="J477" s="1831" t="s">
        <v>4777</v>
      </c>
    </row>
    <row r="478" spans="1:10" ht="15" hidden="1" x14ac:dyDescent="0.35">
      <c r="A478" s="1832">
        <v>21827</v>
      </c>
      <c r="B478" s="1837" t="s">
        <v>898</v>
      </c>
      <c r="C478" s="1837" t="s">
        <v>436</v>
      </c>
      <c r="D478" s="1837">
        <v>12090141735</v>
      </c>
      <c r="E478" s="1838">
        <v>45810</v>
      </c>
      <c r="F478" s="1838" t="s">
        <v>499</v>
      </c>
      <c r="G478" s="1837" t="s">
        <v>500</v>
      </c>
      <c r="H478" s="1837" t="s">
        <v>501</v>
      </c>
      <c r="I478" s="1831" t="s">
        <v>496</v>
      </c>
      <c r="J478" s="1831" t="s">
        <v>4777</v>
      </c>
    </row>
    <row r="479" spans="1:10" ht="15" hidden="1" x14ac:dyDescent="0.35">
      <c r="A479" s="139">
        <v>21819</v>
      </c>
      <c r="B479" s="138" t="s">
        <v>880</v>
      </c>
      <c r="C479" s="138" t="s">
        <v>416</v>
      </c>
      <c r="D479" s="138">
        <v>15460794757</v>
      </c>
      <c r="E479" s="140">
        <v>45810</v>
      </c>
      <c r="F479" s="140">
        <v>46091</v>
      </c>
      <c r="G479" s="138" t="s">
        <v>494</v>
      </c>
      <c r="H479" s="138" t="s">
        <v>501</v>
      </c>
      <c r="I479" t="s">
        <v>496</v>
      </c>
      <c r="J479"/>
    </row>
    <row r="480" spans="1:10" ht="15" hidden="1" x14ac:dyDescent="0.35">
      <c r="A480" s="1832">
        <v>21825</v>
      </c>
      <c r="B480" s="1837" t="s">
        <v>904</v>
      </c>
      <c r="C480" s="1837" t="s">
        <v>436</v>
      </c>
      <c r="D480" s="1837">
        <v>3940408727</v>
      </c>
      <c r="E480" s="1838">
        <v>45810</v>
      </c>
      <c r="F480" s="1838" t="s">
        <v>499</v>
      </c>
      <c r="G480" s="1837" t="s">
        <v>500</v>
      </c>
      <c r="H480" s="1837" t="s">
        <v>501</v>
      </c>
      <c r="I480" s="1831" t="s">
        <v>496</v>
      </c>
      <c r="J480" s="1831" t="s">
        <v>4777</v>
      </c>
    </row>
    <row r="481" spans="1:10" ht="15" hidden="1" x14ac:dyDescent="0.35">
      <c r="A481" s="139">
        <v>21186</v>
      </c>
      <c r="B481" s="138" t="s">
        <v>882</v>
      </c>
      <c r="C481" s="138" t="s">
        <v>420</v>
      </c>
      <c r="D481" s="138">
        <v>17128458700</v>
      </c>
      <c r="E481" s="140">
        <v>45772</v>
      </c>
      <c r="F481" s="140">
        <v>45931</v>
      </c>
      <c r="G481" s="138" t="s">
        <v>494</v>
      </c>
      <c r="H481" s="138" t="s">
        <v>501</v>
      </c>
      <c r="I481" t="s">
        <v>496</v>
      </c>
      <c r="J481"/>
    </row>
    <row r="482" spans="1:10" s="1829" customFormat="1" ht="15" hidden="1" x14ac:dyDescent="0.35">
      <c r="A482" s="1832">
        <v>22779</v>
      </c>
      <c r="B482" s="1837" t="s">
        <v>275</v>
      </c>
      <c r="C482" s="1837" t="s">
        <v>437</v>
      </c>
      <c r="D482" s="1837">
        <v>3066713792</v>
      </c>
      <c r="E482" s="1838">
        <v>45880</v>
      </c>
      <c r="F482" s="1838" t="s">
        <v>499</v>
      </c>
      <c r="G482" s="1837" t="s">
        <v>500</v>
      </c>
      <c r="H482" s="1837" t="s">
        <v>502</v>
      </c>
      <c r="I482" s="1831" t="s">
        <v>469</v>
      </c>
      <c r="J482" s="1831" t="s">
        <v>155</v>
      </c>
    </row>
    <row r="483" spans="1:10" ht="15" hidden="1" x14ac:dyDescent="0.35">
      <c r="A483" s="139">
        <v>21070</v>
      </c>
      <c r="B483" s="138" t="s">
        <v>883</v>
      </c>
      <c r="C483" s="138" t="s">
        <v>420</v>
      </c>
      <c r="D483" s="138">
        <v>18149053751</v>
      </c>
      <c r="E483" s="140">
        <v>45763</v>
      </c>
      <c r="F483" s="140">
        <v>45968</v>
      </c>
      <c r="G483" s="138" t="s">
        <v>494</v>
      </c>
      <c r="H483" s="138" t="s">
        <v>501</v>
      </c>
      <c r="I483" t="s">
        <v>496</v>
      </c>
      <c r="J483"/>
    </row>
    <row r="484" spans="1:10" ht="15" hidden="1" x14ac:dyDescent="0.35">
      <c r="A484" s="1832">
        <v>21890</v>
      </c>
      <c r="B484" s="1837" t="s">
        <v>1053</v>
      </c>
      <c r="C484" s="1837" t="s">
        <v>436</v>
      </c>
      <c r="D484" s="1837">
        <v>9665302760</v>
      </c>
      <c r="E484" s="1838">
        <v>45818</v>
      </c>
      <c r="F484" s="1838" t="s">
        <v>499</v>
      </c>
      <c r="G484" s="1837" t="s">
        <v>500</v>
      </c>
      <c r="H484" s="1837" t="s">
        <v>501</v>
      </c>
      <c r="I484" s="1831" t="s">
        <v>496</v>
      </c>
      <c r="J484" s="1831" t="s">
        <v>4777</v>
      </c>
    </row>
    <row r="485" spans="1:10" s="1829" customFormat="1" ht="15" hidden="1" x14ac:dyDescent="0.35">
      <c r="A485" s="1832">
        <v>21546</v>
      </c>
      <c r="B485" s="1837" t="s">
        <v>283</v>
      </c>
      <c r="C485" s="1837" t="s">
        <v>437</v>
      </c>
      <c r="D485" s="1837">
        <v>9032585797</v>
      </c>
      <c r="E485" s="1838">
        <v>45785</v>
      </c>
      <c r="F485" s="1838" t="s">
        <v>499</v>
      </c>
      <c r="G485" s="1837" t="s">
        <v>500</v>
      </c>
      <c r="H485" s="1837" t="s">
        <v>502</v>
      </c>
      <c r="I485" s="1831" t="s">
        <v>469</v>
      </c>
      <c r="J485" s="1831" t="s">
        <v>155</v>
      </c>
    </row>
    <row r="486" spans="1:10" ht="15" hidden="1" x14ac:dyDescent="0.35">
      <c r="A486" s="139">
        <v>21296</v>
      </c>
      <c r="B486" s="138" t="s">
        <v>886</v>
      </c>
      <c r="C486" s="138" t="s">
        <v>416</v>
      </c>
      <c r="D486" s="138">
        <v>6909761510</v>
      </c>
      <c r="E486" s="140">
        <v>45779</v>
      </c>
      <c r="F486" s="140">
        <v>45889</v>
      </c>
      <c r="G486" s="138" t="s">
        <v>494</v>
      </c>
      <c r="H486" s="138" t="s">
        <v>501</v>
      </c>
      <c r="I486" t="s">
        <v>496</v>
      </c>
      <c r="J486"/>
    </row>
    <row r="487" spans="1:10" ht="15" hidden="1" x14ac:dyDescent="0.35">
      <c r="A487" s="1832">
        <v>21210</v>
      </c>
      <c r="B487" s="1837" t="s">
        <v>871</v>
      </c>
      <c r="C487" s="1837" t="s">
        <v>872</v>
      </c>
      <c r="D487" s="1837">
        <v>12049575769</v>
      </c>
      <c r="E487" s="1838">
        <v>45772</v>
      </c>
      <c r="F487" s="1838" t="s">
        <v>499</v>
      </c>
      <c r="G487" s="1837" t="s">
        <v>500</v>
      </c>
      <c r="H487" s="1837" t="s">
        <v>495</v>
      </c>
      <c r="I487" s="1831" t="s">
        <v>496</v>
      </c>
      <c r="J487" s="1831" t="s">
        <v>382</v>
      </c>
    </row>
    <row r="488" spans="1:10" ht="15" hidden="1" x14ac:dyDescent="0.35">
      <c r="A488" s="1832">
        <v>21331</v>
      </c>
      <c r="B488" s="1837" t="s">
        <v>875</v>
      </c>
      <c r="C488" s="1837" t="s">
        <v>872</v>
      </c>
      <c r="D488" s="1837">
        <v>709653310</v>
      </c>
      <c r="E488" s="1838">
        <v>45779</v>
      </c>
      <c r="F488" s="1838" t="s">
        <v>499</v>
      </c>
      <c r="G488" s="1837" t="s">
        <v>500</v>
      </c>
      <c r="H488" s="1837" t="s">
        <v>495</v>
      </c>
      <c r="I488" s="1831" t="s">
        <v>496</v>
      </c>
      <c r="J488" s="1831" t="s">
        <v>382</v>
      </c>
    </row>
    <row r="489" spans="1:10" ht="15" hidden="1" x14ac:dyDescent="0.35">
      <c r="A489" s="1832">
        <v>22529</v>
      </c>
      <c r="B489" s="1837" t="s">
        <v>729</v>
      </c>
      <c r="C489" s="1837" t="s">
        <v>437</v>
      </c>
      <c r="D489" s="1837">
        <v>74049313715</v>
      </c>
      <c r="E489" s="1838">
        <v>45853</v>
      </c>
      <c r="F489" s="1838" t="s">
        <v>499</v>
      </c>
      <c r="G489" s="1837" t="s">
        <v>500</v>
      </c>
      <c r="H489" s="1837" t="s">
        <v>495</v>
      </c>
      <c r="I489" s="1831" t="s">
        <v>496</v>
      </c>
      <c r="J489" s="1831" t="s">
        <v>5449</v>
      </c>
    </row>
    <row r="490" spans="1:10" s="1829" customFormat="1" ht="15" hidden="1" x14ac:dyDescent="0.35">
      <c r="A490" s="1832">
        <v>21543</v>
      </c>
      <c r="B490" s="1837" t="s">
        <v>944</v>
      </c>
      <c r="C490" s="1837" t="s">
        <v>437</v>
      </c>
      <c r="D490" s="1837">
        <v>19906246774</v>
      </c>
      <c r="E490" s="1838">
        <v>45785</v>
      </c>
      <c r="F490" s="1838" t="s">
        <v>499</v>
      </c>
      <c r="G490" s="1837" t="s">
        <v>500</v>
      </c>
      <c r="H490" s="1837" t="s">
        <v>502</v>
      </c>
      <c r="I490" s="1831" t="s">
        <v>468</v>
      </c>
      <c r="J490" s="1831" t="s">
        <v>155</v>
      </c>
    </row>
    <row r="491" spans="1:10" ht="15" hidden="1" x14ac:dyDescent="0.35">
      <c r="A491" s="1832">
        <v>21271</v>
      </c>
      <c r="B491" s="1837" t="s">
        <v>842</v>
      </c>
      <c r="C491" s="1837" t="s">
        <v>437</v>
      </c>
      <c r="D491" s="1837">
        <v>17993811708</v>
      </c>
      <c r="E491" s="1838">
        <v>45779</v>
      </c>
      <c r="F491" s="1838" t="s">
        <v>499</v>
      </c>
      <c r="G491" s="1837" t="s">
        <v>500</v>
      </c>
      <c r="H491" s="1837" t="s">
        <v>495</v>
      </c>
      <c r="I491" s="1831" t="s">
        <v>496</v>
      </c>
      <c r="J491" s="1831" t="s">
        <v>5449</v>
      </c>
    </row>
    <row r="492" spans="1:10" s="1829" customFormat="1" ht="15" hidden="1" x14ac:dyDescent="0.35">
      <c r="A492" s="1832">
        <v>22542</v>
      </c>
      <c r="B492" s="1837" t="s">
        <v>268</v>
      </c>
      <c r="C492" s="1837" t="s">
        <v>437</v>
      </c>
      <c r="D492" s="1837">
        <v>7150344720</v>
      </c>
      <c r="E492" s="1838">
        <v>45854</v>
      </c>
      <c r="F492" s="1838" t="s">
        <v>499</v>
      </c>
      <c r="G492" s="1837" t="s">
        <v>500</v>
      </c>
      <c r="H492" s="1837" t="s">
        <v>502</v>
      </c>
      <c r="I492" s="1831" t="s">
        <v>469</v>
      </c>
      <c r="J492" s="1831" t="s">
        <v>155</v>
      </c>
    </row>
    <row r="493" spans="1:10" ht="15" hidden="1" x14ac:dyDescent="0.35">
      <c r="A493" s="139">
        <v>22929</v>
      </c>
      <c r="B493" s="138" t="s">
        <v>892</v>
      </c>
      <c r="C493" s="138" t="s">
        <v>578</v>
      </c>
      <c r="D493" s="138">
        <v>10479577790</v>
      </c>
      <c r="E493" s="140">
        <v>45890</v>
      </c>
      <c r="F493" s="140">
        <v>46035</v>
      </c>
      <c r="G493" s="138" t="s">
        <v>494</v>
      </c>
      <c r="H493" s="138" t="s">
        <v>495</v>
      </c>
      <c r="I493" t="s">
        <v>496</v>
      </c>
      <c r="J493"/>
    </row>
    <row r="494" spans="1:10" ht="15" hidden="1" x14ac:dyDescent="0.35">
      <c r="A494" s="1832">
        <v>21301</v>
      </c>
      <c r="B494" s="1837" t="s">
        <v>1044</v>
      </c>
      <c r="C494" s="1837" t="s">
        <v>437</v>
      </c>
      <c r="D494" s="1837">
        <v>12684439729</v>
      </c>
      <c r="E494" s="1838">
        <v>45779</v>
      </c>
      <c r="F494" s="1838" t="s">
        <v>499</v>
      </c>
      <c r="G494" s="1837" t="s">
        <v>500</v>
      </c>
      <c r="H494" s="1837" t="s">
        <v>495</v>
      </c>
      <c r="I494" s="1831" t="s">
        <v>496</v>
      </c>
      <c r="J494" s="1831" t="s">
        <v>5449</v>
      </c>
    </row>
    <row r="495" spans="1:10" ht="15" hidden="1" x14ac:dyDescent="0.35">
      <c r="A495" s="1832">
        <v>21139</v>
      </c>
      <c r="B495" s="1837" t="s">
        <v>937</v>
      </c>
      <c r="C495" s="1837" t="s">
        <v>825</v>
      </c>
      <c r="D495" s="1837">
        <v>80424180782</v>
      </c>
      <c r="E495" s="1838">
        <v>45772</v>
      </c>
      <c r="F495" s="1838" t="s">
        <v>499</v>
      </c>
      <c r="G495" s="1837" t="s">
        <v>500</v>
      </c>
      <c r="H495" s="1837" t="s">
        <v>495</v>
      </c>
      <c r="I495" s="1831" t="s">
        <v>496</v>
      </c>
      <c r="J495" s="1831" t="s">
        <v>5450</v>
      </c>
    </row>
    <row r="496" spans="1:10" ht="15" hidden="1" x14ac:dyDescent="0.35">
      <c r="A496" s="139">
        <v>21916</v>
      </c>
      <c r="B496" s="138" t="s">
        <v>895</v>
      </c>
      <c r="C496" s="138" t="s">
        <v>416</v>
      </c>
      <c r="D496" s="138">
        <v>20155733729</v>
      </c>
      <c r="E496" s="140">
        <v>45821</v>
      </c>
      <c r="F496" s="140">
        <v>46009</v>
      </c>
      <c r="G496" s="138" t="s">
        <v>494</v>
      </c>
      <c r="H496" s="138" t="s">
        <v>501</v>
      </c>
      <c r="I496" t="s">
        <v>496</v>
      </c>
      <c r="J496"/>
    </row>
    <row r="497" spans="1:10" ht="15" hidden="1" x14ac:dyDescent="0.35">
      <c r="A497" s="139">
        <v>22276</v>
      </c>
      <c r="B497" s="138" t="s">
        <v>896</v>
      </c>
      <c r="C497" s="138" t="s">
        <v>457</v>
      </c>
      <c r="D497" s="138">
        <v>5508784756</v>
      </c>
      <c r="E497" s="140">
        <v>45839</v>
      </c>
      <c r="F497" s="140">
        <v>45918</v>
      </c>
      <c r="G497" s="138" t="s">
        <v>494</v>
      </c>
      <c r="H497" s="138" t="s">
        <v>495</v>
      </c>
      <c r="I497" t="s">
        <v>496</v>
      </c>
      <c r="J497"/>
    </row>
    <row r="498" spans="1:10" ht="15" hidden="1" x14ac:dyDescent="0.35">
      <c r="A498" s="1832">
        <v>22527</v>
      </c>
      <c r="B498" s="1837" t="s">
        <v>795</v>
      </c>
      <c r="C498" s="1837" t="s">
        <v>796</v>
      </c>
      <c r="D498" s="1837">
        <v>3061037705</v>
      </c>
      <c r="E498" s="1838">
        <v>45853</v>
      </c>
      <c r="F498" s="1838" t="s">
        <v>499</v>
      </c>
      <c r="G498" s="1837" t="s">
        <v>500</v>
      </c>
      <c r="H498" s="1837" t="s">
        <v>501</v>
      </c>
      <c r="I498" s="1831" t="s">
        <v>496</v>
      </c>
      <c r="J498" s="1831" t="s">
        <v>5455</v>
      </c>
    </row>
    <row r="499" spans="1:10" s="1829" customFormat="1" ht="15" hidden="1" x14ac:dyDescent="0.35">
      <c r="A499" s="1832">
        <v>22896</v>
      </c>
      <c r="B499" s="1837" t="s">
        <v>293</v>
      </c>
      <c r="C499" s="1837" t="s">
        <v>438</v>
      </c>
      <c r="D499" s="1837">
        <v>73500720234</v>
      </c>
      <c r="E499" s="1838">
        <v>45889</v>
      </c>
      <c r="F499" s="1838" t="s">
        <v>499</v>
      </c>
      <c r="G499" s="1837" t="s">
        <v>500</v>
      </c>
      <c r="H499" s="1837" t="s">
        <v>502</v>
      </c>
      <c r="I499" s="1831" t="s">
        <v>469</v>
      </c>
      <c r="J499" s="1831" t="s">
        <v>155</v>
      </c>
    </row>
    <row r="500" spans="1:10" s="1829" customFormat="1" ht="15" hidden="1" x14ac:dyDescent="0.35">
      <c r="A500" s="1832">
        <v>21341</v>
      </c>
      <c r="B500" s="1837" t="s">
        <v>277</v>
      </c>
      <c r="C500" s="1837" t="s">
        <v>439</v>
      </c>
      <c r="D500" s="1837">
        <v>16872194782</v>
      </c>
      <c r="E500" s="1838">
        <v>45779</v>
      </c>
      <c r="F500" s="1838" t="s">
        <v>499</v>
      </c>
      <c r="G500" s="1837" t="s">
        <v>500</v>
      </c>
      <c r="H500" s="1837" t="s">
        <v>502</v>
      </c>
      <c r="I500" s="1831" t="s">
        <v>469</v>
      </c>
      <c r="J500" s="1831" t="s">
        <v>382</v>
      </c>
    </row>
    <row r="501" spans="1:10" ht="15" hidden="1" x14ac:dyDescent="0.35">
      <c r="A501" s="1832">
        <v>23613</v>
      </c>
      <c r="B501" s="1837" t="s">
        <v>878</v>
      </c>
      <c r="C501" s="1837" t="s">
        <v>439</v>
      </c>
      <c r="D501" s="1837">
        <v>13032415799</v>
      </c>
      <c r="E501" s="1838">
        <v>45943</v>
      </c>
      <c r="F501" s="1838" t="s">
        <v>499</v>
      </c>
      <c r="G501" s="1837" t="s">
        <v>500</v>
      </c>
      <c r="H501" s="1837" t="s">
        <v>495</v>
      </c>
      <c r="I501" s="1831" t="s">
        <v>496</v>
      </c>
      <c r="J501" s="1831" t="s">
        <v>382</v>
      </c>
    </row>
    <row r="502" spans="1:10" ht="15" hidden="1" x14ac:dyDescent="0.35">
      <c r="A502" s="1832">
        <v>23248</v>
      </c>
      <c r="B502" s="1837" t="s">
        <v>879</v>
      </c>
      <c r="C502" s="1837" t="s">
        <v>439</v>
      </c>
      <c r="D502" s="1837">
        <v>141595540</v>
      </c>
      <c r="E502" s="1838">
        <v>45912</v>
      </c>
      <c r="F502" s="1838" t="s">
        <v>499</v>
      </c>
      <c r="G502" s="1837" t="s">
        <v>500</v>
      </c>
      <c r="H502" s="1837" t="s">
        <v>495</v>
      </c>
      <c r="I502" s="1831" t="s">
        <v>496</v>
      </c>
      <c r="J502" s="1831" t="s">
        <v>382</v>
      </c>
    </row>
    <row r="503" spans="1:10" ht="15" hidden="1" x14ac:dyDescent="0.35">
      <c r="A503" s="1832">
        <v>22383</v>
      </c>
      <c r="B503" s="1837" t="s">
        <v>889</v>
      </c>
      <c r="C503" s="1837" t="s">
        <v>439</v>
      </c>
      <c r="D503" s="1837">
        <v>574142541</v>
      </c>
      <c r="E503" s="1838">
        <v>45845</v>
      </c>
      <c r="F503" s="1838" t="s">
        <v>499</v>
      </c>
      <c r="G503" s="1837" t="s">
        <v>500</v>
      </c>
      <c r="H503" s="1837" t="s">
        <v>495</v>
      </c>
      <c r="I503" s="1831" t="s">
        <v>496</v>
      </c>
      <c r="J503" s="1831" t="s">
        <v>382</v>
      </c>
    </row>
    <row r="504" spans="1:10" ht="15" hidden="1" x14ac:dyDescent="0.35">
      <c r="A504" s="1832">
        <v>22384</v>
      </c>
      <c r="B504" s="1837" t="s">
        <v>893</v>
      </c>
      <c r="C504" s="1837" t="s">
        <v>439</v>
      </c>
      <c r="D504" s="1837">
        <v>8769483795</v>
      </c>
      <c r="E504" s="1838">
        <v>45845</v>
      </c>
      <c r="F504" s="1838" t="s">
        <v>499</v>
      </c>
      <c r="G504" s="1837" t="s">
        <v>500</v>
      </c>
      <c r="H504" s="1837" t="s">
        <v>495</v>
      </c>
      <c r="I504" s="1831" t="s">
        <v>496</v>
      </c>
      <c r="J504" s="1831" t="s">
        <v>382</v>
      </c>
    </row>
    <row r="505" spans="1:10" ht="15" hidden="1" x14ac:dyDescent="0.35">
      <c r="A505" s="139">
        <v>21182</v>
      </c>
      <c r="B505" s="138" t="s">
        <v>902</v>
      </c>
      <c r="C505" s="138" t="s">
        <v>416</v>
      </c>
      <c r="D505" s="138">
        <v>10989076717</v>
      </c>
      <c r="E505" s="140">
        <v>45772</v>
      </c>
      <c r="F505" s="140">
        <v>46091</v>
      </c>
      <c r="G505" s="138" t="s">
        <v>494</v>
      </c>
      <c r="H505" s="138" t="s">
        <v>501</v>
      </c>
      <c r="I505" t="s">
        <v>496</v>
      </c>
      <c r="J505"/>
    </row>
    <row r="506" spans="1:10" s="10" customFormat="1" ht="15" hidden="1" x14ac:dyDescent="0.35">
      <c r="A506" s="141">
        <v>23830</v>
      </c>
      <c r="B506" s="142" t="s">
        <v>232</v>
      </c>
      <c r="C506" s="142" t="s">
        <v>416</v>
      </c>
      <c r="D506" s="142">
        <v>6614021770</v>
      </c>
      <c r="E506" s="143">
        <v>45975</v>
      </c>
      <c r="F506" s="143" t="s">
        <v>499</v>
      </c>
      <c r="G506" s="142" t="s">
        <v>634</v>
      </c>
      <c r="H506" s="142" t="s">
        <v>508</v>
      </c>
      <c r="I506" s="10" t="s">
        <v>468</v>
      </c>
    </row>
    <row r="507" spans="1:10" ht="15" hidden="1" x14ac:dyDescent="0.35">
      <c r="A507" s="1832">
        <v>21097</v>
      </c>
      <c r="B507" s="1837" t="s">
        <v>721</v>
      </c>
      <c r="C507" s="1837" t="s">
        <v>440</v>
      </c>
      <c r="D507" s="1837">
        <v>15674233705</v>
      </c>
      <c r="E507" s="1838">
        <v>45764</v>
      </c>
      <c r="F507" s="1838" t="s">
        <v>499</v>
      </c>
      <c r="G507" s="1837" t="s">
        <v>500</v>
      </c>
      <c r="H507" s="1837" t="s">
        <v>495</v>
      </c>
      <c r="I507" s="1831" t="s">
        <v>496</v>
      </c>
      <c r="J507" s="1831" t="s">
        <v>5451</v>
      </c>
    </row>
    <row r="508" spans="1:10" ht="15" hidden="1" x14ac:dyDescent="0.35">
      <c r="A508" s="1832">
        <v>21072</v>
      </c>
      <c r="B508" s="1837" t="s">
        <v>724</v>
      </c>
      <c r="C508" s="1837" t="s">
        <v>440</v>
      </c>
      <c r="D508" s="1837">
        <v>51096110504</v>
      </c>
      <c r="E508" s="1838">
        <v>45763</v>
      </c>
      <c r="F508" s="1838" t="s">
        <v>499</v>
      </c>
      <c r="G508" s="1837" t="s">
        <v>500</v>
      </c>
      <c r="H508" s="1837" t="s">
        <v>495</v>
      </c>
      <c r="I508" s="1831" t="s">
        <v>496</v>
      </c>
      <c r="J508" s="1831" t="s">
        <v>5451</v>
      </c>
    </row>
    <row r="509" spans="1:10" ht="15" hidden="1" x14ac:dyDescent="0.35">
      <c r="A509" s="139">
        <v>23737</v>
      </c>
      <c r="B509" s="138" t="s">
        <v>905</v>
      </c>
      <c r="C509" s="138" t="s">
        <v>423</v>
      </c>
      <c r="D509" s="138">
        <v>2896237747</v>
      </c>
      <c r="E509" s="140">
        <v>45964</v>
      </c>
      <c r="F509" s="140">
        <v>45992</v>
      </c>
      <c r="G509" s="138" t="s">
        <v>494</v>
      </c>
      <c r="H509" s="138" t="s">
        <v>495</v>
      </c>
      <c r="I509" t="s">
        <v>496</v>
      </c>
      <c r="J509"/>
    </row>
    <row r="510" spans="1:10" ht="15" hidden="1" x14ac:dyDescent="0.35">
      <c r="A510" s="1832">
        <v>21246</v>
      </c>
      <c r="B510" s="1837" t="s">
        <v>981</v>
      </c>
      <c r="C510" s="1837" t="s">
        <v>440</v>
      </c>
      <c r="D510" s="1837">
        <v>81383401268</v>
      </c>
      <c r="E510" s="1838">
        <v>45772</v>
      </c>
      <c r="F510" s="1838" t="s">
        <v>499</v>
      </c>
      <c r="G510" s="1837" t="s">
        <v>500</v>
      </c>
      <c r="H510" s="1837" t="s">
        <v>495</v>
      </c>
      <c r="I510" s="1831" t="s">
        <v>496</v>
      </c>
      <c r="J510" s="1831" t="s">
        <v>5451</v>
      </c>
    </row>
    <row r="511" spans="1:10" ht="15" hidden="1" x14ac:dyDescent="0.35">
      <c r="A511" s="139">
        <v>23250</v>
      </c>
      <c r="B511" s="138" t="s">
        <v>907</v>
      </c>
      <c r="C511" s="138" t="s">
        <v>625</v>
      </c>
      <c r="D511" s="138">
        <v>13701469733</v>
      </c>
      <c r="E511" s="140">
        <v>45912</v>
      </c>
      <c r="F511" s="140">
        <v>45975</v>
      </c>
      <c r="G511" s="138" t="s">
        <v>494</v>
      </c>
      <c r="H511" s="138" t="s">
        <v>495</v>
      </c>
      <c r="I511" t="s">
        <v>496</v>
      </c>
      <c r="J511"/>
    </row>
    <row r="512" spans="1:10" ht="15" hidden="1" x14ac:dyDescent="0.35">
      <c r="A512" s="139">
        <v>20812</v>
      </c>
      <c r="B512" s="138" t="s">
        <v>908</v>
      </c>
      <c r="C512" s="138" t="s">
        <v>443</v>
      </c>
      <c r="D512" s="138">
        <v>3794803795</v>
      </c>
      <c r="E512" s="140">
        <v>45758</v>
      </c>
      <c r="F512" s="140">
        <v>45839</v>
      </c>
      <c r="G512" s="138" t="s">
        <v>494</v>
      </c>
      <c r="H512" s="138" t="s">
        <v>502</v>
      </c>
      <c r="I512"/>
      <c r="J512"/>
    </row>
    <row r="513" spans="1:10" ht="15" hidden="1" x14ac:dyDescent="0.35">
      <c r="A513" s="1832">
        <v>21385</v>
      </c>
      <c r="B513" s="1837" t="s">
        <v>1045</v>
      </c>
      <c r="C513" s="1837" t="s">
        <v>440</v>
      </c>
      <c r="D513" s="1837">
        <v>13152914792</v>
      </c>
      <c r="E513" s="1838">
        <v>45782</v>
      </c>
      <c r="F513" s="1838" t="s">
        <v>499</v>
      </c>
      <c r="G513" s="1837" t="s">
        <v>500</v>
      </c>
      <c r="H513" s="1837" t="s">
        <v>495</v>
      </c>
      <c r="I513" s="1831" t="s">
        <v>496</v>
      </c>
      <c r="J513" s="1831" t="s">
        <v>5451</v>
      </c>
    </row>
    <row r="514" spans="1:10" s="1829" customFormat="1" ht="15" hidden="1" x14ac:dyDescent="0.35">
      <c r="A514" s="1832">
        <v>24234</v>
      </c>
      <c r="B514" s="1837" t="s">
        <v>287</v>
      </c>
      <c r="C514" s="1837" t="s">
        <v>439</v>
      </c>
      <c r="D514" s="1837">
        <v>14317819759</v>
      </c>
      <c r="E514" s="1838">
        <v>46084</v>
      </c>
      <c r="F514" s="1838" t="s">
        <v>499</v>
      </c>
      <c r="G514" s="1837" t="s">
        <v>500</v>
      </c>
      <c r="H514" s="1837" t="s">
        <v>502</v>
      </c>
      <c r="I514" s="1831" t="s">
        <v>469</v>
      </c>
      <c r="J514" s="1831" t="s">
        <v>382</v>
      </c>
    </row>
    <row r="515" spans="1:10" ht="15" hidden="1" x14ac:dyDescent="0.35">
      <c r="A515" s="139">
        <v>21373</v>
      </c>
      <c r="B515" s="138" t="s">
        <v>910</v>
      </c>
      <c r="C515" s="138" t="s">
        <v>549</v>
      </c>
      <c r="D515" s="138">
        <v>20390792705</v>
      </c>
      <c r="E515" s="140">
        <v>45782</v>
      </c>
      <c r="F515" s="140">
        <v>46036</v>
      </c>
      <c r="G515" s="138" t="s">
        <v>494</v>
      </c>
      <c r="H515" s="138" t="s">
        <v>495</v>
      </c>
      <c r="I515" t="s">
        <v>496</v>
      </c>
      <c r="J515"/>
    </row>
    <row r="516" spans="1:10" ht="15" hidden="1" x14ac:dyDescent="0.35">
      <c r="A516" s="1832">
        <v>22709</v>
      </c>
      <c r="B516" s="1837" t="s">
        <v>135</v>
      </c>
      <c r="C516" s="1837" t="s">
        <v>1028</v>
      </c>
      <c r="D516" s="1837">
        <v>7220266766</v>
      </c>
      <c r="E516" s="1838">
        <v>45873</v>
      </c>
      <c r="F516" s="1838" t="s">
        <v>499</v>
      </c>
      <c r="G516" s="1837" t="s">
        <v>500</v>
      </c>
      <c r="H516" s="1837" t="s">
        <v>495</v>
      </c>
      <c r="I516" s="1831" t="s">
        <v>496</v>
      </c>
      <c r="J516" s="1831" t="s">
        <v>5451</v>
      </c>
    </row>
    <row r="517" spans="1:10" s="1829" customFormat="1" ht="15" hidden="1" x14ac:dyDescent="0.35">
      <c r="A517" s="1832">
        <v>22011</v>
      </c>
      <c r="B517" s="1837" t="s">
        <v>188</v>
      </c>
      <c r="C517" s="1837" t="s">
        <v>439</v>
      </c>
      <c r="D517" s="1837">
        <v>5449897758</v>
      </c>
      <c r="E517" s="1838">
        <v>45825</v>
      </c>
      <c r="F517" s="1838" t="s">
        <v>499</v>
      </c>
      <c r="G517" s="1837" t="s">
        <v>500</v>
      </c>
      <c r="H517" s="1837" t="s">
        <v>502</v>
      </c>
      <c r="I517" s="1831" t="s">
        <v>468</v>
      </c>
      <c r="J517" s="1831" t="s">
        <v>382</v>
      </c>
    </row>
    <row r="518" spans="1:10" ht="15" hidden="1" x14ac:dyDescent="0.35">
      <c r="A518" s="1832">
        <v>21153</v>
      </c>
      <c r="B518" s="1837" t="s">
        <v>624</v>
      </c>
      <c r="C518" s="1837" t="s">
        <v>625</v>
      </c>
      <c r="D518" s="1837">
        <v>17330133779</v>
      </c>
      <c r="E518" s="1838">
        <v>45772</v>
      </c>
      <c r="F518" s="1838" t="s">
        <v>499</v>
      </c>
      <c r="G518" s="1837" t="s">
        <v>500</v>
      </c>
      <c r="H518" s="1837" t="s">
        <v>495</v>
      </c>
      <c r="I518" s="1831" t="s">
        <v>496</v>
      </c>
      <c r="J518" s="1831" t="s">
        <v>5450</v>
      </c>
    </row>
    <row r="519" spans="1:10" s="1829" customFormat="1" ht="15" hidden="1" x14ac:dyDescent="0.35">
      <c r="A519" s="1832">
        <v>17724</v>
      </c>
      <c r="B519" s="1837" t="s">
        <v>124</v>
      </c>
      <c r="C519" s="1837" t="s">
        <v>440</v>
      </c>
      <c r="D519" s="1837">
        <v>72916915753</v>
      </c>
      <c r="E519" s="1838">
        <v>45383</v>
      </c>
      <c r="F519" s="1838" t="s">
        <v>499</v>
      </c>
      <c r="G519" s="1837" t="s">
        <v>500</v>
      </c>
      <c r="H519" s="1837" t="s">
        <v>502</v>
      </c>
      <c r="I519" s="1831" t="s">
        <v>468</v>
      </c>
      <c r="J519" s="1831" t="s">
        <v>5451</v>
      </c>
    </row>
    <row r="520" spans="1:10" ht="15" hidden="1" x14ac:dyDescent="0.35">
      <c r="A520" s="1832">
        <v>20328</v>
      </c>
      <c r="B520" s="1837" t="s">
        <v>723</v>
      </c>
      <c r="C520" s="1837" t="s">
        <v>625</v>
      </c>
      <c r="D520" s="1837">
        <v>5898025774</v>
      </c>
      <c r="E520" s="1838">
        <v>45721</v>
      </c>
      <c r="F520" s="1838" t="s">
        <v>499</v>
      </c>
      <c r="G520" s="1837" t="s">
        <v>500</v>
      </c>
      <c r="H520" s="1837" t="s">
        <v>495</v>
      </c>
      <c r="I520" s="1831" t="s">
        <v>496</v>
      </c>
      <c r="J520" s="1831" t="s">
        <v>5450</v>
      </c>
    </row>
    <row r="521" spans="1:10" ht="15" hidden="1" x14ac:dyDescent="0.35">
      <c r="A521" s="1832">
        <v>21424</v>
      </c>
      <c r="B521" s="1837" t="s">
        <v>915</v>
      </c>
      <c r="C521" s="1837" t="s">
        <v>625</v>
      </c>
      <c r="D521" s="1837">
        <v>16376711723</v>
      </c>
      <c r="E521" s="1838">
        <v>45784</v>
      </c>
      <c r="F521" s="1838" t="s">
        <v>499</v>
      </c>
      <c r="G521" s="1837" t="s">
        <v>500</v>
      </c>
      <c r="H521" s="1837" t="s">
        <v>495</v>
      </c>
      <c r="I521" s="1831" t="s">
        <v>496</v>
      </c>
      <c r="J521" s="1831" t="s">
        <v>5450</v>
      </c>
    </row>
    <row r="522" spans="1:10" ht="15" hidden="1" x14ac:dyDescent="0.35">
      <c r="A522" s="1832">
        <v>21548</v>
      </c>
      <c r="B522" s="1837" t="s">
        <v>994</v>
      </c>
      <c r="C522" s="1837" t="s">
        <v>625</v>
      </c>
      <c r="D522" s="1837">
        <v>13508134784</v>
      </c>
      <c r="E522" s="1838">
        <v>45785</v>
      </c>
      <c r="F522" s="1838" t="s">
        <v>499</v>
      </c>
      <c r="G522" s="1837" t="s">
        <v>500</v>
      </c>
      <c r="H522" s="1837" t="s">
        <v>495</v>
      </c>
      <c r="I522" s="1831" t="s">
        <v>496</v>
      </c>
      <c r="J522" s="1831" t="s">
        <v>5450</v>
      </c>
    </row>
    <row r="523" spans="1:10" ht="15" hidden="1" x14ac:dyDescent="0.35">
      <c r="A523" s="1832">
        <v>21903</v>
      </c>
      <c r="B523" s="1837" t="s">
        <v>543</v>
      </c>
      <c r="C523" s="1837" t="s">
        <v>544</v>
      </c>
      <c r="D523" s="1837">
        <v>80907741215</v>
      </c>
      <c r="E523" s="1838">
        <v>45819</v>
      </c>
      <c r="F523" s="1838" t="s">
        <v>499</v>
      </c>
      <c r="G523" s="1837" t="s">
        <v>500</v>
      </c>
      <c r="H523" s="1837" t="s">
        <v>495</v>
      </c>
      <c r="I523" s="1831" t="s">
        <v>496</v>
      </c>
      <c r="J523" s="1831" t="s">
        <v>5448</v>
      </c>
    </row>
    <row r="524" spans="1:10" ht="15" hidden="1" x14ac:dyDescent="0.35">
      <c r="A524" s="139">
        <v>21060</v>
      </c>
      <c r="B524" s="138" t="s">
        <v>917</v>
      </c>
      <c r="C524" s="138" t="s">
        <v>420</v>
      </c>
      <c r="D524" s="138">
        <v>5830813718</v>
      </c>
      <c r="E524" s="140">
        <v>45763</v>
      </c>
      <c r="F524" s="140">
        <v>45890</v>
      </c>
      <c r="G524" s="138" t="s">
        <v>494</v>
      </c>
      <c r="H524" s="138" t="s">
        <v>501</v>
      </c>
      <c r="I524" t="s">
        <v>496</v>
      </c>
      <c r="J524"/>
    </row>
    <row r="525" spans="1:10" ht="15" hidden="1" x14ac:dyDescent="0.35">
      <c r="A525" s="1832">
        <v>21224</v>
      </c>
      <c r="B525" s="1837" t="s">
        <v>666</v>
      </c>
      <c r="C525" s="1837" t="s">
        <v>544</v>
      </c>
      <c r="D525" s="1837">
        <v>7851300711</v>
      </c>
      <c r="E525" s="1838">
        <v>45772</v>
      </c>
      <c r="F525" s="1838" t="s">
        <v>499</v>
      </c>
      <c r="G525" s="1837" t="s">
        <v>500</v>
      </c>
      <c r="H525" s="1837" t="s">
        <v>495</v>
      </c>
      <c r="I525" s="1831" t="s">
        <v>496</v>
      </c>
      <c r="J525" s="1831" t="s">
        <v>5448</v>
      </c>
    </row>
    <row r="526" spans="1:10" ht="15" hidden="1" x14ac:dyDescent="0.35">
      <c r="A526" s="1832">
        <v>21761</v>
      </c>
      <c r="B526" s="1837" t="s">
        <v>764</v>
      </c>
      <c r="C526" s="1837" t="s">
        <v>544</v>
      </c>
      <c r="D526" s="1837">
        <v>3057524729</v>
      </c>
      <c r="E526" s="1838">
        <v>45810</v>
      </c>
      <c r="F526" s="1838" t="s">
        <v>499</v>
      </c>
      <c r="G526" s="1837" t="s">
        <v>500</v>
      </c>
      <c r="H526" s="1837" t="s">
        <v>495</v>
      </c>
      <c r="I526" s="1831" t="s">
        <v>496</v>
      </c>
      <c r="J526" s="1831" t="s">
        <v>5448</v>
      </c>
    </row>
    <row r="527" spans="1:10" s="1829" customFormat="1" ht="15" hidden="1" x14ac:dyDescent="0.35">
      <c r="A527" s="1832">
        <v>21673</v>
      </c>
      <c r="B527" s="1837" t="s">
        <v>107</v>
      </c>
      <c r="C527" s="1837" t="s">
        <v>440</v>
      </c>
      <c r="D527" s="1837">
        <v>91593271700</v>
      </c>
      <c r="E527" s="1838">
        <v>45796</v>
      </c>
      <c r="F527" s="1838" t="s">
        <v>499</v>
      </c>
      <c r="G527" s="1837" t="s">
        <v>500</v>
      </c>
      <c r="H527" s="1837" t="s">
        <v>502</v>
      </c>
      <c r="I527" s="1831" t="s">
        <v>468</v>
      </c>
      <c r="J527" s="1831" t="s">
        <v>5451</v>
      </c>
    </row>
    <row r="528" spans="1:10" s="1829" customFormat="1" ht="15" hidden="1" x14ac:dyDescent="0.35">
      <c r="A528" s="1832">
        <v>21584</v>
      </c>
      <c r="B528" s="1837" t="s">
        <v>117</v>
      </c>
      <c r="C528" s="1837" t="s">
        <v>440</v>
      </c>
      <c r="D528" s="1837">
        <v>7568055701</v>
      </c>
      <c r="E528" s="1838">
        <v>45790</v>
      </c>
      <c r="F528" s="1838" t="s">
        <v>499</v>
      </c>
      <c r="G528" s="1837" t="s">
        <v>500</v>
      </c>
      <c r="H528" s="1837" t="s">
        <v>502</v>
      </c>
      <c r="I528" s="1831" t="s">
        <v>468</v>
      </c>
      <c r="J528" s="1831" t="s">
        <v>5451</v>
      </c>
    </row>
    <row r="529" spans="1:10" ht="15" hidden="1" x14ac:dyDescent="0.35">
      <c r="A529" s="1832">
        <v>22408</v>
      </c>
      <c r="B529" s="1837" t="s">
        <v>1024</v>
      </c>
      <c r="C529" s="1837" t="s">
        <v>544</v>
      </c>
      <c r="D529" s="1837">
        <v>15317594758</v>
      </c>
      <c r="E529" s="1838">
        <v>45846</v>
      </c>
      <c r="F529" s="1838" t="s">
        <v>499</v>
      </c>
      <c r="G529" s="1837" t="s">
        <v>500</v>
      </c>
      <c r="H529" s="1837" t="s">
        <v>495</v>
      </c>
      <c r="I529" s="1831" t="s">
        <v>496</v>
      </c>
      <c r="J529" s="1831" t="s">
        <v>5448</v>
      </c>
    </row>
    <row r="530" spans="1:10" ht="15" hidden="1" x14ac:dyDescent="0.35">
      <c r="A530" s="1832">
        <v>22356</v>
      </c>
      <c r="B530" s="1837" t="s">
        <v>1056</v>
      </c>
      <c r="C530" s="1837" t="s">
        <v>544</v>
      </c>
      <c r="D530" s="1837">
        <v>8032532498</v>
      </c>
      <c r="E530" s="1838">
        <v>45840</v>
      </c>
      <c r="F530" s="1838" t="s">
        <v>499</v>
      </c>
      <c r="G530" s="1837" t="s">
        <v>500</v>
      </c>
      <c r="H530" s="1837" t="s">
        <v>495</v>
      </c>
      <c r="I530" s="1831" t="s">
        <v>496</v>
      </c>
      <c r="J530" s="1831" t="s">
        <v>5448</v>
      </c>
    </row>
    <row r="531" spans="1:10" ht="15" hidden="1" x14ac:dyDescent="0.35">
      <c r="A531" s="139">
        <v>22026</v>
      </c>
      <c r="B531" s="138" t="s">
        <v>921</v>
      </c>
      <c r="C531" s="138" t="s">
        <v>410</v>
      </c>
      <c r="D531" s="138">
        <v>17778810727</v>
      </c>
      <c r="E531" s="140">
        <v>45826</v>
      </c>
      <c r="F531" s="140" t="s">
        <v>499</v>
      </c>
      <c r="G531" s="138" t="s">
        <v>665</v>
      </c>
      <c r="H531" s="138" t="s">
        <v>495</v>
      </c>
      <c r="I531" t="s">
        <v>496</v>
      </c>
      <c r="J531"/>
    </row>
    <row r="532" spans="1:10" ht="15" hidden="1" x14ac:dyDescent="0.35">
      <c r="A532" s="1832">
        <v>22507</v>
      </c>
      <c r="B532" s="1837" t="s">
        <v>526</v>
      </c>
      <c r="C532" s="1837" t="s">
        <v>527</v>
      </c>
      <c r="D532" s="1837">
        <v>16966681741</v>
      </c>
      <c r="E532" s="1838">
        <v>45849</v>
      </c>
      <c r="F532" s="1838" t="s">
        <v>499</v>
      </c>
      <c r="G532" s="1837" t="s">
        <v>500</v>
      </c>
      <c r="H532" s="1837" t="s">
        <v>495</v>
      </c>
      <c r="I532" s="1831" t="s">
        <v>496</v>
      </c>
      <c r="J532" s="1831" t="s">
        <v>5455</v>
      </c>
    </row>
    <row r="533" spans="1:10" ht="15" hidden="1" x14ac:dyDescent="0.35">
      <c r="A533" s="139">
        <v>23687</v>
      </c>
      <c r="B533" s="138" t="s">
        <v>923</v>
      </c>
      <c r="C533" s="138" t="s">
        <v>416</v>
      </c>
      <c r="D533" s="138">
        <v>21357566794</v>
      </c>
      <c r="E533" s="140">
        <v>45950</v>
      </c>
      <c r="F533" s="140">
        <v>46113</v>
      </c>
      <c r="G533" s="138" t="s">
        <v>494</v>
      </c>
      <c r="H533" s="138" t="s">
        <v>501</v>
      </c>
      <c r="I533" t="s">
        <v>496</v>
      </c>
      <c r="J533"/>
    </row>
    <row r="534" spans="1:10" ht="15" hidden="1" x14ac:dyDescent="0.35">
      <c r="A534" s="1832">
        <v>21719</v>
      </c>
      <c r="B534" s="1837" t="s">
        <v>590</v>
      </c>
      <c r="C534" s="1837" t="s">
        <v>591</v>
      </c>
      <c r="D534" s="1837">
        <v>90341317772</v>
      </c>
      <c r="E534" s="1838">
        <v>45800</v>
      </c>
      <c r="F534" s="1838" t="s">
        <v>499</v>
      </c>
      <c r="G534" s="1837" t="s">
        <v>500</v>
      </c>
      <c r="H534" s="1837" t="s">
        <v>501</v>
      </c>
      <c r="I534" s="1831" t="s">
        <v>496</v>
      </c>
      <c r="J534" s="1831" t="s">
        <v>5455</v>
      </c>
    </row>
    <row r="535" spans="1:10" ht="15" hidden="1" x14ac:dyDescent="0.35">
      <c r="A535" s="1832">
        <v>23284</v>
      </c>
      <c r="B535" s="1837" t="s">
        <v>806</v>
      </c>
      <c r="C535" s="1837" t="s">
        <v>591</v>
      </c>
      <c r="D535" s="1837">
        <v>12434903738</v>
      </c>
      <c r="E535" s="1838">
        <v>45919</v>
      </c>
      <c r="F535" s="1838" t="s">
        <v>499</v>
      </c>
      <c r="G535" s="1837" t="s">
        <v>500</v>
      </c>
      <c r="H535" s="1837" t="s">
        <v>501</v>
      </c>
      <c r="I535" s="1831" t="s">
        <v>496</v>
      </c>
      <c r="J535" s="1831" t="s">
        <v>5455</v>
      </c>
    </row>
    <row r="536" spans="1:10" s="1829" customFormat="1" ht="15" hidden="1" x14ac:dyDescent="0.35">
      <c r="A536" s="1832">
        <v>21259</v>
      </c>
      <c r="B536" s="1837" t="s">
        <v>273</v>
      </c>
      <c r="C536" s="1837" t="s">
        <v>441</v>
      </c>
      <c r="D536" s="1837">
        <v>2694064760</v>
      </c>
      <c r="E536" s="1838">
        <v>45772</v>
      </c>
      <c r="F536" s="1838" t="s">
        <v>499</v>
      </c>
      <c r="G536" s="1837" t="s">
        <v>500</v>
      </c>
      <c r="H536" s="1837" t="s">
        <v>508</v>
      </c>
      <c r="I536" s="1831" t="s">
        <v>469</v>
      </c>
      <c r="J536" s="1831" t="s">
        <v>4777</v>
      </c>
    </row>
    <row r="537" spans="1:10" ht="15" hidden="1" x14ac:dyDescent="0.35">
      <c r="A537" s="139">
        <v>22270</v>
      </c>
      <c r="B537" s="138" t="s">
        <v>927</v>
      </c>
      <c r="C537" s="138" t="s">
        <v>600</v>
      </c>
      <c r="D537" s="138">
        <v>7429688713</v>
      </c>
      <c r="E537" s="140">
        <v>45839</v>
      </c>
      <c r="F537" s="140">
        <v>46119</v>
      </c>
      <c r="G537" s="138" t="s">
        <v>494</v>
      </c>
      <c r="H537" s="138" t="s">
        <v>495</v>
      </c>
      <c r="I537" t="s">
        <v>496</v>
      </c>
      <c r="J537"/>
    </row>
    <row r="538" spans="1:10" ht="15" hidden="1" x14ac:dyDescent="0.35">
      <c r="A538" s="139">
        <v>22385</v>
      </c>
      <c r="B538" s="138" t="s">
        <v>928</v>
      </c>
      <c r="C538" s="138" t="s">
        <v>427</v>
      </c>
      <c r="D538" s="138">
        <v>1602909296</v>
      </c>
      <c r="E538" s="140">
        <v>45845</v>
      </c>
      <c r="F538" s="140">
        <v>45884</v>
      </c>
      <c r="G538" s="138" t="s">
        <v>494</v>
      </c>
      <c r="H538" s="138" t="s">
        <v>495</v>
      </c>
      <c r="I538" t="s">
        <v>496</v>
      </c>
      <c r="J538"/>
    </row>
    <row r="539" spans="1:10" s="1829" customFormat="1" ht="15" hidden="1" x14ac:dyDescent="0.35">
      <c r="A539" s="1832">
        <v>21266</v>
      </c>
      <c r="B539" s="1837" t="s">
        <v>281</v>
      </c>
      <c r="C539" s="1837" t="s">
        <v>441</v>
      </c>
      <c r="D539" s="1837">
        <v>20207148767</v>
      </c>
      <c r="E539" s="1838">
        <v>45779</v>
      </c>
      <c r="F539" s="1838" t="s">
        <v>499</v>
      </c>
      <c r="G539" s="1837" t="s">
        <v>500</v>
      </c>
      <c r="H539" s="1837" t="s">
        <v>508</v>
      </c>
      <c r="I539" s="1831" t="s">
        <v>469</v>
      </c>
      <c r="J539" s="1831" t="s">
        <v>4777</v>
      </c>
    </row>
    <row r="540" spans="1:10" ht="15" hidden="1" x14ac:dyDescent="0.35">
      <c r="A540" s="139">
        <v>20823</v>
      </c>
      <c r="B540" s="138" t="s">
        <v>929</v>
      </c>
      <c r="C540" s="138" t="s">
        <v>427</v>
      </c>
      <c r="D540" s="138">
        <v>99314320715</v>
      </c>
      <c r="E540" s="140">
        <v>45758</v>
      </c>
      <c r="F540" s="140">
        <v>45890</v>
      </c>
      <c r="G540" s="138" t="s">
        <v>494</v>
      </c>
      <c r="H540" s="138" t="s">
        <v>502</v>
      </c>
      <c r="I540"/>
      <c r="J540"/>
    </row>
    <row r="541" spans="1:10" ht="15" hidden="1" x14ac:dyDescent="0.35">
      <c r="A541" s="1832">
        <v>21718</v>
      </c>
      <c r="B541" s="1837" t="s">
        <v>942</v>
      </c>
      <c r="C541" s="1837" t="s">
        <v>591</v>
      </c>
      <c r="D541" s="1837">
        <v>9965605726</v>
      </c>
      <c r="E541" s="1838">
        <v>45800</v>
      </c>
      <c r="F541" s="1838" t="s">
        <v>499</v>
      </c>
      <c r="G541" s="1837" t="s">
        <v>500</v>
      </c>
      <c r="H541" s="1837" t="s">
        <v>501</v>
      </c>
      <c r="I541" s="1831" t="s">
        <v>496</v>
      </c>
      <c r="J541" s="1831" t="s">
        <v>5455</v>
      </c>
    </row>
    <row r="542" spans="1:10" ht="15" hidden="1" x14ac:dyDescent="0.35">
      <c r="A542" s="1832">
        <v>21372</v>
      </c>
      <c r="B542" s="1837" t="s">
        <v>978</v>
      </c>
      <c r="C542" s="1837" t="s">
        <v>591</v>
      </c>
      <c r="D542" s="1837">
        <v>85827346543</v>
      </c>
      <c r="E542" s="1838">
        <v>45782</v>
      </c>
      <c r="F542" s="1838" t="s">
        <v>499</v>
      </c>
      <c r="G542" s="1837" t="s">
        <v>500</v>
      </c>
      <c r="H542" s="1837" t="s">
        <v>501</v>
      </c>
      <c r="I542" s="1831" t="s">
        <v>496</v>
      </c>
      <c r="J542" s="1831" t="s">
        <v>5455</v>
      </c>
    </row>
    <row r="543" spans="1:10" ht="15" hidden="1" x14ac:dyDescent="0.35">
      <c r="A543" s="1832">
        <v>21215</v>
      </c>
      <c r="B543" s="1837" t="s">
        <v>835</v>
      </c>
      <c r="C543" s="1837" t="s">
        <v>836</v>
      </c>
      <c r="D543" s="1837">
        <v>4111952631</v>
      </c>
      <c r="E543" s="1838">
        <v>45772</v>
      </c>
      <c r="F543" s="1838" t="s">
        <v>499</v>
      </c>
      <c r="G543" s="1837" t="s">
        <v>500</v>
      </c>
      <c r="H543" s="1837" t="s">
        <v>495</v>
      </c>
      <c r="I543" s="1831" t="s">
        <v>496</v>
      </c>
      <c r="J543" s="1831" t="s">
        <v>5451</v>
      </c>
    </row>
    <row r="544" spans="1:10" ht="15" hidden="1" x14ac:dyDescent="0.35">
      <c r="A544" s="139">
        <v>22040</v>
      </c>
      <c r="B544" s="138" t="s">
        <v>933</v>
      </c>
      <c r="C544" s="138" t="s">
        <v>415</v>
      </c>
      <c r="D544" s="138">
        <v>15095034719</v>
      </c>
      <c r="E544" s="140">
        <v>45826</v>
      </c>
      <c r="F544" s="140">
        <v>45915</v>
      </c>
      <c r="G544" s="138" t="s">
        <v>494</v>
      </c>
      <c r="H544" s="138" t="s">
        <v>502</v>
      </c>
      <c r="I544"/>
      <c r="J544"/>
    </row>
    <row r="545" spans="1:10" ht="15" hidden="1" x14ac:dyDescent="0.35">
      <c r="A545" s="139">
        <v>22850</v>
      </c>
      <c r="B545" s="138" t="s">
        <v>934</v>
      </c>
      <c r="C545" s="138" t="s">
        <v>407</v>
      </c>
      <c r="D545" s="138">
        <v>18216264780</v>
      </c>
      <c r="E545" s="140">
        <v>45887</v>
      </c>
      <c r="F545" s="140">
        <v>46114</v>
      </c>
      <c r="G545" s="138" t="s">
        <v>494</v>
      </c>
      <c r="H545" s="138" t="s">
        <v>495</v>
      </c>
      <c r="I545" t="s">
        <v>496</v>
      </c>
      <c r="J545"/>
    </row>
    <row r="546" spans="1:10" ht="15" hidden="1" x14ac:dyDescent="0.35">
      <c r="A546" s="139">
        <v>22787</v>
      </c>
      <c r="B546" s="138" t="s">
        <v>935</v>
      </c>
      <c r="C546" s="138" t="s">
        <v>407</v>
      </c>
      <c r="D546" s="138">
        <v>13277309797</v>
      </c>
      <c r="E546" s="140">
        <v>45881</v>
      </c>
      <c r="F546" s="140">
        <v>46113</v>
      </c>
      <c r="G546" s="138" t="s">
        <v>494</v>
      </c>
      <c r="H546" s="138" t="s">
        <v>495</v>
      </c>
      <c r="I546" t="s">
        <v>496</v>
      </c>
      <c r="J546"/>
    </row>
    <row r="547" spans="1:10" s="1829" customFormat="1" ht="15" hidden="1" x14ac:dyDescent="0.35">
      <c r="A547" s="1832">
        <v>17670</v>
      </c>
      <c r="B547" s="1837" t="s">
        <v>192</v>
      </c>
      <c r="C547" s="1837" t="s">
        <v>441</v>
      </c>
      <c r="D547" s="1837">
        <v>1749091798</v>
      </c>
      <c r="E547" s="1838">
        <v>45377</v>
      </c>
      <c r="F547" s="1838" t="s">
        <v>499</v>
      </c>
      <c r="G547" s="1837" t="s">
        <v>500</v>
      </c>
      <c r="H547" s="1837" t="s">
        <v>508</v>
      </c>
      <c r="I547" s="1831" t="s">
        <v>468</v>
      </c>
      <c r="J547" s="1831" t="s">
        <v>4777</v>
      </c>
    </row>
    <row r="548" spans="1:10" ht="15" hidden="1" x14ac:dyDescent="0.35">
      <c r="A548" s="139">
        <v>21651</v>
      </c>
      <c r="B548" s="138" t="s">
        <v>936</v>
      </c>
      <c r="C548" s="138" t="s">
        <v>455</v>
      </c>
      <c r="D548" s="138">
        <v>13470619751</v>
      </c>
      <c r="E548" s="140">
        <v>45792</v>
      </c>
      <c r="F548" s="140">
        <v>45881</v>
      </c>
      <c r="G548" s="138" t="s">
        <v>494</v>
      </c>
      <c r="H548" s="138" t="s">
        <v>502</v>
      </c>
      <c r="I548"/>
      <c r="J548"/>
    </row>
    <row r="549" spans="1:10" s="1829" customFormat="1" ht="15" hidden="1" x14ac:dyDescent="0.35">
      <c r="A549" s="1832">
        <v>23026</v>
      </c>
      <c r="B549" s="1837" t="s">
        <v>216</v>
      </c>
      <c r="C549" s="1837" t="s">
        <v>441</v>
      </c>
      <c r="D549" s="1837">
        <v>8200387763</v>
      </c>
      <c r="E549" s="1838">
        <v>45901</v>
      </c>
      <c r="F549" s="1838" t="s">
        <v>499</v>
      </c>
      <c r="G549" s="1837" t="s">
        <v>500</v>
      </c>
      <c r="H549" s="1837" t="s">
        <v>508</v>
      </c>
      <c r="I549" s="1831" t="s">
        <v>468</v>
      </c>
      <c r="J549" s="1831" t="s">
        <v>4777</v>
      </c>
    </row>
    <row r="550" spans="1:10" ht="15" hidden="1" x14ac:dyDescent="0.35">
      <c r="A550" s="1832">
        <v>21700</v>
      </c>
      <c r="B550" s="1837" t="s">
        <v>511</v>
      </c>
      <c r="C550" s="1837" t="s">
        <v>441</v>
      </c>
      <c r="D550" s="1837">
        <v>3496642777</v>
      </c>
      <c r="E550" s="1838">
        <v>45797</v>
      </c>
      <c r="F550" s="1838" t="s">
        <v>499</v>
      </c>
      <c r="G550" s="1837" t="s">
        <v>500</v>
      </c>
      <c r="H550" s="1837" t="s">
        <v>501</v>
      </c>
      <c r="I550" s="1831" t="s">
        <v>496</v>
      </c>
      <c r="J550" s="1831" t="s">
        <v>4777</v>
      </c>
    </row>
    <row r="551" spans="1:10" ht="15" hidden="1" x14ac:dyDescent="0.35">
      <c r="A551" s="1832">
        <v>22007</v>
      </c>
      <c r="B551" s="1837" t="s">
        <v>520</v>
      </c>
      <c r="C551" s="1837" t="s">
        <v>441</v>
      </c>
      <c r="D551" s="1837">
        <v>12978908769</v>
      </c>
      <c r="E551" s="1838">
        <v>45825</v>
      </c>
      <c r="F551" s="1838" t="s">
        <v>499</v>
      </c>
      <c r="G551" s="1837" t="s">
        <v>500</v>
      </c>
      <c r="H551" s="1837" t="s">
        <v>501</v>
      </c>
      <c r="I551" s="1831" t="s">
        <v>496</v>
      </c>
      <c r="J551" s="1831" t="s">
        <v>4777</v>
      </c>
    </row>
    <row r="552" spans="1:10" ht="15" hidden="1" x14ac:dyDescent="0.35">
      <c r="A552" s="139">
        <v>22399</v>
      </c>
      <c r="B552" s="138" t="s">
        <v>939</v>
      </c>
      <c r="C552" s="138" t="s">
        <v>578</v>
      </c>
      <c r="D552" s="138">
        <v>10668029714</v>
      </c>
      <c r="E552" s="140">
        <v>45846</v>
      </c>
      <c r="F552" s="140">
        <v>46083</v>
      </c>
      <c r="G552" s="138" t="s">
        <v>494</v>
      </c>
      <c r="H552" s="138" t="s">
        <v>495</v>
      </c>
      <c r="I552" t="s">
        <v>496</v>
      </c>
      <c r="J552"/>
    </row>
    <row r="553" spans="1:10" ht="15" hidden="1" x14ac:dyDescent="0.35">
      <c r="A553" s="1832">
        <v>22382</v>
      </c>
      <c r="B553" s="1837" t="s">
        <v>521</v>
      </c>
      <c r="C553" s="1837" t="s">
        <v>441</v>
      </c>
      <c r="D553" s="1837">
        <v>14451154766</v>
      </c>
      <c r="E553" s="1838">
        <v>45845</v>
      </c>
      <c r="F553" s="1838" t="s">
        <v>499</v>
      </c>
      <c r="G553" s="1837" t="s">
        <v>500</v>
      </c>
      <c r="H553" s="1837" t="s">
        <v>501</v>
      </c>
      <c r="I553" s="1831" t="s">
        <v>4776</v>
      </c>
      <c r="J553" s="1831" t="s">
        <v>4777</v>
      </c>
    </row>
    <row r="554" spans="1:10" ht="15" hidden="1" x14ac:dyDescent="0.35">
      <c r="A554" s="139">
        <v>21198</v>
      </c>
      <c r="B554" s="138" t="s">
        <v>941</v>
      </c>
      <c r="C554" s="138" t="s">
        <v>420</v>
      </c>
      <c r="D554" s="138">
        <v>14740528789</v>
      </c>
      <c r="E554" s="140">
        <v>45772</v>
      </c>
      <c r="F554" s="140">
        <v>45949</v>
      </c>
      <c r="G554" s="138" t="s">
        <v>494</v>
      </c>
      <c r="H554" s="138" t="s">
        <v>501</v>
      </c>
      <c r="I554" t="s">
        <v>496</v>
      </c>
      <c r="J554"/>
    </row>
    <row r="555" spans="1:10" ht="15" hidden="1" x14ac:dyDescent="0.35">
      <c r="A555" s="1832">
        <v>21299</v>
      </c>
      <c r="B555" s="1837" t="s">
        <v>556</v>
      </c>
      <c r="C555" s="1837" t="s">
        <v>441</v>
      </c>
      <c r="D555" s="1837">
        <v>17280046754</v>
      </c>
      <c r="E555" s="1838">
        <v>45779</v>
      </c>
      <c r="F555" s="1838" t="s">
        <v>499</v>
      </c>
      <c r="G555" s="1837" t="s">
        <v>500</v>
      </c>
      <c r="H555" s="1837" t="s">
        <v>501</v>
      </c>
      <c r="I555" s="1831" t="s">
        <v>4776</v>
      </c>
      <c r="J555" s="1831" t="s">
        <v>4777</v>
      </c>
    </row>
    <row r="556" spans="1:10" ht="15" hidden="1" x14ac:dyDescent="0.35">
      <c r="A556" s="139">
        <v>21104</v>
      </c>
      <c r="B556" s="138" t="s">
        <v>943</v>
      </c>
      <c r="C556" s="138" t="s">
        <v>445</v>
      </c>
      <c r="D556" s="138">
        <v>13143479779</v>
      </c>
      <c r="E556" s="140">
        <v>45764</v>
      </c>
      <c r="F556" s="140">
        <v>45796</v>
      </c>
      <c r="G556" s="138" t="s">
        <v>494</v>
      </c>
      <c r="H556" s="138" t="s">
        <v>495</v>
      </c>
      <c r="I556" t="s">
        <v>496</v>
      </c>
      <c r="J556"/>
    </row>
    <row r="557" spans="1:10" s="1829" customFormat="1" ht="15" hidden="1" x14ac:dyDescent="0.35">
      <c r="A557" s="1832">
        <v>18478</v>
      </c>
      <c r="B557" s="1837" t="s">
        <v>200</v>
      </c>
      <c r="C557" s="1837" t="s">
        <v>441</v>
      </c>
      <c r="D557" s="1837">
        <v>17175425732</v>
      </c>
      <c r="E557" s="1838">
        <v>45474</v>
      </c>
      <c r="F557" s="1838" t="s">
        <v>499</v>
      </c>
      <c r="G557" s="1837" t="s">
        <v>500</v>
      </c>
      <c r="H557" s="1837" t="s">
        <v>508</v>
      </c>
      <c r="I557" s="1831" t="s">
        <v>468</v>
      </c>
      <c r="J557" s="1831" t="s">
        <v>4777</v>
      </c>
    </row>
    <row r="558" spans="1:10" ht="15" hidden="1" x14ac:dyDescent="0.35">
      <c r="A558" s="1832">
        <v>21251</v>
      </c>
      <c r="B558" s="1837" t="s">
        <v>595</v>
      </c>
      <c r="C558" s="1837" t="s">
        <v>441</v>
      </c>
      <c r="D558" s="1837">
        <v>15127503794</v>
      </c>
      <c r="E558" s="1838">
        <v>45772</v>
      </c>
      <c r="F558" s="1838" t="s">
        <v>499</v>
      </c>
      <c r="G558" s="1837" t="s">
        <v>500</v>
      </c>
      <c r="H558" s="1837" t="s">
        <v>501</v>
      </c>
      <c r="I558" s="1831" t="s">
        <v>496</v>
      </c>
      <c r="J558" s="1831" t="s">
        <v>4777</v>
      </c>
    </row>
    <row r="559" spans="1:10" ht="15" hidden="1" x14ac:dyDescent="0.35">
      <c r="A559" s="139">
        <v>21894</v>
      </c>
      <c r="B559" s="138" t="s">
        <v>946</v>
      </c>
      <c r="C559" s="138" t="s">
        <v>407</v>
      </c>
      <c r="D559" s="138">
        <v>21871533716</v>
      </c>
      <c r="E559" s="140">
        <v>45818</v>
      </c>
      <c r="F559" s="140">
        <v>45950</v>
      </c>
      <c r="G559" s="138" t="s">
        <v>494</v>
      </c>
      <c r="H559" s="138" t="s">
        <v>495</v>
      </c>
      <c r="I559" t="s">
        <v>496</v>
      </c>
      <c r="J559"/>
    </row>
    <row r="560" spans="1:10" ht="15" hidden="1" x14ac:dyDescent="0.35">
      <c r="A560" s="139">
        <v>21325</v>
      </c>
      <c r="B560" s="138" t="s">
        <v>947</v>
      </c>
      <c r="C560" s="138" t="s">
        <v>416</v>
      </c>
      <c r="D560" s="138">
        <v>17849579763</v>
      </c>
      <c r="E560" s="140">
        <v>45779</v>
      </c>
      <c r="F560" s="140">
        <v>45973</v>
      </c>
      <c r="G560" s="138" t="s">
        <v>494</v>
      </c>
      <c r="H560" s="138" t="s">
        <v>501</v>
      </c>
      <c r="I560" t="s">
        <v>496</v>
      </c>
      <c r="J560"/>
    </row>
    <row r="561" spans="1:10" ht="15" hidden="1" x14ac:dyDescent="0.35">
      <c r="A561" s="1832">
        <v>21147</v>
      </c>
      <c r="B561" s="1837" t="s">
        <v>601</v>
      </c>
      <c r="C561" s="1837" t="s">
        <v>441</v>
      </c>
      <c r="D561" s="1837">
        <v>12529172790</v>
      </c>
      <c r="E561" s="1838">
        <v>45772</v>
      </c>
      <c r="F561" s="1838" t="s">
        <v>499</v>
      </c>
      <c r="G561" s="1837" t="s">
        <v>500</v>
      </c>
      <c r="H561" s="1837" t="s">
        <v>501</v>
      </c>
      <c r="I561" s="1831" t="s">
        <v>496</v>
      </c>
      <c r="J561" s="1831" t="s">
        <v>4777</v>
      </c>
    </row>
    <row r="562" spans="1:10" ht="15" hidden="1" x14ac:dyDescent="0.35">
      <c r="A562" s="139">
        <v>21238</v>
      </c>
      <c r="B562" s="138" t="s">
        <v>949</v>
      </c>
      <c r="C562" s="138" t="s">
        <v>408</v>
      </c>
      <c r="D562" s="138">
        <v>16376715710</v>
      </c>
      <c r="E562" s="140">
        <v>45772</v>
      </c>
      <c r="F562" s="140">
        <v>45842</v>
      </c>
      <c r="G562" s="138" t="s">
        <v>494</v>
      </c>
      <c r="H562" s="138" t="s">
        <v>495</v>
      </c>
      <c r="I562" t="s">
        <v>496</v>
      </c>
      <c r="J562"/>
    </row>
    <row r="563" spans="1:10" ht="15" hidden="1" x14ac:dyDescent="0.35">
      <c r="A563" s="1832">
        <v>21848</v>
      </c>
      <c r="B563" s="1837" t="s">
        <v>614</v>
      </c>
      <c r="C563" s="1837" t="s">
        <v>441</v>
      </c>
      <c r="D563" s="1837">
        <v>14677064776</v>
      </c>
      <c r="E563" s="1838">
        <v>45813</v>
      </c>
      <c r="F563" s="1838" t="s">
        <v>499</v>
      </c>
      <c r="G563" s="1837" t="s">
        <v>500</v>
      </c>
      <c r="H563" s="1837" t="s">
        <v>501</v>
      </c>
      <c r="I563" s="1831" t="s">
        <v>496</v>
      </c>
      <c r="J563" s="1831" t="s">
        <v>4777</v>
      </c>
    </row>
    <row r="564" spans="1:10" s="10" customFormat="1" ht="15" hidden="1" x14ac:dyDescent="0.35">
      <c r="A564" s="141">
        <v>21304</v>
      </c>
      <c r="B564" s="142" t="s">
        <v>343</v>
      </c>
      <c r="C564" s="142" t="s">
        <v>417</v>
      </c>
      <c r="D564" s="142">
        <v>17312610714</v>
      </c>
      <c r="E564" s="143">
        <v>45779</v>
      </c>
      <c r="F564" s="143" t="s">
        <v>499</v>
      </c>
      <c r="G564" s="142" t="s">
        <v>634</v>
      </c>
      <c r="H564" s="142" t="s">
        <v>502</v>
      </c>
      <c r="I564" s="10" t="s">
        <v>469</v>
      </c>
    </row>
    <row r="565" spans="1:10" ht="15" hidden="1" x14ac:dyDescent="0.35">
      <c r="A565" s="1832">
        <v>21766</v>
      </c>
      <c r="B565" s="1837" t="s">
        <v>632</v>
      </c>
      <c r="C565" s="1837" t="s">
        <v>441</v>
      </c>
      <c r="D565" s="1837">
        <v>20886726727</v>
      </c>
      <c r="E565" s="1838">
        <v>45810</v>
      </c>
      <c r="F565" s="1838" t="s">
        <v>499</v>
      </c>
      <c r="G565" s="1837" t="s">
        <v>500</v>
      </c>
      <c r="H565" s="1837" t="s">
        <v>501</v>
      </c>
      <c r="I565" s="1831" t="s">
        <v>496</v>
      </c>
      <c r="J565" s="1831" t="s">
        <v>4777</v>
      </c>
    </row>
    <row r="566" spans="1:10" ht="15" hidden="1" x14ac:dyDescent="0.35">
      <c r="A566" s="1832">
        <v>21375</v>
      </c>
      <c r="B566" s="1837" t="s">
        <v>639</v>
      </c>
      <c r="C566" s="1837" t="s">
        <v>441</v>
      </c>
      <c r="D566" s="1837">
        <v>17464071743</v>
      </c>
      <c r="E566" s="1838">
        <v>45782</v>
      </c>
      <c r="F566" s="1838" t="s">
        <v>499</v>
      </c>
      <c r="G566" s="1837" t="s">
        <v>500</v>
      </c>
      <c r="H566" s="1837" t="s">
        <v>501</v>
      </c>
      <c r="I566" s="1831" t="s">
        <v>496</v>
      </c>
      <c r="J566" s="1831" t="s">
        <v>4777</v>
      </c>
    </row>
    <row r="567" spans="1:10" ht="15" hidden="1" x14ac:dyDescent="0.35">
      <c r="A567" s="1832">
        <v>21765</v>
      </c>
      <c r="B567" s="1837" t="s">
        <v>646</v>
      </c>
      <c r="C567" s="1837" t="s">
        <v>441</v>
      </c>
      <c r="D567" s="1837">
        <v>17235737794</v>
      </c>
      <c r="E567" s="1838">
        <v>45810</v>
      </c>
      <c r="F567" s="1838" t="s">
        <v>499</v>
      </c>
      <c r="G567" s="1837" t="s">
        <v>500</v>
      </c>
      <c r="H567" s="1837" t="s">
        <v>501</v>
      </c>
      <c r="I567" s="1831" t="s">
        <v>496</v>
      </c>
      <c r="J567" s="1831" t="s">
        <v>4777</v>
      </c>
    </row>
    <row r="568" spans="1:10" ht="15" hidden="1" x14ac:dyDescent="0.35">
      <c r="A568" s="139">
        <v>21845</v>
      </c>
      <c r="B568" s="138" t="s">
        <v>954</v>
      </c>
      <c r="C568" s="138" t="s">
        <v>417</v>
      </c>
      <c r="D568" s="138">
        <v>18395555725</v>
      </c>
      <c r="E568" s="140">
        <v>45812</v>
      </c>
      <c r="F568" s="140">
        <v>46065</v>
      </c>
      <c r="G568" s="138" t="s">
        <v>494</v>
      </c>
      <c r="H568" s="138" t="s">
        <v>502</v>
      </c>
      <c r="I568"/>
      <c r="J568"/>
    </row>
    <row r="569" spans="1:10" ht="15" hidden="1" x14ac:dyDescent="0.35">
      <c r="A569" s="1832">
        <v>22474</v>
      </c>
      <c r="B569" s="1837" t="s">
        <v>673</v>
      </c>
      <c r="C569" s="1837" t="s">
        <v>441</v>
      </c>
      <c r="D569" s="1837">
        <v>17935655707</v>
      </c>
      <c r="E569" s="1838">
        <v>45849</v>
      </c>
      <c r="F569" s="1838" t="s">
        <v>499</v>
      </c>
      <c r="G569" s="1837" t="s">
        <v>500</v>
      </c>
      <c r="H569" s="1837" t="s">
        <v>501</v>
      </c>
      <c r="I569" s="1831" t="s">
        <v>4776</v>
      </c>
      <c r="J569" s="1831" t="s">
        <v>4777</v>
      </c>
    </row>
    <row r="570" spans="1:10" ht="15" hidden="1" x14ac:dyDescent="0.35">
      <c r="A570" s="139">
        <v>22002</v>
      </c>
      <c r="B570" s="138" t="s">
        <v>956</v>
      </c>
      <c r="C570" s="138" t="s">
        <v>433</v>
      </c>
      <c r="D570" s="138">
        <v>15794568712</v>
      </c>
      <c r="E570" s="140">
        <v>45825</v>
      </c>
      <c r="F570" s="140">
        <v>46059</v>
      </c>
      <c r="G570" s="138" t="s">
        <v>494</v>
      </c>
      <c r="H570" s="138" t="s">
        <v>502</v>
      </c>
      <c r="I570"/>
      <c r="J570"/>
    </row>
    <row r="571" spans="1:10" ht="15" hidden="1" x14ac:dyDescent="0.35">
      <c r="A571" s="139">
        <v>24050</v>
      </c>
      <c r="B571" s="138" t="s">
        <v>957</v>
      </c>
      <c r="C571" s="138" t="s">
        <v>958</v>
      </c>
      <c r="D571" s="138">
        <v>31891509829</v>
      </c>
      <c r="E571" s="140">
        <v>46042</v>
      </c>
      <c r="F571" s="140">
        <v>46083</v>
      </c>
      <c r="G571" s="138" t="s">
        <v>494</v>
      </c>
      <c r="H571" s="138" t="s">
        <v>495</v>
      </c>
      <c r="I571" t="s">
        <v>496</v>
      </c>
      <c r="J571"/>
    </row>
    <row r="572" spans="1:10" ht="15" hidden="1" x14ac:dyDescent="0.35">
      <c r="A572" s="1832">
        <v>22852</v>
      </c>
      <c r="B572" s="1837" t="s">
        <v>680</v>
      </c>
      <c r="C572" s="1837" t="s">
        <v>441</v>
      </c>
      <c r="D572" s="1837">
        <v>10127250735</v>
      </c>
      <c r="E572" s="1838">
        <v>45887</v>
      </c>
      <c r="F572" s="1838" t="s">
        <v>499</v>
      </c>
      <c r="G572" s="1837" t="s">
        <v>500</v>
      </c>
      <c r="H572" s="1837" t="s">
        <v>501</v>
      </c>
      <c r="I572" s="1831" t="s">
        <v>496</v>
      </c>
      <c r="J572" s="1831" t="s">
        <v>4777</v>
      </c>
    </row>
    <row r="573" spans="1:10" ht="15" hidden="1" x14ac:dyDescent="0.35">
      <c r="A573" s="1832">
        <v>21156</v>
      </c>
      <c r="B573" s="1837" t="s">
        <v>686</v>
      </c>
      <c r="C573" s="1837" t="s">
        <v>441</v>
      </c>
      <c r="D573" s="1837">
        <v>11330057724</v>
      </c>
      <c r="E573" s="1838">
        <v>45772</v>
      </c>
      <c r="F573" s="1838" t="s">
        <v>499</v>
      </c>
      <c r="G573" s="1837" t="s">
        <v>500</v>
      </c>
      <c r="H573" s="1837" t="s">
        <v>501</v>
      </c>
      <c r="I573" s="1831" t="s">
        <v>496</v>
      </c>
      <c r="J573" s="1831" t="s">
        <v>4777</v>
      </c>
    </row>
    <row r="574" spans="1:10" ht="15" hidden="1" x14ac:dyDescent="0.35">
      <c r="A574" s="1832">
        <v>22524</v>
      </c>
      <c r="B574" s="1837" t="s">
        <v>725</v>
      </c>
      <c r="C574" s="1837" t="s">
        <v>441</v>
      </c>
      <c r="D574" s="1837">
        <v>1838993851</v>
      </c>
      <c r="E574" s="1838">
        <v>45853</v>
      </c>
      <c r="F574" s="1838" t="s">
        <v>499</v>
      </c>
      <c r="G574" s="1837" t="s">
        <v>500</v>
      </c>
      <c r="H574" s="1837" t="s">
        <v>501</v>
      </c>
      <c r="I574" s="1831" t="s">
        <v>496</v>
      </c>
      <c r="J574" s="1831" t="s">
        <v>4777</v>
      </c>
    </row>
    <row r="575" spans="1:10" ht="15" hidden="1" x14ac:dyDescent="0.35">
      <c r="A575" s="1832">
        <v>21913</v>
      </c>
      <c r="B575" s="1837" t="s">
        <v>732</v>
      </c>
      <c r="C575" s="1837" t="s">
        <v>441</v>
      </c>
      <c r="D575" s="1837">
        <v>9003820740</v>
      </c>
      <c r="E575" s="1838">
        <v>45820</v>
      </c>
      <c r="F575" s="1838" t="s">
        <v>499</v>
      </c>
      <c r="G575" s="1837" t="s">
        <v>500</v>
      </c>
      <c r="H575" s="1837" t="s">
        <v>501</v>
      </c>
      <c r="I575" s="1831" t="s">
        <v>496</v>
      </c>
      <c r="J575" s="1831" t="s">
        <v>4777</v>
      </c>
    </row>
    <row r="576" spans="1:10" ht="15" hidden="1" x14ac:dyDescent="0.35">
      <c r="A576" s="1832">
        <v>22506</v>
      </c>
      <c r="B576" s="1837" t="s">
        <v>744</v>
      </c>
      <c r="C576" s="1837" t="s">
        <v>441</v>
      </c>
      <c r="D576" s="1837">
        <v>20557295785</v>
      </c>
      <c r="E576" s="1838">
        <v>45849</v>
      </c>
      <c r="F576" s="1838" t="s">
        <v>499</v>
      </c>
      <c r="G576" s="1837" t="s">
        <v>500</v>
      </c>
      <c r="H576" s="1837" t="s">
        <v>501</v>
      </c>
      <c r="I576" s="1831" t="s">
        <v>496</v>
      </c>
      <c r="J576" s="1831" t="s">
        <v>4777</v>
      </c>
    </row>
    <row r="577" spans="1:10" ht="15" hidden="1" x14ac:dyDescent="0.35">
      <c r="A577" s="1832">
        <v>22010</v>
      </c>
      <c r="B577" s="1837" t="s">
        <v>749</v>
      </c>
      <c r="C577" s="1837" t="s">
        <v>441</v>
      </c>
      <c r="D577" s="1837">
        <v>11155683706</v>
      </c>
      <c r="E577" s="1838">
        <v>45825</v>
      </c>
      <c r="F577" s="1838" t="s">
        <v>499</v>
      </c>
      <c r="G577" s="1837" t="s">
        <v>500</v>
      </c>
      <c r="H577" s="1837" t="s">
        <v>501</v>
      </c>
      <c r="I577" s="1831" t="s">
        <v>496</v>
      </c>
      <c r="J577" s="1831" t="s">
        <v>4777</v>
      </c>
    </row>
    <row r="578" spans="1:10" ht="15" hidden="1" x14ac:dyDescent="0.35">
      <c r="A578" s="139">
        <v>21796</v>
      </c>
      <c r="B578" s="138" t="s">
        <v>965</v>
      </c>
      <c r="C578" s="138" t="s">
        <v>428</v>
      </c>
      <c r="D578" s="138">
        <v>1942672535</v>
      </c>
      <c r="E578" s="140">
        <v>45810</v>
      </c>
      <c r="F578" s="140">
        <v>45916</v>
      </c>
      <c r="G578" s="138" t="s">
        <v>494</v>
      </c>
      <c r="H578" s="138" t="s">
        <v>502</v>
      </c>
      <c r="I578"/>
      <c r="J578"/>
    </row>
    <row r="579" spans="1:10" s="10" customFormat="1" ht="15" hidden="1" x14ac:dyDescent="0.35">
      <c r="A579" s="141">
        <v>21831</v>
      </c>
      <c r="B579" s="142" t="s">
        <v>966</v>
      </c>
      <c r="C579" s="142" t="s">
        <v>416</v>
      </c>
      <c r="D579" s="142">
        <v>88657523</v>
      </c>
      <c r="E579" s="143">
        <v>45810</v>
      </c>
      <c r="F579" s="143" t="s">
        <v>499</v>
      </c>
      <c r="G579" s="142" t="s">
        <v>634</v>
      </c>
      <c r="H579" s="142" t="s">
        <v>501</v>
      </c>
      <c r="I579" s="10" t="s">
        <v>496</v>
      </c>
    </row>
    <row r="580" spans="1:10" s="1829" customFormat="1" ht="15" hidden="1" x14ac:dyDescent="0.35">
      <c r="A580" s="1832">
        <v>17726</v>
      </c>
      <c r="B580" s="1837" t="s">
        <v>291</v>
      </c>
      <c r="C580" s="1837" t="s">
        <v>441</v>
      </c>
      <c r="D580" s="1837">
        <v>16535181707</v>
      </c>
      <c r="E580" s="1838">
        <v>45383</v>
      </c>
      <c r="F580" s="1838" t="s">
        <v>499</v>
      </c>
      <c r="G580" s="1837" t="s">
        <v>500</v>
      </c>
      <c r="H580" s="1837" t="s">
        <v>508</v>
      </c>
      <c r="I580" s="1831" t="s">
        <v>469</v>
      </c>
      <c r="J580" s="1831" t="s">
        <v>4777</v>
      </c>
    </row>
    <row r="581" spans="1:10" s="1829" customFormat="1" ht="15" hidden="1" x14ac:dyDescent="0.35">
      <c r="A581" s="1832">
        <v>21242</v>
      </c>
      <c r="B581" s="1837" t="s">
        <v>715</v>
      </c>
      <c r="C581" s="1837" t="s">
        <v>441</v>
      </c>
      <c r="D581" s="1837">
        <v>16767677701</v>
      </c>
      <c r="E581" s="1838">
        <v>45772</v>
      </c>
      <c r="F581" s="1838" t="s">
        <v>499</v>
      </c>
      <c r="G581" s="1837" t="s">
        <v>500</v>
      </c>
      <c r="H581" s="1837" t="s">
        <v>508</v>
      </c>
      <c r="I581" s="1831" t="s">
        <v>469</v>
      </c>
      <c r="J581" s="1831" t="s">
        <v>4777</v>
      </c>
    </row>
    <row r="582" spans="1:10" ht="15" hidden="1" x14ac:dyDescent="0.35">
      <c r="A582" s="1832">
        <v>22009</v>
      </c>
      <c r="B582" s="1837" t="s">
        <v>755</v>
      </c>
      <c r="C582" s="1837" t="s">
        <v>441</v>
      </c>
      <c r="D582" s="1837">
        <v>15467889729</v>
      </c>
      <c r="E582" s="1838">
        <v>45825</v>
      </c>
      <c r="F582" s="1838" t="s">
        <v>499</v>
      </c>
      <c r="G582" s="1837" t="s">
        <v>500</v>
      </c>
      <c r="H582" s="1837" t="s">
        <v>501</v>
      </c>
      <c r="I582" s="1831" t="s">
        <v>496</v>
      </c>
      <c r="J582" s="1831" t="s">
        <v>4777</v>
      </c>
    </row>
    <row r="583" spans="1:10" s="1829" customFormat="1" ht="15" hidden="1" x14ac:dyDescent="0.35">
      <c r="A583" s="1832">
        <v>21107</v>
      </c>
      <c r="B583" s="1837" t="s">
        <v>226</v>
      </c>
      <c r="C583" s="1837" t="s">
        <v>441</v>
      </c>
      <c r="D583" s="1837">
        <v>18768698798</v>
      </c>
      <c r="E583" s="1838">
        <v>45764</v>
      </c>
      <c r="F583" s="1838" t="s">
        <v>499</v>
      </c>
      <c r="G583" s="1837" t="s">
        <v>500</v>
      </c>
      <c r="H583" s="1837" t="s">
        <v>508</v>
      </c>
      <c r="I583" s="1831" t="s">
        <v>468</v>
      </c>
      <c r="J583" s="1831" t="s">
        <v>4777</v>
      </c>
    </row>
    <row r="584" spans="1:10" s="10" customFormat="1" ht="15" hidden="1" x14ac:dyDescent="0.35">
      <c r="A584" s="141">
        <v>21823</v>
      </c>
      <c r="B584" s="142" t="s">
        <v>968</v>
      </c>
      <c r="C584" s="142" t="s">
        <v>416</v>
      </c>
      <c r="D584" s="142">
        <v>19035355733</v>
      </c>
      <c r="E584" s="143">
        <v>45810</v>
      </c>
      <c r="F584" s="143" t="s">
        <v>499</v>
      </c>
      <c r="G584" s="142" t="s">
        <v>634</v>
      </c>
      <c r="H584" s="142" t="s">
        <v>501</v>
      </c>
      <c r="I584" s="10" t="s">
        <v>496</v>
      </c>
    </row>
    <row r="585" spans="1:10" ht="15" hidden="1" x14ac:dyDescent="0.35">
      <c r="A585" s="139">
        <v>22038</v>
      </c>
      <c r="B585" s="138" t="s">
        <v>969</v>
      </c>
      <c r="C585" s="138" t="s">
        <v>408</v>
      </c>
      <c r="D585" s="138">
        <v>17453026709</v>
      </c>
      <c r="E585" s="140">
        <v>45826</v>
      </c>
      <c r="F585" s="140">
        <v>46056</v>
      </c>
      <c r="G585" s="138" t="s">
        <v>494</v>
      </c>
      <c r="H585" s="138" t="s">
        <v>502</v>
      </c>
      <c r="I585"/>
      <c r="J585"/>
    </row>
    <row r="586" spans="1:10" s="1829" customFormat="1" ht="15" hidden="1" x14ac:dyDescent="0.35">
      <c r="A586" s="1832">
        <v>21225</v>
      </c>
      <c r="B586" s="1837" t="s">
        <v>296</v>
      </c>
      <c r="C586" s="1837" t="s">
        <v>441</v>
      </c>
      <c r="D586" s="1837">
        <v>1060162709</v>
      </c>
      <c r="E586" s="1838">
        <v>45772</v>
      </c>
      <c r="F586" s="1838" t="s">
        <v>499</v>
      </c>
      <c r="G586" s="1837" t="s">
        <v>500</v>
      </c>
      <c r="H586" s="1837" t="s">
        <v>508</v>
      </c>
      <c r="I586" s="1831" t="s">
        <v>469</v>
      </c>
      <c r="J586" s="1831" t="s">
        <v>4777</v>
      </c>
    </row>
    <row r="587" spans="1:10" ht="15" hidden="1" x14ac:dyDescent="0.35">
      <c r="A587" s="1832">
        <v>22615</v>
      </c>
      <c r="B587" s="1837" t="s">
        <v>780</v>
      </c>
      <c r="C587" s="1837" t="s">
        <v>441</v>
      </c>
      <c r="D587" s="1837">
        <v>16328172761</v>
      </c>
      <c r="E587" s="1838">
        <v>45859</v>
      </c>
      <c r="F587" s="1838" t="s">
        <v>499</v>
      </c>
      <c r="G587" s="1837" t="s">
        <v>500</v>
      </c>
      <c r="H587" s="1837" t="s">
        <v>501</v>
      </c>
      <c r="I587" s="1831" t="s">
        <v>496</v>
      </c>
      <c r="J587" s="1831" t="s">
        <v>4777</v>
      </c>
    </row>
    <row r="588" spans="1:10" s="1829" customFormat="1" ht="15" hidden="1" x14ac:dyDescent="0.35">
      <c r="A588" s="1832">
        <v>21230</v>
      </c>
      <c r="B588" s="1837" t="s">
        <v>360</v>
      </c>
      <c r="C588" s="1837" t="s">
        <v>441</v>
      </c>
      <c r="D588" s="1837">
        <v>18010182788</v>
      </c>
      <c r="E588" s="1838">
        <v>45772</v>
      </c>
      <c r="F588" s="1838" t="s">
        <v>499</v>
      </c>
      <c r="G588" s="1837" t="s">
        <v>500</v>
      </c>
      <c r="H588" s="1837" t="s">
        <v>508</v>
      </c>
      <c r="I588" s="1831" t="s">
        <v>359</v>
      </c>
      <c r="J588" s="1831" t="s">
        <v>4777</v>
      </c>
    </row>
    <row r="589" spans="1:10" ht="15" hidden="1" x14ac:dyDescent="0.35">
      <c r="A589" s="1832">
        <v>21896</v>
      </c>
      <c r="B589" s="1837" t="s">
        <v>829</v>
      </c>
      <c r="C589" s="1837" t="s">
        <v>441</v>
      </c>
      <c r="D589" s="1837">
        <v>21302486756</v>
      </c>
      <c r="E589" s="1838">
        <v>45818</v>
      </c>
      <c r="F589" s="1838" t="s">
        <v>499</v>
      </c>
      <c r="G589" s="1837" t="s">
        <v>500</v>
      </c>
      <c r="H589" s="1837" t="s">
        <v>501</v>
      </c>
      <c r="I589" s="1831" t="s">
        <v>4776</v>
      </c>
      <c r="J589" s="1831" t="s">
        <v>4777</v>
      </c>
    </row>
    <row r="590" spans="1:10" ht="15" hidden="1" x14ac:dyDescent="0.35">
      <c r="A590" s="1832">
        <v>24531</v>
      </c>
      <c r="B590" s="1837" t="s">
        <v>839</v>
      </c>
      <c r="C590" s="1837" t="s">
        <v>441</v>
      </c>
      <c r="D590" s="1837">
        <v>16610960771</v>
      </c>
      <c r="E590" s="1838">
        <v>46100</v>
      </c>
      <c r="F590" s="1838" t="s">
        <v>499</v>
      </c>
      <c r="G590" s="1837" t="s">
        <v>500</v>
      </c>
      <c r="H590" s="1837" t="s">
        <v>501</v>
      </c>
      <c r="I590" s="1831" t="s">
        <v>496</v>
      </c>
      <c r="J590" s="1831" t="s">
        <v>4777</v>
      </c>
    </row>
    <row r="591" spans="1:10" ht="15" hidden="1" x14ac:dyDescent="0.35">
      <c r="A591" s="1832">
        <v>21901</v>
      </c>
      <c r="B591" s="1837" t="s">
        <v>881</v>
      </c>
      <c r="C591" s="1837" t="s">
        <v>441</v>
      </c>
      <c r="D591" s="1837">
        <v>18215352782</v>
      </c>
      <c r="E591" s="1838">
        <v>45819</v>
      </c>
      <c r="F591" s="1838" t="s">
        <v>499</v>
      </c>
      <c r="G591" s="1837" t="s">
        <v>500</v>
      </c>
      <c r="H591" s="1837" t="s">
        <v>501</v>
      </c>
      <c r="I591" s="1831" t="s">
        <v>496</v>
      </c>
      <c r="J591" s="1831" t="s">
        <v>4777</v>
      </c>
    </row>
    <row r="592" spans="1:10" ht="15" hidden="1" x14ac:dyDescent="0.35">
      <c r="A592" s="139">
        <v>21712</v>
      </c>
      <c r="B592" s="138" t="s">
        <v>974</v>
      </c>
      <c r="C592" s="138" t="s">
        <v>445</v>
      </c>
      <c r="D592" s="138">
        <v>13274707724</v>
      </c>
      <c r="E592" s="140">
        <v>45799</v>
      </c>
      <c r="F592" s="140">
        <v>45967</v>
      </c>
      <c r="G592" s="138" t="s">
        <v>494</v>
      </c>
      <c r="H592" s="138" t="s">
        <v>502</v>
      </c>
      <c r="I592"/>
      <c r="J592"/>
    </row>
    <row r="593" spans="1:10" ht="15" hidden="1" x14ac:dyDescent="0.35">
      <c r="A593" s="1832">
        <v>21167</v>
      </c>
      <c r="B593" s="1837" t="s">
        <v>888</v>
      </c>
      <c r="C593" s="1837" t="s">
        <v>441</v>
      </c>
      <c r="D593" s="1837">
        <v>3937988793</v>
      </c>
      <c r="E593" s="1838">
        <v>45772</v>
      </c>
      <c r="F593" s="1838" t="s">
        <v>499</v>
      </c>
      <c r="G593" s="1837" t="s">
        <v>500</v>
      </c>
      <c r="H593" s="1837" t="s">
        <v>501</v>
      </c>
      <c r="I593" s="1831" t="s">
        <v>496</v>
      </c>
      <c r="J593" s="1831" t="s">
        <v>4777</v>
      </c>
    </row>
    <row r="594" spans="1:10" ht="15" hidden="1" x14ac:dyDescent="0.35">
      <c r="A594" s="139">
        <v>21258</v>
      </c>
      <c r="B594" s="138" t="s">
        <v>976</v>
      </c>
      <c r="C594" s="138" t="s">
        <v>443</v>
      </c>
      <c r="D594" s="138">
        <v>19216826711</v>
      </c>
      <c r="E594" s="140">
        <v>45772</v>
      </c>
      <c r="F594" s="140">
        <v>45903</v>
      </c>
      <c r="G594" s="138" t="s">
        <v>494</v>
      </c>
      <c r="H594" s="138" t="s">
        <v>502</v>
      </c>
      <c r="I594"/>
      <c r="J594"/>
    </row>
    <row r="595" spans="1:10" ht="15" hidden="1" x14ac:dyDescent="0.35">
      <c r="A595" s="1832">
        <v>21168</v>
      </c>
      <c r="B595" s="1837" t="s">
        <v>916</v>
      </c>
      <c r="C595" s="1837" t="s">
        <v>441</v>
      </c>
      <c r="D595" s="1837">
        <v>18973621700</v>
      </c>
      <c r="E595" s="1838">
        <v>45772</v>
      </c>
      <c r="F595" s="1838" t="s">
        <v>499</v>
      </c>
      <c r="G595" s="1837" t="s">
        <v>500</v>
      </c>
      <c r="H595" s="1837" t="s">
        <v>501</v>
      </c>
      <c r="I595" s="1831" t="s">
        <v>496</v>
      </c>
      <c r="J595" s="1831" t="s">
        <v>4777</v>
      </c>
    </row>
    <row r="596" spans="1:10" ht="15" hidden="1" x14ac:dyDescent="0.35">
      <c r="A596" s="139">
        <v>21080</v>
      </c>
      <c r="B596" s="138" t="s">
        <v>977</v>
      </c>
      <c r="C596" s="138" t="s">
        <v>420</v>
      </c>
      <c r="D596" s="138">
        <v>5202242727</v>
      </c>
      <c r="E596" s="140">
        <v>45764</v>
      </c>
      <c r="F596" s="140">
        <v>45889</v>
      </c>
      <c r="G596" s="138" t="s">
        <v>494</v>
      </c>
      <c r="H596" s="138" t="s">
        <v>501</v>
      </c>
      <c r="I596" t="s">
        <v>496</v>
      </c>
      <c r="J596"/>
    </row>
    <row r="597" spans="1:10" ht="15" hidden="1" x14ac:dyDescent="0.35">
      <c r="A597" s="1832">
        <v>21254</v>
      </c>
      <c r="B597" s="1837" t="s">
        <v>918</v>
      </c>
      <c r="C597" s="1837" t="s">
        <v>441</v>
      </c>
      <c r="D597" s="1837">
        <v>19267903756</v>
      </c>
      <c r="E597" s="1838">
        <v>45772</v>
      </c>
      <c r="F597" s="1838" t="s">
        <v>499</v>
      </c>
      <c r="G597" s="1837" t="s">
        <v>500</v>
      </c>
      <c r="H597" s="1837" t="s">
        <v>501</v>
      </c>
      <c r="I597" s="1831" t="s">
        <v>496</v>
      </c>
      <c r="J597" s="1831" t="s">
        <v>4777</v>
      </c>
    </row>
    <row r="598" spans="1:10" ht="15" hidden="1" x14ac:dyDescent="0.35">
      <c r="A598" s="139">
        <v>18898</v>
      </c>
      <c r="B598" s="138" t="s">
        <v>979</v>
      </c>
      <c r="C598" s="138" t="s">
        <v>434</v>
      </c>
      <c r="D598" s="138">
        <v>7976942778</v>
      </c>
      <c r="E598" s="140">
        <v>45541</v>
      </c>
      <c r="F598" s="140">
        <v>46066</v>
      </c>
      <c r="G598" s="138" t="s">
        <v>494</v>
      </c>
      <c r="H598" s="138" t="s">
        <v>502</v>
      </c>
      <c r="I598"/>
      <c r="J598"/>
    </row>
    <row r="599" spans="1:10" ht="15" hidden="1" x14ac:dyDescent="0.35">
      <c r="A599" s="1832">
        <v>21842</v>
      </c>
      <c r="B599" s="1837" t="s">
        <v>938</v>
      </c>
      <c r="C599" s="1837" t="s">
        <v>441</v>
      </c>
      <c r="D599" s="1837">
        <v>7348151744</v>
      </c>
      <c r="E599" s="1838">
        <v>45812</v>
      </c>
      <c r="F599" s="1838" t="s">
        <v>499</v>
      </c>
      <c r="G599" s="1837" t="s">
        <v>500</v>
      </c>
      <c r="H599" s="1837" t="s">
        <v>501</v>
      </c>
      <c r="I599" s="1831" t="s">
        <v>496</v>
      </c>
      <c r="J599" s="1831" t="s">
        <v>4777</v>
      </c>
    </row>
    <row r="600" spans="1:10" ht="15" hidden="1" x14ac:dyDescent="0.35">
      <c r="A600" s="1832">
        <v>21791</v>
      </c>
      <c r="B600" s="1837" t="s">
        <v>973</v>
      </c>
      <c r="C600" s="1837" t="s">
        <v>441</v>
      </c>
      <c r="D600" s="1837">
        <v>15157184760</v>
      </c>
      <c r="E600" s="1838">
        <v>45810</v>
      </c>
      <c r="F600" s="1838" t="s">
        <v>499</v>
      </c>
      <c r="G600" s="1837" t="s">
        <v>500</v>
      </c>
      <c r="H600" s="1837" t="s">
        <v>501</v>
      </c>
      <c r="I600" s="1831" t="s">
        <v>496</v>
      </c>
      <c r="J600" s="1831" t="s">
        <v>4777</v>
      </c>
    </row>
    <row r="601" spans="1:10" s="1829" customFormat="1" ht="15" hidden="1" x14ac:dyDescent="0.35">
      <c r="A601" s="1832">
        <v>21839</v>
      </c>
      <c r="B601" s="1837" t="s">
        <v>301</v>
      </c>
      <c r="C601" s="1837" t="s">
        <v>441</v>
      </c>
      <c r="D601" s="1837">
        <v>17112188717</v>
      </c>
      <c r="E601" s="1838">
        <v>45811</v>
      </c>
      <c r="F601" s="1838" t="s">
        <v>499</v>
      </c>
      <c r="G601" s="1837" t="s">
        <v>500</v>
      </c>
      <c r="H601" s="1837" t="s">
        <v>508</v>
      </c>
      <c r="I601" s="1831" t="s">
        <v>469</v>
      </c>
      <c r="J601" s="1831" t="s">
        <v>4777</v>
      </c>
    </row>
    <row r="602" spans="1:10" s="1829" customFormat="1" ht="15" hidden="1" x14ac:dyDescent="0.35">
      <c r="A602" s="1832">
        <v>21269</v>
      </c>
      <c r="B602" s="1837" t="s">
        <v>305</v>
      </c>
      <c r="C602" s="1837" t="s">
        <v>441</v>
      </c>
      <c r="D602" s="1837">
        <v>17959451761</v>
      </c>
      <c r="E602" s="1838">
        <v>45779</v>
      </c>
      <c r="F602" s="1838" t="s">
        <v>499</v>
      </c>
      <c r="G602" s="1837" t="s">
        <v>500</v>
      </c>
      <c r="H602" s="1837" t="s">
        <v>508</v>
      </c>
      <c r="I602" s="1831" t="s">
        <v>469</v>
      </c>
      <c r="J602" s="1831" t="s">
        <v>4777</v>
      </c>
    </row>
    <row r="603" spans="1:10" ht="15" hidden="1" x14ac:dyDescent="0.35">
      <c r="A603" s="1832">
        <v>21829</v>
      </c>
      <c r="B603" s="1837" t="s">
        <v>975</v>
      </c>
      <c r="C603" s="1837" t="s">
        <v>441</v>
      </c>
      <c r="D603" s="1837">
        <v>14460993775</v>
      </c>
      <c r="E603" s="1838">
        <v>45810</v>
      </c>
      <c r="F603" s="1838" t="s">
        <v>499</v>
      </c>
      <c r="G603" s="1837" t="s">
        <v>500</v>
      </c>
      <c r="H603" s="1837" t="s">
        <v>501</v>
      </c>
      <c r="I603" s="1831" t="s">
        <v>496</v>
      </c>
      <c r="J603" s="1831" t="s">
        <v>4777</v>
      </c>
    </row>
    <row r="604" spans="1:10" ht="15" hidden="1" x14ac:dyDescent="0.35">
      <c r="A604" s="139">
        <v>21794</v>
      </c>
      <c r="B604" s="138" t="s">
        <v>982</v>
      </c>
      <c r="C604" s="138" t="s">
        <v>456</v>
      </c>
      <c r="D604" s="138">
        <v>13062532769</v>
      </c>
      <c r="E604" s="140">
        <v>45810</v>
      </c>
      <c r="F604" s="140">
        <v>45870</v>
      </c>
      <c r="G604" s="138" t="s">
        <v>494</v>
      </c>
      <c r="H604" s="138" t="s">
        <v>495</v>
      </c>
      <c r="I604" t="s">
        <v>496</v>
      </c>
      <c r="J604"/>
    </row>
    <row r="605" spans="1:10" ht="15" hidden="1" x14ac:dyDescent="0.35">
      <c r="A605" s="1832">
        <v>21847</v>
      </c>
      <c r="B605" s="1837" t="s">
        <v>991</v>
      </c>
      <c r="C605" s="1837" t="s">
        <v>441</v>
      </c>
      <c r="D605" s="1837">
        <v>18777859707</v>
      </c>
      <c r="E605" s="1838">
        <v>45813</v>
      </c>
      <c r="F605" s="1838" t="s">
        <v>499</v>
      </c>
      <c r="G605" s="1837" t="s">
        <v>500</v>
      </c>
      <c r="H605" s="1837" t="s">
        <v>501</v>
      </c>
      <c r="I605" s="1831" t="s">
        <v>496</v>
      </c>
      <c r="J605" s="1831" t="s">
        <v>4777</v>
      </c>
    </row>
    <row r="606" spans="1:10" ht="15" hidden="1" x14ac:dyDescent="0.35">
      <c r="A606" s="139">
        <v>21921</v>
      </c>
      <c r="B606" s="138" t="s">
        <v>984</v>
      </c>
      <c r="C606" s="138" t="s">
        <v>417</v>
      </c>
      <c r="D606" s="138">
        <v>384877729</v>
      </c>
      <c r="E606" s="140">
        <v>45821</v>
      </c>
      <c r="F606" s="140">
        <v>45923</v>
      </c>
      <c r="G606" s="138" t="s">
        <v>494</v>
      </c>
      <c r="H606" s="138" t="s">
        <v>502</v>
      </c>
      <c r="I606"/>
      <c r="J606"/>
    </row>
    <row r="607" spans="1:10" ht="15" hidden="1" x14ac:dyDescent="0.35">
      <c r="A607" s="1832">
        <v>22823</v>
      </c>
      <c r="B607" s="1837" t="s">
        <v>1006</v>
      </c>
      <c r="C607" s="1837" t="s">
        <v>441</v>
      </c>
      <c r="D607" s="1837">
        <v>13173931718</v>
      </c>
      <c r="E607" s="1838">
        <v>45883</v>
      </c>
      <c r="F607" s="1838" t="s">
        <v>499</v>
      </c>
      <c r="G607" s="1837" t="s">
        <v>500</v>
      </c>
      <c r="H607" s="1837" t="s">
        <v>501</v>
      </c>
      <c r="I607" s="1831" t="s">
        <v>496</v>
      </c>
      <c r="J607" s="1831" t="s">
        <v>4777</v>
      </c>
    </row>
    <row r="608" spans="1:10" ht="15" hidden="1" x14ac:dyDescent="0.35">
      <c r="A608" s="139">
        <v>21701</v>
      </c>
      <c r="B608" s="138" t="s">
        <v>986</v>
      </c>
      <c r="C608" s="138" t="s">
        <v>416</v>
      </c>
      <c r="D608" s="138">
        <v>21729688705</v>
      </c>
      <c r="E608" s="140">
        <v>45797</v>
      </c>
      <c r="F608" s="140">
        <v>45842</v>
      </c>
      <c r="G608" s="138" t="s">
        <v>494</v>
      </c>
      <c r="H608" s="138" t="s">
        <v>501</v>
      </c>
      <c r="I608" t="s">
        <v>496</v>
      </c>
      <c r="J608"/>
    </row>
    <row r="609" spans="1:10" ht="15" hidden="1" x14ac:dyDescent="0.35">
      <c r="A609" s="1832">
        <v>21190</v>
      </c>
      <c r="B609" s="1837" t="s">
        <v>1025</v>
      </c>
      <c r="C609" s="1837" t="s">
        <v>441</v>
      </c>
      <c r="D609" s="1837">
        <v>14712778792</v>
      </c>
      <c r="E609" s="1838">
        <v>45772</v>
      </c>
      <c r="F609" s="1838" t="s">
        <v>499</v>
      </c>
      <c r="G609" s="1837" t="s">
        <v>500</v>
      </c>
      <c r="H609" s="1837" t="s">
        <v>501</v>
      </c>
      <c r="I609" s="1831" t="s">
        <v>496</v>
      </c>
      <c r="J609" s="1831" t="s">
        <v>4777</v>
      </c>
    </row>
    <row r="610" spans="1:10" ht="15" hidden="1" x14ac:dyDescent="0.35">
      <c r="A610" s="139">
        <v>22855</v>
      </c>
      <c r="B610" s="138" t="s">
        <v>988</v>
      </c>
      <c r="C610" s="138" t="s">
        <v>407</v>
      </c>
      <c r="D610" s="138">
        <v>14698066735</v>
      </c>
      <c r="E610" s="140">
        <v>45887</v>
      </c>
      <c r="F610" s="140">
        <v>45924</v>
      </c>
      <c r="G610" s="138" t="s">
        <v>494</v>
      </c>
      <c r="H610" s="138" t="s">
        <v>502</v>
      </c>
      <c r="I610"/>
      <c r="J610"/>
    </row>
    <row r="611" spans="1:10" ht="15" hidden="1" x14ac:dyDescent="0.35">
      <c r="A611" s="1832">
        <v>21315</v>
      </c>
      <c r="B611" s="1837" t="s">
        <v>894</v>
      </c>
      <c r="C611" s="1837" t="s">
        <v>606</v>
      </c>
      <c r="D611" s="1837">
        <v>4194825713</v>
      </c>
      <c r="E611" s="1838">
        <v>45779</v>
      </c>
      <c r="F611" s="1838" t="s">
        <v>499</v>
      </c>
      <c r="G611" s="1837" t="s">
        <v>500</v>
      </c>
      <c r="H611" s="1837" t="s">
        <v>495</v>
      </c>
      <c r="I611" s="1831" t="s">
        <v>496</v>
      </c>
      <c r="J611" s="1831" t="s">
        <v>382</v>
      </c>
    </row>
    <row r="612" spans="1:10" ht="15" hidden="1" x14ac:dyDescent="0.35">
      <c r="A612" s="1832">
        <v>22759</v>
      </c>
      <c r="B612" s="1837" t="s">
        <v>897</v>
      </c>
      <c r="C612" s="1837" t="s">
        <v>606</v>
      </c>
      <c r="D612" s="1837">
        <v>68353588749</v>
      </c>
      <c r="E612" s="1838">
        <v>45877</v>
      </c>
      <c r="F612" s="1838" t="s">
        <v>499</v>
      </c>
      <c r="G612" s="1837" t="s">
        <v>500</v>
      </c>
      <c r="H612" s="1837" t="s">
        <v>495</v>
      </c>
      <c r="I612" s="1831" t="s">
        <v>496</v>
      </c>
      <c r="J612" s="1831" t="s">
        <v>382</v>
      </c>
    </row>
    <row r="613" spans="1:10" ht="15" hidden="1" x14ac:dyDescent="0.35">
      <c r="A613" s="1832">
        <v>21309</v>
      </c>
      <c r="B613" s="1837" t="s">
        <v>901</v>
      </c>
      <c r="C613" s="1837" t="s">
        <v>606</v>
      </c>
      <c r="D613" s="1837">
        <v>50129007587</v>
      </c>
      <c r="E613" s="1838">
        <v>45779</v>
      </c>
      <c r="F613" s="1838" t="s">
        <v>499</v>
      </c>
      <c r="G613" s="1837" t="s">
        <v>500</v>
      </c>
      <c r="H613" s="1837" t="s">
        <v>495</v>
      </c>
      <c r="I613" s="1831" t="s">
        <v>496</v>
      </c>
      <c r="J613" s="1831" t="s">
        <v>382</v>
      </c>
    </row>
    <row r="614" spans="1:10" s="1829" customFormat="1" ht="15" hidden="1" x14ac:dyDescent="0.35">
      <c r="A614" s="1832">
        <v>21339</v>
      </c>
      <c r="B614" s="1837" t="s">
        <v>310</v>
      </c>
      <c r="C614" s="1837" t="s">
        <v>441</v>
      </c>
      <c r="D614" s="1837">
        <v>12506534792</v>
      </c>
      <c r="E614" s="1838">
        <v>45779</v>
      </c>
      <c r="F614" s="1838" t="s">
        <v>499</v>
      </c>
      <c r="G614" s="1837" t="s">
        <v>500</v>
      </c>
      <c r="H614" s="1837" t="s">
        <v>508</v>
      </c>
      <c r="I614" s="1831" t="s">
        <v>469</v>
      </c>
      <c r="J614" s="1831" t="s">
        <v>4777</v>
      </c>
    </row>
    <row r="615" spans="1:10" s="1829" customFormat="1" ht="15" hidden="1" x14ac:dyDescent="0.35">
      <c r="A615" s="1832">
        <v>18501</v>
      </c>
      <c r="B615" s="1837" t="s">
        <v>208</v>
      </c>
      <c r="C615" s="1837" t="s">
        <v>441</v>
      </c>
      <c r="D615" s="1837">
        <v>13551409781</v>
      </c>
      <c r="E615" s="1838">
        <v>45483</v>
      </c>
      <c r="F615" s="1838" t="s">
        <v>499</v>
      </c>
      <c r="G615" s="1837" t="s">
        <v>500</v>
      </c>
      <c r="H615" s="1837" t="s">
        <v>508</v>
      </c>
      <c r="I615" s="1831" t="s">
        <v>468</v>
      </c>
      <c r="J615" s="1831" t="s">
        <v>4777</v>
      </c>
    </row>
    <row r="616" spans="1:10" ht="15" hidden="1" x14ac:dyDescent="0.35">
      <c r="A616" s="1832">
        <v>23077</v>
      </c>
      <c r="B616" s="1837" t="s">
        <v>903</v>
      </c>
      <c r="C616" s="1837" t="s">
        <v>606</v>
      </c>
      <c r="D616" s="1837">
        <v>5476632778</v>
      </c>
      <c r="E616" s="1838">
        <v>45902</v>
      </c>
      <c r="F616" s="1838" t="s">
        <v>499</v>
      </c>
      <c r="G616" s="1837" t="s">
        <v>500</v>
      </c>
      <c r="H616" s="1837" t="s">
        <v>495</v>
      </c>
      <c r="I616" s="1831" t="s">
        <v>496</v>
      </c>
      <c r="J616" s="1831" t="s">
        <v>382</v>
      </c>
    </row>
    <row r="617" spans="1:10" ht="15" hidden="1" x14ac:dyDescent="0.35">
      <c r="A617" s="139">
        <v>22922</v>
      </c>
      <c r="B617" s="138" t="s">
        <v>993</v>
      </c>
      <c r="C617" s="138" t="s">
        <v>505</v>
      </c>
      <c r="D617" s="138">
        <v>17060606700</v>
      </c>
      <c r="E617" s="140">
        <v>45890</v>
      </c>
      <c r="F617" s="140">
        <v>46087</v>
      </c>
      <c r="G617" s="138" t="s">
        <v>494</v>
      </c>
      <c r="H617" s="138" t="s">
        <v>495</v>
      </c>
      <c r="I617" t="s">
        <v>496</v>
      </c>
      <c r="J617"/>
    </row>
    <row r="618" spans="1:10" ht="15" hidden="1" x14ac:dyDescent="0.35">
      <c r="A618" s="1832">
        <v>22668</v>
      </c>
      <c r="B618" s="1837" t="s">
        <v>952</v>
      </c>
      <c r="C618" s="1837" t="s">
        <v>606</v>
      </c>
      <c r="D618" s="1837">
        <v>7300221700</v>
      </c>
      <c r="E618" s="1838">
        <v>45859</v>
      </c>
      <c r="F618" s="1838" t="s">
        <v>499</v>
      </c>
      <c r="G618" s="1837" t="s">
        <v>500</v>
      </c>
      <c r="H618" s="1837" t="s">
        <v>495</v>
      </c>
      <c r="I618" s="1831" t="s">
        <v>496</v>
      </c>
      <c r="J618" s="1831" t="s">
        <v>382</v>
      </c>
    </row>
    <row r="619" spans="1:10" ht="15" hidden="1" x14ac:dyDescent="0.35">
      <c r="A619" s="1832">
        <v>21219</v>
      </c>
      <c r="B619" s="1837" t="s">
        <v>953</v>
      </c>
      <c r="C619" s="1837" t="s">
        <v>606</v>
      </c>
      <c r="D619" s="1837">
        <v>9885863710</v>
      </c>
      <c r="E619" s="1838">
        <v>45772</v>
      </c>
      <c r="F619" s="1838" t="s">
        <v>499</v>
      </c>
      <c r="G619" s="1837" t="s">
        <v>500</v>
      </c>
      <c r="H619" s="1837" t="s">
        <v>495</v>
      </c>
      <c r="I619" s="1831" t="s">
        <v>496</v>
      </c>
      <c r="J619" s="1831" t="s">
        <v>382</v>
      </c>
    </row>
    <row r="620" spans="1:10" ht="15" hidden="1" x14ac:dyDescent="0.35">
      <c r="A620" s="139">
        <v>21670</v>
      </c>
      <c r="B620" s="138" t="s">
        <v>995</v>
      </c>
      <c r="C620" s="138" t="s">
        <v>431</v>
      </c>
      <c r="D620" s="138">
        <v>16596898806</v>
      </c>
      <c r="E620" s="140">
        <v>45796</v>
      </c>
      <c r="F620" s="140">
        <v>45922</v>
      </c>
      <c r="G620" s="138" t="s">
        <v>494</v>
      </c>
      <c r="H620" s="138" t="s">
        <v>502</v>
      </c>
      <c r="I620"/>
      <c r="J620"/>
    </row>
    <row r="621" spans="1:10" s="1829" customFormat="1" ht="15" hidden="1" x14ac:dyDescent="0.35">
      <c r="A621" s="1832">
        <v>24245</v>
      </c>
      <c r="B621" s="1837" t="s">
        <v>204</v>
      </c>
      <c r="C621" s="1837" t="s">
        <v>441</v>
      </c>
      <c r="D621" s="1837">
        <v>17827587712</v>
      </c>
      <c r="E621" s="1838">
        <v>46084</v>
      </c>
      <c r="F621" s="1838" t="s">
        <v>499</v>
      </c>
      <c r="G621" s="1837" t="s">
        <v>500</v>
      </c>
      <c r="H621" s="1837" t="s">
        <v>508</v>
      </c>
      <c r="I621" s="1831" t="s">
        <v>468</v>
      </c>
      <c r="J621" s="1831" t="s">
        <v>4777</v>
      </c>
    </row>
    <row r="622" spans="1:10" ht="15" hidden="1" x14ac:dyDescent="0.35">
      <c r="A622" s="1832">
        <v>21281</v>
      </c>
      <c r="B622" s="1837" t="s">
        <v>955</v>
      </c>
      <c r="C622" s="1837" t="s">
        <v>606</v>
      </c>
      <c r="D622" s="1837">
        <v>1766633714</v>
      </c>
      <c r="E622" s="1838">
        <v>45779</v>
      </c>
      <c r="F622" s="1838" t="s">
        <v>499</v>
      </c>
      <c r="G622" s="1837" t="s">
        <v>500</v>
      </c>
      <c r="H622" s="1837" t="s">
        <v>495</v>
      </c>
      <c r="I622" s="1831" t="s">
        <v>496</v>
      </c>
      <c r="J622" s="1831" t="s">
        <v>382</v>
      </c>
    </row>
    <row r="623" spans="1:10" s="1829" customFormat="1" ht="15" hidden="1" x14ac:dyDescent="0.35">
      <c r="A623" s="1832">
        <v>21252</v>
      </c>
      <c r="B623" s="1837" t="s">
        <v>315</v>
      </c>
      <c r="C623" s="1837" t="s">
        <v>441</v>
      </c>
      <c r="D623" s="1837">
        <v>1748977741</v>
      </c>
      <c r="E623" s="1838">
        <v>45772</v>
      </c>
      <c r="F623" s="1838" t="s">
        <v>499</v>
      </c>
      <c r="G623" s="1837" t="s">
        <v>500</v>
      </c>
      <c r="H623" s="1837" t="s">
        <v>508</v>
      </c>
      <c r="I623" s="1831" t="s">
        <v>469</v>
      </c>
      <c r="J623" s="1831" t="s">
        <v>4777</v>
      </c>
    </row>
    <row r="624" spans="1:10" ht="15" hidden="1" x14ac:dyDescent="0.35">
      <c r="A624" s="139">
        <v>20456</v>
      </c>
      <c r="B624" s="138" t="s">
        <v>997</v>
      </c>
      <c r="C624" s="138" t="s">
        <v>449</v>
      </c>
      <c r="D624" s="138">
        <v>12316125760</v>
      </c>
      <c r="E624" s="140">
        <v>45729</v>
      </c>
      <c r="F624" s="140">
        <v>45789</v>
      </c>
      <c r="G624" s="138" t="s">
        <v>494</v>
      </c>
      <c r="H624" s="138" t="s">
        <v>502</v>
      </c>
      <c r="I624"/>
      <c r="J624"/>
    </row>
    <row r="625" spans="1:10" ht="15" hidden="1" x14ac:dyDescent="0.35">
      <c r="A625" s="139">
        <v>22722</v>
      </c>
      <c r="B625" s="138" t="s">
        <v>998</v>
      </c>
      <c r="C625" s="138" t="s">
        <v>409</v>
      </c>
      <c r="D625" s="138">
        <v>2145802703</v>
      </c>
      <c r="E625" s="140">
        <v>45874</v>
      </c>
      <c r="F625" s="140">
        <v>45916</v>
      </c>
      <c r="G625" s="138" t="s">
        <v>494</v>
      </c>
      <c r="H625" s="138" t="s">
        <v>495</v>
      </c>
      <c r="I625" t="s">
        <v>496</v>
      </c>
      <c r="J625"/>
    </row>
    <row r="626" spans="1:10" s="1829" customFormat="1" ht="15" hidden="1" x14ac:dyDescent="0.35">
      <c r="A626" s="1832">
        <v>21380</v>
      </c>
      <c r="B626" s="1837" t="s">
        <v>320</v>
      </c>
      <c r="C626" s="1837" t="s">
        <v>441</v>
      </c>
      <c r="D626" s="1837">
        <v>19485494769</v>
      </c>
      <c r="E626" s="1838">
        <v>45782</v>
      </c>
      <c r="F626" s="1838" t="s">
        <v>499</v>
      </c>
      <c r="G626" s="1837" t="s">
        <v>500</v>
      </c>
      <c r="H626" s="1837" t="s">
        <v>508</v>
      </c>
      <c r="I626" s="1831" t="s">
        <v>469</v>
      </c>
      <c r="J626" s="1831" t="s">
        <v>4777</v>
      </c>
    </row>
    <row r="627" spans="1:10" s="1829" customFormat="1" ht="15" x14ac:dyDescent="0.35">
      <c r="A627" s="1832">
        <v>21249</v>
      </c>
      <c r="B627" s="1837" t="s">
        <v>326</v>
      </c>
      <c r="C627" s="1837" t="s">
        <v>441</v>
      </c>
      <c r="D627" s="1837">
        <v>13285500794</v>
      </c>
      <c r="E627" s="1838">
        <v>45772</v>
      </c>
      <c r="F627" s="1838" t="s">
        <v>499</v>
      </c>
      <c r="G627" s="1837" t="s">
        <v>500</v>
      </c>
      <c r="H627" s="1837" t="s">
        <v>508</v>
      </c>
      <c r="I627" s="1831" t="s">
        <v>469</v>
      </c>
      <c r="J627" s="1831" t="s">
        <v>4777</v>
      </c>
    </row>
    <row r="628" spans="1:10" ht="15" hidden="1" x14ac:dyDescent="0.35">
      <c r="A628" s="1832">
        <v>21323</v>
      </c>
      <c r="B628" s="1837" t="s">
        <v>960</v>
      </c>
      <c r="C628" s="1837" t="s">
        <v>606</v>
      </c>
      <c r="D628" s="1837">
        <v>76086542368</v>
      </c>
      <c r="E628" s="1838">
        <v>45779</v>
      </c>
      <c r="F628" s="1838" t="s">
        <v>499</v>
      </c>
      <c r="G628" s="1837" t="s">
        <v>500</v>
      </c>
      <c r="H628" s="1837" t="s">
        <v>495</v>
      </c>
      <c r="I628" s="1831" t="s">
        <v>496</v>
      </c>
      <c r="J628" s="1831" t="s">
        <v>382</v>
      </c>
    </row>
    <row r="629" spans="1:10" ht="15" hidden="1" x14ac:dyDescent="0.35">
      <c r="A629" s="1832">
        <v>21292</v>
      </c>
      <c r="B629" s="1837" t="s">
        <v>962</v>
      </c>
      <c r="C629" s="1837" t="s">
        <v>443</v>
      </c>
      <c r="D629" s="1837">
        <v>9244493730</v>
      </c>
      <c r="E629" s="1838">
        <v>45779</v>
      </c>
      <c r="F629" s="1838" t="s">
        <v>499</v>
      </c>
      <c r="G629" s="1837" t="s">
        <v>500</v>
      </c>
      <c r="H629" s="1837" t="s">
        <v>495</v>
      </c>
      <c r="I629" s="1831" t="s">
        <v>496</v>
      </c>
      <c r="J629" s="1831" t="s">
        <v>382</v>
      </c>
    </row>
    <row r="630" spans="1:10" s="1829" customFormat="1" ht="15" hidden="1" x14ac:dyDescent="0.35">
      <c r="A630" s="1832">
        <v>21207</v>
      </c>
      <c r="B630" s="1837" t="s">
        <v>362</v>
      </c>
      <c r="C630" s="1837" t="s">
        <v>441</v>
      </c>
      <c r="D630" s="1837">
        <v>14383956718</v>
      </c>
      <c r="E630" s="1838">
        <v>45772</v>
      </c>
      <c r="F630" s="1838" t="s">
        <v>499</v>
      </c>
      <c r="G630" s="1837" t="s">
        <v>500</v>
      </c>
      <c r="H630" s="1837" t="s">
        <v>508</v>
      </c>
      <c r="I630" s="1831" t="s">
        <v>359</v>
      </c>
      <c r="J630" s="1831" t="s">
        <v>4777</v>
      </c>
    </row>
    <row r="631" spans="1:10" ht="15" hidden="1" x14ac:dyDescent="0.35">
      <c r="A631" s="1832">
        <v>22847</v>
      </c>
      <c r="B631" s="1837" t="s">
        <v>963</v>
      </c>
      <c r="C631" s="1837" t="s">
        <v>443</v>
      </c>
      <c r="D631" s="1837">
        <v>15867971740</v>
      </c>
      <c r="E631" s="1838">
        <v>45887</v>
      </c>
      <c r="F631" s="1838" t="s">
        <v>499</v>
      </c>
      <c r="G631" s="1837" t="s">
        <v>500</v>
      </c>
      <c r="H631" s="1837" t="s">
        <v>495</v>
      </c>
      <c r="I631" s="1831" t="s">
        <v>496</v>
      </c>
      <c r="J631" s="1831" t="s">
        <v>382</v>
      </c>
    </row>
    <row r="632" spans="1:10" ht="15" hidden="1" x14ac:dyDescent="0.35">
      <c r="A632" s="1832">
        <v>22711</v>
      </c>
      <c r="B632" s="1837" t="s">
        <v>964</v>
      </c>
      <c r="C632" s="1837" t="s">
        <v>443</v>
      </c>
      <c r="D632" s="1837">
        <v>16585230752</v>
      </c>
      <c r="E632" s="1838">
        <v>45873</v>
      </c>
      <c r="F632" s="1838" t="s">
        <v>499</v>
      </c>
      <c r="G632" s="1837" t="s">
        <v>500</v>
      </c>
      <c r="H632" s="1837" t="s">
        <v>495</v>
      </c>
      <c r="I632" s="1831" t="s">
        <v>496</v>
      </c>
      <c r="J632" s="1831" t="s">
        <v>382</v>
      </c>
    </row>
    <row r="633" spans="1:10" ht="15" hidden="1" x14ac:dyDescent="0.35">
      <c r="A633" s="1832">
        <v>21319</v>
      </c>
      <c r="B633" s="1837" t="s">
        <v>983</v>
      </c>
      <c r="C633" s="1837" t="s">
        <v>443</v>
      </c>
      <c r="D633" s="1837">
        <v>11128377799</v>
      </c>
      <c r="E633" s="1838">
        <v>45779</v>
      </c>
      <c r="F633" s="1838" t="s">
        <v>499</v>
      </c>
      <c r="G633" s="1837" t="s">
        <v>500</v>
      </c>
      <c r="H633" s="1837" t="s">
        <v>495</v>
      </c>
      <c r="I633" s="1831" t="s">
        <v>496</v>
      </c>
      <c r="J633" s="1831" t="s">
        <v>382</v>
      </c>
    </row>
    <row r="634" spans="1:10" ht="15" hidden="1" x14ac:dyDescent="0.35">
      <c r="A634" s="1832">
        <v>24229</v>
      </c>
      <c r="B634" s="1837" t="s">
        <v>990</v>
      </c>
      <c r="C634" s="1837" t="s">
        <v>443</v>
      </c>
      <c r="D634" s="1837">
        <v>14298673707</v>
      </c>
      <c r="E634" s="1838">
        <v>46084</v>
      </c>
      <c r="F634" s="1838" t="s">
        <v>499</v>
      </c>
      <c r="G634" s="1837" t="s">
        <v>500</v>
      </c>
      <c r="H634" s="1837" t="s">
        <v>495</v>
      </c>
      <c r="I634" s="1831" t="s">
        <v>496</v>
      </c>
      <c r="J634" s="1831" t="s">
        <v>382</v>
      </c>
    </row>
    <row r="635" spans="1:10" ht="15" hidden="1" x14ac:dyDescent="0.35">
      <c r="A635" s="1832">
        <v>21735</v>
      </c>
      <c r="B635" s="1837" t="s">
        <v>992</v>
      </c>
      <c r="C635" s="1837" t="s">
        <v>443</v>
      </c>
      <c r="D635" s="1837">
        <v>7975069779</v>
      </c>
      <c r="E635" s="1838">
        <v>45810</v>
      </c>
      <c r="F635" s="1838" t="s">
        <v>499</v>
      </c>
      <c r="G635" s="1837" t="s">
        <v>500</v>
      </c>
      <c r="H635" s="1837" t="s">
        <v>495</v>
      </c>
      <c r="I635" s="1831" t="s">
        <v>496</v>
      </c>
      <c r="J635" s="1831" t="s">
        <v>382</v>
      </c>
    </row>
    <row r="636" spans="1:10" ht="15" hidden="1" x14ac:dyDescent="0.35">
      <c r="A636" s="1832">
        <v>21804</v>
      </c>
      <c r="B636" s="1837" t="s">
        <v>996</v>
      </c>
      <c r="C636" s="1837" t="s">
        <v>443</v>
      </c>
      <c r="D636" s="1837">
        <v>15997349748</v>
      </c>
      <c r="E636" s="1838">
        <v>45810</v>
      </c>
      <c r="F636" s="1838" t="s">
        <v>499</v>
      </c>
      <c r="G636" s="1837" t="s">
        <v>500</v>
      </c>
      <c r="H636" s="1837" t="s">
        <v>495</v>
      </c>
      <c r="I636" s="1831" t="s">
        <v>496</v>
      </c>
      <c r="J636" s="1831" t="s">
        <v>382</v>
      </c>
    </row>
    <row r="637" spans="1:10" ht="15" hidden="1" x14ac:dyDescent="0.35">
      <c r="A637" s="1832">
        <v>21337</v>
      </c>
      <c r="B637" s="1837" t="s">
        <v>1000</v>
      </c>
      <c r="C637" s="1837" t="s">
        <v>443</v>
      </c>
      <c r="D637" s="1837">
        <v>14778240731</v>
      </c>
      <c r="E637" s="1838">
        <v>45779</v>
      </c>
      <c r="F637" s="1838" t="s">
        <v>499</v>
      </c>
      <c r="G637" s="1837" t="s">
        <v>500</v>
      </c>
      <c r="H637" s="1837" t="s">
        <v>495</v>
      </c>
      <c r="I637" s="1831" t="s">
        <v>496</v>
      </c>
      <c r="J637" s="1831" t="s">
        <v>382</v>
      </c>
    </row>
    <row r="638" spans="1:10" ht="15" hidden="1" x14ac:dyDescent="0.35">
      <c r="A638" s="1832">
        <v>24133</v>
      </c>
      <c r="B638" s="1837" t="s">
        <v>1004</v>
      </c>
      <c r="C638" s="1837" t="s">
        <v>443</v>
      </c>
      <c r="D638" s="1837">
        <v>6225574751</v>
      </c>
      <c r="E638" s="1838">
        <v>46059</v>
      </c>
      <c r="F638" s="1838" t="s">
        <v>499</v>
      </c>
      <c r="G638" s="1837" t="s">
        <v>500</v>
      </c>
      <c r="H638" s="1837" t="s">
        <v>495</v>
      </c>
      <c r="I638" s="1831" t="s">
        <v>496</v>
      </c>
      <c r="J638" s="1831" t="s">
        <v>382</v>
      </c>
    </row>
    <row r="639" spans="1:10" ht="15" hidden="1" x14ac:dyDescent="0.35">
      <c r="A639" s="139">
        <v>21239</v>
      </c>
      <c r="B639" s="138" t="s">
        <v>1008</v>
      </c>
      <c r="C639" s="138" t="s">
        <v>406</v>
      </c>
      <c r="D639" s="138">
        <v>11891967789</v>
      </c>
      <c r="E639" s="140">
        <v>45772</v>
      </c>
      <c r="F639" s="140">
        <v>45873</v>
      </c>
      <c r="G639" s="138" t="s">
        <v>494</v>
      </c>
      <c r="H639" s="138" t="s">
        <v>502</v>
      </c>
      <c r="I639"/>
      <c r="J639"/>
    </row>
    <row r="640" spans="1:10" ht="15" hidden="1" x14ac:dyDescent="0.35">
      <c r="A640" s="139">
        <v>22763</v>
      </c>
      <c r="B640" s="138" t="s">
        <v>1009</v>
      </c>
      <c r="C640" s="138" t="s">
        <v>625</v>
      </c>
      <c r="D640" s="138">
        <v>13476582701</v>
      </c>
      <c r="E640" s="140">
        <v>45877</v>
      </c>
      <c r="F640" s="140">
        <v>46002</v>
      </c>
      <c r="G640" s="138" t="s">
        <v>494</v>
      </c>
      <c r="H640" s="138" t="s">
        <v>495</v>
      </c>
      <c r="I640" t="s">
        <v>496</v>
      </c>
      <c r="J640"/>
    </row>
    <row r="641" spans="1:10" ht="15" hidden="1" x14ac:dyDescent="0.35">
      <c r="A641" s="1832">
        <v>24829</v>
      </c>
      <c r="B641" s="1837" t="s">
        <v>1011</v>
      </c>
      <c r="C641" s="1837" t="s">
        <v>444</v>
      </c>
      <c r="D641" s="1837">
        <v>318606569</v>
      </c>
      <c r="E641" s="1838">
        <v>46146</v>
      </c>
      <c r="F641" s="1838" t="s">
        <v>499</v>
      </c>
      <c r="G641" s="1837" t="s">
        <v>500</v>
      </c>
      <c r="H641" s="1837" t="s">
        <v>495</v>
      </c>
      <c r="I641" s="1831" t="s">
        <v>496</v>
      </c>
      <c r="J641" s="1831" t="s">
        <v>382</v>
      </c>
    </row>
    <row r="642" spans="1:10" ht="15" hidden="1" x14ac:dyDescent="0.35">
      <c r="A642" s="1832">
        <v>24115</v>
      </c>
      <c r="B642" s="1837" t="s">
        <v>1020</v>
      </c>
      <c r="C642" s="1837" t="s">
        <v>444</v>
      </c>
      <c r="D642" s="1837">
        <v>12195285796</v>
      </c>
      <c r="E642" s="1838">
        <v>46057</v>
      </c>
      <c r="F642" s="1838" t="s">
        <v>499</v>
      </c>
      <c r="G642" s="1837" t="s">
        <v>500</v>
      </c>
      <c r="H642" s="1837" t="s">
        <v>495</v>
      </c>
      <c r="I642" s="1831" t="s">
        <v>496</v>
      </c>
      <c r="J642" s="1831" t="s">
        <v>382</v>
      </c>
    </row>
    <row r="643" spans="1:10" ht="15" hidden="1" x14ac:dyDescent="0.35">
      <c r="A643" s="1832">
        <v>24135</v>
      </c>
      <c r="B643" s="1837" t="s">
        <v>1021</v>
      </c>
      <c r="C643" s="1837" t="s">
        <v>444</v>
      </c>
      <c r="D643" s="1837">
        <v>9687927747</v>
      </c>
      <c r="E643" s="1838">
        <v>46059</v>
      </c>
      <c r="F643" s="1838" t="s">
        <v>499</v>
      </c>
      <c r="G643" s="1837" t="s">
        <v>500</v>
      </c>
      <c r="H643" s="1837" t="s">
        <v>495</v>
      </c>
      <c r="I643" s="1831" t="s">
        <v>496</v>
      </c>
      <c r="J643" s="1831" t="s">
        <v>382</v>
      </c>
    </row>
    <row r="644" spans="1:10" ht="15" hidden="1" x14ac:dyDescent="0.35">
      <c r="A644" s="1832">
        <v>24079</v>
      </c>
      <c r="B644" s="1837" t="s">
        <v>1026</v>
      </c>
      <c r="C644" s="1837" t="s">
        <v>444</v>
      </c>
      <c r="D644" s="1837">
        <v>13636285777</v>
      </c>
      <c r="E644" s="1838">
        <v>46055</v>
      </c>
      <c r="F644" s="1838" t="s">
        <v>499</v>
      </c>
      <c r="G644" s="1837" t="s">
        <v>500</v>
      </c>
      <c r="H644" s="1837" t="s">
        <v>495</v>
      </c>
      <c r="I644" s="1831" t="s">
        <v>496</v>
      </c>
      <c r="J644" s="1831" t="s">
        <v>382</v>
      </c>
    </row>
    <row r="645" spans="1:10" ht="15" hidden="1" x14ac:dyDescent="0.35">
      <c r="A645" s="139">
        <v>23244</v>
      </c>
      <c r="B645" s="138" t="s">
        <v>1014</v>
      </c>
      <c r="C645" s="138" t="s">
        <v>427</v>
      </c>
      <c r="D645" s="138">
        <v>7666146701</v>
      </c>
      <c r="E645" s="140">
        <v>45912</v>
      </c>
      <c r="F645" s="140">
        <v>46001</v>
      </c>
      <c r="G645" s="138" t="s">
        <v>494</v>
      </c>
      <c r="H645" s="138" t="s">
        <v>495</v>
      </c>
      <c r="I645" t="s">
        <v>496</v>
      </c>
      <c r="J645"/>
    </row>
    <row r="646" spans="1:10" ht="15" hidden="1" x14ac:dyDescent="0.35">
      <c r="A646" s="1832">
        <v>21313</v>
      </c>
      <c r="B646" s="1837" t="s">
        <v>1052</v>
      </c>
      <c r="C646" s="1837" t="s">
        <v>444</v>
      </c>
      <c r="D646" s="1837">
        <v>12593849770</v>
      </c>
      <c r="E646" s="1838">
        <v>45779</v>
      </c>
      <c r="F646" s="1838" t="s">
        <v>499</v>
      </c>
      <c r="G646" s="1837" t="s">
        <v>500</v>
      </c>
      <c r="H646" s="1837" t="s">
        <v>495</v>
      </c>
      <c r="I646" s="1831" t="s">
        <v>496</v>
      </c>
      <c r="J646" s="1831" t="s">
        <v>382</v>
      </c>
    </row>
    <row r="647" spans="1:10" s="1829" customFormat="1" ht="15" hidden="1" x14ac:dyDescent="0.35">
      <c r="A647" s="1832">
        <v>21892</v>
      </c>
      <c r="B647" s="1837" t="s">
        <v>180</v>
      </c>
      <c r="C647" s="1837" t="s">
        <v>442</v>
      </c>
      <c r="D647" s="1837">
        <v>9709000667</v>
      </c>
      <c r="E647" s="1838">
        <v>45818</v>
      </c>
      <c r="F647" s="1838" t="s">
        <v>499</v>
      </c>
      <c r="G647" s="1837" t="s">
        <v>500</v>
      </c>
      <c r="H647" s="1837" t="s">
        <v>502</v>
      </c>
      <c r="I647" s="1831" t="s">
        <v>469</v>
      </c>
      <c r="J647" s="1831" t="s">
        <v>382</v>
      </c>
    </row>
    <row r="648" spans="1:10" ht="15" hidden="1" x14ac:dyDescent="0.35">
      <c r="A648" s="1832">
        <v>22503</v>
      </c>
      <c r="B648" s="1837" t="s">
        <v>1054</v>
      </c>
      <c r="C648" s="1837" t="s">
        <v>444</v>
      </c>
      <c r="D648" s="1837">
        <v>2947789423</v>
      </c>
      <c r="E648" s="1838">
        <v>45849</v>
      </c>
      <c r="F648" s="1838" t="s">
        <v>499</v>
      </c>
      <c r="G648" s="1837" t="s">
        <v>500</v>
      </c>
      <c r="H648" s="1837" t="s">
        <v>495</v>
      </c>
      <c r="I648" s="1831" t="s">
        <v>496</v>
      </c>
      <c r="J648" s="1831" t="s">
        <v>382</v>
      </c>
    </row>
    <row r="649" spans="1:10" s="1829" customFormat="1" ht="15" hidden="1" x14ac:dyDescent="0.35">
      <c r="A649" s="1832">
        <v>22921</v>
      </c>
      <c r="B649" s="1837" t="s">
        <v>229</v>
      </c>
      <c r="C649" s="1837" t="s">
        <v>443</v>
      </c>
      <c r="D649" s="1837">
        <v>15952558771</v>
      </c>
      <c r="E649" s="1838">
        <v>45890</v>
      </c>
      <c r="F649" s="1838" t="s">
        <v>499</v>
      </c>
      <c r="G649" s="1837" t="s">
        <v>500</v>
      </c>
      <c r="H649" s="1837" t="s">
        <v>502</v>
      </c>
      <c r="I649" s="1831" t="s">
        <v>468</v>
      </c>
      <c r="J649" s="1831" t="s">
        <v>382</v>
      </c>
    </row>
    <row r="650" spans="1:10" s="1829" customFormat="1" ht="15" hidden="1" x14ac:dyDescent="0.35">
      <c r="A650" s="1832">
        <v>20850</v>
      </c>
      <c r="B650" s="1837" t="s">
        <v>221</v>
      </c>
      <c r="C650" s="1837" t="s">
        <v>444</v>
      </c>
      <c r="D650" s="1837">
        <v>16491607712</v>
      </c>
      <c r="E650" s="1838">
        <v>45761</v>
      </c>
      <c r="F650" s="1838" t="s">
        <v>499</v>
      </c>
      <c r="G650" s="1837" t="s">
        <v>500</v>
      </c>
      <c r="H650" s="1837" t="s">
        <v>502</v>
      </c>
      <c r="I650" s="1831" t="s">
        <v>468</v>
      </c>
      <c r="J650" s="1831" t="s">
        <v>382</v>
      </c>
    </row>
    <row r="651" spans="1:10" s="1829" customFormat="1" ht="15" hidden="1" x14ac:dyDescent="0.35">
      <c r="A651" s="1832">
        <v>21270</v>
      </c>
      <c r="B651" s="1837" t="s">
        <v>307</v>
      </c>
      <c r="C651" s="1837" t="s">
        <v>444</v>
      </c>
      <c r="D651" s="1837">
        <v>97414220753</v>
      </c>
      <c r="E651" s="1838">
        <v>45779</v>
      </c>
      <c r="F651" s="1838" t="s">
        <v>499</v>
      </c>
      <c r="G651" s="1837" t="s">
        <v>500</v>
      </c>
      <c r="H651" s="1837" t="s">
        <v>502</v>
      </c>
      <c r="I651" s="1831" t="s">
        <v>469</v>
      </c>
      <c r="J651" s="1831" t="s">
        <v>382</v>
      </c>
    </row>
    <row r="652" spans="1:10" s="1829" customFormat="1" ht="15" hidden="1" x14ac:dyDescent="0.35">
      <c r="A652" s="1832">
        <v>24009</v>
      </c>
      <c r="B652" s="1837" t="s">
        <v>94</v>
      </c>
      <c r="C652" s="1837" t="s">
        <v>445</v>
      </c>
      <c r="D652" s="1837">
        <v>8066172761</v>
      </c>
      <c r="E652" s="1838">
        <v>46029</v>
      </c>
      <c r="F652" s="1838" t="s">
        <v>499</v>
      </c>
      <c r="G652" s="1837" t="s">
        <v>500</v>
      </c>
      <c r="H652" s="1837" t="s">
        <v>502</v>
      </c>
      <c r="I652" s="1831" t="s">
        <v>469</v>
      </c>
      <c r="J652" s="1831" t="s">
        <v>377</v>
      </c>
    </row>
    <row r="653" spans="1:10" s="1829" customFormat="1" ht="15" hidden="1" x14ac:dyDescent="0.35">
      <c r="A653" s="1832">
        <v>21056</v>
      </c>
      <c r="B653" s="1837" t="s">
        <v>84</v>
      </c>
      <c r="C653" s="1837" t="s">
        <v>445</v>
      </c>
      <c r="D653" s="1837">
        <v>18554285719</v>
      </c>
      <c r="E653" s="1838">
        <v>45763</v>
      </c>
      <c r="F653" s="1838" t="s">
        <v>499</v>
      </c>
      <c r="G653" s="1837" t="s">
        <v>525</v>
      </c>
      <c r="H653" s="1837" t="s">
        <v>502</v>
      </c>
      <c r="I653" s="1831" t="s">
        <v>468</v>
      </c>
      <c r="J653" s="1831" t="s">
        <v>377</v>
      </c>
    </row>
    <row r="654" spans="1:10" s="1829" customFormat="1" ht="15" hidden="1" x14ac:dyDescent="0.35">
      <c r="A654" s="1832">
        <v>22501</v>
      </c>
      <c r="B654" s="1837" t="s">
        <v>890</v>
      </c>
      <c r="C654" s="1837" t="s">
        <v>446</v>
      </c>
      <c r="D654" s="1837">
        <v>5689870714</v>
      </c>
      <c r="E654" s="1838">
        <v>45849</v>
      </c>
      <c r="F654" s="1838" t="s">
        <v>499</v>
      </c>
      <c r="G654" s="1837" t="s">
        <v>500</v>
      </c>
      <c r="H654" s="1837" t="s">
        <v>502</v>
      </c>
      <c r="I654" s="1831" t="s">
        <v>468</v>
      </c>
      <c r="J654" s="1831" t="s">
        <v>5451</v>
      </c>
    </row>
    <row r="655" spans="1:10" ht="15" hidden="1" x14ac:dyDescent="0.35">
      <c r="A655" s="1832">
        <v>22406</v>
      </c>
      <c r="B655" s="1837" t="s">
        <v>576</v>
      </c>
      <c r="C655" s="1837" t="s">
        <v>445</v>
      </c>
      <c r="D655" s="1837">
        <v>5648146442</v>
      </c>
      <c r="E655" s="1838">
        <v>45846</v>
      </c>
      <c r="F655" s="1838" t="s">
        <v>499</v>
      </c>
      <c r="G655" s="1837" t="s">
        <v>500</v>
      </c>
      <c r="H655" s="1837" t="s">
        <v>495</v>
      </c>
      <c r="I655" s="1831" t="s">
        <v>496</v>
      </c>
      <c r="J655" s="1831" t="s">
        <v>377</v>
      </c>
    </row>
    <row r="656" spans="1:10" s="1829" customFormat="1" ht="15" hidden="1" x14ac:dyDescent="0.35">
      <c r="A656" s="1832">
        <v>21659</v>
      </c>
      <c r="B656" s="1837" t="s">
        <v>257</v>
      </c>
      <c r="C656" s="1837" t="s">
        <v>447</v>
      </c>
      <c r="D656" s="1837">
        <v>13934355722</v>
      </c>
      <c r="E656" s="1838">
        <v>45793</v>
      </c>
      <c r="F656" s="1838" t="s">
        <v>499</v>
      </c>
      <c r="G656" s="1837" t="s">
        <v>500</v>
      </c>
      <c r="H656" s="1837" t="s">
        <v>508</v>
      </c>
      <c r="I656" s="1832" t="s">
        <v>469</v>
      </c>
      <c r="J656" s="1831" t="s">
        <v>4777</v>
      </c>
    </row>
    <row r="657" spans="1:10" ht="15" hidden="1" x14ac:dyDescent="0.35">
      <c r="A657" s="1832">
        <v>21227</v>
      </c>
      <c r="B657" s="1837" t="s">
        <v>779</v>
      </c>
      <c r="C657" s="1837" t="s">
        <v>445</v>
      </c>
      <c r="D657" s="1837">
        <v>13148525744</v>
      </c>
      <c r="E657" s="1838">
        <v>45772</v>
      </c>
      <c r="F657" s="1838" t="s">
        <v>499</v>
      </c>
      <c r="G657" s="1837" t="s">
        <v>500</v>
      </c>
      <c r="H657" s="1837" t="s">
        <v>495</v>
      </c>
      <c r="I657" s="1831" t="s">
        <v>496</v>
      </c>
      <c r="J657" s="1831" t="s">
        <v>377</v>
      </c>
    </row>
    <row r="658" spans="1:10" s="1829" customFormat="1" ht="15" hidden="1" x14ac:dyDescent="0.35">
      <c r="A658" s="1832">
        <v>17745</v>
      </c>
      <c r="B658" s="1837" t="s">
        <v>157</v>
      </c>
      <c r="C658" s="1837" t="s">
        <v>447</v>
      </c>
      <c r="D658" s="1837">
        <v>16632631754</v>
      </c>
      <c r="E658" s="1838">
        <v>45383</v>
      </c>
      <c r="F658" s="1838" t="s">
        <v>499</v>
      </c>
      <c r="G658" s="1837" t="s">
        <v>500</v>
      </c>
      <c r="H658" s="1837" t="s">
        <v>508</v>
      </c>
      <c r="I658" s="1832" t="s">
        <v>468</v>
      </c>
      <c r="J658" s="1831" t="s">
        <v>4777</v>
      </c>
    </row>
    <row r="659" spans="1:10" ht="15" hidden="1" x14ac:dyDescent="0.35">
      <c r="A659" s="1832">
        <v>19565</v>
      </c>
      <c r="B659" s="1837" t="s">
        <v>178</v>
      </c>
      <c r="C659" s="1837" t="s">
        <v>445</v>
      </c>
      <c r="D659" s="1837">
        <v>3268834280</v>
      </c>
      <c r="E659" s="1838">
        <v>45644</v>
      </c>
      <c r="F659" s="1838" t="s">
        <v>499</v>
      </c>
      <c r="G659" s="1837" t="s">
        <v>500</v>
      </c>
      <c r="H659" s="1837" t="s">
        <v>495</v>
      </c>
      <c r="I659" s="1831" t="s">
        <v>496</v>
      </c>
      <c r="J659" s="1831" t="s">
        <v>377</v>
      </c>
    </row>
    <row r="660" spans="1:10" ht="15" hidden="1" x14ac:dyDescent="0.35">
      <c r="A660" s="1832">
        <v>21102</v>
      </c>
      <c r="B660" s="1837" t="s">
        <v>847</v>
      </c>
      <c r="C660" s="1837" t="s">
        <v>445</v>
      </c>
      <c r="D660" s="1837">
        <v>13145431722</v>
      </c>
      <c r="E660" s="1838">
        <v>45764</v>
      </c>
      <c r="F660" s="1838" t="s">
        <v>499</v>
      </c>
      <c r="G660" s="1837" t="s">
        <v>500</v>
      </c>
      <c r="H660" s="1837" t="s">
        <v>495</v>
      </c>
      <c r="I660" s="1831" t="s">
        <v>496</v>
      </c>
      <c r="J660" s="1831" t="s">
        <v>377</v>
      </c>
    </row>
    <row r="661" spans="1:10" ht="15" hidden="1" x14ac:dyDescent="0.35">
      <c r="A661" s="1832">
        <v>21293</v>
      </c>
      <c r="B661" s="1837" t="s">
        <v>1005</v>
      </c>
      <c r="C661" s="1837" t="s">
        <v>445</v>
      </c>
      <c r="D661" s="1837">
        <v>8556179770</v>
      </c>
      <c r="E661" s="1838">
        <v>45779</v>
      </c>
      <c r="F661" s="1838" t="s">
        <v>499</v>
      </c>
      <c r="G661" s="1837" t="s">
        <v>500</v>
      </c>
      <c r="H661" s="1837" t="s">
        <v>495</v>
      </c>
      <c r="I661" s="1831" t="s">
        <v>496</v>
      </c>
      <c r="J661" s="1831" t="s">
        <v>377</v>
      </c>
    </row>
    <row r="662" spans="1:10" ht="15" hidden="1" x14ac:dyDescent="0.35">
      <c r="A662" s="1832">
        <v>21390</v>
      </c>
      <c r="B662" s="1837" t="s">
        <v>887</v>
      </c>
      <c r="C662" s="1837" t="s">
        <v>447</v>
      </c>
      <c r="D662" s="1837">
        <v>13383643751</v>
      </c>
      <c r="E662" s="1838">
        <v>45782</v>
      </c>
      <c r="F662" s="1838" t="s">
        <v>499</v>
      </c>
      <c r="G662" s="1837" t="s">
        <v>500</v>
      </c>
      <c r="H662" s="1837" t="s">
        <v>501</v>
      </c>
      <c r="I662" s="1831" t="s">
        <v>496</v>
      </c>
      <c r="J662" s="1831" t="s">
        <v>4777</v>
      </c>
    </row>
    <row r="663" spans="1:10" ht="15" hidden="1" x14ac:dyDescent="0.35">
      <c r="A663" s="139">
        <v>21294</v>
      </c>
      <c r="B663" s="138" t="s">
        <v>1023</v>
      </c>
      <c r="C663" s="138" t="s">
        <v>455</v>
      </c>
      <c r="D663" s="138">
        <v>6647661530</v>
      </c>
      <c r="E663" s="140">
        <v>45779</v>
      </c>
      <c r="F663" s="140">
        <v>45923</v>
      </c>
      <c r="G663" s="138" t="s">
        <v>494</v>
      </c>
      <c r="H663" s="138" t="s">
        <v>502</v>
      </c>
      <c r="I663"/>
      <c r="J663"/>
    </row>
    <row r="664" spans="1:10" ht="15" hidden="1" x14ac:dyDescent="0.35">
      <c r="A664" s="1832">
        <v>21276</v>
      </c>
      <c r="B664" s="1837" t="s">
        <v>1019</v>
      </c>
      <c r="C664" s="1837" t="s">
        <v>448</v>
      </c>
      <c r="D664" s="1837">
        <v>11632490765</v>
      </c>
      <c r="E664" s="1838">
        <v>45779</v>
      </c>
      <c r="F664" s="1838" t="s">
        <v>499</v>
      </c>
      <c r="G664" s="1837" t="s">
        <v>500</v>
      </c>
      <c r="H664" s="1837" t="s">
        <v>495</v>
      </c>
      <c r="I664" s="1831" t="s">
        <v>496</v>
      </c>
      <c r="J664" s="1831" t="s">
        <v>156</v>
      </c>
    </row>
    <row r="665" spans="1:10" s="1829" customFormat="1" ht="15" hidden="1" x14ac:dyDescent="0.35">
      <c r="A665" s="1832">
        <v>22020</v>
      </c>
      <c r="B665" s="1837" t="s">
        <v>255</v>
      </c>
      <c r="C665" s="1837" t="s">
        <v>448</v>
      </c>
      <c r="D665" s="1837">
        <v>14333258707</v>
      </c>
      <c r="E665" s="1838">
        <v>45826</v>
      </c>
      <c r="F665" s="1838" t="s">
        <v>499</v>
      </c>
      <c r="G665" s="1837" t="s">
        <v>500</v>
      </c>
      <c r="H665" s="1837" t="s">
        <v>502</v>
      </c>
      <c r="I665" s="1831" t="s">
        <v>469</v>
      </c>
      <c r="J665" s="1831" t="s">
        <v>156</v>
      </c>
    </row>
    <row r="666" spans="1:10" ht="15" hidden="1" x14ac:dyDescent="0.35">
      <c r="A666" s="1832">
        <v>21221</v>
      </c>
      <c r="B666" s="1837" t="s">
        <v>663</v>
      </c>
      <c r="C666" s="1837" t="s">
        <v>450</v>
      </c>
      <c r="D666" s="1837">
        <v>13107217778</v>
      </c>
      <c r="E666" s="1838">
        <v>45772</v>
      </c>
      <c r="F666" s="1838" t="s">
        <v>499</v>
      </c>
      <c r="G666" s="1837" t="s">
        <v>500</v>
      </c>
      <c r="H666" s="1837" t="s">
        <v>501</v>
      </c>
      <c r="I666" s="1831" t="s">
        <v>496</v>
      </c>
      <c r="J666" s="1831" t="s">
        <v>5453</v>
      </c>
    </row>
    <row r="667" spans="1:10" ht="15" hidden="1" x14ac:dyDescent="0.35">
      <c r="A667" s="1832">
        <v>24412</v>
      </c>
      <c r="B667" s="1837" t="s">
        <v>547</v>
      </c>
      <c r="C667" s="1837" t="s">
        <v>451</v>
      </c>
      <c r="D667" s="1837">
        <v>11207342742</v>
      </c>
      <c r="E667" s="1838">
        <v>46099</v>
      </c>
      <c r="F667" s="1838" t="s">
        <v>499</v>
      </c>
      <c r="G667" s="1837" t="s">
        <v>500</v>
      </c>
      <c r="H667" s="1837" t="s">
        <v>495</v>
      </c>
      <c r="I667" s="1831" t="s">
        <v>496</v>
      </c>
      <c r="J667" s="1831" t="s">
        <v>382</v>
      </c>
    </row>
    <row r="668" spans="1:10" ht="15" hidden="1" x14ac:dyDescent="0.35">
      <c r="A668" s="139">
        <v>21734</v>
      </c>
      <c r="B668" s="138" t="s">
        <v>1027</v>
      </c>
      <c r="C668" s="138" t="s">
        <v>439</v>
      </c>
      <c r="D668" s="138">
        <v>14430081760</v>
      </c>
      <c r="E668" s="140">
        <v>45810</v>
      </c>
      <c r="F668" s="140">
        <v>45889</v>
      </c>
      <c r="G668" s="138" t="s">
        <v>494</v>
      </c>
      <c r="H668" s="138" t="s">
        <v>495</v>
      </c>
      <c r="I668" t="s">
        <v>496</v>
      </c>
      <c r="J668"/>
    </row>
    <row r="669" spans="1:10" ht="15" hidden="1" x14ac:dyDescent="0.35">
      <c r="A669" s="1832">
        <v>21143</v>
      </c>
      <c r="B669" s="1837" t="s">
        <v>256</v>
      </c>
      <c r="C669" s="1837" t="s">
        <v>451</v>
      </c>
      <c r="D669" s="1837">
        <v>10074138758</v>
      </c>
      <c r="E669" s="1838">
        <v>45772</v>
      </c>
      <c r="F669" s="1838" t="s">
        <v>499</v>
      </c>
      <c r="G669" s="1837" t="s">
        <v>500</v>
      </c>
      <c r="H669" s="1837" t="s">
        <v>495</v>
      </c>
      <c r="I669" s="1831" t="s">
        <v>496</v>
      </c>
      <c r="J669" s="1831" t="s">
        <v>382</v>
      </c>
    </row>
    <row r="670" spans="1:10" s="1829" customFormat="1" ht="15" hidden="1" x14ac:dyDescent="0.35">
      <c r="A670" s="1832">
        <v>21320</v>
      </c>
      <c r="B670" s="1837" t="s">
        <v>148</v>
      </c>
      <c r="C670" s="1837" t="s">
        <v>448</v>
      </c>
      <c r="D670" s="1837">
        <v>13278648781</v>
      </c>
      <c r="E670" s="1838">
        <v>45779</v>
      </c>
      <c r="F670" s="1838" t="s">
        <v>499</v>
      </c>
      <c r="G670" s="1837" t="s">
        <v>500</v>
      </c>
      <c r="H670" s="1837" t="s">
        <v>502</v>
      </c>
      <c r="I670" s="1831" t="s">
        <v>468</v>
      </c>
      <c r="J670" s="1831" t="s">
        <v>156</v>
      </c>
    </row>
    <row r="671" spans="1:10" ht="15" hidden="1" x14ac:dyDescent="0.35">
      <c r="A671" s="1832">
        <v>23137</v>
      </c>
      <c r="B671" s="1837" t="s">
        <v>843</v>
      </c>
      <c r="C671" s="1837" t="s">
        <v>451</v>
      </c>
      <c r="D671" s="1837">
        <v>12676046705</v>
      </c>
      <c r="E671" s="1838">
        <v>45903</v>
      </c>
      <c r="F671" s="1838" t="s">
        <v>499</v>
      </c>
      <c r="G671" s="1837" t="s">
        <v>500</v>
      </c>
      <c r="H671" s="1837" t="s">
        <v>495</v>
      </c>
      <c r="I671" s="1831" t="s">
        <v>496</v>
      </c>
      <c r="J671" s="1831" t="s">
        <v>382</v>
      </c>
    </row>
    <row r="672" spans="1:10" s="1829" customFormat="1" ht="15" hidden="1" x14ac:dyDescent="0.35">
      <c r="A672" s="1832">
        <v>21581</v>
      </c>
      <c r="B672" s="1837" t="s">
        <v>158</v>
      </c>
      <c r="C672" s="1837" t="s">
        <v>450</v>
      </c>
      <c r="D672" s="1837">
        <v>13174200717</v>
      </c>
      <c r="E672" s="1838">
        <v>45790</v>
      </c>
      <c r="F672" s="1838" t="s">
        <v>499</v>
      </c>
      <c r="G672" s="1837" t="s">
        <v>500</v>
      </c>
      <c r="H672" s="1837" t="s">
        <v>508</v>
      </c>
      <c r="I672" s="1831" t="s">
        <v>469</v>
      </c>
      <c r="J672" s="1831" t="s">
        <v>5453</v>
      </c>
    </row>
    <row r="673" spans="1:10" s="1829" customFormat="1" ht="15" hidden="1" x14ac:dyDescent="0.35">
      <c r="A673" s="1832">
        <v>20486</v>
      </c>
      <c r="B673" s="1837" t="s">
        <v>152</v>
      </c>
      <c r="C673" s="1837" t="s">
        <v>451</v>
      </c>
      <c r="D673" s="1837">
        <v>4965319648</v>
      </c>
      <c r="E673" s="1838">
        <v>45735</v>
      </c>
      <c r="F673" s="1838" t="s">
        <v>499</v>
      </c>
      <c r="G673" s="1837" t="s">
        <v>500</v>
      </c>
      <c r="H673" s="1837" t="s">
        <v>502</v>
      </c>
      <c r="I673" s="1831" t="s">
        <v>468</v>
      </c>
      <c r="J673" s="1831" t="s">
        <v>382</v>
      </c>
    </row>
    <row r="674" spans="1:10" s="1829" customFormat="1" ht="15" hidden="1" x14ac:dyDescent="0.35">
      <c r="A674" s="1832">
        <v>17717</v>
      </c>
      <c r="B674" s="1837" t="s">
        <v>254</v>
      </c>
      <c r="C674" s="1837" t="s">
        <v>452</v>
      </c>
      <c r="D674" s="1837">
        <v>12162049775</v>
      </c>
      <c r="E674" s="1838">
        <v>45377</v>
      </c>
      <c r="F674" s="1838" t="s">
        <v>499</v>
      </c>
      <c r="G674" s="1837" t="s">
        <v>500</v>
      </c>
      <c r="H674" s="1837" t="s">
        <v>502</v>
      </c>
      <c r="I674" s="1831" t="s">
        <v>469</v>
      </c>
      <c r="J674" s="1831" t="s">
        <v>156</v>
      </c>
    </row>
    <row r="675" spans="1:10" ht="15" hidden="1" x14ac:dyDescent="0.35">
      <c r="A675" s="1832">
        <v>11536</v>
      </c>
      <c r="B675" s="1837" t="s">
        <v>593</v>
      </c>
      <c r="C675" s="1837" t="s">
        <v>453</v>
      </c>
      <c r="D675" s="1837">
        <v>11944732705</v>
      </c>
      <c r="E675" s="1838">
        <v>44258</v>
      </c>
      <c r="F675" s="1838" t="s">
        <v>499</v>
      </c>
      <c r="G675" s="1837" t="s">
        <v>500</v>
      </c>
      <c r="H675" s="1837" t="s">
        <v>495</v>
      </c>
      <c r="I675" s="1831" t="s">
        <v>496</v>
      </c>
      <c r="J675" s="1831" t="s">
        <v>377</v>
      </c>
    </row>
    <row r="676" spans="1:10" ht="15" hidden="1" x14ac:dyDescent="0.35">
      <c r="A676" s="139">
        <v>21016</v>
      </c>
      <c r="B676" s="138" t="s">
        <v>1031</v>
      </c>
      <c r="C676" s="138" t="s">
        <v>424</v>
      </c>
      <c r="D676" s="138">
        <v>5279988502</v>
      </c>
      <c r="E676" s="140">
        <v>45762</v>
      </c>
      <c r="F676" s="140">
        <v>45903</v>
      </c>
      <c r="G676" s="138" t="s">
        <v>494</v>
      </c>
      <c r="H676" s="138" t="s">
        <v>502</v>
      </c>
      <c r="I676"/>
      <c r="J676"/>
    </row>
    <row r="677" spans="1:10" ht="15" hidden="1" x14ac:dyDescent="0.35">
      <c r="A677" s="1832">
        <v>19338</v>
      </c>
      <c r="B677" s="1837" t="s">
        <v>1049</v>
      </c>
      <c r="C677" s="1837" t="s">
        <v>1050</v>
      </c>
      <c r="D677" s="1837">
        <v>15803212750</v>
      </c>
      <c r="E677" s="1838">
        <v>45628</v>
      </c>
      <c r="F677" s="1838" t="s">
        <v>499</v>
      </c>
      <c r="G677" s="1837" t="s">
        <v>525</v>
      </c>
      <c r="H677" s="1837" t="s">
        <v>495</v>
      </c>
      <c r="I677" s="1831" t="s">
        <v>496</v>
      </c>
      <c r="J677" s="1831" t="s">
        <v>5450</v>
      </c>
    </row>
    <row r="678" spans="1:10" ht="15" hidden="1" x14ac:dyDescent="0.35">
      <c r="A678" s="1832">
        <v>22522</v>
      </c>
      <c r="B678" s="1837" t="s">
        <v>515</v>
      </c>
      <c r="C678" s="1837" t="s">
        <v>516</v>
      </c>
      <c r="D678" s="1837">
        <v>9499675728</v>
      </c>
      <c r="E678" s="1838">
        <v>45852</v>
      </c>
      <c r="F678" s="1838" t="s">
        <v>499</v>
      </c>
      <c r="G678" s="1837" t="s">
        <v>500</v>
      </c>
      <c r="H678" s="1837" t="s">
        <v>495</v>
      </c>
      <c r="I678" s="1831" t="s">
        <v>496</v>
      </c>
      <c r="J678" s="1831" t="s">
        <v>4777</v>
      </c>
    </row>
    <row r="679" spans="1:10" s="1829" customFormat="1" ht="15" hidden="1" x14ac:dyDescent="0.35">
      <c r="A679" s="1832">
        <v>23886</v>
      </c>
      <c r="B679" s="1837" t="s">
        <v>78</v>
      </c>
      <c r="C679" s="1837" t="s">
        <v>453</v>
      </c>
      <c r="D679" s="1837">
        <v>13876076773</v>
      </c>
      <c r="E679" s="1838">
        <v>45993</v>
      </c>
      <c r="F679" s="1838" t="s">
        <v>499</v>
      </c>
      <c r="G679" s="1837" t="s">
        <v>500</v>
      </c>
      <c r="H679" s="1837" t="s">
        <v>502</v>
      </c>
      <c r="I679" s="1831" t="s">
        <v>468</v>
      </c>
      <c r="J679" s="1831" t="s">
        <v>377</v>
      </c>
    </row>
    <row r="680" spans="1:10" ht="15" hidden="1" x14ac:dyDescent="0.35">
      <c r="A680" s="139">
        <v>21211</v>
      </c>
      <c r="B680" s="138" t="s">
        <v>1034</v>
      </c>
      <c r="C680" s="138" t="s">
        <v>420</v>
      </c>
      <c r="D680" s="138">
        <v>17295675760</v>
      </c>
      <c r="E680" s="140">
        <v>45772</v>
      </c>
      <c r="F680" s="140">
        <v>45847</v>
      </c>
      <c r="G680" s="138" t="s">
        <v>494</v>
      </c>
      <c r="H680" s="138" t="s">
        <v>501</v>
      </c>
      <c r="I680" t="s">
        <v>496</v>
      </c>
      <c r="J680"/>
    </row>
    <row r="681" spans="1:10" s="1829" customFormat="1" ht="15" hidden="1" x14ac:dyDescent="0.35">
      <c r="A681" s="1832">
        <v>2498</v>
      </c>
      <c r="B681" s="1837" t="s">
        <v>89</v>
      </c>
      <c r="C681" s="1837" t="s">
        <v>454</v>
      </c>
      <c r="D681" s="1837">
        <v>8655538744</v>
      </c>
      <c r="E681" s="1838">
        <v>41249</v>
      </c>
      <c r="F681" s="1838" t="s">
        <v>499</v>
      </c>
      <c r="G681" s="1837" t="s">
        <v>500</v>
      </c>
      <c r="H681" s="1837" t="s">
        <v>502</v>
      </c>
      <c r="I681" s="1831" t="s">
        <v>468</v>
      </c>
      <c r="J681" s="1831" t="s">
        <v>139</v>
      </c>
    </row>
    <row r="682" spans="1:10" ht="15" hidden="1" x14ac:dyDescent="0.35">
      <c r="A682" s="1832">
        <v>21218</v>
      </c>
      <c r="B682" s="1837" t="s">
        <v>599</v>
      </c>
      <c r="C682" s="1837" t="s">
        <v>600</v>
      </c>
      <c r="D682" s="1837">
        <v>17601840719</v>
      </c>
      <c r="E682" s="1838">
        <v>45772</v>
      </c>
      <c r="F682" s="1838" t="s">
        <v>499</v>
      </c>
      <c r="G682" s="1837" t="s">
        <v>500</v>
      </c>
      <c r="H682" s="1837" t="s">
        <v>495</v>
      </c>
      <c r="I682" s="1831" t="s">
        <v>496</v>
      </c>
      <c r="J682" s="1831" t="s">
        <v>5455</v>
      </c>
    </row>
    <row r="683" spans="1:10" s="1829" customFormat="1" ht="15" hidden="1" x14ac:dyDescent="0.35">
      <c r="A683" s="1832">
        <v>23127</v>
      </c>
      <c r="B683" s="1837" t="s">
        <v>868</v>
      </c>
      <c r="C683" s="1837" t="s">
        <v>455</v>
      </c>
      <c r="D683" s="1837">
        <v>14082719741</v>
      </c>
      <c r="E683" s="1838">
        <v>45903</v>
      </c>
      <c r="F683" s="1838" t="s">
        <v>499</v>
      </c>
      <c r="G683" s="1837" t="s">
        <v>500</v>
      </c>
      <c r="H683" s="1837" t="s">
        <v>502</v>
      </c>
      <c r="I683" s="1831" t="s">
        <v>469</v>
      </c>
      <c r="J683" s="1831" t="s">
        <v>382</v>
      </c>
    </row>
    <row r="684" spans="1:10" s="1829" customFormat="1" ht="15" hidden="1" x14ac:dyDescent="0.35">
      <c r="A684" s="1832">
        <v>21739</v>
      </c>
      <c r="B684" s="1837" t="s">
        <v>189</v>
      </c>
      <c r="C684" s="1837" t="s">
        <v>455</v>
      </c>
      <c r="D684" s="1837">
        <v>12293671798</v>
      </c>
      <c r="E684" s="1838">
        <v>45810</v>
      </c>
      <c r="F684" s="1838" t="s">
        <v>499</v>
      </c>
      <c r="G684" s="1837" t="s">
        <v>500</v>
      </c>
      <c r="H684" s="1837" t="s">
        <v>502</v>
      </c>
      <c r="I684" s="1831" t="s">
        <v>468</v>
      </c>
      <c r="J684" s="1831" t="s">
        <v>382</v>
      </c>
    </row>
    <row r="685" spans="1:10" ht="15" hidden="1" x14ac:dyDescent="0.35">
      <c r="A685" s="139">
        <v>17640</v>
      </c>
      <c r="B685" s="138" t="s">
        <v>1036</v>
      </c>
      <c r="C685" s="138" t="s">
        <v>420</v>
      </c>
      <c r="D685" s="138">
        <v>17059967796</v>
      </c>
      <c r="E685" s="140">
        <v>45376</v>
      </c>
      <c r="F685" s="140">
        <v>45786</v>
      </c>
      <c r="G685" s="138" t="s">
        <v>494</v>
      </c>
      <c r="H685" s="138" t="s">
        <v>508</v>
      </c>
      <c r="I685"/>
      <c r="J685"/>
    </row>
    <row r="686" spans="1:10" ht="15" hidden="1" x14ac:dyDescent="0.35">
      <c r="A686" s="139">
        <v>21818</v>
      </c>
      <c r="B686" s="138" t="s">
        <v>1037</v>
      </c>
      <c r="C686" s="138" t="s">
        <v>444</v>
      </c>
      <c r="D686" s="138">
        <v>11186959762</v>
      </c>
      <c r="E686" s="140">
        <v>45810</v>
      </c>
      <c r="F686" s="140">
        <v>46083</v>
      </c>
      <c r="G686" s="138" t="s">
        <v>494</v>
      </c>
      <c r="H686" s="138" t="s">
        <v>502</v>
      </c>
      <c r="I686"/>
      <c r="J686"/>
    </row>
    <row r="687" spans="1:10" ht="15" hidden="1" x14ac:dyDescent="0.35">
      <c r="A687" s="139">
        <v>21683</v>
      </c>
      <c r="B687" s="138" t="s">
        <v>1038</v>
      </c>
      <c r="C687" s="138" t="s">
        <v>416</v>
      </c>
      <c r="D687" s="138">
        <v>21428326790</v>
      </c>
      <c r="E687" s="140">
        <v>45796</v>
      </c>
      <c r="F687" s="140">
        <v>45966</v>
      </c>
      <c r="G687" s="138" t="s">
        <v>494</v>
      </c>
      <c r="H687" s="138" t="s">
        <v>501</v>
      </c>
      <c r="I687" t="s">
        <v>496</v>
      </c>
      <c r="J687"/>
    </row>
    <row r="688" spans="1:10" ht="15" hidden="1" x14ac:dyDescent="0.35">
      <c r="A688" s="1832">
        <v>21220</v>
      </c>
      <c r="B688" s="1837" t="s">
        <v>647</v>
      </c>
      <c r="C688" s="1837" t="s">
        <v>600</v>
      </c>
      <c r="D688" s="1837">
        <v>12322593737</v>
      </c>
      <c r="E688" s="1838">
        <v>45772</v>
      </c>
      <c r="F688" s="1838" t="s">
        <v>499</v>
      </c>
      <c r="G688" s="1837" t="s">
        <v>500</v>
      </c>
      <c r="H688" s="1837" t="s">
        <v>495</v>
      </c>
      <c r="I688" s="1831" t="s">
        <v>496</v>
      </c>
      <c r="J688" s="1831" t="s">
        <v>5455</v>
      </c>
    </row>
    <row r="689" spans="1:10" ht="15" hidden="1" x14ac:dyDescent="0.35">
      <c r="A689" s="1832">
        <v>22023</v>
      </c>
      <c r="B689" s="1837" t="s">
        <v>899</v>
      </c>
      <c r="C689" s="1837" t="s">
        <v>600</v>
      </c>
      <c r="D689" s="1837">
        <v>14133519728</v>
      </c>
      <c r="E689" s="1838">
        <v>45826</v>
      </c>
      <c r="F689" s="1838" t="s">
        <v>499</v>
      </c>
      <c r="G689" s="1837" t="s">
        <v>500</v>
      </c>
      <c r="H689" s="1837" t="s">
        <v>495</v>
      </c>
      <c r="I689" s="1831" t="s">
        <v>496</v>
      </c>
      <c r="J689" s="1831" t="s">
        <v>156</v>
      </c>
    </row>
    <row r="690" spans="1:10" ht="15" hidden="1" x14ac:dyDescent="0.35">
      <c r="A690" s="1832">
        <v>21307</v>
      </c>
      <c r="B690" s="1837" t="s">
        <v>945</v>
      </c>
      <c r="C690" s="1837" t="s">
        <v>600</v>
      </c>
      <c r="D690" s="1837">
        <v>13415473708</v>
      </c>
      <c r="E690" s="1838">
        <v>45779</v>
      </c>
      <c r="F690" s="1838" t="s">
        <v>499</v>
      </c>
      <c r="G690" s="1837" t="s">
        <v>500</v>
      </c>
      <c r="H690" s="1837" t="s">
        <v>495</v>
      </c>
      <c r="I690" s="1831" t="s">
        <v>496</v>
      </c>
      <c r="J690" s="1831" t="s">
        <v>156</v>
      </c>
    </row>
    <row r="691" spans="1:10" ht="15" hidden="1" x14ac:dyDescent="0.35">
      <c r="A691" s="139">
        <v>23755</v>
      </c>
      <c r="B691" s="138" t="s">
        <v>1042</v>
      </c>
      <c r="C691" s="138" t="s">
        <v>407</v>
      </c>
      <c r="D691" s="138">
        <v>18070483733</v>
      </c>
      <c r="E691" s="140">
        <v>45964</v>
      </c>
      <c r="F691" s="140">
        <v>46146</v>
      </c>
      <c r="G691" s="138" t="s">
        <v>494</v>
      </c>
      <c r="H691" s="138" t="s">
        <v>502</v>
      </c>
      <c r="I691"/>
      <c r="J691"/>
    </row>
    <row r="692" spans="1:10" s="1829" customFormat="1" ht="15" hidden="1" x14ac:dyDescent="0.35">
      <c r="A692" s="1832">
        <v>22079</v>
      </c>
      <c r="B692" s="1837" t="s">
        <v>161</v>
      </c>
      <c r="C692" s="1837" t="s">
        <v>456</v>
      </c>
      <c r="D692" s="1837">
        <v>10167878719</v>
      </c>
      <c r="E692" s="1838">
        <v>45831</v>
      </c>
      <c r="F692" s="1838" t="s">
        <v>499</v>
      </c>
      <c r="G692" s="1837" t="s">
        <v>500</v>
      </c>
      <c r="H692" s="1837" t="s">
        <v>502</v>
      </c>
      <c r="I692" s="1831" t="s">
        <v>468</v>
      </c>
      <c r="J692" s="1831" t="s">
        <v>155</v>
      </c>
    </row>
    <row r="693" spans="1:10" ht="15" hidden="1" x14ac:dyDescent="0.35">
      <c r="A693" s="139">
        <v>22924</v>
      </c>
      <c r="B693" s="138" t="s">
        <v>1043</v>
      </c>
      <c r="C693" s="138" t="s">
        <v>433</v>
      </c>
      <c r="D693" s="138">
        <v>14845013738</v>
      </c>
      <c r="E693" s="140">
        <v>45890</v>
      </c>
      <c r="F693" s="140">
        <v>46007</v>
      </c>
      <c r="G693" s="138" t="s">
        <v>494</v>
      </c>
      <c r="H693" s="138" t="s">
        <v>495</v>
      </c>
      <c r="I693" t="s">
        <v>496</v>
      </c>
      <c r="J693"/>
    </row>
    <row r="694" spans="1:10" ht="15" hidden="1" x14ac:dyDescent="0.35">
      <c r="A694" s="1832">
        <v>21185</v>
      </c>
      <c r="B694" s="1837" t="s">
        <v>919</v>
      </c>
      <c r="C694" s="1837" t="s">
        <v>456</v>
      </c>
      <c r="D694" s="1837">
        <v>16515372752</v>
      </c>
      <c r="E694" s="1838">
        <v>45772</v>
      </c>
      <c r="F694" s="1838" t="s">
        <v>499</v>
      </c>
      <c r="G694" s="1837" t="s">
        <v>500</v>
      </c>
      <c r="H694" s="1837" t="s">
        <v>495</v>
      </c>
      <c r="I694" s="1831" t="s">
        <v>496</v>
      </c>
      <c r="J694" s="1831" t="s">
        <v>155</v>
      </c>
    </row>
    <row r="695" spans="1:10" s="1829" customFormat="1" ht="15" hidden="1" x14ac:dyDescent="0.35">
      <c r="A695" s="1832">
        <v>20712</v>
      </c>
      <c r="B695" s="1837" t="s">
        <v>701</v>
      </c>
      <c r="C695" s="1837" t="s">
        <v>457</v>
      </c>
      <c r="D695" s="1837">
        <v>11200719760</v>
      </c>
      <c r="E695" s="1838">
        <v>45751</v>
      </c>
      <c r="F695" s="1838" t="s">
        <v>499</v>
      </c>
      <c r="G695" s="1837" t="s">
        <v>500</v>
      </c>
      <c r="H695" s="1837" t="s">
        <v>502</v>
      </c>
      <c r="I695" s="1831" t="s">
        <v>468</v>
      </c>
      <c r="J695" s="1831" t="s">
        <v>139</v>
      </c>
    </row>
    <row r="696" spans="1:10" ht="15" hidden="1" x14ac:dyDescent="0.35">
      <c r="A696" s="1832">
        <v>21231</v>
      </c>
      <c r="B696" s="1837" t="s">
        <v>524</v>
      </c>
      <c r="C696" s="1837" t="s">
        <v>457</v>
      </c>
      <c r="D696" s="1837">
        <v>12790751471</v>
      </c>
      <c r="E696" s="1838">
        <v>45772</v>
      </c>
      <c r="F696" s="1838" t="s">
        <v>499</v>
      </c>
      <c r="G696" s="1837" t="s">
        <v>525</v>
      </c>
      <c r="H696" s="1837" t="s">
        <v>495</v>
      </c>
      <c r="I696" s="1831" t="s">
        <v>496</v>
      </c>
      <c r="J696" s="1831" t="s">
        <v>139</v>
      </c>
    </row>
    <row r="697" spans="1:10" ht="15" hidden="1" x14ac:dyDescent="0.35">
      <c r="A697" s="139">
        <v>24226</v>
      </c>
      <c r="B697" s="138" t="s">
        <v>1046</v>
      </c>
      <c r="C697" s="138" t="s">
        <v>416</v>
      </c>
      <c r="D697" s="138">
        <v>18221488712</v>
      </c>
      <c r="E697" s="140">
        <v>46084</v>
      </c>
      <c r="F697" s="140">
        <v>46146</v>
      </c>
      <c r="G697" s="138" t="s">
        <v>494</v>
      </c>
      <c r="H697" s="138" t="s">
        <v>501</v>
      </c>
      <c r="I697" t="s">
        <v>496</v>
      </c>
      <c r="J697"/>
    </row>
    <row r="698" spans="1:10" s="1829" customFormat="1" ht="15" hidden="1" x14ac:dyDescent="0.35">
      <c r="A698" s="1832">
        <v>24125</v>
      </c>
      <c r="B698" s="1837" t="s">
        <v>121</v>
      </c>
      <c r="C698" s="1837" t="s">
        <v>457</v>
      </c>
      <c r="D698" s="1837">
        <v>16820179740</v>
      </c>
      <c r="E698" s="1838">
        <v>46059</v>
      </c>
      <c r="F698" s="1838" t="s">
        <v>499</v>
      </c>
      <c r="G698" s="1837" t="s">
        <v>500</v>
      </c>
      <c r="H698" s="1837" t="s">
        <v>502</v>
      </c>
      <c r="I698" s="1831" t="s">
        <v>468</v>
      </c>
      <c r="J698" s="1831" t="s">
        <v>139</v>
      </c>
    </row>
    <row r="699" spans="1:10" s="1829" customFormat="1" ht="15" hidden="1" x14ac:dyDescent="0.35">
      <c r="A699" s="1832">
        <v>24399</v>
      </c>
      <c r="B699" s="1837" t="s">
        <v>136</v>
      </c>
      <c r="C699" s="1837" t="s">
        <v>457</v>
      </c>
      <c r="D699" s="1837">
        <v>12533966711</v>
      </c>
      <c r="E699" s="1838">
        <v>46099</v>
      </c>
      <c r="F699" s="1838" t="s">
        <v>499</v>
      </c>
      <c r="G699" s="1837" t="s">
        <v>500</v>
      </c>
      <c r="H699" s="1837" t="s">
        <v>502</v>
      </c>
      <c r="I699" s="1831" t="s">
        <v>469</v>
      </c>
      <c r="J699" s="1831" t="s">
        <v>139</v>
      </c>
    </row>
    <row r="700" spans="1:10" s="1829" customFormat="1" ht="15" hidden="1" x14ac:dyDescent="0.35">
      <c r="A700" s="1832">
        <v>22373</v>
      </c>
      <c r="B700" s="1837" t="s">
        <v>127</v>
      </c>
      <c r="C700" s="1837" t="s">
        <v>457</v>
      </c>
      <c r="D700" s="1837">
        <v>16627087774</v>
      </c>
      <c r="E700" s="1838">
        <v>45842</v>
      </c>
      <c r="F700" s="1838" t="s">
        <v>499</v>
      </c>
      <c r="G700" s="1837" t="s">
        <v>500</v>
      </c>
      <c r="H700" s="1837" t="s">
        <v>502</v>
      </c>
      <c r="I700" s="1831" t="s">
        <v>468</v>
      </c>
      <c r="J700" s="1831" t="s">
        <v>139</v>
      </c>
    </row>
    <row r="701" spans="1:10" ht="15" hidden="1" x14ac:dyDescent="0.35">
      <c r="A701" s="139">
        <v>22790</v>
      </c>
      <c r="B701" s="138" t="s">
        <v>1047</v>
      </c>
      <c r="C701" s="138" t="s">
        <v>578</v>
      </c>
      <c r="D701" s="138">
        <v>3451391783</v>
      </c>
      <c r="E701" s="140">
        <v>45881</v>
      </c>
      <c r="F701" s="140">
        <v>45922</v>
      </c>
      <c r="G701" s="138" t="s">
        <v>494</v>
      </c>
      <c r="H701" s="138" t="s">
        <v>495</v>
      </c>
      <c r="I701" t="s">
        <v>496</v>
      </c>
      <c r="J701"/>
    </row>
    <row r="702" spans="1:10" ht="15" hidden="1" x14ac:dyDescent="0.35">
      <c r="A702" s="139">
        <v>21014</v>
      </c>
      <c r="B702" s="138" t="s">
        <v>1048</v>
      </c>
      <c r="C702" s="138" t="s">
        <v>416</v>
      </c>
      <c r="D702" s="138">
        <v>9042244739</v>
      </c>
      <c r="E702" s="140">
        <v>45762</v>
      </c>
      <c r="F702" s="140">
        <v>45999</v>
      </c>
      <c r="G702" s="138" t="s">
        <v>494</v>
      </c>
      <c r="H702" s="138" t="s">
        <v>508</v>
      </c>
      <c r="I702"/>
      <c r="J702"/>
    </row>
    <row r="703" spans="1:10" ht="15" hidden="1" x14ac:dyDescent="0.35">
      <c r="A703" s="1832">
        <v>18308</v>
      </c>
      <c r="B703" s="1837" t="s">
        <v>536</v>
      </c>
      <c r="C703" s="1837" t="s">
        <v>457</v>
      </c>
      <c r="D703" s="1837">
        <v>15176918773</v>
      </c>
      <c r="E703" s="1838">
        <v>45446</v>
      </c>
      <c r="F703" s="1838" t="s">
        <v>499</v>
      </c>
      <c r="G703" s="1837" t="s">
        <v>500</v>
      </c>
      <c r="H703" s="1837" t="s">
        <v>495</v>
      </c>
      <c r="I703" s="1831" t="s">
        <v>496</v>
      </c>
      <c r="J703" s="1831" t="s">
        <v>139</v>
      </c>
    </row>
    <row r="704" spans="1:10" ht="15" hidden="1" x14ac:dyDescent="0.35">
      <c r="A704" s="1832">
        <v>22358</v>
      </c>
      <c r="B704" s="1837" t="s">
        <v>133</v>
      </c>
      <c r="C704" s="1837" t="s">
        <v>457</v>
      </c>
      <c r="D704" s="1837">
        <v>6246340784</v>
      </c>
      <c r="E704" s="1838">
        <v>45840</v>
      </c>
      <c r="F704" s="1838" t="s">
        <v>499</v>
      </c>
      <c r="G704" s="1837" t="s">
        <v>500</v>
      </c>
      <c r="H704" s="1837" t="s">
        <v>495</v>
      </c>
      <c r="I704" s="1831" t="s">
        <v>496</v>
      </c>
      <c r="J704" s="1831" t="s">
        <v>139</v>
      </c>
    </row>
    <row r="705" spans="1:10" s="1829" customFormat="1" ht="15" hidden="1" x14ac:dyDescent="0.35">
      <c r="A705" s="1832">
        <v>22056</v>
      </c>
      <c r="B705" s="1837" t="s">
        <v>138</v>
      </c>
      <c r="C705" s="1837" t="s">
        <v>457</v>
      </c>
      <c r="D705" s="1837">
        <v>12901291775</v>
      </c>
      <c r="E705" s="1838">
        <v>45828</v>
      </c>
      <c r="F705" s="1838" t="s">
        <v>499</v>
      </c>
      <c r="G705" s="1837" t="s">
        <v>500</v>
      </c>
      <c r="H705" s="1837" t="s">
        <v>502</v>
      </c>
      <c r="I705" s="1831" t="s">
        <v>468</v>
      </c>
      <c r="J705" s="1831" t="s">
        <v>139</v>
      </c>
    </row>
    <row r="706" spans="1:10" ht="15" hidden="1" x14ac:dyDescent="0.35">
      <c r="A706" s="1832">
        <v>20484</v>
      </c>
      <c r="B706" s="1837" t="s">
        <v>122</v>
      </c>
      <c r="C706" s="1837" t="s">
        <v>457</v>
      </c>
      <c r="D706" s="1837">
        <v>13783991706</v>
      </c>
      <c r="E706" s="1838">
        <v>45735</v>
      </c>
      <c r="F706" s="1838" t="s">
        <v>499</v>
      </c>
      <c r="G706" s="1837" t="s">
        <v>500</v>
      </c>
      <c r="H706" s="1837" t="s">
        <v>495</v>
      </c>
      <c r="I706" s="1831" t="s">
        <v>496</v>
      </c>
      <c r="J706" s="1831" t="s">
        <v>139</v>
      </c>
    </row>
    <row r="707" spans="1:10" ht="15" hidden="1" x14ac:dyDescent="0.35">
      <c r="A707" s="1832">
        <v>21778</v>
      </c>
      <c r="B707" s="1837" t="s">
        <v>128</v>
      </c>
      <c r="C707" s="1837" t="s">
        <v>457</v>
      </c>
      <c r="D707" s="1837">
        <v>2655157770</v>
      </c>
      <c r="E707" s="1838">
        <v>45810</v>
      </c>
      <c r="F707" s="1838" t="s">
        <v>499</v>
      </c>
      <c r="G707" s="1837" t="s">
        <v>500</v>
      </c>
      <c r="H707" s="1837" t="s">
        <v>495</v>
      </c>
      <c r="I707" s="1831" t="s">
        <v>496</v>
      </c>
      <c r="J707" s="1831" t="s">
        <v>139</v>
      </c>
    </row>
    <row r="708" spans="1:10" ht="15" hidden="1" x14ac:dyDescent="0.35">
      <c r="A708" s="1832">
        <v>21679</v>
      </c>
      <c r="B708" s="1837" t="s">
        <v>1039</v>
      </c>
      <c r="C708" s="1837" t="s">
        <v>457</v>
      </c>
      <c r="D708" s="1837">
        <v>18304880741</v>
      </c>
      <c r="E708" s="1838">
        <v>45796</v>
      </c>
      <c r="F708" s="1838" t="s">
        <v>499</v>
      </c>
      <c r="G708" s="1837" t="s">
        <v>500</v>
      </c>
      <c r="H708" s="1837" t="s">
        <v>495</v>
      </c>
      <c r="I708" s="1831" t="s">
        <v>496</v>
      </c>
      <c r="J708" s="1831" t="s">
        <v>139</v>
      </c>
    </row>
    <row r="709" spans="1:10" s="1829" customFormat="1" ht="15" hidden="1" x14ac:dyDescent="0.35">
      <c r="A709" s="1832">
        <v>21911</v>
      </c>
      <c r="B709" s="1837" t="s">
        <v>162</v>
      </c>
      <c r="C709" s="1837" t="s">
        <v>458</v>
      </c>
      <c r="D709" s="1837">
        <v>11467425761</v>
      </c>
      <c r="E709" s="1838">
        <v>45820</v>
      </c>
      <c r="F709" s="1838" t="s">
        <v>499</v>
      </c>
      <c r="G709" s="1837" t="s">
        <v>500</v>
      </c>
      <c r="H709" s="1837" t="s">
        <v>502</v>
      </c>
      <c r="I709" s="1831" t="s">
        <v>468</v>
      </c>
      <c r="J709" s="1831" t="s">
        <v>156</v>
      </c>
    </row>
    <row r="710" spans="1:10" s="1829" customFormat="1" ht="15" hidden="1" x14ac:dyDescent="0.35">
      <c r="A710" s="1832">
        <v>21767</v>
      </c>
      <c r="B710" s="1837" t="s">
        <v>269</v>
      </c>
      <c r="C710" s="1837" t="s">
        <v>458</v>
      </c>
      <c r="D710" s="1837">
        <v>13034851766</v>
      </c>
      <c r="E710" s="1838">
        <v>45810</v>
      </c>
      <c r="F710" s="1838" t="s">
        <v>499</v>
      </c>
      <c r="G710" s="1837" t="s">
        <v>500</v>
      </c>
      <c r="H710" s="1837" t="s">
        <v>502</v>
      </c>
      <c r="I710" s="1831" t="s">
        <v>469</v>
      </c>
      <c r="J710" s="1831" t="s">
        <v>156</v>
      </c>
    </row>
    <row r="711" spans="1:10" ht="15" hidden="1" x14ac:dyDescent="0.35">
      <c r="A711" s="1832">
        <v>21306</v>
      </c>
      <c r="B711" s="1837" t="s">
        <v>101</v>
      </c>
      <c r="C711" s="1837" t="s">
        <v>751</v>
      </c>
      <c r="D711" s="1837">
        <v>12368714723</v>
      </c>
      <c r="E711" s="1838">
        <v>45779</v>
      </c>
      <c r="F711" s="1838" t="s">
        <v>499</v>
      </c>
      <c r="G711" s="1837" t="s">
        <v>500</v>
      </c>
      <c r="H711" s="1837" t="s">
        <v>495</v>
      </c>
      <c r="I711" s="1831" t="s">
        <v>496</v>
      </c>
      <c r="J711" s="1831" t="s">
        <v>139</v>
      </c>
    </row>
    <row r="712" spans="1:10" ht="15" hidden="1" x14ac:dyDescent="0.35">
      <c r="A712" s="1832">
        <v>14853</v>
      </c>
      <c r="B712" s="1837" t="s">
        <v>762</v>
      </c>
      <c r="C712" s="1837" t="s">
        <v>763</v>
      </c>
      <c r="D712" s="1837">
        <v>17515001798</v>
      </c>
      <c r="E712" s="1838">
        <v>45089</v>
      </c>
      <c r="F712" s="1838" t="s">
        <v>499</v>
      </c>
      <c r="G712" s="1837" t="s">
        <v>500</v>
      </c>
      <c r="H712" s="1837" t="s">
        <v>495</v>
      </c>
      <c r="I712" s="1831" t="s">
        <v>496</v>
      </c>
      <c r="J712" s="1831" t="s">
        <v>139</v>
      </c>
    </row>
    <row r="713" spans="1:10" ht="15" hidden="1" x14ac:dyDescent="0.35">
      <c r="A713" s="1831" t="s">
        <v>1057</v>
      </c>
      <c r="B713" s="1839" t="s">
        <v>1058</v>
      </c>
      <c r="C713" s="1839" t="s">
        <v>444</v>
      </c>
      <c r="D713" s="1839" t="s">
        <v>1059</v>
      </c>
      <c r="E713" s="1840">
        <v>44627</v>
      </c>
      <c r="F713" s="1840"/>
      <c r="G713" s="1839" t="s">
        <v>500</v>
      </c>
      <c r="H713" s="1839" t="s">
        <v>1060</v>
      </c>
      <c r="I713" s="1831" t="s">
        <v>1061</v>
      </c>
      <c r="J713" s="1831"/>
    </row>
    <row r="714" spans="1:10" ht="15" hidden="1" x14ac:dyDescent="0.35">
      <c r="A714" s="1831" t="s">
        <v>1062</v>
      </c>
      <c r="B714" s="1839" t="s">
        <v>1063</v>
      </c>
      <c r="C714" s="1839" t="s">
        <v>410</v>
      </c>
      <c r="D714" s="1839" t="s">
        <v>1064</v>
      </c>
      <c r="E714" s="1840">
        <v>45853</v>
      </c>
      <c r="F714" s="1840"/>
      <c r="G714" s="1839" t="s">
        <v>500</v>
      </c>
      <c r="H714" s="1839" t="s">
        <v>1065</v>
      </c>
      <c r="I714" s="1831" t="s">
        <v>1066</v>
      </c>
      <c r="J714" s="1831"/>
    </row>
    <row r="715" spans="1:10" ht="15" hidden="1" x14ac:dyDescent="0.35">
      <c r="A715" s="1831" t="s">
        <v>1067</v>
      </c>
      <c r="B715" s="1839" t="s">
        <v>1068</v>
      </c>
      <c r="C715" s="1839" t="s">
        <v>443</v>
      </c>
      <c r="D715" s="1839" t="s">
        <v>1069</v>
      </c>
      <c r="E715" s="1840">
        <v>45376</v>
      </c>
      <c r="F715" s="1840"/>
      <c r="G715" s="1839" t="s">
        <v>500</v>
      </c>
      <c r="H715" s="1839" t="s">
        <v>1060</v>
      </c>
      <c r="I715" s="1831" t="s">
        <v>1061</v>
      </c>
      <c r="J715" s="1831"/>
    </row>
    <row r="716" spans="1:10" ht="15" hidden="1" x14ac:dyDescent="0.35">
      <c r="A716" s="1831" t="s">
        <v>1070</v>
      </c>
      <c r="B716" s="1839" t="s">
        <v>1071</v>
      </c>
      <c r="C716" s="1839" t="s">
        <v>1072</v>
      </c>
      <c r="D716" s="1839" t="s">
        <v>1073</v>
      </c>
      <c r="E716" s="1840">
        <v>44907</v>
      </c>
      <c r="F716" s="1840"/>
      <c r="G716" s="1839" t="s">
        <v>500</v>
      </c>
      <c r="H716" s="1839" t="s">
        <v>1065</v>
      </c>
      <c r="I716" s="1831" t="s">
        <v>1066</v>
      </c>
      <c r="J716" s="1831"/>
    </row>
    <row r="717" spans="1:10" ht="15" hidden="1" x14ac:dyDescent="0.35">
      <c r="A717" s="1831" t="s">
        <v>1074</v>
      </c>
      <c r="B717" s="1839" t="s">
        <v>1075</v>
      </c>
      <c r="C717" s="1839" t="s">
        <v>1076</v>
      </c>
      <c r="D717" s="1839" t="s">
        <v>1077</v>
      </c>
      <c r="E717" s="1840">
        <v>45376</v>
      </c>
      <c r="F717" s="1840"/>
      <c r="G717" s="1839" t="s">
        <v>500</v>
      </c>
      <c r="H717" s="1839" t="s">
        <v>1078</v>
      </c>
      <c r="I717" s="1831" t="s">
        <v>1061</v>
      </c>
      <c r="J717" s="1831"/>
    </row>
    <row r="718" spans="1:10" ht="15" hidden="1" x14ac:dyDescent="0.35">
      <c r="A718" s="1831" t="s">
        <v>1079</v>
      </c>
      <c r="B718" s="1839" t="s">
        <v>1080</v>
      </c>
      <c r="C718" s="1839" t="s">
        <v>578</v>
      </c>
      <c r="D718" s="1839" t="s">
        <v>1081</v>
      </c>
      <c r="E718" s="1840">
        <v>45463</v>
      </c>
      <c r="F718" s="1840"/>
      <c r="G718" s="1839" t="s">
        <v>500</v>
      </c>
      <c r="H718" s="1839" t="s">
        <v>1065</v>
      </c>
      <c r="I718" s="1831" t="s">
        <v>1066</v>
      </c>
      <c r="J718" s="1831"/>
    </row>
    <row r="719" spans="1:10" ht="15" hidden="1" x14ac:dyDescent="0.35">
      <c r="A719" s="1831" t="s">
        <v>1082</v>
      </c>
      <c r="B719" s="1839" t="s">
        <v>1083</v>
      </c>
      <c r="C719" s="1839" t="s">
        <v>1084</v>
      </c>
      <c r="D719" s="1839" t="s">
        <v>1085</v>
      </c>
      <c r="E719" s="1840">
        <v>45399</v>
      </c>
      <c r="F719" s="1840"/>
      <c r="G719" s="1839" t="s">
        <v>500</v>
      </c>
      <c r="H719" s="1839" t="s">
        <v>1060</v>
      </c>
      <c r="I719" s="1831" t="s">
        <v>1061</v>
      </c>
      <c r="J719" s="1831"/>
    </row>
    <row r="720" spans="1:10" ht="15" hidden="1" x14ac:dyDescent="0.35">
      <c r="A720" s="8" t="s">
        <v>1086</v>
      </c>
      <c r="B720" t="s">
        <v>1087</v>
      </c>
      <c r="C720" t="s">
        <v>1088</v>
      </c>
      <c r="D720" t="s">
        <v>1089</v>
      </c>
      <c r="E720" s="9">
        <v>45887</v>
      </c>
      <c r="F720" s="9">
        <v>46056</v>
      </c>
      <c r="G720" t="s">
        <v>494</v>
      </c>
      <c r="H720" t="s">
        <v>1060</v>
      </c>
      <c r="I720" t="s">
        <v>1061</v>
      </c>
      <c r="J720"/>
    </row>
    <row r="721" spans="1:10" ht="15" hidden="1" x14ac:dyDescent="0.35">
      <c r="A721" s="1831" t="s">
        <v>1090</v>
      </c>
      <c r="B721" s="1839" t="s">
        <v>1091</v>
      </c>
      <c r="C721" s="1839" t="s">
        <v>420</v>
      </c>
      <c r="D721" s="1839" t="s">
        <v>1092</v>
      </c>
      <c r="E721" s="1840">
        <v>45628</v>
      </c>
      <c r="F721" s="1840"/>
      <c r="G721" s="1839" t="s">
        <v>500</v>
      </c>
      <c r="H721" s="1839" t="s">
        <v>1093</v>
      </c>
      <c r="I721" s="1831" t="s">
        <v>1066</v>
      </c>
      <c r="J721" s="1831"/>
    </row>
    <row r="722" spans="1:10" ht="15" hidden="1" x14ac:dyDescent="0.35">
      <c r="A722" s="1831" t="s">
        <v>1094</v>
      </c>
      <c r="B722" s="1839" t="s">
        <v>1095</v>
      </c>
      <c r="C722" s="1839" t="s">
        <v>438</v>
      </c>
      <c r="D722" s="1839" t="s">
        <v>1096</v>
      </c>
      <c r="E722" s="1840">
        <v>44768</v>
      </c>
      <c r="F722" s="1840"/>
      <c r="G722" s="1839" t="s">
        <v>500</v>
      </c>
      <c r="H722" s="1839" t="s">
        <v>1060</v>
      </c>
      <c r="I722" s="1831" t="s">
        <v>1061</v>
      </c>
      <c r="J722" s="1831"/>
    </row>
    <row r="723" spans="1:10" ht="15" hidden="1" x14ac:dyDescent="0.35">
      <c r="A723" s="1831" t="s">
        <v>1097</v>
      </c>
      <c r="B723" s="1839" t="s">
        <v>1098</v>
      </c>
      <c r="C723" s="1839" t="s">
        <v>578</v>
      </c>
      <c r="D723" s="1839" t="s">
        <v>1099</v>
      </c>
      <c r="E723" s="1840">
        <v>45541</v>
      </c>
      <c r="F723" s="1840"/>
      <c r="G723" s="1839" t="s">
        <v>500</v>
      </c>
      <c r="H723" s="1839" t="s">
        <v>1065</v>
      </c>
      <c r="I723" s="1831" t="s">
        <v>1066</v>
      </c>
      <c r="J723" s="1831"/>
    </row>
    <row r="724" spans="1:10" ht="15" hidden="1" x14ac:dyDescent="0.35">
      <c r="A724" s="1831" t="s">
        <v>1100</v>
      </c>
      <c r="B724" s="1839" t="s">
        <v>1101</v>
      </c>
      <c r="C724" s="1839" t="s">
        <v>420</v>
      </c>
      <c r="D724" s="1839" t="s">
        <v>1102</v>
      </c>
      <c r="E724" s="1840">
        <v>45419</v>
      </c>
      <c r="F724" s="1840"/>
      <c r="G724" s="1839" t="s">
        <v>500</v>
      </c>
      <c r="H724" s="1839" t="s">
        <v>1093</v>
      </c>
      <c r="I724" s="1831" t="s">
        <v>1066</v>
      </c>
      <c r="J724" s="1831"/>
    </row>
    <row r="725" spans="1:10" ht="15" hidden="1" x14ac:dyDescent="0.35">
      <c r="A725" s="8" t="s">
        <v>1103</v>
      </c>
      <c r="B725" t="s">
        <v>1104</v>
      </c>
      <c r="C725" t="s">
        <v>420</v>
      </c>
      <c r="D725" t="s">
        <v>1105</v>
      </c>
      <c r="E725" s="9">
        <v>45993</v>
      </c>
      <c r="F725" s="9">
        <v>46064</v>
      </c>
      <c r="G725" t="s">
        <v>494</v>
      </c>
      <c r="H725" t="s">
        <v>1078</v>
      </c>
      <c r="I725" t="s">
        <v>1061</v>
      </c>
      <c r="J725"/>
    </row>
    <row r="726" spans="1:10" ht="15" hidden="1" x14ac:dyDescent="0.35">
      <c r="A726" s="1831" t="s">
        <v>1106</v>
      </c>
      <c r="B726" s="1839" t="s">
        <v>1107</v>
      </c>
      <c r="C726" s="1839" t="s">
        <v>420</v>
      </c>
      <c r="D726" s="1839" t="s">
        <v>1108</v>
      </c>
      <c r="E726" s="1840">
        <v>45890</v>
      </c>
      <c r="F726" s="1840"/>
      <c r="G726" s="1839" t="s">
        <v>500</v>
      </c>
      <c r="H726" s="1839" t="s">
        <v>1093</v>
      </c>
      <c r="I726" s="1831" t="s">
        <v>1066</v>
      </c>
      <c r="J726" s="1831"/>
    </row>
    <row r="727" spans="1:10" ht="15" hidden="1" x14ac:dyDescent="0.35">
      <c r="A727" s="1831" t="s">
        <v>1109</v>
      </c>
      <c r="B727" s="1839" t="s">
        <v>1110</v>
      </c>
      <c r="C727" s="1839" t="s">
        <v>420</v>
      </c>
      <c r="D727" s="1839" t="s">
        <v>1111</v>
      </c>
      <c r="E727" s="1840">
        <v>45826</v>
      </c>
      <c r="F727" s="1840"/>
      <c r="G727" s="1839" t="s">
        <v>500</v>
      </c>
      <c r="H727" s="1839" t="s">
        <v>1078</v>
      </c>
      <c r="I727" s="1831" t="s">
        <v>1061</v>
      </c>
      <c r="J727" s="1831"/>
    </row>
    <row r="728" spans="1:10" ht="15" hidden="1" x14ac:dyDescent="0.35">
      <c r="A728" s="8" t="s">
        <v>1112</v>
      </c>
      <c r="B728" t="s">
        <v>1113</v>
      </c>
      <c r="C728" t="s">
        <v>420</v>
      </c>
      <c r="D728" t="s">
        <v>1114</v>
      </c>
      <c r="E728" s="9">
        <v>45481</v>
      </c>
      <c r="F728" s="9">
        <v>45999</v>
      </c>
      <c r="G728" t="s">
        <v>494</v>
      </c>
      <c r="H728" t="s">
        <v>1093</v>
      </c>
      <c r="I728" t="s">
        <v>1066</v>
      </c>
      <c r="J728"/>
    </row>
    <row r="729" spans="1:10" ht="15" hidden="1" x14ac:dyDescent="0.35">
      <c r="A729" s="1831" t="s">
        <v>1115</v>
      </c>
      <c r="B729" s="1839" t="s">
        <v>1116</v>
      </c>
      <c r="C729" s="1839" t="s">
        <v>415</v>
      </c>
      <c r="D729" s="1839" t="s">
        <v>1117</v>
      </c>
      <c r="E729" s="1840">
        <v>45422</v>
      </c>
      <c r="F729" s="1840"/>
      <c r="G729" s="1839" t="s">
        <v>1118</v>
      </c>
      <c r="H729" s="1839" t="s">
        <v>1065</v>
      </c>
      <c r="I729" s="1831" t="s">
        <v>1066</v>
      </c>
      <c r="J729" s="1831"/>
    </row>
    <row r="730" spans="1:10" ht="15" hidden="1" x14ac:dyDescent="0.35">
      <c r="A730" s="1831" t="s">
        <v>1119</v>
      </c>
      <c r="B730" s="1839" t="s">
        <v>1120</v>
      </c>
      <c r="C730" s="1839" t="s">
        <v>1121</v>
      </c>
      <c r="D730" s="1839" t="s">
        <v>1122</v>
      </c>
      <c r="E730" s="1840">
        <v>42082</v>
      </c>
      <c r="F730" s="1840"/>
      <c r="G730" s="1839" t="s">
        <v>500</v>
      </c>
      <c r="H730" s="1839" t="s">
        <v>1065</v>
      </c>
      <c r="I730" s="1831" t="s">
        <v>1066</v>
      </c>
      <c r="J730" s="1831"/>
    </row>
    <row r="731" spans="1:10" ht="15" hidden="1" x14ac:dyDescent="0.35">
      <c r="A731" s="1831" t="s">
        <v>1123</v>
      </c>
      <c r="B731" s="1839" t="s">
        <v>1124</v>
      </c>
      <c r="C731" s="1839" t="s">
        <v>1125</v>
      </c>
      <c r="D731" s="1839" t="s">
        <v>1126</v>
      </c>
      <c r="E731" s="1840">
        <v>45419</v>
      </c>
      <c r="F731" s="1840"/>
      <c r="G731" s="1839" t="s">
        <v>500</v>
      </c>
      <c r="H731" s="1839" t="s">
        <v>1065</v>
      </c>
      <c r="I731" s="1831" t="s">
        <v>1066</v>
      </c>
      <c r="J731" s="1831"/>
    </row>
    <row r="732" spans="1:10" ht="15" hidden="1" x14ac:dyDescent="0.35">
      <c r="A732" s="8" t="s">
        <v>1127</v>
      </c>
      <c r="B732" t="s">
        <v>1128</v>
      </c>
      <c r="C732" t="s">
        <v>410</v>
      </c>
      <c r="D732" t="s">
        <v>1129</v>
      </c>
      <c r="E732" s="9">
        <v>45708</v>
      </c>
      <c r="F732" s="9">
        <v>45912</v>
      </c>
      <c r="G732" t="s">
        <v>494</v>
      </c>
      <c r="H732" t="s">
        <v>1065</v>
      </c>
      <c r="I732" t="s">
        <v>1066</v>
      </c>
      <c r="J732"/>
    </row>
    <row r="733" spans="1:10" ht="15" hidden="1" x14ac:dyDescent="0.35">
      <c r="A733" s="8" t="s">
        <v>1130</v>
      </c>
      <c r="B733" t="s">
        <v>1131</v>
      </c>
      <c r="C733" t="s">
        <v>606</v>
      </c>
      <c r="D733" t="s">
        <v>1132</v>
      </c>
      <c r="E733" s="9">
        <v>45847</v>
      </c>
      <c r="F733" s="9">
        <v>45966</v>
      </c>
      <c r="G733" t="s">
        <v>494</v>
      </c>
      <c r="H733" t="s">
        <v>1060</v>
      </c>
      <c r="I733" t="s">
        <v>1061</v>
      </c>
      <c r="J733"/>
    </row>
    <row r="734" spans="1:10" ht="15" hidden="1" x14ac:dyDescent="0.35">
      <c r="A734" s="8" t="s">
        <v>1133</v>
      </c>
      <c r="B734" t="s">
        <v>1134</v>
      </c>
      <c r="C734" t="s">
        <v>420</v>
      </c>
      <c r="D734" t="s">
        <v>1135</v>
      </c>
      <c r="E734" s="9">
        <v>45566</v>
      </c>
      <c r="F734" s="9">
        <v>46120</v>
      </c>
      <c r="G734" t="s">
        <v>494</v>
      </c>
      <c r="H734" t="s">
        <v>1078</v>
      </c>
      <c r="I734" t="s">
        <v>1061</v>
      </c>
      <c r="J734"/>
    </row>
    <row r="735" spans="1:10" ht="15" hidden="1" x14ac:dyDescent="0.35">
      <c r="A735" s="1831" t="s">
        <v>1136</v>
      </c>
      <c r="B735" s="1839" t="s">
        <v>1137</v>
      </c>
      <c r="C735" s="1839" t="s">
        <v>420</v>
      </c>
      <c r="D735" s="1839" t="s">
        <v>1138</v>
      </c>
      <c r="E735" s="1840">
        <v>45691</v>
      </c>
      <c r="F735" s="1840"/>
      <c r="G735" s="1839" t="s">
        <v>500</v>
      </c>
      <c r="H735" s="1839" t="s">
        <v>1093</v>
      </c>
      <c r="I735" s="1831" t="s">
        <v>1066</v>
      </c>
      <c r="J735" s="1831"/>
    </row>
    <row r="736" spans="1:10" ht="15" hidden="1" x14ac:dyDescent="0.35">
      <c r="A736" s="1831" t="s">
        <v>1139</v>
      </c>
      <c r="B736" s="1839" t="s">
        <v>1140</v>
      </c>
      <c r="C736" s="1839" t="s">
        <v>433</v>
      </c>
      <c r="D736" s="1839" t="s">
        <v>1141</v>
      </c>
      <c r="E736" s="1840">
        <v>46127</v>
      </c>
      <c r="F736" s="1840"/>
      <c r="G736" s="1839" t="s">
        <v>500</v>
      </c>
      <c r="H736" s="1839" t="s">
        <v>1078</v>
      </c>
      <c r="I736" s="1831" t="s">
        <v>1061</v>
      </c>
      <c r="J736" s="1831"/>
    </row>
    <row r="737" spans="1:10" ht="15" hidden="1" x14ac:dyDescent="0.35">
      <c r="A737" s="1831" t="s">
        <v>1142</v>
      </c>
      <c r="B737" s="1839" t="s">
        <v>1143</v>
      </c>
      <c r="C737" s="1839" t="s">
        <v>1144</v>
      </c>
      <c r="D737" s="1839" t="s">
        <v>1145</v>
      </c>
      <c r="E737" s="1840">
        <v>45187</v>
      </c>
      <c r="F737" s="1840"/>
      <c r="G737" s="1839" t="s">
        <v>500</v>
      </c>
      <c r="H737" s="1839" t="s">
        <v>1065</v>
      </c>
      <c r="I737" s="1831" t="s">
        <v>1066</v>
      </c>
      <c r="J737" s="1831"/>
    </row>
    <row r="738" spans="1:10" ht="15" hidden="1" x14ac:dyDescent="0.35">
      <c r="A738" s="1831" t="s">
        <v>1146</v>
      </c>
      <c r="B738" s="1839" t="s">
        <v>1147</v>
      </c>
      <c r="C738" s="1839" t="s">
        <v>1148</v>
      </c>
      <c r="D738" s="1839" t="s">
        <v>1149</v>
      </c>
      <c r="E738" s="1840">
        <v>45537</v>
      </c>
      <c r="F738" s="1840"/>
      <c r="G738" s="1839" t="s">
        <v>500</v>
      </c>
      <c r="H738" s="1839" t="s">
        <v>1065</v>
      </c>
      <c r="I738" s="1831" t="s">
        <v>1066</v>
      </c>
      <c r="J738" s="1831"/>
    </row>
    <row r="739" spans="1:10" ht="15" hidden="1" x14ac:dyDescent="0.35">
      <c r="A739" s="1831" t="s">
        <v>1150</v>
      </c>
      <c r="B739" s="1839" t="s">
        <v>1151</v>
      </c>
      <c r="C739" s="1839" t="s">
        <v>578</v>
      </c>
      <c r="D739" s="1839" t="s">
        <v>1152</v>
      </c>
      <c r="E739" s="1840">
        <v>45691</v>
      </c>
      <c r="F739" s="1840"/>
      <c r="G739" s="1839" t="s">
        <v>500</v>
      </c>
      <c r="H739" s="1839" t="s">
        <v>1065</v>
      </c>
      <c r="I739" s="1831" t="s">
        <v>1066</v>
      </c>
      <c r="J739" s="1831"/>
    </row>
    <row r="740" spans="1:10" ht="15" hidden="1" x14ac:dyDescent="0.35">
      <c r="A740" s="8" t="s">
        <v>1153</v>
      </c>
      <c r="B740" t="s">
        <v>1154</v>
      </c>
      <c r="C740" t="s">
        <v>1155</v>
      </c>
      <c r="D740" t="s">
        <v>1156</v>
      </c>
      <c r="E740" s="9">
        <v>45707</v>
      </c>
      <c r="F740" s="9">
        <v>45903</v>
      </c>
      <c r="G740" t="s">
        <v>494</v>
      </c>
      <c r="H740" t="s">
        <v>1065</v>
      </c>
      <c r="I740" t="s">
        <v>1066</v>
      </c>
      <c r="J740"/>
    </row>
    <row r="741" spans="1:10" ht="15" hidden="1" x14ac:dyDescent="0.35">
      <c r="A741" s="8" t="s">
        <v>1157</v>
      </c>
      <c r="B741" t="s">
        <v>1158</v>
      </c>
      <c r="C741" t="s">
        <v>420</v>
      </c>
      <c r="D741" t="s">
        <v>1159</v>
      </c>
      <c r="E741" s="9">
        <v>45713</v>
      </c>
      <c r="F741" s="9">
        <v>46083</v>
      </c>
      <c r="G741" t="s">
        <v>494</v>
      </c>
      <c r="H741" t="s">
        <v>1093</v>
      </c>
      <c r="I741" t="s">
        <v>1066</v>
      </c>
      <c r="J741"/>
    </row>
    <row r="742" spans="1:10" ht="15" hidden="1" x14ac:dyDescent="0.35">
      <c r="A742" s="1831" t="s">
        <v>1160</v>
      </c>
      <c r="B742" s="1839" t="s">
        <v>1161</v>
      </c>
      <c r="C742" s="1839" t="s">
        <v>430</v>
      </c>
      <c r="D742" s="1839" t="s">
        <v>1162</v>
      </c>
      <c r="E742" s="1840">
        <v>45833</v>
      </c>
      <c r="F742" s="1840"/>
      <c r="G742" s="1839" t="s">
        <v>500</v>
      </c>
      <c r="H742" s="1839" t="s">
        <v>1078</v>
      </c>
      <c r="I742" s="1831" t="s">
        <v>1061</v>
      </c>
      <c r="J742" s="1831"/>
    </row>
    <row r="743" spans="1:10" ht="15" hidden="1" x14ac:dyDescent="0.35">
      <c r="A743" s="8" t="s">
        <v>1163</v>
      </c>
      <c r="B743" t="s">
        <v>1164</v>
      </c>
      <c r="C743" t="s">
        <v>457</v>
      </c>
      <c r="D743" t="s">
        <v>1165</v>
      </c>
      <c r="E743" s="9">
        <v>45722</v>
      </c>
      <c r="F743" s="9">
        <v>45916</v>
      </c>
      <c r="G743" t="s">
        <v>494</v>
      </c>
      <c r="H743" t="s">
        <v>1060</v>
      </c>
      <c r="I743" t="s">
        <v>1061</v>
      </c>
      <c r="J743"/>
    </row>
    <row r="744" spans="1:10" ht="15" hidden="1" x14ac:dyDescent="0.35">
      <c r="A744" s="1831" t="s">
        <v>1166</v>
      </c>
      <c r="B744" s="1839" t="s">
        <v>1167</v>
      </c>
      <c r="C744" s="1839" t="s">
        <v>1148</v>
      </c>
      <c r="D744" s="1839" t="s">
        <v>1168</v>
      </c>
      <c r="E744" s="1840">
        <v>45419</v>
      </c>
      <c r="F744" s="1840"/>
      <c r="G744" s="1839" t="s">
        <v>500</v>
      </c>
      <c r="H744" s="1839" t="s">
        <v>1065</v>
      </c>
      <c r="I744" s="1831" t="s">
        <v>1066</v>
      </c>
      <c r="J744" s="1831"/>
    </row>
    <row r="745" spans="1:10" ht="15" hidden="1" x14ac:dyDescent="0.35">
      <c r="A745" s="1831" t="s">
        <v>1169</v>
      </c>
      <c r="B745" s="1839" t="s">
        <v>1170</v>
      </c>
      <c r="C745" s="1839" t="s">
        <v>1072</v>
      </c>
      <c r="D745" s="1839" t="s">
        <v>1171</v>
      </c>
      <c r="E745" s="1840">
        <v>43460</v>
      </c>
      <c r="F745" s="1840"/>
      <c r="G745" s="1839" t="s">
        <v>500</v>
      </c>
      <c r="H745" s="1839" t="s">
        <v>1065</v>
      </c>
      <c r="I745" s="1831" t="s">
        <v>1066</v>
      </c>
      <c r="J745" s="1831"/>
    </row>
    <row r="746" spans="1:10" ht="15" hidden="1" x14ac:dyDescent="0.35">
      <c r="A746" s="8" t="s">
        <v>1172</v>
      </c>
      <c r="B746" t="s">
        <v>1173</v>
      </c>
      <c r="C746" t="s">
        <v>443</v>
      </c>
      <c r="D746" t="s">
        <v>1174</v>
      </c>
      <c r="E746" s="9">
        <v>45881</v>
      </c>
      <c r="F746" s="9">
        <v>45940</v>
      </c>
      <c r="G746" t="s">
        <v>494</v>
      </c>
      <c r="H746" t="s">
        <v>1060</v>
      </c>
      <c r="I746" t="s">
        <v>1061</v>
      </c>
      <c r="J746"/>
    </row>
    <row r="747" spans="1:10" ht="15" hidden="1" x14ac:dyDescent="0.35">
      <c r="A747" s="1831" t="s">
        <v>1175</v>
      </c>
      <c r="B747" s="1839" t="s">
        <v>1176</v>
      </c>
      <c r="C747" s="1839" t="s">
        <v>420</v>
      </c>
      <c r="D747" s="1839" t="s">
        <v>1177</v>
      </c>
      <c r="E747" s="1840">
        <v>45419</v>
      </c>
      <c r="F747" s="1840"/>
      <c r="G747" s="1839" t="s">
        <v>500</v>
      </c>
      <c r="H747" s="1839" t="s">
        <v>1093</v>
      </c>
      <c r="I747" s="1831" t="s">
        <v>1066</v>
      </c>
      <c r="J747" s="1831"/>
    </row>
    <row r="748" spans="1:10" ht="15" hidden="1" x14ac:dyDescent="0.35">
      <c r="A748" s="1831" t="s">
        <v>1178</v>
      </c>
      <c r="B748" s="1839" t="s">
        <v>1179</v>
      </c>
      <c r="C748" s="1839" t="s">
        <v>420</v>
      </c>
      <c r="D748" s="1839" t="s">
        <v>1180</v>
      </c>
      <c r="E748" s="1840">
        <v>45419</v>
      </c>
      <c r="F748" s="1840"/>
      <c r="G748" s="1839" t="s">
        <v>500</v>
      </c>
      <c r="H748" s="1839" t="s">
        <v>1093</v>
      </c>
      <c r="I748" s="1831" t="s">
        <v>1066</v>
      </c>
      <c r="J748" s="1831"/>
    </row>
    <row r="749" spans="1:10" ht="15" hidden="1" x14ac:dyDescent="0.35">
      <c r="A749" s="1831" t="s">
        <v>1181</v>
      </c>
      <c r="B749" s="1839" t="s">
        <v>1182</v>
      </c>
      <c r="C749" s="1839" t="s">
        <v>420</v>
      </c>
      <c r="D749" s="1839" t="s">
        <v>1183</v>
      </c>
      <c r="E749" s="1840">
        <v>45422</v>
      </c>
      <c r="F749" s="1840"/>
      <c r="G749" s="1839" t="s">
        <v>500</v>
      </c>
      <c r="H749" s="1839" t="s">
        <v>1093</v>
      </c>
      <c r="I749" s="1831" t="s">
        <v>1066</v>
      </c>
      <c r="J749" s="1831"/>
    </row>
    <row r="750" spans="1:10" ht="15" hidden="1" x14ac:dyDescent="0.35">
      <c r="A750" s="1831" t="s">
        <v>1184</v>
      </c>
      <c r="B750" s="1839" t="s">
        <v>1185</v>
      </c>
      <c r="C750" s="1839" t="s">
        <v>425</v>
      </c>
      <c r="D750" s="1839" t="s">
        <v>1186</v>
      </c>
      <c r="E750" s="1840">
        <v>45721</v>
      </c>
      <c r="F750" s="1840"/>
      <c r="G750" s="1839" t="s">
        <v>500</v>
      </c>
      <c r="H750" s="1839" t="s">
        <v>1060</v>
      </c>
      <c r="I750" s="1831" t="s">
        <v>1061</v>
      </c>
      <c r="J750" s="1831"/>
    </row>
    <row r="751" spans="1:10" ht="15" hidden="1" x14ac:dyDescent="0.35">
      <c r="A751" s="8" t="s">
        <v>1187</v>
      </c>
      <c r="B751" t="s">
        <v>1188</v>
      </c>
      <c r="C751" t="s">
        <v>415</v>
      </c>
      <c r="D751" t="s">
        <v>1189</v>
      </c>
      <c r="E751" s="9">
        <v>45859</v>
      </c>
      <c r="F751" s="9">
        <v>45903</v>
      </c>
      <c r="G751" t="s">
        <v>494</v>
      </c>
      <c r="H751" t="s">
        <v>1060</v>
      </c>
      <c r="I751" t="s">
        <v>1061</v>
      </c>
      <c r="J751"/>
    </row>
    <row r="752" spans="1:10" ht="15" hidden="1" x14ac:dyDescent="0.35">
      <c r="A752" s="1831" t="s">
        <v>1190</v>
      </c>
      <c r="B752" s="1839" t="s">
        <v>1191</v>
      </c>
      <c r="C752" s="1839" t="s">
        <v>420</v>
      </c>
      <c r="D752" s="1839" t="s">
        <v>1192</v>
      </c>
      <c r="E752" s="1840">
        <v>45376</v>
      </c>
      <c r="F752" s="1840"/>
      <c r="G752" s="1839" t="s">
        <v>500</v>
      </c>
      <c r="H752" s="1839" t="s">
        <v>1078</v>
      </c>
      <c r="I752" s="1831" t="s">
        <v>1061</v>
      </c>
      <c r="J752" s="1831"/>
    </row>
    <row r="753" spans="1:10" ht="15" hidden="1" x14ac:dyDescent="0.35">
      <c r="A753" s="1831" t="s">
        <v>1193</v>
      </c>
      <c r="B753" s="1839" t="s">
        <v>1194</v>
      </c>
      <c r="C753" s="1839" t="s">
        <v>410</v>
      </c>
      <c r="D753" s="1839" t="s">
        <v>1195</v>
      </c>
      <c r="E753" s="1840">
        <v>45419</v>
      </c>
      <c r="F753" s="1840"/>
      <c r="G753" s="1839" t="s">
        <v>500</v>
      </c>
      <c r="H753" s="1839" t="s">
        <v>1065</v>
      </c>
      <c r="I753" s="1831" t="s">
        <v>1066</v>
      </c>
      <c r="J753" s="1831"/>
    </row>
    <row r="754" spans="1:10" ht="15" hidden="1" x14ac:dyDescent="0.35">
      <c r="A754" s="8" t="s">
        <v>1196</v>
      </c>
      <c r="B754" t="s">
        <v>1197</v>
      </c>
      <c r="C754" t="s">
        <v>1144</v>
      </c>
      <c r="D754" t="s">
        <v>1198</v>
      </c>
      <c r="E754" s="9">
        <v>45702</v>
      </c>
      <c r="F754" s="9">
        <v>45943</v>
      </c>
      <c r="G754" t="s">
        <v>494</v>
      </c>
      <c r="H754" t="s">
        <v>1060</v>
      </c>
      <c r="I754" t="s">
        <v>1061</v>
      </c>
      <c r="J754"/>
    </row>
    <row r="755" spans="1:10" ht="15" hidden="1" x14ac:dyDescent="0.35">
      <c r="A755" s="8" t="s">
        <v>1199</v>
      </c>
      <c r="B755" t="s">
        <v>1200</v>
      </c>
      <c r="C755" t="s">
        <v>600</v>
      </c>
      <c r="D755" t="s">
        <v>1201</v>
      </c>
      <c r="E755" s="9">
        <v>44210</v>
      </c>
      <c r="F755" s="9">
        <v>45784</v>
      </c>
      <c r="G755" t="s">
        <v>494</v>
      </c>
      <c r="H755" t="s">
        <v>1065</v>
      </c>
      <c r="I755" t="s">
        <v>1066</v>
      </c>
      <c r="J755"/>
    </row>
    <row r="756" spans="1:10" ht="15" hidden="1" x14ac:dyDescent="0.35">
      <c r="A756" s="1831" t="s">
        <v>1202</v>
      </c>
      <c r="B756" s="1839" t="s">
        <v>1203</v>
      </c>
      <c r="C756" s="1839" t="s">
        <v>578</v>
      </c>
      <c r="D756" s="1839" t="s">
        <v>1204</v>
      </c>
      <c r="E756" s="1840">
        <v>44399</v>
      </c>
      <c r="F756" s="1840"/>
      <c r="G756" s="1839" t="s">
        <v>500</v>
      </c>
      <c r="H756" s="1839" t="s">
        <v>1065</v>
      </c>
      <c r="I756" s="1831" t="s">
        <v>1066</v>
      </c>
      <c r="J756" s="1831"/>
    </row>
    <row r="757" spans="1:10" ht="15" hidden="1" x14ac:dyDescent="0.35">
      <c r="A757" s="1831" t="s">
        <v>1205</v>
      </c>
      <c r="B757" s="1839" t="s">
        <v>1206</v>
      </c>
      <c r="C757" s="1839" t="s">
        <v>444</v>
      </c>
      <c r="D757" s="1839" t="s">
        <v>1207</v>
      </c>
      <c r="E757" s="1840">
        <v>44753</v>
      </c>
      <c r="F757" s="1840"/>
      <c r="G757" s="1839" t="s">
        <v>500</v>
      </c>
      <c r="H757" s="1839" t="s">
        <v>1065</v>
      </c>
      <c r="I757" s="1831" t="s">
        <v>1066</v>
      </c>
      <c r="J757" s="1831"/>
    </row>
    <row r="758" spans="1:10" ht="15" hidden="1" x14ac:dyDescent="0.35">
      <c r="A758" s="1831" t="s">
        <v>1208</v>
      </c>
      <c r="B758" s="1839" t="s">
        <v>1209</v>
      </c>
      <c r="C758" s="1839" t="s">
        <v>410</v>
      </c>
      <c r="D758" s="1839" t="s">
        <v>1210</v>
      </c>
      <c r="E758" s="1840">
        <v>45846</v>
      </c>
      <c r="F758" s="1840"/>
      <c r="G758" s="1839" t="s">
        <v>500</v>
      </c>
      <c r="H758" s="1839" t="s">
        <v>1065</v>
      </c>
      <c r="I758" s="1831" t="s">
        <v>1066</v>
      </c>
      <c r="J758" s="1831"/>
    </row>
    <row r="759" spans="1:10" ht="15" hidden="1" x14ac:dyDescent="0.35">
      <c r="A759" s="1831" t="s">
        <v>1211</v>
      </c>
      <c r="B759" s="1839" t="s">
        <v>1212</v>
      </c>
      <c r="C759" s="1839" t="s">
        <v>1213</v>
      </c>
      <c r="D759" s="1839" t="s">
        <v>1214</v>
      </c>
      <c r="E759" s="1840">
        <v>45110</v>
      </c>
      <c r="F759" s="1840"/>
      <c r="G759" s="1839" t="s">
        <v>500</v>
      </c>
      <c r="H759" s="1839" t="s">
        <v>1060</v>
      </c>
      <c r="I759" s="1831" t="s">
        <v>1061</v>
      </c>
      <c r="J759" s="1831"/>
    </row>
    <row r="760" spans="1:10" ht="15" hidden="1" x14ac:dyDescent="0.35">
      <c r="A760" s="1831" t="s">
        <v>1215</v>
      </c>
      <c r="B760" s="1839" t="s">
        <v>1216</v>
      </c>
      <c r="C760" s="1839" t="s">
        <v>420</v>
      </c>
      <c r="D760" s="1839" t="s">
        <v>1217</v>
      </c>
      <c r="E760" s="1840">
        <v>45779</v>
      </c>
      <c r="F760" s="1840"/>
      <c r="G760" s="1839" t="s">
        <v>500</v>
      </c>
      <c r="H760" s="1839" t="s">
        <v>1093</v>
      </c>
      <c r="I760" s="1831" t="s">
        <v>1066</v>
      </c>
      <c r="J760" s="1831"/>
    </row>
    <row r="761" spans="1:10" ht="15" hidden="1" x14ac:dyDescent="0.35">
      <c r="A761" s="1831" t="s">
        <v>1218</v>
      </c>
      <c r="B761" s="1839" t="s">
        <v>1219</v>
      </c>
      <c r="C761" s="1839" t="s">
        <v>1088</v>
      </c>
      <c r="D761" s="1839" t="s">
        <v>1220</v>
      </c>
      <c r="E761" s="1840">
        <v>46128</v>
      </c>
      <c r="F761" s="1840"/>
      <c r="G761" s="1839" t="s">
        <v>500</v>
      </c>
      <c r="H761" s="1839" t="s">
        <v>1060</v>
      </c>
      <c r="I761" s="1831" t="s">
        <v>1061</v>
      </c>
      <c r="J761" s="1831"/>
    </row>
    <row r="762" spans="1:10" ht="15" hidden="1" x14ac:dyDescent="0.35">
      <c r="A762" s="1831" t="s">
        <v>1221</v>
      </c>
      <c r="B762" s="1839" t="s">
        <v>1222</v>
      </c>
      <c r="C762" s="1839" t="s">
        <v>437</v>
      </c>
      <c r="D762" s="1839" t="s">
        <v>1223</v>
      </c>
      <c r="E762" s="1840">
        <v>44994</v>
      </c>
      <c r="F762" s="1840"/>
      <c r="G762" s="1839" t="s">
        <v>500</v>
      </c>
      <c r="H762" s="1839" t="s">
        <v>1065</v>
      </c>
      <c r="I762" s="1831" t="s">
        <v>1066</v>
      </c>
      <c r="J762" s="1831"/>
    </row>
    <row r="763" spans="1:10" ht="15" hidden="1" x14ac:dyDescent="0.35">
      <c r="A763" s="1831" t="s">
        <v>1224</v>
      </c>
      <c r="B763" s="1839" t="s">
        <v>1225</v>
      </c>
      <c r="C763" s="1839" t="s">
        <v>1144</v>
      </c>
      <c r="D763" s="1839" t="s">
        <v>1226</v>
      </c>
      <c r="E763" s="1840">
        <v>46148</v>
      </c>
      <c r="F763" s="1840"/>
      <c r="G763" s="1839" t="s">
        <v>500</v>
      </c>
      <c r="H763" s="1839" t="s">
        <v>1060</v>
      </c>
      <c r="I763" s="1831" t="s">
        <v>1061</v>
      </c>
      <c r="J763" s="1831"/>
    </row>
    <row r="764" spans="1:10" ht="15" hidden="1" x14ac:dyDescent="0.35">
      <c r="A764" s="1831" t="s">
        <v>1227</v>
      </c>
      <c r="B764" s="1839" t="s">
        <v>1228</v>
      </c>
      <c r="C764" s="1839" t="s">
        <v>1229</v>
      </c>
      <c r="D764" s="1839" t="s">
        <v>1230</v>
      </c>
      <c r="E764" s="1840">
        <v>46121</v>
      </c>
      <c r="F764" s="1840"/>
      <c r="G764" s="1839" t="s">
        <v>500</v>
      </c>
      <c r="H764" s="1839" t="s">
        <v>1065</v>
      </c>
      <c r="I764" s="1831" t="s">
        <v>1066</v>
      </c>
      <c r="J764" s="1831"/>
    </row>
    <row r="765" spans="1:10" ht="15" hidden="1" x14ac:dyDescent="0.35">
      <c r="A765" s="1831" t="s">
        <v>1231</v>
      </c>
      <c r="B765" s="1839" t="s">
        <v>1232</v>
      </c>
      <c r="C765" s="1839" t="s">
        <v>578</v>
      </c>
      <c r="D765" s="1839" t="s">
        <v>1233</v>
      </c>
      <c r="E765" s="1840">
        <v>45713</v>
      </c>
      <c r="F765" s="1840"/>
      <c r="G765" s="1839" t="s">
        <v>500</v>
      </c>
      <c r="H765" s="1839" t="s">
        <v>1060</v>
      </c>
      <c r="I765" s="1831" t="s">
        <v>1061</v>
      </c>
      <c r="J765" s="1831"/>
    </row>
    <row r="766" spans="1:10" ht="15" hidden="1" x14ac:dyDescent="0.35">
      <c r="A766" s="1831" t="s">
        <v>1234</v>
      </c>
      <c r="B766" s="1839" t="s">
        <v>1235</v>
      </c>
      <c r="C766" s="1839" t="s">
        <v>874</v>
      </c>
      <c r="D766" s="1839" t="s">
        <v>1236</v>
      </c>
      <c r="E766" s="1840">
        <v>45708</v>
      </c>
      <c r="F766" s="1840"/>
      <c r="G766" s="1839" t="s">
        <v>500</v>
      </c>
      <c r="H766" s="1839" t="s">
        <v>1060</v>
      </c>
      <c r="I766" s="1831" t="s">
        <v>1061</v>
      </c>
      <c r="J766" s="1831"/>
    </row>
    <row r="767" spans="1:10" ht="15" hidden="1" x14ac:dyDescent="0.35">
      <c r="A767" s="1831" t="s">
        <v>1237</v>
      </c>
      <c r="B767" s="1839" t="s">
        <v>1238</v>
      </c>
      <c r="C767" s="1839" t="s">
        <v>421</v>
      </c>
      <c r="D767" s="1839" t="s">
        <v>1239</v>
      </c>
      <c r="E767" s="1840">
        <v>45419</v>
      </c>
      <c r="F767" s="1840"/>
      <c r="G767" s="1839" t="s">
        <v>500</v>
      </c>
      <c r="H767" s="1839" t="s">
        <v>1065</v>
      </c>
      <c r="I767" s="1831" t="s">
        <v>1066</v>
      </c>
      <c r="J767" s="1831"/>
    </row>
    <row r="768" spans="1:10" ht="15" hidden="1" x14ac:dyDescent="0.35">
      <c r="A768" s="1831" t="s">
        <v>1240</v>
      </c>
      <c r="B768" s="1839" t="s">
        <v>1241</v>
      </c>
      <c r="C768" s="1839" t="s">
        <v>578</v>
      </c>
      <c r="D768" s="1839" t="s">
        <v>1242</v>
      </c>
      <c r="E768" s="1840">
        <v>45306</v>
      </c>
      <c r="F768" s="1840"/>
      <c r="G768" s="1839" t="s">
        <v>500</v>
      </c>
      <c r="H768" s="1839" t="s">
        <v>1065</v>
      </c>
      <c r="I768" s="1831" t="s">
        <v>1066</v>
      </c>
      <c r="J768" s="1831"/>
    </row>
    <row r="769" spans="1:10" ht="15" hidden="1" x14ac:dyDescent="0.35">
      <c r="A769" s="1831" t="s">
        <v>1243</v>
      </c>
      <c r="B769" s="1839" t="s">
        <v>1244</v>
      </c>
      <c r="C769" s="1839" t="s">
        <v>436</v>
      </c>
      <c r="D769" s="1839" t="s">
        <v>1245</v>
      </c>
      <c r="E769" s="1840">
        <v>45419</v>
      </c>
      <c r="F769" s="1840"/>
      <c r="G769" s="1839" t="s">
        <v>500</v>
      </c>
      <c r="H769" s="1839" t="s">
        <v>1093</v>
      </c>
      <c r="I769" s="1831" t="s">
        <v>1066</v>
      </c>
      <c r="J769" s="1831"/>
    </row>
    <row r="770" spans="1:10" ht="15" hidden="1" x14ac:dyDescent="0.35">
      <c r="A770" s="1831" t="s">
        <v>1246</v>
      </c>
      <c r="B770" s="1839" t="s">
        <v>1247</v>
      </c>
      <c r="C770" s="1839" t="s">
        <v>1148</v>
      </c>
      <c r="D770" s="1839" t="s">
        <v>1248</v>
      </c>
      <c r="E770" s="1840">
        <v>43070</v>
      </c>
      <c r="F770" s="1840"/>
      <c r="G770" s="1839" t="s">
        <v>500</v>
      </c>
      <c r="H770" s="1839" t="s">
        <v>1065</v>
      </c>
      <c r="I770" s="1831" t="s">
        <v>1066</v>
      </c>
      <c r="J770" s="1831"/>
    </row>
    <row r="771" spans="1:10" ht="15" hidden="1" x14ac:dyDescent="0.35">
      <c r="A771" s="1831" t="s">
        <v>1249</v>
      </c>
      <c r="B771" s="1839" t="s">
        <v>1250</v>
      </c>
      <c r="C771" s="1839" t="s">
        <v>796</v>
      </c>
      <c r="D771" s="1839" t="s">
        <v>1251</v>
      </c>
      <c r="E771" s="1840">
        <v>45751</v>
      </c>
      <c r="F771" s="1840"/>
      <c r="G771" s="1839" t="s">
        <v>525</v>
      </c>
      <c r="H771" s="1839" t="s">
        <v>1078</v>
      </c>
      <c r="I771" s="1831" t="s">
        <v>1061</v>
      </c>
      <c r="J771" s="1831"/>
    </row>
    <row r="772" spans="1:10" ht="15" hidden="1" x14ac:dyDescent="0.35">
      <c r="A772" s="8" t="s">
        <v>1252</v>
      </c>
      <c r="B772" t="s">
        <v>1253</v>
      </c>
      <c r="C772" t="s">
        <v>591</v>
      </c>
      <c r="D772" t="s">
        <v>1254</v>
      </c>
      <c r="E772" s="9">
        <v>45846</v>
      </c>
      <c r="F772" s="9">
        <v>46027</v>
      </c>
      <c r="G772" t="s">
        <v>494</v>
      </c>
      <c r="H772" t="s">
        <v>1093</v>
      </c>
      <c r="I772" t="s">
        <v>1066</v>
      </c>
      <c r="J772"/>
    </row>
    <row r="773" spans="1:10" ht="15" hidden="1" x14ac:dyDescent="0.35">
      <c r="A773" s="1831" t="s">
        <v>1255</v>
      </c>
      <c r="B773" s="1839" t="s">
        <v>1256</v>
      </c>
      <c r="C773" s="1839" t="s">
        <v>443</v>
      </c>
      <c r="D773" s="1839" t="s">
        <v>1257</v>
      </c>
      <c r="E773" s="1840">
        <v>45376</v>
      </c>
      <c r="F773" s="1840"/>
      <c r="G773" s="1839" t="s">
        <v>500</v>
      </c>
      <c r="H773" s="1839" t="s">
        <v>1060</v>
      </c>
      <c r="I773" s="1831" t="s">
        <v>1061</v>
      </c>
      <c r="J773" s="1831"/>
    </row>
    <row r="774" spans="1:10" ht="15" hidden="1" x14ac:dyDescent="0.35">
      <c r="A774" s="1831" t="s">
        <v>1258</v>
      </c>
      <c r="B774" s="1839" t="s">
        <v>1259</v>
      </c>
      <c r="C774" s="1839" t="s">
        <v>420</v>
      </c>
      <c r="D774" s="1839" t="s">
        <v>1260</v>
      </c>
      <c r="E774" s="1840">
        <v>45376</v>
      </c>
      <c r="F774" s="1840"/>
      <c r="G774" s="1839" t="s">
        <v>500</v>
      </c>
      <c r="H774" s="1839" t="s">
        <v>1078</v>
      </c>
      <c r="I774" s="1831" t="s">
        <v>1061</v>
      </c>
      <c r="J774" s="1831"/>
    </row>
    <row r="775" spans="1:10" ht="15" hidden="1" x14ac:dyDescent="0.35">
      <c r="A775" s="8" t="s">
        <v>1261</v>
      </c>
      <c r="B775" t="s">
        <v>1262</v>
      </c>
      <c r="C775" t="s">
        <v>1263</v>
      </c>
      <c r="D775" t="s">
        <v>1264</v>
      </c>
      <c r="E775" s="9">
        <v>45701</v>
      </c>
      <c r="F775" s="9">
        <v>46059</v>
      </c>
      <c r="G775" t="s">
        <v>494</v>
      </c>
      <c r="H775" t="s">
        <v>1078</v>
      </c>
      <c r="I775" t="s">
        <v>1061</v>
      </c>
      <c r="J775"/>
    </row>
    <row r="776" spans="1:10" ht="15" hidden="1" x14ac:dyDescent="0.35">
      <c r="A776" s="8" t="s">
        <v>1265</v>
      </c>
      <c r="B776" t="s">
        <v>1266</v>
      </c>
      <c r="C776" t="s">
        <v>411</v>
      </c>
      <c r="D776" t="s">
        <v>1267</v>
      </c>
      <c r="E776" s="9">
        <v>45877</v>
      </c>
      <c r="F776" s="9">
        <v>46042</v>
      </c>
      <c r="G776" t="s">
        <v>494</v>
      </c>
      <c r="H776" t="s">
        <v>1065</v>
      </c>
      <c r="I776" t="s">
        <v>1066</v>
      </c>
      <c r="J776"/>
    </row>
    <row r="777" spans="1:10" ht="15" hidden="1" x14ac:dyDescent="0.35">
      <c r="A777" s="8" t="s">
        <v>1268</v>
      </c>
      <c r="B777" t="s">
        <v>1269</v>
      </c>
      <c r="C777" t="s">
        <v>420</v>
      </c>
      <c r="D777" t="s">
        <v>1270</v>
      </c>
      <c r="E777" s="9">
        <v>46029</v>
      </c>
      <c r="F777" s="9">
        <v>46097</v>
      </c>
      <c r="G777" t="s">
        <v>494</v>
      </c>
      <c r="H777" t="s">
        <v>1078</v>
      </c>
      <c r="I777" t="s">
        <v>1061</v>
      </c>
      <c r="J777"/>
    </row>
    <row r="778" spans="1:10" ht="15" hidden="1" x14ac:dyDescent="0.35">
      <c r="A778" s="8" t="s">
        <v>1271</v>
      </c>
      <c r="B778" t="s">
        <v>1272</v>
      </c>
      <c r="C778" t="s">
        <v>420</v>
      </c>
      <c r="D778" t="s">
        <v>1273</v>
      </c>
      <c r="E778" s="9">
        <v>45721</v>
      </c>
      <c r="F778" s="9">
        <v>45792</v>
      </c>
      <c r="G778" t="s">
        <v>494</v>
      </c>
      <c r="H778" t="s">
        <v>1093</v>
      </c>
      <c r="I778" t="s">
        <v>1066</v>
      </c>
      <c r="J778"/>
    </row>
    <row r="779" spans="1:10" ht="15" hidden="1" x14ac:dyDescent="0.35">
      <c r="A779" s="1831" t="s">
        <v>1274</v>
      </c>
      <c r="B779" s="1839" t="s">
        <v>1275</v>
      </c>
      <c r="C779" s="1839" t="s">
        <v>1144</v>
      </c>
      <c r="D779" s="1839" t="s">
        <v>1276</v>
      </c>
      <c r="E779" s="1840">
        <v>46127</v>
      </c>
      <c r="F779" s="1840"/>
      <c r="G779" s="1839" t="s">
        <v>500</v>
      </c>
      <c r="H779" s="1839" t="s">
        <v>1060</v>
      </c>
      <c r="I779" s="1831" t="s">
        <v>1061</v>
      </c>
      <c r="J779" s="1831"/>
    </row>
    <row r="780" spans="1:10" ht="15" hidden="1" x14ac:dyDescent="0.35">
      <c r="A780" s="1831" t="s">
        <v>1277</v>
      </c>
      <c r="B780" s="1839" t="s">
        <v>1278</v>
      </c>
      <c r="C780" s="1839" t="s">
        <v>415</v>
      </c>
      <c r="D780" s="1839" t="s">
        <v>1279</v>
      </c>
      <c r="E780" s="1840">
        <v>46146</v>
      </c>
      <c r="F780" s="1840"/>
      <c r="G780" s="1839" t="s">
        <v>500</v>
      </c>
      <c r="H780" s="1839" t="s">
        <v>1060</v>
      </c>
      <c r="I780" s="1831" t="s">
        <v>1061</v>
      </c>
      <c r="J780" s="1831"/>
    </row>
    <row r="781" spans="1:10" ht="15" hidden="1" x14ac:dyDescent="0.35">
      <c r="A781" s="8" t="s">
        <v>1280</v>
      </c>
      <c r="B781" t="s">
        <v>1281</v>
      </c>
      <c r="C781" t="s">
        <v>1148</v>
      </c>
      <c r="D781" t="s">
        <v>1282</v>
      </c>
      <c r="E781" s="9">
        <v>44768</v>
      </c>
      <c r="F781" s="9">
        <v>45813</v>
      </c>
      <c r="G781" t="s">
        <v>494</v>
      </c>
      <c r="H781" t="s">
        <v>1060</v>
      </c>
      <c r="I781" t="s">
        <v>1061</v>
      </c>
      <c r="J781"/>
    </row>
    <row r="782" spans="1:10" ht="15" hidden="1" x14ac:dyDescent="0.35">
      <c r="A782" s="1831" t="s">
        <v>1283</v>
      </c>
      <c r="B782" s="1839" t="s">
        <v>1284</v>
      </c>
      <c r="C782" s="1839" t="s">
        <v>1088</v>
      </c>
      <c r="D782" s="1839" t="s">
        <v>1285</v>
      </c>
      <c r="E782" s="1840">
        <v>46090</v>
      </c>
      <c r="F782" s="1840"/>
      <c r="G782" s="1839" t="s">
        <v>500</v>
      </c>
      <c r="H782" s="1839" t="s">
        <v>1065</v>
      </c>
      <c r="I782" s="1831" t="s">
        <v>1066</v>
      </c>
      <c r="J782" s="1831"/>
    </row>
    <row r="783" spans="1:10" ht="15" hidden="1" x14ac:dyDescent="0.35">
      <c r="A783" s="8" t="s">
        <v>1286</v>
      </c>
      <c r="B783" t="s">
        <v>1287</v>
      </c>
      <c r="C783" t="s">
        <v>591</v>
      </c>
      <c r="D783" t="s">
        <v>1288</v>
      </c>
      <c r="E783" s="9">
        <v>45859</v>
      </c>
      <c r="G783" t="s">
        <v>634</v>
      </c>
      <c r="H783" t="s">
        <v>1078</v>
      </c>
      <c r="I783" t="s">
        <v>1061</v>
      </c>
      <c r="J783"/>
    </row>
    <row r="784" spans="1:10" ht="15" hidden="1" x14ac:dyDescent="0.35">
      <c r="A784" s="1831" t="s">
        <v>1289</v>
      </c>
      <c r="B784" s="1839" t="s">
        <v>1290</v>
      </c>
      <c r="C784" s="1839" t="s">
        <v>1291</v>
      </c>
      <c r="D784" s="1839" t="s">
        <v>1292</v>
      </c>
      <c r="E784" s="1840">
        <v>45772</v>
      </c>
      <c r="F784" s="1840"/>
      <c r="G784" s="1839" t="s">
        <v>500</v>
      </c>
      <c r="H784" s="1839" t="s">
        <v>1060</v>
      </c>
      <c r="I784" s="1831" t="s">
        <v>1061</v>
      </c>
      <c r="J784" s="1831"/>
    </row>
    <row r="785" spans="1:10" ht="15" hidden="1" x14ac:dyDescent="0.35">
      <c r="A785" s="1831" t="s">
        <v>1293</v>
      </c>
      <c r="B785" s="1839" t="s">
        <v>1294</v>
      </c>
      <c r="C785" s="1839" t="s">
        <v>420</v>
      </c>
      <c r="D785" s="1839" t="s">
        <v>1295</v>
      </c>
      <c r="E785" s="1840">
        <v>45383</v>
      </c>
      <c r="F785" s="1840"/>
      <c r="G785" s="1839" t="s">
        <v>500</v>
      </c>
      <c r="H785" s="1839" t="s">
        <v>1078</v>
      </c>
      <c r="I785" s="1831" t="s">
        <v>1061</v>
      </c>
      <c r="J785" s="1831"/>
    </row>
    <row r="786" spans="1:10" ht="15" hidden="1" x14ac:dyDescent="0.35">
      <c r="A786" s="1831" t="s">
        <v>1296</v>
      </c>
      <c r="B786" s="1839" t="s">
        <v>1297</v>
      </c>
      <c r="C786" s="1839" t="s">
        <v>425</v>
      </c>
      <c r="D786" s="1839" t="s">
        <v>1298</v>
      </c>
      <c r="E786" s="1840">
        <v>45772</v>
      </c>
      <c r="F786" s="1840"/>
      <c r="G786" s="1839" t="s">
        <v>500</v>
      </c>
      <c r="H786" s="1839" t="s">
        <v>1065</v>
      </c>
      <c r="I786" s="1831" t="s">
        <v>1066</v>
      </c>
      <c r="J786" s="1831"/>
    </row>
    <row r="787" spans="1:10" ht="15" hidden="1" x14ac:dyDescent="0.35">
      <c r="A787" s="1831" t="s">
        <v>1299</v>
      </c>
      <c r="B787" s="1839" t="s">
        <v>1300</v>
      </c>
      <c r="C787" s="1839" t="s">
        <v>420</v>
      </c>
      <c r="D787" s="1839" t="s">
        <v>1301</v>
      </c>
      <c r="E787" s="1840">
        <v>45993</v>
      </c>
      <c r="F787" s="1840"/>
      <c r="G787" s="1839" t="s">
        <v>500</v>
      </c>
      <c r="H787" s="1839" t="s">
        <v>1078</v>
      </c>
      <c r="I787" s="1831" t="s">
        <v>1061</v>
      </c>
      <c r="J787" s="1831"/>
    </row>
    <row r="788" spans="1:10" ht="15" hidden="1" x14ac:dyDescent="0.35">
      <c r="A788" s="1831" t="s">
        <v>1302</v>
      </c>
      <c r="B788" s="1839" t="s">
        <v>1303</v>
      </c>
      <c r="C788" s="1839" t="s">
        <v>450</v>
      </c>
      <c r="D788" s="1839" t="s">
        <v>1304</v>
      </c>
      <c r="E788" s="1840">
        <v>45377</v>
      </c>
      <c r="F788" s="1840"/>
      <c r="G788" s="1839" t="s">
        <v>500</v>
      </c>
      <c r="H788" s="1839" t="s">
        <v>1078</v>
      </c>
      <c r="I788" s="1831" t="s">
        <v>1061</v>
      </c>
      <c r="J788" s="1831"/>
    </row>
    <row r="789" spans="1:10" ht="15" hidden="1" x14ac:dyDescent="0.35">
      <c r="A789" s="8" t="s">
        <v>1305</v>
      </c>
      <c r="B789" t="s">
        <v>1306</v>
      </c>
      <c r="C789" t="s">
        <v>425</v>
      </c>
      <c r="D789" t="s">
        <v>1307</v>
      </c>
      <c r="E789" s="9">
        <v>45873</v>
      </c>
      <c r="F789" s="9">
        <v>46083</v>
      </c>
      <c r="G789" t="s">
        <v>494</v>
      </c>
      <c r="H789" t="s">
        <v>1065</v>
      </c>
      <c r="I789" t="s">
        <v>1066</v>
      </c>
      <c r="J789"/>
    </row>
    <row r="790" spans="1:10" ht="15" hidden="1" x14ac:dyDescent="0.35">
      <c r="A790" s="8" t="s">
        <v>1308</v>
      </c>
      <c r="B790" t="s">
        <v>1309</v>
      </c>
      <c r="C790" t="s">
        <v>457</v>
      </c>
      <c r="D790" t="s">
        <v>1310</v>
      </c>
      <c r="E790" s="9">
        <v>45938</v>
      </c>
      <c r="F790" s="9">
        <v>46084</v>
      </c>
      <c r="G790" t="s">
        <v>494</v>
      </c>
      <c r="H790" t="s">
        <v>1060</v>
      </c>
      <c r="I790" t="s">
        <v>1061</v>
      </c>
      <c r="J790"/>
    </row>
    <row r="791" spans="1:10" ht="15" hidden="1" x14ac:dyDescent="0.35">
      <c r="A791" s="1831" t="s">
        <v>1311</v>
      </c>
      <c r="B791" s="1839" t="s">
        <v>1312</v>
      </c>
      <c r="C791" s="1839" t="s">
        <v>413</v>
      </c>
      <c r="D791" s="1839" t="s">
        <v>1313</v>
      </c>
      <c r="E791" s="1840">
        <v>46146</v>
      </c>
      <c r="F791" s="1840"/>
      <c r="G791" s="1839" t="s">
        <v>500</v>
      </c>
      <c r="H791" s="1839" t="s">
        <v>1065</v>
      </c>
      <c r="I791" s="1831" t="s">
        <v>1066</v>
      </c>
      <c r="J791" s="1831"/>
    </row>
    <row r="792" spans="1:10" ht="15" hidden="1" x14ac:dyDescent="0.35">
      <c r="A792" s="1831" t="s">
        <v>1314</v>
      </c>
      <c r="B792" s="1839" t="s">
        <v>1315</v>
      </c>
      <c r="C792" s="1839" t="s">
        <v>420</v>
      </c>
      <c r="D792" s="1839" t="s">
        <v>1316</v>
      </c>
      <c r="E792" s="1840">
        <v>45387</v>
      </c>
      <c r="F792" s="1840"/>
      <c r="G792" s="1839" t="s">
        <v>500</v>
      </c>
      <c r="H792" s="1839" t="s">
        <v>1078</v>
      </c>
      <c r="I792" s="1831" t="s">
        <v>1061</v>
      </c>
      <c r="J792" s="1831"/>
    </row>
    <row r="793" spans="1:10" ht="15" hidden="1" x14ac:dyDescent="0.35">
      <c r="A793" s="1831" t="s">
        <v>1317</v>
      </c>
      <c r="B793" s="1839" t="s">
        <v>1318</v>
      </c>
      <c r="C793" s="1839" t="s">
        <v>420</v>
      </c>
      <c r="D793" s="1839" t="s">
        <v>1319</v>
      </c>
      <c r="E793" s="1840">
        <v>46059</v>
      </c>
      <c r="F793" s="1840"/>
      <c r="G793" s="1839" t="s">
        <v>500</v>
      </c>
      <c r="H793" s="1839" t="s">
        <v>1093</v>
      </c>
      <c r="I793" s="1831" t="s">
        <v>1066</v>
      </c>
      <c r="J793" s="1831"/>
    </row>
    <row r="794" spans="1:10" ht="15" hidden="1" x14ac:dyDescent="0.35">
      <c r="A794" s="1831" t="s">
        <v>1320</v>
      </c>
      <c r="B794" s="1839" t="s">
        <v>1321</v>
      </c>
      <c r="C794" s="1839" t="s">
        <v>578</v>
      </c>
      <c r="D794" s="1839" t="s">
        <v>1322</v>
      </c>
      <c r="E794" s="1840">
        <v>45148</v>
      </c>
      <c r="F794" s="1840"/>
      <c r="G794" s="1839" t="s">
        <v>500</v>
      </c>
      <c r="H794" s="1839" t="s">
        <v>1065</v>
      </c>
      <c r="I794" s="1831" t="s">
        <v>1066</v>
      </c>
      <c r="J794" s="1831"/>
    </row>
    <row r="795" spans="1:10" ht="15" hidden="1" x14ac:dyDescent="0.35">
      <c r="A795" s="8" t="s">
        <v>1323</v>
      </c>
      <c r="B795" t="s">
        <v>1324</v>
      </c>
      <c r="C795" t="s">
        <v>420</v>
      </c>
      <c r="D795" t="s">
        <v>1325</v>
      </c>
      <c r="E795" s="9">
        <v>45420</v>
      </c>
      <c r="F795" s="9">
        <v>45950</v>
      </c>
      <c r="G795" t="s">
        <v>494</v>
      </c>
      <c r="H795" t="s">
        <v>1093</v>
      </c>
      <c r="I795" t="s">
        <v>1066</v>
      </c>
      <c r="J795"/>
    </row>
    <row r="796" spans="1:10" ht="15" hidden="1" x14ac:dyDescent="0.35">
      <c r="A796" s="8" t="s">
        <v>1326</v>
      </c>
      <c r="B796" t="s">
        <v>1327</v>
      </c>
      <c r="C796" t="s">
        <v>420</v>
      </c>
      <c r="D796" t="s">
        <v>1328</v>
      </c>
      <c r="E796" s="9">
        <v>45419</v>
      </c>
      <c r="F796" s="9">
        <v>45847</v>
      </c>
      <c r="G796" t="s">
        <v>494</v>
      </c>
      <c r="H796" t="s">
        <v>1093</v>
      </c>
      <c r="I796" t="s">
        <v>1066</v>
      </c>
      <c r="J796"/>
    </row>
    <row r="797" spans="1:10" ht="15" hidden="1" x14ac:dyDescent="0.35">
      <c r="A797" s="1831" t="s">
        <v>1329</v>
      </c>
      <c r="B797" s="1839" t="s">
        <v>1330</v>
      </c>
      <c r="C797" s="1839" t="s">
        <v>1213</v>
      </c>
      <c r="D797" s="1839" t="s">
        <v>1331</v>
      </c>
      <c r="E797" s="1840">
        <v>45377</v>
      </c>
      <c r="F797" s="1840"/>
      <c r="G797" s="1839" t="s">
        <v>500</v>
      </c>
      <c r="H797" s="1839" t="s">
        <v>1060</v>
      </c>
      <c r="I797" s="1831" t="s">
        <v>1061</v>
      </c>
      <c r="J797" s="1831"/>
    </row>
    <row r="798" spans="1:10" ht="15" hidden="1" x14ac:dyDescent="0.35">
      <c r="A798" s="1831" t="s">
        <v>1332</v>
      </c>
      <c r="B798" s="1839" t="s">
        <v>1333</v>
      </c>
      <c r="C798" s="1839" t="s">
        <v>457</v>
      </c>
      <c r="D798" s="1839" t="s">
        <v>1334</v>
      </c>
      <c r="E798" s="1840">
        <v>45793</v>
      </c>
      <c r="F798" s="1840"/>
      <c r="G798" s="1839" t="s">
        <v>500</v>
      </c>
      <c r="H798" s="1839" t="s">
        <v>1065</v>
      </c>
      <c r="I798" s="1831" t="s">
        <v>1066</v>
      </c>
      <c r="J798" s="1831"/>
    </row>
    <row r="799" spans="1:10" ht="15" hidden="1" x14ac:dyDescent="0.35">
      <c r="A799" s="1831" t="s">
        <v>1335</v>
      </c>
      <c r="B799" s="1839" t="s">
        <v>1336</v>
      </c>
      <c r="C799" s="1839" t="s">
        <v>420</v>
      </c>
      <c r="D799" s="1839" t="s">
        <v>1337</v>
      </c>
      <c r="E799" s="1840">
        <v>45783</v>
      </c>
      <c r="F799" s="1840"/>
      <c r="G799" s="1839" t="s">
        <v>500</v>
      </c>
      <c r="H799" s="1839" t="s">
        <v>1093</v>
      </c>
      <c r="I799" s="1831" t="s">
        <v>1066</v>
      </c>
      <c r="J799" s="1831"/>
    </row>
    <row r="800" spans="1:10" ht="15" hidden="1" x14ac:dyDescent="0.35">
      <c r="A800" s="1831" t="s">
        <v>1338</v>
      </c>
      <c r="B800" s="1839" t="s">
        <v>1339</v>
      </c>
      <c r="C800" s="1839" t="s">
        <v>420</v>
      </c>
      <c r="D800" s="1839" t="s">
        <v>1340</v>
      </c>
      <c r="E800" s="1840">
        <v>45419</v>
      </c>
      <c r="F800" s="1840"/>
      <c r="G800" s="1839" t="s">
        <v>500</v>
      </c>
      <c r="H800" s="1839" t="s">
        <v>1093</v>
      </c>
      <c r="I800" s="1831" t="s">
        <v>1066</v>
      </c>
      <c r="J800" s="1831"/>
    </row>
    <row r="801" spans="1:10" ht="15" hidden="1" x14ac:dyDescent="0.35">
      <c r="A801" s="8" t="s">
        <v>1341</v>
      </c>
      <c r="B801" t="s">
        <v>1342</v>
      </c>
      <c r="C801" t="s">
        <v>420</v>
      </c>
      <c r="D801" t="s">
        <v>1343</v>
      </c>
      <c r="E801" s="9">
        <v>45566</v>
      </c>
      <c r="F801" s="9">
        <v>46101</v>
      </c>
      <c r="G801" t="s">
        <v>494</v>
      </c>
      <c r="H801" t="s">
        <v>1093</v>
      </c>
      <c r="I801" t="s">
        <v>1066</v>
      </c>
      <c r="J801"/>
    </row>
    <row r="802" spans="1:10" ht="15" hidden="1" x14ac:dyDescent="0.35">
      <c r="A802" s="1831" t="s">
        <v>1344</v>
      </c>
      <c r="B802" s="1839" t="s">
        <v>1345</v>
      </c>
      <c r="C802" s="1839" t="s">
        <v>430</v>
      </c>
      <c r="D802" s="1839" t="s">
        <v>1346</v>
      </c>
      <c r="E802" s="1840">
        <v>45779</v>
      </c>
      <c r="F802" s="1840"/>
      <c r="G802" s="1839" t="s">
        <v>500</v>
      </c>
      <c r="H802" s="1839" t="s">
        <v>1093</v>
      </c>
      <c r="I802" s="1831" t="s">
        <v>1066</v>
      </c>
      <c r="J802" s="1831"/>
    </row>
    <row r="803" spans="1:10" ht="15" hidden="1" x14ac:dyDescent="0.35">
      <c r="A803" s="8" t="s">
        <v>1347</v>
      </c>
      <c r="B803" t="s">
        <v>1348</v>
      </c>
      <c r="C803" t="s">
        <v>1349</v>
      </c>
      <c r="D803" t="s">
        <v>1350</v>
      </c>
      <c r="E803" s="9">
        <v>44363</v>
      </c>
      <c r="F803" s="9">
        <v>46000</v>
      </c>
      <c r="G803" t="s">
        <v>494</v>
      </c>
      <c r="H803" t="s">
        <v>1065</v>
      </c>
      <c r="I803" t="s">
        <v>1066</v>
      </c>
      <c r="J803"/>
    </row>
    <row r="804" spans="1:10" ht="15" hidden="1" x14ac:dyDescent="0.35">
      <c r="A804" s="8" t="s">
        <v>1351</v>
      </c>
      <c r="B804" t="s">
        <v>1352</v>
      </c>
      <c r="C804" t="s">
        <v>420</v>
      </c>
      <c r="D804" t="s">
        <v>1353</v>
      </c>
      <c r="E804" s="9">
        <v>45419</v>
      </c>
      <c r="G804" t="s">
        <v>634</v>
      </c>
      <c r="H804" t="s">
        <v>1093</v>
      </c>
      <c r="I804" t="s">
        <v>1066</v>
      </c>
      <c r="J804"/>
    </row>
    <row r="805" spans="1:10" ht="15" hidden="1" x14ac:dyDescent="0.35">
      <c r="A805" s="1831" t="s">
        <v>1354</v>
      </c>
      <c r="B805" s="1839" t="s">
        <v>1355</v>
      </c>
      <c r="C805" s="1839" t="s">
        <v>1263</v>
      </c>
      <c r="D805" s="1839" t="s">
        <v>1356</v>
      </c>
      <c r="E805" s="1840">
        <v>45853</v>
      </c>
      <c r="F805" s="1840"/>
      <c r="G805" s="1839" t="s">
        <v>500</v>
      </c>
      <c r="H805" s="1839" t="s">
        <v>1078</v>
      </c>
      <c r="I805" s="1831" t="s">
        <v>1061</v>
      </c>
      <c r="J805" s="1831"/>
    </row>
    <row r="806" spans="1:10" ht="15" hidden="1" x14ac:dyDescent="0.35">
      <c r="A806" s="1831" t="s">
        <v>1357</v>
      </c>
      <c r="B806" s="1839" t="s">
        <v>1358</v>
      </c>
      <c r="C806" s="1839" t="s">
        <v>425</v>
      </c>
      <c r="D806" s="1839" t="s">
        <v>1359</v>
      </c>
      <c r="E806" s="1840">
        <v>45721</v>
      </c>
      <c r="F806" s="1840"/>
      <c r="G806" s="1839" t="s">
        <v>500</v>
      </c>
      <c r="H806" s="1839" t="s">
        <v>1065</v>
      </c>
      <c r="I806" s="1831" t="s">
        <v>1066</v>
      </c>
      <c r="J806" s="1831"/>
    </row>
    <row r="807" spans="1:10" ht="15" hidden="1" x14ac:dyDescent="0.35">
      <c r="A807" s="1831" t="s">
        <v>1360</v>
      </c>
      <c r="B807" s="1839" t="s">
        <v>1361</v>
      </c>
      <c r="C807" s="1839" t="s">
        <v>416</v>
      </c>
      <c r="D807" s="1839" t="s">
        <v>1362</v>
      </c>
      <c r="E807" s="1840">
        <v>45828</v>
      </c>
      <c r="F807" s="1840"/>
      <c r="G807" s="1839" t="s">
        <v>500</v>
      </c>
      <c r="H807" s="1839" t="s">
        <v>1093</v>
      </c>
      <c r="I807" s="1831" t="s">
        <v>1066</v>
      </c>
      <c r="J807" s="1831"/>
    </row>
    <row r="808" spans="1:10" ht="15" hidden="1" x14ac:dyDescent="0.35">
      <c r="A808" s="8" t="s">
        <v>1363</v>
      </c>
      <c r="B808" t="s">
        <v>1364</v>
      </c>
      <c r="C808" t="s">
        <v>1072</v>
      </c>
      <c r="D808" t="s">
        <v>1365</v>
      </c>
      <c r="E808" s="9">
        <v>43460</v>
      </c>
      <c r="F808" s="9">
        <v>45840</v>
      </c>
      <c r="G808" t="s">
        <v>494</v>
      </c>
      <c r="H808" t="s">
        <v>1065</v>
      </c>
      <c r="I808" t="s">
        <v>1066</v>
      </c>
      <c r="J808"/>
    </row>
    <row r="809" spans="1:10" ht="15" hidden="1" x14ac:dyDescent="0.35">
      <c r="A809" s="1831" t="s">
        <v>1366</v>
      </c>
      <c r="B809" s="1839" t="s">
        <v>1367</v>
      </c>
      <c r="C809" s="1839" t="s">
        <v>1072</v>
      </c>
      <c r="D809" s="1839" t="s">
        <v>1368</v>
      </c>
      <c r="E809" s="1840">
        <v>43460</v>
      </c>
      <c r="F809" s="1840"/>
      <c r="G809" s="1839" t="s">
        <v>500</v>
      </c>
      <c r="H809" s="1839" t="s">
        <v>1060</v>
      </c>
      <c r="I809" s="1831" t="s">
        <v>1061</v>
      </c>
      <c r="J809" s="1831"/>
    </row>
    <row r="810" spans="1:10" ht="15" hidden="1" x14ac:dyDescent="0.35">
      <c r="A810" s="1831" t="s">
        <v>1369</v>
      </c>
      <c r="B810" s="1839" t="s">
        <v>1370</v>
      </c>
      <c r="C810" s="1839" t="s">
        <v>432</v>
      </c>
      <c r="D810" s="1839" t="s">
        <v>1371</v>
      </c>
      <c r="E810" s="1840">
        <v>45859</v>
      </c>
      <c r="F810" s="1840"/>
      <c r="G810" s="1839" t="s">
        <v>500</v>
      </c>
      <c r="H810" s="1839" t="s">
        <v>1065</v>
      </c>
      <c r="I810" s="1831" t="s">
        <v>1066</v>
      </c>
      <c r="J810" s="1831"/>
    </row>
    <row r="811" spans="1:10" ht="15" hidden="1" x14ac:dyDescent="0.35">
      <c r="A811" s="8" t="s">
        <v>1372</v>
      </c>
      <c r="B811" t="s">
        <v>1373</v>
      </c>
      <c r="C811" t="s">
        <v>441</v>
      </c>
      <c r="D811" t="s">
        <v>1374</v>
      </c>
      <c r="E811" s="9">
        <v>45390</v>
      </c>
      <c r="F811" s="9">
        <v>45793</v>
      </c>
      <c r="G811" t="s">
        <v>494</v>
      </c>
      <c r="H811" t="s">
        <v>1078</v>
      </c>
      <c r="I811" t="s">
        <v>1061</v>
      </c>
      <c r="J811"/>
    </row>
    <row r="812" spans="1:10" ht="15" hidden="1" x14ac:dyDescent="0.35">
      <c r="A812" s="8" t="s">
        <v>1375</v>
      </c>
      <c r="B812" t="s">
        <v>1376</v>
      </c>
      <c r="C812" t="s">
        <v>409</v>
      </c>
      <c r="D812" t="s">
        <v>1377</v>
      </c>
      <c r="E812" s="9">
        <v>45873</v>
      </c>
      <c r="F812" s="9">
        <v>45978</v>
      </c>
      <c r="G812" t="s">
        <v>494</v>
      </c>
      <c r="H812" t="s">
        <v>1065</v>
      </c>
      <c r="I812" t="s">
        <v>1066</v>
      </c>
      <c r="J812"/>
    </row>
    <row r="813" spans="1:10" ht="15" hidden="1" x14ac:dyDescent="0.35">
      <c r="A813" s="8" t="s">
        <v>1378</v>
      </c>
      <c r="B813" t="s">
        <v>1379</v>
      </c>
      <c r="C813" t="s">
        <v>443</v>
      </c>
      <c r="D813" t="s">
        <v>1380</v>
      </c>
      <c r="E813" s="9">
        <v>45873</v>
      </c>
      <c r="F813" s="9">
        <v>46146</v>
      </c>
      <c r="G813" t="s">
        <v>494</v>
      </c>
      <c r="H813" t="s">
        <v>1060</v>
      </c>
      <c r="I813" t="s">
        <v>1061</v>
      </c>
      <c r="J813"/>
    </row>
    <row r="814" spans="1:10" ht="15" hidden="1" x14ac:dyDescent="0.35">
      <c r="A814" s="1831" t="s">
        <v>1381</v>
      </c>
      <c r="B814" s="1839" t="s">
        <v>1382</v>
      </c>
      <c r="C814" s="1839" t="s">
        <v>437</v>
      </c>
      <c r="D814" s="1839" t="s">
        <v>1383</v>
      </c>
      <c r="E814" s="1840">
        <v>44690</v>
      </c>
      <c r="F814" s="1840"/>
      <c r="G814" s="1839" t="s">
        <v>500</v>
      </c>
      <c r="H814" s="1839" t="s">
        <v>1065</v>
      </c>
      <c r="I814" s="1831" t="s">
        <v>1066</v>
      </c>
      <c r="J814" s="1831"/>
    </row>
    <row r="815" spans="1:10" ht="15" hidden="1" x14ac:dyDescent="0.35">
      <c r="A815" s="8" t="s">
        <v>1384</v>
      </c>
      <c r="B815" t="s">
        <v>1385</v>
      </c>
      <c r="C815" t="s">
        <v>763</v>
      </c>
      <c r="D815" t="s">
        <v>1386</v>
      </c>
      <c r="E815" s="9">
        <v>45785</v>
      </c>
      <c r="G815" t="s">
        <v>634</v>
      </c>
      <c r="H815" t="s">
        <v>1065</v>
      </c>
      <c r="I815" t="s">
        <v>1066</v>
      </c>
      <c r="J815"/>
    </row>
    <row r="816" spans="1:10" ht="15" hidden="1" x14ac:dyDescent="0.35">
      <c r="A816" s="8" t="s">
        <v>1387</v>
      </c>
      <c r="B816" t="s">
        <v>1388</v>
      </c>
      <c r="C816" t="s">
        <v>642</v>
      </c>
      <c r="D816" t="s">
        <v>1389</v>
      </c>
      <c r="E816" s="9">
        <v>45761</v>
      </c>
      <c r="F816" s="9">
        <v>45764</v>
      </c>
      <c r="G816" t="s">
        <v>494</v>
      </c>
      <c r="H816" t="s">
        <v>1065</v>
      </c>
      <c r="I816" t="s">
        <v>1066</v>
      </c>
      <c r="J816"/>
    </row>
    <row r="817" spans="1:10" ht="15" hidden="1" x14ac:dyDescent="0.35">
      <c r="A817" s="1831" t="s">
        <v>1390</v>
      </c>
      <c r="B817" s="1839" t="s">
        <v>1388</v>
      </c>
      <c r="C817" s="1839" t="s">
        <v>642</v>
      </c>
      <c r="D817" s="1839" t="s">
        <v>1389</v>
      </c>
      <c r="E817" s="1840">
        <v>45779</v>
      </c>
      <c r="F817" s="1840"/>
      <c r="G817" s="1839" t="s">
        <v>500</v>
      </c>
      <c r="H817" s="1839" t="s">
        <v>1065</v>
      </c>
      <c r="I817" s="1831" t="s">
        <v>1066</v>
      </c>
      <c r="J817" s="1831"/>
    </row>
    <row r="818" spans="1:10" ht="15" hidden="1" x14ac:dyDescent="0.35">
      <c r="A818" s="1831" t="s">
        <v>1391</v>
      </c>
      <c r="B818" s="1839" t="s">
        <v>1392</v>
      </c>
      <c r="C818" s="1839" t="s">
        <v>420</v>
      </c>
      <c r="D818" s="1839" t="s">
        <v>1393</v>
      </c>
      <c r="E818" s="1840">
        <v>45810</v>
      </c>
      <c r="F818" s="1840"/>
      <c r="G818" s="1839" t="s">
        <v>500</v>
      </c>
      <c r="H818" s="1839" t="s">
        <v>1093</v>
      </c>
      <c r="I818" s="1831" t="s">
        <v>1066</v>
      </c>
      <c r="J818" s="1831"/>
    </row>
    <row r="819" spans="1:10" ht="15" hidden="1" x14ac:dyDescent="0.35">
      <c r="A819" s="1831" t="s">
        <v>1394</v>
      </c>
      <c r="B819" s="1839" t="s">
        <v>1395</v>
      </c>
      <c r="C819" s="1839" t="s">
        <v>410</v>
      </c>
      <c r="D819" s="1839" t="s">
        <v>1396</v>
      </c>
      <c r="E819" s="1840">
        <v>45376</v>
      </c>
      <c r="F819" s="1840"/>
      <c r="G819" s="1839" t="s">
        <v>500</v>
      </c>
      <c r="H819" s="1839" t="s">
        <v>1065</v>
      </c>
      <c r="I819" s="1831" t="s">
        <v>1066</v>
      </c>
      <c r="J819" s="1831"/>
    </row>
    <row r="820" spans="1:10" ht="15" hidden="1" x14ac:dyDescent="0.35">
      <c r="A820" s="8" t="s">
        <v>1397</v>
      </c>
      <c r="B820" t="s">
        <v>1398</v>
      </c>
      <c r="C820" t="s">
        <v>1088</v>
      </c>
      <c r="D820" t="s">
        <v>1399</v>
      </c>
      <c r="E820" s="9">
        <v>45846</v>
      </c>
      <c r="F820" s="9">
        <v>46037</v>
      </c>
      <c r="G820" t="s">
        <v>494</v>
      </c>
      <c r="H820" t="s">
        <v>1065</v>
      </c>
      <c r="I820" t="s">
        <v>1066</v>
      </c>
      <c r="J820"/>
    </row>
    <row r="821" spans="1:10" ht="15" hidden="1" x14ac:dyDescent="0.35">
      <c r="A821" s="1831" t="s">
        <v>1400</v>
      </c>
      <c r="B821" s="1839" t="s">
        <v>1401</v>
      </c>
      <c r="C821" s="1839" t="s">
        <v>1088</v>
      </c>
      <c r="D821" s="1839" t="s">
        <v>1402</v>
      </c>
      <c r="E821" s="1840">
        <v>45701</v>
      </c>
      <c r="F821" s="1840"/>
      <c r="G821" s="1839" t="s">
        <v>525</v>
      </c>
      <c r="H821" s="1839" t="s">
        <v>1060</v>
      </c>
      <c r="I821" s="1831" t="s">
        <v>1061</v>
      </c>
      <c r="J821" s="1831"/>
    </row>
    <row r="822" spans="1:10" ht="15" hidden="1" x14ac:dyDescent="0.35">
      <c r="A822" s="8" t="s">
        <v>1403</v>
      </c>
      <c r="B822" t="s">
        <v>1404</v>
      </c>
      <c r="C822" t="s">
        <v>415</v>
      </c>
      <c r="D822" t="s">
        <v>1405</v>
      </c>
      <c r="E822" s="9">
        <v>45691</v>
      </c>
      <c r="F822" s="9">
        <v>45812</v>
      </c>
      <c r="G822" t="s">
        <v>494</v>
      </c>
      <c r="H822" t="s">
        <v>1065</v>
      </c>
      <c r="I822" t="s">
        <v>1066</v>
      </c>
      <c r="J822"/>
    </row>
    <row r="823" spans="1:10" ht="15" hidden="1" x14ac:dyDescent="0.35">
      <c r="A823" s="8" t="s">
        <v>1406</v>
      </c>
      <c r="B823" t="s">
        <v>1407</v>
      </c>
      <c r="C823" t="s">
        <v>606</v>
      </c>
      <c r="D823" t="s">
        <v>1408</v>
      </c>
      <c r="E823" s="9">
        <v>45713</v>
      </c>
      <c r="G823" t="s">
        <v>634</v>
      </c>
      <c r="H823" t="s">
        <v>1060</v>
      </c>
      <c r="I823" t="s">
        <v>1061</v>
      </c>
      <c r="J823"/>
    </row>
    <row r="824" spans="1:10" ht="15" hidden="1" x14ac:dyDescent="0.35">
      <c r="A824" s="1831" t="s">
        <v>1409</v>
      </c>
      <c r="B824" s="1839" t="s">
        <v>1410</v>
      </c>
      <c r="C824" s="1839" t="s">
        <v>544</v>
      </c>
      <c r="D824" s="1839" t="s">
        <v>1411</v>
      </c>
      <c r="E824" s="1840">
        <v>43460</v>
      </c>
      <c r="F824" s="1840"/>
      <c r="G824" s="1839" t="s">
        <v>500</v>
      </c>
      <c r="H824" s="1839" t="s">
        <v>1065</v>
      </c>
      <c r="I824" s="1831" t="s">
        <v>1066</v>
      </c>
      <c r="J824" s="1831"/>
    </row>
    <row r="825" spans="1:10" ht="15" hidden="1" x14ac:dyDescent="0.35">
      <c r="A825" s="1831" t="s">
        <v>1412</v>
      </c>
      <c r="B825" s="1839" t="s">
        <v>1413</v>
      </c>
      <c r="C825" s="1839" t="s">
        <v>578</v>
      </c>
      <c r="D825" s="1839" t="s">
        <v>1414</v>
      </c>
      <c r="E825" s="1840">
        <v>44768</v>
      </c>
      <c r="F825" s="1840"/>
      <c r="G825" s="1839" t="s">
        <v>500</v>
      </c>
      <c r="H825" s="1839" t="s">
        <v>1060</v>
      </c>
      <c r="I825" s="1831" t="s">
        <v>1061</v>
      </c>
      <c r="J825" s="1831"/>
    </row>
    <row r="826" spans="1:10" ht="15" hidden="1" x14ac:dyDescent="0.35">
      <c r="A826" s="1831" t="s">
        <v>1415</v>
      </c>
      <c r="B826" s="1839" t="s">
        <v>1416</v>
      </c>
      <c r="C826" s="1839" t="s">
        <v>420</v>
      </c>
      <c r="D826" s="1839" t="s">
        <v>1417</v>
      </c>
      <c r="E826" s="1840">
        <v>45828</v>
      </c>
      <c r="F826" s="1840"/>
      <c r="G826" s="1839" t="s">
        <v>500</v>
      </c>
      <c r="H826" s="1839" t="s">
        <v>1078</v>
      </c>
      <c r="I826" s="1831" t="s">
        <v>1061</v>
      </c>
      <c r="J826" s="1831"/>
    </row>
    <row r="827" spans="1:10" ht="15" hidden="1" x14ac:dyDescent="0.35">
      <c r="A827" s="8" t="s">
        <v>1418</v>
      </c>
      <c r="B827" t="s">
        <v>1419</v>
      </c>
      <c r="C827" t="s">
        <v>420</v>
      </c>
      <c r="D827" t="s">
        <v>1420</v>
      </c>
      <c r="E827" s="9">
        <v>45628</v>
      </c>
      <c r="F827" s="9">
        <v>45852</v>
      </c>
      <c r="G827" t="s">
        <v>494</v>
      </c>
      <c r="H827" t="s">
        <v>1093</v>
      </c>
      <c r="I827" t="s">
        <v>1066</v>
      </c>
      <c r="J827"/>
    </row>
    <row r="828" spans="1:10" ht="15" hidden="1" x14ac:dyDescent="0.35">
      <c r="A828" s="1831" t="s">
        <v>1421</v>
      </c>
      <c r="B828" s="1839" t="s">
        <v>1419</v>
      </c>
      <c r="C828" s="1839" t="s">
        <v>420</v>
      </c>
      <c r="D828" s="1839" t="s">
        <v>1420</v>
      </c>
      <c r="E828" s="1840">
        <v>46121</v>
      </c>
      <c r="F828" s="1840"/>
      <c r="G828" s="1839" t="s">
        <v>500</v>
      </c>
      <c r="H828" s="1839" t="s">
        <v>1078</v>
      </c>
      <c r="I828" s="1831" t="s">
        <v>1061</v>
      </c>
      <c r="J828" s="1831"/>
    </row>
    <row r="829" spans="1:10" ht="15" hidden="1" x14ac:dyDescent="0.35">
      <c r="A829" s="1831" t="s">
        <v>1422</v>
      </c>
      <c r="B829" s="1839" t="s">
        <v>1423</v>
      </c>
      <c r="C829" s="1839" t="s">
        <v>420</v>
      </c>
      <c r="D829" s="1839" t="s">
        <v>1424</v>
      </c>
      <c r="E829" s="1840">
        <v>45419</v>
      </c>
      <c r="F829" s="1840"/>
      <c r="G829" s="1839" t="s">
        <v>500</v>
      </c>
      <c r="H829" s="1839" t="s">
        <v>1093</v>
      </c>
      <c r="I829" s="1831" t="s">
        <v>1066</v>
      </c>
      <c r="J829" s="1831"/>
    </row>
    <row r="830" spans="1:10" ht="15" hidden="1" x14ac:dyDescent="0.35">
      <c r="A830" s="1831" t="s">
        <v>1425</v>
      </c>
      <c r="B830" s="1839" t="s">
        <v>1426</v>
      </c>
      <c r="C830" s="1839" t="s">
        <v>420</v>
      </c>
      <c r="D830" s="1839" t="s">
        <v>1427</v>
      </c>
      <c r="E830" s="1840">
        <v>46157</v>
      </c>
      <c r="F830" s="1840"/>
      <c r="G830" s="1839" t="s">
        <v>500</v>
      </c>
      <c r="H830" s="1839" t="s">
        <v>1093</v>
      </c>
      <c r="I830" s="1831" t="s">
        <v>1066</v>
      </c>
      <c r="J830" s="1831"/>
    </row>
    <row r="831" spans="1:10" ht="15" hidden="1" x14ac:dyDescent="0.35">
      <c r="A831" s="1831" t="s">
        <v>1428</v>
      </c>
      <c r="B831" s="1839" t="s">
        <v>1429</v>
      </c>
      <c r="C831" s="1839" t="s">
        <v>841</v>
      </c>
      <c r="D831" s="1839" t="s">
        <v>1430</v>
      </c>
      <c r="E831" s="1840">
        <v>45854</v>
      </c>
      <c r="F831" s="1840"/>
      <c r="G831" s="1839" t="s">
        <v>500</v>
      </c>
      <c r="H831" s="1839" t="s">
        <v>1065</v>
      </c>
      <c r="I831" s="1831" t="s">
        <v>1066</v>
      </c>
      <c r="J831" s="1831"/>
    </row>
    <row r="832" spans="1:10" ht="15" hidden="1" x14ac:dyDescent="0.35">
      <c r="A832" s="1831" t="s">
        <v>1431</v>
      </c>
      <c r="B832" s="1839" t="s">
        <v>1432</v>
      </c>
      <c r="C832" s="1839" t="s">
        <v>445</v>
      </c>
      <c r="D832" s="1839" t="s">
        <v>1433</v>
      </c>
      <c r="E832" s="1840">
        <v>45541</v>
      </c>
      <c r="F832" s="1840"/>
      <c r="G832" s="1839" t="s">
        <v>500</v>
      </c>
      <c r="H832" s="1839" t="s">
        <v>1065</v>
      </c>
      <c r="I832" s="1831" t="s">
        <v>1066</v>
      </c>
      <c r="J832" s="1831"/>
    </row>
    <row r="833" spans="1:10" ht="15" hidden="1" x14ac:dyDescent="0.35">
      <c r="A833" s="8" t="s">
        <v>1434</v>
      </c>
      <c r="B833" t="s">
        <v>1435</v>
      </c>
      <c r="C833" t="s">
        <v>420</v>
      </c>
      <c r="D833" t="s">
        <v>1436</v>
      </c>
      <c r="E833" s="9">
        <v>45419</v>
      </c>
      <c r="F833" s="9">
        <v>45814</v>
      </c>
      <c r="G833" t="s">
        <v>494</v>
      </c>
      <c r="H833" t="s">
        <v>1093</v>
      </c>
      <c r="I833" t="s">
        <v>1066</v>
      </c>
      <c r="J833"/>
    </row>
    <row r="834" spans="1:10" ht="15" hidden="1" x14ac:dyDescent="0.35">
      <c r="A834" s="1831" t="s">
        <v>1437</v>
      </c>
      <c r="B834" s="1839" t="s">
        <v>1435</v>
      </c>
      <c r="C834" s="1839" t="s">
        <v>420</v>
      </c>
      <c r="D834" s="1839" t="s">
        <v>1436</v>
      </c>
      <c r="E834" s="1840">
        <v>46150</v>
      </c>
      <c r="F834" s="1840"/>
      <c r="G834" s="1839" t="s">
        <v>500</v>
      </c>
      <c r="H834" s="1839" t="s">
        <v>1093</v>
      </c>
      <c r="I834" s="1831" t="s">
        <v>1066</v>
      </c>
      <c r="J834" s="1831"/>
    </row>
    <row r="835" spans="1:10" ht="15" hidden="1" x14ac:dyDescent="0.35">
      <c r="A835" s="1831" t="s">
        <v>1438</v>
      </c>
      <c r="B835" s="1839" t="s">
        <v>1439</v>
      </c>
      <c r="C835" s="1839" t="s">
        <v>1440</v>
      </c>
      <c r="D835" s="1839" t="s">
        <v>1441</v>
      </c>
      <c r="E835" s="1840">
        <v>45544</v>
      </c>
      <c r="F835" s="1840"/>
      <c r="G835" s="1839" t="s">
        <v>500</v>
      </c>
      <c r="H835" s="1839" t="s">
        <v>1060</v>
      </c>
      <c r="I835" s="1831" t="s">
        <v>1061</v>
      </c>
      <c r="J835" s="1831"/>
    </row>
    <row r="836" spans="1:10" ht="15" hidden="1" x14ac:dyDescent="0.35">
      <c r="A836" s="1831" t="s">
        <v>1442</v>
      </c>
      <c r="B836" s="1839" t="s">
        <v>1443</v>
      </c>
      <c r="C836" s="1839" t="s">
        <v>411</v>
      </c>
      <c r="D836" s="1839" t="s">
        <v>1444</v>
      </c>
      <c r="E836" s="1840">
        <v>45698</v>
      </c>
      <c r="F836" s="1840"/>
      <c r="G836" s="1839" t="s">
        <v>500</v>
      </c>
      <c r="H836" s="1839" t="s">
        <v>1060</v>
      </c>
      <c r="I836" s="1831" t="s">
        <v>1061</v>
      </c>
      <c r="J836" s="1831"/>
    </row>
    <row r="837" spans="1:10" ht="15" hidden="1" x14ac:dyDescent="0.35">
      <c r="A837" s="1831" t="s">
        <v>1445</v>
      </c>
      <c r="B837" s="1839" t="s">
        <v>1446</v>
      </c>
      <c r="C837" s="1839" t="s">
        <v>420</v>
      </c>
      <c r="D837" s="1839" t="s">
        <v>1447</v>
      </c>
      <c r="E837" s="1840">
        <v>45377</v>
      </c>
      <c r="F837" s="1840"/>
      <c r="G837" s="1839" t="s">
        <v>500</v>
      </c>
      <c r="H837" s="1839" t="s">
        <v>1078</v>
      </c>
      <c r="I837" s="1831" t="s">
        <v>1061</v>
      </c>
      <c r="J837" s="1831"/>
    </row>
    <row r="838" spans="1:10" ht="15" hidden="1" x14ac:dyDescent="0.35">
      <c r="A838" s="1831" t="s">
        <v>1448</v>
      </c>
      <c r="B838" s="1839" t="s">
        <v>1449</v>
      </c>
      <c r="C838" s="1839" t="s">
        <v>1450</v>
      </c>
      <c r="D838" s="1839" t="s">
        <v>1451</v>
      </c>
      <c r="E838" s="1840">
        <v>45722</v>
      </c>
      <c r="F838" s="1840"/>
      <c r="G838" s="1839" t="s">
        <v>500</v>
      </c>
      <c r="H838" s="1839" t="s">
        <v>1060</v>
      </c>
      <c r="I838" s="1831" t="s">
        <v>1061</v>
      </c>
      <c r="J838" s="1831"/>
    </row>
    <row r="839" spans="1:10" ht="15" hidden="1" x14ac:dyDescent="0.35">
      <c r="A839" s="8" t="s">
        <v>1452</v>
      </c>
      <c r="B839" t="s">
        <v>1453</v>
      </c>
      <c r="C839" t="s">
        <v>423</v>
      </c>
      <c r="D839" t="s">
        <v>1454</v>
      </c>
      <c r="E839" s="9">
        <v>45812</v>
      </c>
      <c r="F839" s="9">
        <v>45819</v>
      </c>
      <c r="G839" t="s">
        <v>494</v>
      </c>
      <c r="H839" t="s">
        <v>1065</v>
      </c>
      <c r="I839" t="s">
        <v>1066</v>
      </c>
      <c r="J839"/>
    </row>
    <row r="840" spans="1:10" ht="15" hidden="1" x14ac:dyDescent="0.35">
      <c r="A840" s="8" t="s">
        <v>1455</v>
      </c>
      <c r="B840" t="s">
        <v>1456</v>
      </c>
      <c r="C840" t="s">
        <v>420</v>
      </c>
      <c r="D840" t="s">
        <v>1457</v>
      </c>
      <c r="E840" s="9">
        <v>45831</v>
      </c>
      <c r="F840" s="9">
        <v>46001</v>
      </c>
      <c r="G840" t="s">
        <v>494</v>
      </c>
      <c r="H840" t="s">
        <v>1078</v>
      </c>
      <c r="I840" t="s">
        <v>1061</v>
      </c>
      <c r="J840"/>
    </row>
    <row r="841" spans="1:10" ht="15" hidden="1" x14ac:dyDescent="0.35">
      <c r="A841" s="1831" t="s">
        <v>1458</v>
      </c>
      <c r="B841" s="1839" t="s">
        <v>1459</v>
      </c>
      <c r="C841" s="1839" t="s">
        <v>443</v>
      </c>
      <c r="D841" s="1839" t="s">
        <v>1460</v>
      </c>
      <c r="E841" s="1840">
        <v>45419</v>
      </c>
      <c r="F841" s="1840"/>
      <c r="G841" s="1839" t="s">
        <v>500</v>
      </c>
      <c r="H841" s="1839" t="s">
        <v>1065</v>
      </c>
      <c r="I841" s="1831" t="s">
        <v>1066</v>
      </c>
      <c r="J841" s="1831"/>
    </row>
    <row r="842" spans="1:10" ht="15" hidden="1" x14ac:dyDescent="0.35">
      <c r="A842" s="1831" t="s">
        <v>1461</v>
      </c>
      <c r="B842" s="1839" t="s">
        <v>1462</v>
      </c>
      <c r="C842" s="1839" t="s">
        <v>1148</v>
      </c>
      <c r="D842" s="1839" t="s">
        <v>1463</v>
      </c>
      <c r="E842" s="1840">
        <v>45421</v>
      </c>
      <c r="F842" s="1840"/>
      <c r="G842" s="1839" t="s">
        <v>500</v>
      </c>
      <c r="H842" s="1839" t="s">
        <v>1065</v>
      </c>
      <c r="I842" s="1831" t="s">
        <v>1066</v>
      </c>
      <c r="J842" s="1831"/>
    </row>
    <row r="843" spans="1:10" ht="15" hidden="1" x14ac:dyDescent="0.35">
      <c r="A843" s="1831" t="s">
        <v>1464</v>
      </c>
      <c r="B843" s="1839" t="s">
        <v>1465</v>
      </c>
      <c r="C843" s="1839" t="s">
        <v>1084</v>
      </c>
      <c r="D843" s="1839" t="s">
        <v>1466</v>
      </c>
      <c r="E843" s="1840">
        <v>45420</v>
      </c>
      <c r="F843" s="1840"/>
      <c r="G843" s="1839" t="s">
        <v>500</v>
      </c>
      <c r="H843" s="1839" t="s">
        <v>1065</v>
      </c>
      <c r="I843" s="1831" t="s">
        <v>1066</v>
      </c>
      <c r="J843" s="1831"/>
    </row>
    <row r="844" spans="1:10" ht="15" hidden="1" x14ac:dyDescent="0.35">
      <c r="A844" s="8" t="s">
        <v>1467</v>
      </c>
      <c r="B844" t="s">
        <v>1468</v>
      </c>
      <c r="C844" t="s">
        <v>420</v>
      </c>
      <c r="D844" t="s">
        <v>1469</v>
      </c>
      <c r="E844" s="9">
        <v>45713</v>
      </c>
      <c r="F844" s="9">
        <v>45840</v>
      </c>
      <c r="G844" t="s">
        <v>494</v>
      </c>
      <c r="H844" t="s">
        <v>1078</v>
      </c>
      <c r="I844" t="s">
        <v>1061</v>
      </c>
      <c r="J844"/>
    </row>
    <row r="845" spans="1:10" ht="15" hidden="1" x14ac:dyDescent="0.35">
      <c r="A845" s="1831" t="s">
        <v>1470</v>
      </c>
      <c r="B845" s="1839" t="s">
        <v>1471</v>
      </c>
      <c r="C845" s="1839" t="s">
        <v>600</v>
      </c>
      <c r="D845" s="1839" t="s">
        <v>1472</v>
      </c>
      <c r="E845" s="1840">
        <v>45461</v>
      </c>
      <c r="F845" s="1840"/>
      <c r="G845" s="1839" t="s">
        <v>500</v>
      </c>
      <c r="H845" s="1839" t="s">
        <v>1065</v>
      </c>
      <c r="I845" s="1831" t="s">
        <v>1066</v>
      </c>
      <c r="J845" s="1831"/>
    </row>
    <row r="846" spans="1:10" ht="15" hidden="1" x14ac:dyDescent="0.35">
      <c r="A846" s="1831" t="s">
        <v>1473</v>
      </c>
      <c r="B846" s="1839" t="s">
        <v>1474</v>
      </c>
      <c r="C846" s="1839" t="s">
        <v>411</v>
      </c>
      <c r="D846" s="1839" t="s">
        <v>1475</v>
      </c>
      <c r="E846" s="1840">
        <v>45772</v>
      </c>
      <c r="F846" s="1840"/>
      <c r="G846" s="1839" t="s">
        <v>500</v>
      </c>
      <c r="H846" s="1839" t="s">
        <v>1060</v>
      </c>
      <c r="I846" s="1831" t="s">
        <v>1061</v>
      </c>
      <c r="J846" s="1831"/>
    </row>
    <row r="847" spans="1:10" ht="15" hidden="1" x14ac:dyDescent="0.35">
      <c r="A847" s="1831" t="s">
        <v>1476</v>
      </c>
      <c r="B847" s="1839" t="s">
        <v>1477</v>
      </c>
      <c r="C847" s="1839" t="s">
        <v>841</v>
      </c>
      <c r="D847" s="1839" t="s">
        <v>1478</v>
      </c>
      <c r="E847" s="1840">
        <v>41613</v>
      </c>
      <c r="F847" s="1840"/>
      <c r="G847" s="1839" t="s">
        <v>500</v>
      </c>
      <c r="H847" s="1839" t="s">
        <v>1060</v>
      </c>
      <c r="I847" s="1831" t="s">
        <v>1061</v>
      </c>
      <c r="J847" s="1831"/>
    </row>
    <row r="848" spans="1:10" ht="15" hidden="1" x14ac:dyDescent="0.35">
      <c r="A848" s="1831" t="s">
        <v>1479</v>
      </c>
      <c r="B848" s="1839" t="s">
        <v>1480</v>
      </c>
      <c r="C848" s="1839" t="s">
        <v>420</v>
      </c>
      <c r="D848" s="1839" t="s">
        <v>1481</v>
      </c>
      <c r="E848" s="1840">
        <v>45376</v>
      </c>
      <c r="F848" s="1840"/>
      <c r="G848" s="1839" t="s">
        <v>500</v>
      </c>
      <c r="H848" s="1839" t="s">
        <v>1078</v>
      </c>
      <c r="I848" s="1831" t="s">
        <v>1061</v>
      </c>
      <c r="J848" s="1831"/>
    </row>
    <row r="849" spans="1:10" ht="15" hidden="1" x14ac:dyDescent="0.35">
      <c r="A849" s="8" t="s">
        <v>1482</v>
      </c>
      <c r="B849" t="s">
        <v>1483</v>
      </c>
      <c r="C849" t="s">
        <v>443</v>
      </c>
      <c r="D849" t="s">
        <v>1484</v>
      </c>
      <c r="E849" s="9">
        <v>45708</v>
      </c>
      <c r="F849" s="9">
        <v>46072</v>
      </c>
      <c r="G849" t="s">
        <v>494</v>
      </c>
      <c r="H849" t="s">
        <v>1060</v>
      </c>
      <c r="I849" t="s">
        <v>1061</v>
      </c>
      <c r="J849"/>
    </row>
    <row r="850" spans="1:10" ht="15" hidden="1" x14ac:dyDescent="0.35">
      <c r="A850" s="1831" t="s">
        <v>1485</v>
      </c>
      <c r="B850" s="1839" t="s">
        <v>1486</v>
      </c>
      <c r="C850" s="1839" t="s">
        <v>1144</v>
      </c>
      <c r="D850" s="1839" t="s">
        <v>1487</v>
      </c>
      <c r="E850" s="1840">
        <v>45691</v>
      </c>
      <c r="F850" s="1840"/>
      <c r="G850" s="1839" t="s">
        <v>500</v>
      </c>
      <c r="H850" s="1839" t="s">
        <v>1065</v>
      </c>
      <c r="I850" s="1831" t="s">
        <v>1066</v>
      </c>
      <c r="J850" s="1831"/>
    </row>
    <row r="851" spans="1:10" ht="15" hidden="1" x14ac:dyDescent="0.35">
      <c r="A851" s="8" t="s">
        <v>1488</v>
      </c>
      <c r="B851" t="s">
        <v>1489</v>
      </c>
      <c r="C851" t="s">
        <v>410</v>
      </c>
      <c r="D851" t="s">
        <v>1490</v>
      </c>
      <c r="E851" s="9">
        <v>45712</v>
      </c>
      <c r="F851" s="9">
        <v>45842</v>
      </c>
      <c r="G851" t="s">
        <v>494</v>
      </c>
      <c r="H851" t="s">
        <v>1060</v>
      </c>
      <c r="I851" t="s">
        <v>1061</v>
      </c>
      <c r="J851"/>
    </row>
    <row r="852" spans="1:10" ht="15" hidden="1" x14ac:dyDescent="0.35">
      <c r="A852" s="8" t="s">
        <v>1491</v>
      </c>
      <c r="B852" t="s">
        <v>1492</v>
      </c>
      <c r="C852" t="s">
        <v>1088</v>
      </c>
      <c r="D852" t="s">
        <v>1493</v>
      </c>
      <c r="E852" s="9">
        <v>45887</v>
      </c>
      <c r="F852" s="9">
        <v>46000</v>
      </c>
      <c r="G852" t="s">
        <v>494</v>
      </c>
      <c r="H852" t="s">
        <v>1060</v>
      </c>
      <c r="I852" t="s">
        <v>1061</v>
      </c>
      <c r="J852"/>
    </row>
    <row r="853" spans="1:10" ht="15" hidden="1" x14ac:dyDescent="0.35">
      <c r="A853" s="1831" t="s">
        <v>1494</v>
      </c>
      <c r="B853" s="1839" t="s">
        <v>1495</v>
      </c>
      <c r="C853" s="1839" t="s">
        <v>425</v>
      </c>
      <c r="D853" s="1839" t="s">
        <v>1496</v>
      </c>
      <c r="E853" s="1840">
        <v>46128</v>
      </c>
      <c r="F853" s="1840"/>
      <c r="G853" s="1839" t="s">
        <v>500</v>
      </c>
      <c r="H853" s="1839" t="s">
        <v>1065</v>
      </c>
      <c r="I853" s="1831" t="s">
        <v>1066</v>
      </c>
      <c r="J853" s="1831"/>
    </row>
    <row r="854" spans="1:10" ht="15" hidden="1" x14ac:dyDescent="0.35">
      <c r="A854" s="8" t="s">
        <v>1497</v>
      </c>
      <c r="B854" t="s">
        <v>1498</v>
      </c>
      <c r="C854" t="s">
        <v>425</v>
      </c>
      <c r="D854" t="s">
        <v>1499</v>
      </c>
      <c r="E854" s="9">
        <v>45810</v>
      </c>
      <c r="F854" s="9">
        <v>45912</v>
      </c>
      <c r="G854" t="s">
        <v>494</v>
      </c>
      <c r="H854" t="s">
        <v>1060</v>
      </c>
      <c r="I854" t="s">
        <v>1061</v>
      </c>
      <c r="J854"/>
    </row>
    <row r="855" spans="1:10" ht="15" hidden="1" x14ac:dyDescent="0.35">
      <c r="A855" s="1831" t="s">
        <v>1500</v>
      </c>
      <c r="B855" s="1839" t="s">
        <v>1501</v>
      </c>
      <c r="C855" s="1839" t="s">
        <v>420</v>
      </c>
      <c r="D855" s="1839" t="s">
        <v>1502</v>
      </c>
      <c r="E855" s="1840">
        <v>46101</v>
      </c>
      <c r="F855" s="1840"/>
      <c r="G855" s="1839" t="s">
        <v>500</v>
      </c>
      <c r="H855" s="1839" t="s">
        <v>1093</v>
      </c>
      <c r="I855" s="1831" t="s">
        <v>1066</v>
      </c>
      <c r="J855" s="1831"/>
    </row>
    <row r="856" spans="1:10" ht="15" hidden="1" x14ac:dyDescent="0.35">
      <c r="A856" s="1831" t="s">
        <v>1503</v>
      </c>
      <c r="B856" s="1839" t="s">
        <v>1504</v>
      </c>
      <c r="C856" s="1839" t="s">
        <v>443</v>
      </c>
      <c r="D856" s="1839" t="s">
        <v>1505</v>
      </c>
      <c r="E856" s="1840">
        <v>45419</v>
      </c>
      <c r="F856" s="1840"/>
      <c r="G856" s="1839" t="s">
        <v>500</v>
      </c>
      <c r="H856" s="1839" t="s">
        <v>1065</v>
      </c>
      <c r="I856" s="1831" t="s">
        <v>1066</v>
      </c>
      <c r="J856" s="1831"/>
    </row>
    <row r="857" spans="1:10" ht="15" hidden="1" x14ac:dyDescent="0.35">
      <c r="A857" s="1831" t="s">
        <v>1506</v>
      </c>
      <c r="B857" s="1839" t="s">
        <v>1507</v>
      </c>
      <c r="C857" s="1839" t="s">
        <v>420</v>
      </c>
      <c r="D857" s="1839" t="s">
        <v>1508</v>
      </c>
      <c r="E857" s="1840">
        <v>45692</v>
      </c>
      <c r="F857" s="1840"/>
      <c r="G857" s="1839" t="s">
        <v>500</v>
      </c>
      <c r="H857" s="1839" t="s">
        <v>1078</v>
      </c>
      <c r="I857" s="1831" t="s">
        <v>1061</v>
      </c>
      <c r="J857" s="1831"/>
    </row>
    <row r="858" spans="1:10" ht="15" hidden="1" x14ac:dyDescent="0.35">
      <c r="A858" s="1831" t="s">
        <v>1509</v>
      </c>
      <c r="B858" s="1839" t="s">
        <v>1510</v>
      </c>
      <c r="C858" s="1839" t="s">
        <v>1511</v>
      </c>
      <c r="D858" s="1839" t="s">
        <v>1512</v>
      </c>
      <c r="E858" s="1840">
        <v>42411</v>
      </c>
      <c r="F858" s="1840"/>
      <c r="G858" s="1839" t="s">
        <v>500</v>
      </c>
      <c r="H858" s="1839" t="s">
        <v>1060</v>
      </c>
      <c r="I858" s="1831" t="s">
        <v>1061</v>
      </c>
      <c r="J858" s="1831"/>
    </row>
    <row r="859" spans="1:10" ht="15" hidden="1" x14ac:dyDescent="0.35">
      <c r="A859" s="1831" t="s">
        <v>1513</v>
      </c>
      <c r="B859" s="1839" t="s">
        <v>1514</v>
      </c>
      <c r="C859" s="1839" t="s">
        <v>420</v>
      </c>
      <c r="D859" s="1839" t="s">
        <v>1515</v>
      </c>
      <c r="E859" s="1840">
        <v>45721</v>
      </c>
      <c r="F859" s="1840"/>
      <c r="G859" s="1839" t="s">
        <v>500</v>
      </c>
      <c r="H859" s="1839" t="s">
        <v>1078</v>
      </c>
      <c r="I859" s="1831" t="s">
        <v>1061</v>
      </c>
      <c r="J859" s="1831"/>
    </row>
    <row r="860" spans="1:10" ht="15" hidden="1" x14ac:dyDescent="0.35">
      <c r="A860" s="1831" t="s">
        <v>1516</v>
      </c>
      <c r="B860" s="1839" t="s">
        <v>1517</v>
      </c>
      <c r="C860" s="1839" t="s">
        <v>1088</v>
      </c>
      <c r="D860" s="1839" t="s">
        <v>1518</v>
      </c>
      <c r="E860" s="1840">
        <v>46150</v>
      </c>
      <c r="F860" s="1840"/>
      <c r="G860" s="1839" t="s">
        <v>500</v>
      </c>
      <c r="H860" s="1839" t="s">
        <v>1060</v>
      </c>
      <c r="I860" s="1831" t="s">
        <v>1061</v>
      </c>
      <c r="J860" s="1831"/>
    </row>
    <row r="861" spans="1:10" ht="15" hidden="1" x14ac:dyDescent="0.35">
      <c r="A861" s="1831" t="s">
        <v>1519</v>
      </c>
      <c r="B861" s="1839" t="s">
        <v>1520</v>
      </c>
      <c r="C861" s="1839" t="s">
        <v>425</v>
      </c>
      <c r="D861" s="1839" t="s">
        <v>1521</v>
      </c>
      <c r="E861" s="1840">
        <v>45721</v>
      </c>
      <c r="F861" s="1840"/>
      <c r="G861" s="1839" t="s">
        <v>500</v>
      </c>
      <c r="H861" s="1839" t="s">
        <v>1060</v>
      </c>
      <c r="I861" s="1831" t="s">
        <v>1061</v>
      </c>
      <c r="J861" s="1831"/>
    </row>
    <row r="862" spans="1:10" ht="15" hidden="1" x14ac:dyDescent="0.35">
      <c r="A862" s="8" t="s">
        <v>1522</v>
      </c>
      <c r="B862" t="s">
        <v>1523</v>
      </c>
      <c r="C862" t="s">
        <v>420</v>
      </c>
      <c r="D862" t="s">
        <v>1524</v>
      </c>
      <c r="E862" s="9">
        <v>45853</v>
      </c>
      <c r="F862" s="9">
        <v>45937</v>
      </c>
      <c r="G862" t="s">
        <v>494</v>
      </c>
      <c r="H862" t="s">
        <v>1078</v>
      </c>
      <c r="I862" t="s">
        <v>1061</v>
      </c>
      <c r="J862"/>
    </row>
    <row r="863" spans="1:10" ht="15" hidden="1" x14ac:dyDescent="0.35">
      <c r="A863" s="8" t="s">
        <v>1525</v>
      </c>
      <c r="B863" t="s">
        <v>1526</v>
      </c>
      <c r="C863" t="s">
        <v>458</v>
      </c>
      <c r="D863" t="s">
        <v>1527</v>
      </c>
      <c r="E863" s="9">
        <v>45735</v>
      </c>
      <c r="F863" s="9">
        <v>45904</v>
      </c>
      <c r="G863" t="s">
        <v>494</v>
      </c>
      <c r="H863" t="s">
        <v>1065</v>
      </c>
      <c r="I863" t="s">
        <v>1066</v>
      </c>
      <c r="J863"/>
    </row>
    <row r="864" spans="1:10" ht="15" hidden="1" x14ac:dyDescent="0.35">
      <c r="A864" s="1831" t="s">
        <v>1528</v>
      </c>
      <c r="B864" s="1839" t="s">
        <v>1529</v>
      </c>
      <c r="C864" s="1839" t="s">
        <v>426</v>
      </c>
      <c r="D864" s="1839" t="s">
        <v>1530</v>
      </c>
      <c r="E864" s="1840">
        <v>42748</v>
      </c>
      <c r="F864" s="1840"/>
      <c r="G864" s="1839" t="s">
        <v>500</v>
      </c>
      <c r="H864" s="1839" t="s">
        <v>1065</v>
      </c>
      <c r="I864" s="1831" t="s">
        <v>1066</v>
      </c>
      <c r="J864" s="1831"/>
    </row>
    <row r="865" spans="1:10" ht="15" hidden="1" x14ac:dyDescent="0.35">
      <c r="A865" s="1831" t="s">
        <v>1531</v>
      </c>
      <c r="B865" s="1839" t="s">
        <v>1532</v>
      </c>
      <c r="C865" s="1839" t="s">
        <v>1144</v>
      </c>
      <c r="D865" s="1839" t="s">
        <v>1533</v>
      </c>
      <c r="E865" s="1840">
        <v>45131</v>
      </c>
      <c r="F865" s="1840"/>
      <c r="G865" s="1839" t="s">
        <v>500</v>
      </c>
      <c r="H865" s="1839" t="s">
        <v>1060</v>
      </c>
      <c r="I865" s="1831" t="s">
        <v>1061</v>
      </c>
      <c r="J865" s="1831"/>
    </row>
    <row r="866" spans="1:10" ht="15" hidden="1" x14ac:dyDescent="0.35">
      <c r="A866" s="1831" t="s">
        <v>1534</v>
      </c>
      <c r="B866" s="1839" t="s">
        <v>1535</v>
      </c>
      <c r="C866" s="1839" t="s">
        <v>420</v>
      </c>
      <c r="D866" s="1839" t="s">
        <v>1536</v>
      </c>
      <c r="E866" s="1840">
        <v>45420</v>
      </c>
      <c r="F866" s="1840"/>
      <c r="G866" s="1839" t="s">
        <v>500</v>
      </c>
      <c r="H866" s="1839" t="s">
        <v>1093</v>
      </c>
      <c r="I866" s="1831" t="s">
        <v>1066</v>
      </c>
      <c r="J866" s="1831"/>
    </row>
    <row r="867" spans="1:10" ht="15" hidden="1" x14ac:dyDescent="0.35">
      <c r="A867" s="8" t="s">
        <v>1537</v>
      </c>
      <c r="B867" t="s">
        <v>1538</v>
      </c>
      <c r="C867" t="s">
        <v>1539</v>
      </c>
      <c r="D867" t="s">
        <v>1540</v>
      </c>
      <c r="E867" s="9">
        <v>45750</v>
      </c>
      <c r="F867" s="9">
        <v>45819</v>
      </c>
      <c r="G867" t="s">
        <v>494</v>
      </c>
      <c r="H867" t="s">
        <v>1060</v>
      </c>
      <c r="I867" t="s">
        <v>1061</v>
      </c>
      <c r="J867"/>
    </row>
    <row r="868" spans="1:10" ht="15" hidden="1" x14ac:dyDescent="0.35">
      <c r="A868" s="8" t="s">
        <v>1541</v>
      </c>
      <c r="B868" t="s">
        <v>1542</v>
      </c>
      <c r="C868" t="s">
        <v>420</v>
      </c>
      <c r="D868" t="s">
        <v>1543</v>
      </c>
      <c r="E868" s="9">
        <v>45419</v>
      </c>
      <c r="F868" s="9">
        <v>45999</v>
      </c>
      <c r="G868" t="s">
        <v>494</v>
      </c>
      <c r="H868" t="s">
        <v>1093</v>
      </c>
      <c r="I868" t="s">
        <v>1066</v>
      </c>
      <c r="J868"/>
    </row>
    <row r="869" spans="1:10" ht="15" hidden="1" x14ac:dyDescent="0.35">
      <c r="A869" s="1831" t="s">
        <v>1544</v>
      </c>
      <c r="B869" s="1839" t="s">
        <v>1545</v>
      </c>
      <c r="C869" s="1839" t="s">
        <v>457</v>
      </c>
      <c r="D869" s="1839" t="s">
        <v>1546</v>
      </c>
      <c r="E869" s="1840">
        <v>46118</v>
      </c>
      <c r="F869" s="1840"/>
      <c r="G869" s="1839" t="s">
        <v>500</v>
      </c>
      <c r="H869" s="1839" t="s">
        <v>1065</v>
      </c>
      <c r="I869" s="1831" t="s">
        <v>1066</v>
      </c>
      <c r="J869" s="1831"/>
    </row>
    <row r="870" spans="1:10" ht="15" hidden="1" x14ac:dyDescent="0.35">
      <c r="A870" s="1831" t="s">
        <v>1547</v>
      </c>
      <c r="B870" s="1839" t="s">
        <v>1548</v>
      </c>
      <c r="C870" s="1839" t="s">
        <v>419</v>
      </c>
      <c r="D870" s="1839" t="s">
        <v>1549</v>
      </c>
      <c r="E870" s="1840">
        <v>46093</v>
      </c>
      <c r="F870" s="1840"/>
      <c r="G870" s="1839" t="s">
        <v>500</v>
      </c>
      <c r="H870" s="1839" t="s">
        <v>1065</v>
      </c>
      <c r="I870" s="1831" t="s">
        <v>1066</v>
      </c>
      <c r="J870" s="1831"/>
    </row>
    <row r="871" spans="1:10" ht="15" hidden="1" x14ac:dyDescent="0.35">
      <c r="A871" s="1831" t="s">
        <v>1550</v>
      </c>
      <c r="B871" s="1839" t="s">
        <v>1551</v>
      </c>
      <c r="C871" s="1839" t="s">
        <v>457</v>
      </c>
      <c r="D871" s="1839" t="s">
        <v>1552</v>
      </c>
      <c r="E871" s="1840">
        <v>45722</v>
      </c>
      <c r="F871" s="1840"/>
      <c r="G871" s="1839" t="s">
        <v>500</v>
      </c>
      <c r="H871" s="1839" t="s">
        <v>1065</v>
      </c>
      <c r="I871" s="1831" t="s">
        <v>1066</v>
      </c>
      <c r="J871" s="1831"/>
    </row>
    <row r="872" spans="1:10" ht="15" hidden="1" x14ac:dyDescent="0.35">
      <c r="A872" s="1831" t="s">
        <v>1553</v>
      </c>
      <c r="B872" s="1839" t="s">
        <v>1554</v>
      </c>
      <c r="C872" s="1839" t="s">
        <v>444</v>
      </c>
      <c r="D872" s="1839" t="s">
        <v>1555</v>
      </c>
      <c r="E872" s="1840">
        <v>45422</v>
      </c>
      <c r="F872" s="1840"/>
      <c r="G872" s="1839" t="s">
        <v>500</v>
      </c>
      <c r="H872" s="1839" t="s">
        <v>1060</v>
      </c>
      <c r="I872" s="1831" t="s">
        <v>1061</v>
      </c>
      <c r="J872" s="1831"/>
    </row>
    <row r="873" spans="1:10" ht="15" hidden="1" x14ac:dyDescent="0.35">
      <c r="A873" s="1831" t="s">
        <v>1556</v>
      </c>
      <c r="B873" s="1839" t="s">
        <v>1557</v>
      </c>
      <c r="C873" s="1839" t="s">
        <v>1088</v>
      </c>
      <c r="D873" s="1839" t="s">
        <v>1558</v>
      </c>
      <c r="E873" s="1840">
        <v>46127</v>
      </c>
      <c r="F873" s="1840"/>
      <c r="G873" s="1839" t="s">
        <v>500</v>
      </c>
      <c r="H873" s="1839" t="s">
        <v>1060</v>
      </c>
      <c r="I873" s="1831" t="s">
        <v>1061</v>
      </c>
      <c r="J873" s="1831"/>
    </row>
    <row r="874" spans="1:10" ht="15" hidden="1" x14ac:dyDescent="0.35">
      <c r="A874" s="1831" t="s">
        <v>1559</v>
      </c>
      <c r="B874" s="1839" t="s">
        <v>1560</v>
      </c>
      <c r="C874" s="1839" t="s">
        <v>1148</v>
      </c>
      <c r="D874" s="1839" t="s">
        <v>1561</v>
      </c>
      <c r="E874" s="1840">
        <v>45601</v>
      </c>
      <c r="F874" s="1840"/>
      <c r="G874" s="1839" t="s">
        <v>500</v>
      </c>
      <c r="H874" s="1839" t="s">
        <v>1065</v>
      </c>
      <c r="I874" s="1831" t="s">
        <v>1066</v>
      </c>
      <c r="J874" s="1831"/>
    </row>
    <row r="875" spans="1:10" ht="15" hidden="1" x14ac:dyDescent="0.35">
      <c r="A875" s="1831" t="s">
        <v>1562</v>
      </c>
      <c r="B875" s="1839" t="s">
        <v>1563</v>
      </c>
      <c r="C875" s="1839" t="s">
        <v>420</v>
      </c>
      <c r="D875" s="1839" t="s">
        <v>1564</v>
      </c>
      <c r="E875" s="1840">
        <v>45419</v>
      </c>
      <c r="F875" s="1840"/>
      <c r="G875" s="1839" t="s">
        <v>500</v>
      </c>
      <c r="H875" s="1839" t="s">
        <v>1093</v>
      </c>
      <c r="I875" s="1831" t="s">
        <v>1066</v>
      </c>
      <c r="J875" s="1831"/>
    </row>
    <row r="876" spans="1:10" ht="15" hidden="1" x14ac:dyDescent="0.35">
      <c r="A876" s="1831" t="s">
        <v>1565</v>
      </c>
      <c r="B876" s="1839" t="s">
        <v>1566</v>
      </c>
      <c r="C876" s="1839" t="s">
        <v>420</v>
      </c>
      <c r="D876" s="1839" t="s">
        <v>1567</v>
      </c>
      <c r="E876" s="1840">
        <v>46162</v>
      </c>
      <c r="F876" s="1840"/>
      <c r="G876" s="1839" t="s">
        <v>500</v>
      </c>
      <c r="H876" s="1839" t="s">
        <v>1078</v>
      </c>
      <c r="I876" s="1831" t="s">
        <v>1061</v>
      </c>
      <c r="J876" s="1831"/>
    </row>
    <row r="877" spans="1:10" ht="15" hidden="1" x14ac:dyDescent="0.35">
      <c r="A877" s="8" t="s">
        <v>1568</v>
      </c>
      <c r="B877" t="s">
        <v>1569</v>
      </c>
      <c r="C877" t="s">
        <v>420</v>
      </c>
      <c r="D877" t="s">
        <v>1570</v>
      </c>
      <c r="E877" s="9">
        <v>45722</v>
      </c>
      <c r="F877" s="9">
        <v>45826</v>
      </c>
      <c r="G877" t="s">
        <v>494</v>
      </c>
      <c r="H877" t="s">
        <v>1078</v>
      </c>
      <c r="I877" t="s">
        <v>1061</v>
      </c>
      <c r="J877"/>
    </row>
    <row r="878" spans="1:10" ht="15" hidden="1" x14ac:dyDescent="0.35">
      <c r="A878" s="1831" t="s">
        <v>1571</v>
      </c>
      <c r="B878" s="1839" t="s">
        <v>1572</v>
      </c>
      <c r="C878" s="1839" t="s">
        <v>420</v>
      </c>
      <c r="D878" s="1839" t="s">
        <v>1573</v>
      </c>
      <c r="E878" s="1840">
        <v>45693</v>
      </c>
      <c r="F878" s="1840"/>
      <c r="G878" s="1839" t="s">
        <v>500</v>
      </c>
      <c r="H878" s="1839" t="s">
        <v>1093</v>
      </c>
      <c r="I878" s="1831" t="s">
        <v>1066</v>
      </c>
      <c r="J878" s="1831"/>
    </row>
    <row r="879" spans="1:10" ht="15" hidden="1" x14ac:dyDescent="0.35">
      <c r="A879" s="1831" t="s">
        <v>1574</v>
      </c>
      <c r="B879" s="1839" t="s">
        <v>1575</v>
      </c>
      <c r="C879" s="1839" t="s">
        <v>1144</v>
      </c>
      <c r="D879" s="1839" t="s">
        <v>1576</v>
      </c>
      <c r="E879" s="1840">
        <v>46063</v>
      </c>
      <c r="F879" s="1840"/>
      <c r="G879" s="1839" t="s">
        <v>500</v>
      </c>
      <c r="H879" s="1839" t="s">
        <v>1065</v>
      </c>
      <c r="I879" s="1831" t="s">
        <v>1066</v>
      </c>
      <c r="J879" s="1831"/>
    </row>
    <row r="880" spans="1:10" ht="15" hidden="1" x14ac:dyDescent="0.35">
      <c r="A880" s="8" t="s">
        <v>1577</v>
      </c>
      <c r="B880" t="s">
        <v>1578</v>
      </c>
      <c r="C880" t="s">
        <v>1088</v>
      </c>
      <c r="D880" t="s">
        <v>1579</v>
      </c>
      <c r="E880" s="9">
        <v>45701</v>
      </c>
      <c r="F880" s="9">
        <v>46119</v>
      </c>
      <c r="G880" t="s">
        <v>494</v>
      </c>
      <c r="H880" t="s">
        <v>1060</v>
      </c>
      <c r="I880" t="s">
        <v>1061</v>
      </c>
      <c r="J880"/>
    </row>
    <row r="881" spans="1:10" ht="15" hidden="1" x14ac:dyDescent="0.35">
      <c r="A881" s="1831" t="s">
        <v>1580</v>
      </c>
      <c r="B881" s="1839" t="s">
        <v>1581</v>
      </c>
      <c r="C881" s="1839" t="s">
        <v>410</v>
      </c>
      <c r="D881" s="1839" t="s">
        <v>1582</v>
      </c>
      <c r="E881" s="1840">
        <v>45833</v>
      </c>
      <c r="F881" s="1840"/>
      <c r="G881" s="1839" t="s">
        <v>500</v>
      </c>
      <c r="H881" s="1839" t="s">
        <v>1060</v>
      </c>
      <c r="I881" s="1831" t="s">
        <v>1061</v>
      </c>
      <c r="J881" s="1831"/>
    </row>
    <row r="882" spans="1:10" ht="15" hidden="1" x14ac:dyDescent="0.35">
      <c r="A882" s="1831" t="s">
        <v>1583</v>
      </c>
      <c r="B882" s="1839" t="s">
        <v>1584</v>
      </c>
      <c r="C882" s="1839" t="s">
        <v>1585</v>
      </c>
      <c r="D882" s="1839" t="s">
        <v>1586</v>
      </c>
      <c r="E882" s="1840">
        <v>45754</v>
      </c>
      <c r="F882" s="1840"/>
      <c r="G882" s="1839" t="s">
        <v>500</v>
      </c>
      <c r="H882" s="1839" t="s">
        <v>1065</v>
      </c>
      <c r="I882" s="1831" t="s">
        <v>1066</v>
      </c>
      <c r="J882" s="1831"/>
    </row>
    <row r="883" spans="1:10" ht="15" hidden="1" x14ac:dyDescent="0.35">
      <c r="A883" s="1831" t="s">
        <v>1587</v>
      </c>
      <c r="B883" s="1839" t="s">
        <v>1588</v>
      </c>
      <c r="C883" s="1839" t="s">
        <v>578</v>
      </c>
      <c r="D883" s="1839" t="s">
        <v>1589</v>
      </c>
      <c r="E883" s="1840">
        <v>45139</v>
      </c>
      <c r="F883" s="1840"/>
      <c r="G883" s="1839" t="s">
        <v>500</v>
      </c>
      <c r="H883" s="1839" t="s">
        <v>1065</v>
      </c>
      <c r="I883" s="1831" t="s">
        <v>1066</v>
      </c>
      <c r="J883" s="1831"/>
    </row>
    <row r="884" spans="1:10" ht="15" hidden="1" x14ac:dyDescent="0.35">
      <c r="A884" s="1831" t="s">
        <v>1590</v>
      </c>
      <c r="B884" s="1839" t="s">
        <v>1591</v>
      </c>
      <c r="C884" s="1839" t="s">
        <v>410</v>
      </c>
      <c r="D884" s="1839" t="s">
        <v>1592</v>
      </c>
      <c r="E884" s="1840">
        <v>45826</v>
      </c>
      <c r="F884" s="1840"/>
      <c r="G884" s="1839" t="s">
        <v>500</v>
      </c>
      <c r="H884" s="1839" t="s">
        <v>1060</v>
      </c>
      <c r="I884" s="1831" t="s">
        <v>1061</v>
      </c>
      <c r="J884" s="1831"/>
    </row>
    <row r="885" spans="1:10" ht="15" hidden="1" x14ac:dyDescent="0.35">
      <c r="A885" s="8" t="s">
        <v>1593</v>
      </c>
      <c r="B885" t="s">
        <v>1594</v>
      </c>
      <c r="C885" t="s">
        <v>1125</v>
      </c>
      <c r="D885" t="s">
        <v>1595</v>
      </c>
      <c r="E885" s="9">
        <v>45713</v>
      </c>
      <c r="F885" s="9">
        <v>45842</v>
      </c>
      <c r="G885" t="s">
        <v>494</v>
      </c>
      <c r="H885" t="s">
        <v>1065</v>
      </c>
      <c r="I885" t="s">
        <v>1066</v>
      </c>
      <c r="J885"/>
    </row>
    <row r="886" spans="1:10" ht="15" hidden="1" x14ac:dyDescent="0.35">
      <c r="A886" s="8" t="s">
        <v>1596</v>
      </c>
      <c r="B886" t="s">
        <v>1597</v>
      </c>
      <c r="C886" t="s">
        <v>457</v>
      </c>
      <c r="D886" t="s">
        <v>1598</v>
      </c>
      <c r="E886" s="9">
        <v>45422</v>
      </c>
      <c r="F886" s="9">
        <v>45870</v>
      </c>
      <c r="G886" t="s">
        <v>494</v>
      </c>
      <c r="H886" t="s">
        <v>1060</v>
      </c>
      <c r="I886" t="s">
        <v>1061</v>
      </c>
      <c r="J886"/>
    </row>
    <row r="887" spans="1:10" ht="15" hidden="1" x14ac:dyDescent="0.35">
      <c r="A887" s="1831" t="s">
        <v>1599</v>
      </c>
      <c r="B887" s="1839" t="s">
        <v>1600</v>
      </c>
      <c r="C887" s="1839" t="s">
        <v>544</v>
      </c>
      <c r="D887" s="1839" t="s">
        <v>1601</v>
      </c>
      <c r="E887" s="1840">
        <v>42445</v>
      </c>
      <c r="F887" s="1840"/>
      <c r="G887" s="1839" t="s">
        <v>500</v>
      </c>
      <c r="H887" s="1839" t="s">
        <v>1060</v>
      </c>
      <c r="I887" s="1831" t="s">
        <v>1061</v>
      </c>
      <c r="J887" s="1831"/>
    </row>
    <row r="888" spans="1:10" ht="15" hidden="1" x14ac:dyDescent="0.35">
      <c r="A888" s="8" t="s">
        <v>1602</v>
      </c>
      <c r="B888" t="s">
        <v>1603</v>
      </c>
      <c r="C888" t="s">
        <v>457</v>
      </c>
      <c r="D888" t="s">
        <v>1604</v>
      </c>
      <c r="E888" s="9">
        <v>45729</v>
      </c>
      <c r="F888" s="9">
        <v>45748</v>
      </c>
      <c r="G888" t="s">
        <v>494</v>
      </c>
      <c r="H888" t="s">
        <v>1065</v>
      </c>
      <c r="I888" t="s">
        <v>1066</v>
      </c>
      <c r="J888"/>
    </row>
    <row r="889" spans="1:10" ht="15" hidden="1" x14ac:dyDescent="0.35">
      <c r="A889" s="1831" t="s">
        <v>1605</v>
      </c>
      <c r="B889" s="1839" t="s">
        <v>1606</v>
      </c>
      <c r="C889" s="1839" t="s">
        <v>1144</v>
      </c>
      <c r="D889" s="1839" t="s">
        <v>1607</v>
      </c>
      <c r="E889" s="1840">
        <v>45826</v>
      </c>
      <c r="F889" s="1840"/>
      <c r="G889" s="1839" t="s">
        <v>500</v>
      </c>
      <c r="H889" s="1839" t="s">
        <v>1065</v>
      </c>
      <c r="I889" s="1831" t="s">
        <v>1066</v>
      </c>
      <c r="J889" s="1831"/>
    </row>
    <row r="890" spans="1:10" ht="15" hidden="1" x14ac:dyDescent="0.35">
      <c r="A890" s="8" t="s">
        <v>1608</v>
      </c>
      <c r="B890" t="s">
        <v>1609</v>
      </c>
      <c r="C890" t="s">
        <v>456</v>
      </c>
      <c r="D890" t="s">
        <v>1610</v>
      </c>
      <c r="E890" s="9">
        <v>45828</v>
      </c>
      <c r="F890" s="9">
        <v>46009</v>
      </c>
      <c r="G890" t="s">
        <v>494</v>
      </c>
      <c r="H890" t="s">
        <v>1065</v>
      </c>
      <c r="I890" t="s">
        <v>1066</v>
      </c>
      <c r="J890"/>
    </row>
    <row r="891" spans="1:10" ht="15" hidden="1" x14ac:dyDescent="0.35">
      <c r="A891" s="1831" t="s">
        <v>1611</v>
      </c>
      <c r="B891" s="1839" t="s">
        <v>1612</v>
      </c>
      <c r="C891" s="1839" t="s">
        <v>1144</v>
      </c>
      <c r="D891" s="1839" t="s">
        <v>1613</v>
      </c>
      <c r="E891" s="1840">
        <v>45828</v>
      </c>
      <c r="F891" s="1840"/>
      <c r="G891" s="1839" t="s">
        <v>500</v>
      </c>
      <c r="H891" s="1839" t="s">
        <v>1065</v>
      </c>
      <c r="I891" s="1831" t="s">
        <v>1066</v>
      </c>
      <c r="J891" s="1831"/>
    </row>
    <row r="892" spans="1:10" ht="15" hidden="1" x14ac:dyDescent="0.35">
      <c r="A892" s="1831" t="s">
        <v>1614</v>
      </c>
      <c r="B892" s="1839" t="s">
        <v>1615</v>
      </c>
      <c r="C892" s="1839" t="s">
        <v>751</v>
      </c>
      <c r="D892" s="1839" t="s">
        <v>1616</v>
      </c>
      <c r="E892" s="1840">
        <v>45600</v>
      </c>
      <c r="F892" s="1840"/>
      <c r="G892" s="1839" t="s">
        <v>525</v>
      </c>
      <c r="H892" s="1839" t="s">
        <v>1065</v>
      </c>
      <c r="I892" s="1831" t="s">
        <v>1066</v>
      </c>
      <c r="J892" s="1831"/>
    </row>
    <row r="893" spans="1:10" ht="15" hidden="1" x14ac:dyDescent="0.35">
      <c r="A893" s="1831" t="s">
        <v>1617</v>
      </c>
      <c r="B893" s="1839" t="s">
        <v>1618</v>
      </c>
      <c r="C893" s="1839" t="s">
        <v>425</v>
      </c>
      <c r="D893" s="1839" t="s">
        <v>1619</v>
      </c>
      <c r="E893" s="1840">
        <v>45979</v>
      </c>
      <c r="F893" s="1840"/>
      <c r="G893" s="1839" t="s">
        <v>500</v>
      </c>
      <c r="H893" s="1839" t="s">
        <v>1065</v>
      </c>
      <c r="I893" s="1831" t="s">
        <v>1066</v>
      </c>
      <c r="J893" s="1831"/>
    </row>
    <row r="894" spans="1:10" ht="15" hidden="1" x14ac:dyDescent="0.35">
      <c r="A894" s="1831" t="s">
        <v>1620</v>
      </c>
      <c r="B894" s="1839" t="s">
        <v>1621</v>
      </c>
      <c r="C894" s="1839" t="s">
        <v>1622</v>
      </c>
      <c r="D894" s="1839" t="s">
        <v>1623</v>
      </c>
      <c r="E894" s="1840">
        <v>45839</v>
      </c>
      <c r="F894" s="1840"/>
      <c r="G894" s="1839" t="s">
        <v>500</v>
      </c>
      <c r="H894" s="1839" t="s">
        <v>1060</v>
      </c>
      <c r="I894" s="1831" t="s">
        <v>1061</v>
      </c>
      <c r="J894" s="1831"/>
    </row>
    <row r="895" spans="1:10" ht="15" hidden="1" x14ac:dyDescent="0.35">
      <c r="A895" s="8" t="s">
        <v>1624</v>
      </c>
      <c r="B895" t="s">
        <v>1625</v>
      </c>
      <c r="C895" t="s">
        <v>420</v>
      </c>
      <c r="D895" t="s">
        <v>1626</v>
      </c>
      <c r="E895" s="9">
        <v>45600</v>
      </c>
      <c r="G895" t="s">
        <v>634</v>
      </c>
      <c r="H895" t="s">
        <v>1093</v>
      </c>
      <c r="I895" t="s">
        <v>1066</v>
      </c>
      <c r="J895"/>
    </row>
    <row r="896" spans="1:10" ht="15" hidden="1" x14ac:dyDescent="0.35">
      <c r="A896" s="1831" t="s">
        <v>1627</v>
      </c>
      <c r="B896" s="1839" t="s">
        <v>1628</v>
      </c>
      <c r="C896" s="1839" t="s">
        <v>1088</v>
      </c>
      <c r="D896" s="1839" t="s">
        <v>1629</v>
      </c>
      <c r="E896" s="1840">
        <v>46084</v>
      </c>
      <c r="F896" s="1840"/>
      <c r="G896" s="1839" t="s">
        <v>500</v>
      </c>
      <c r="H896" s="1839" t="s">
        <v>1065</v>
      </c>
      <c r="I896" s="1831" t="s">
        <v>1066</v>
      </c>
      <c r="J896" s="1831"/>
    </row>
    <row r="897" spans="1:10" ht="15" hidden="1" x14ac:dyDescent="0.35">
      <c r="A897" s="1831" t="s">
        <v>1630</v>
      </c>
      <c r="B897" s="1839" t="s">
        <v>1631</v>
      </c>
      <c r="C897" s="1839" t="s">
        <v>423</v>
      </c>
      <c r="D897" s="1839" t="s">
        <v>1632</v>
      </c>
      <c r="E897" s="1840">
        <v>45840</v>
      </c>
      <c r="F897" s="1840"/>
      <c r="G897" s="1839" t="s">
        <v>500</v>
      </c>
      <c r="H897" s="1839" t="s">
        <v>1065</v>
      </c>
      <c r="I897" s="1831" t="s">
        <v>1066</v>
      </c>
      <c r="J897" s="1831"/>
    </row>
    <row r="898" spans="1:10" ht="15" hidden="1" x14ac:dyDescent="0.35">
      <c r="A898" s="1831" t="s">
        <v>1633</v>
      </c>
      <c r="B898" s="1839" t="s">
        <v>1634</v>
      </c>
      <c r="C898" s="1839" t="s">
        <v>457</v>
      </c>
      <c r="D898" s="1839" t="s">
        <v>1635</v>
      </c>
      <c r="E898" s="1840">
        <v>45833</v>
      </c>
      <c r="F898" s="1840"/>
      <c r="G898" s="1839" t="s">
        <v>500</v>
      </c>
      <c r="H898" s="1839" t="s">
        <v>1065</v>
      </c>
      <c r="I898" s="1831" t="s">
        <v>1066</v>
      </c>
      <c r="J898" s="1831"/>
    </row>
    <row r="899" spans="1:10" ht="15" hidden="1" x14ac:dyDescent="0.35">
      <c r="A899" s="1831" t="s">
        <v>1636</v>
      </c>
      <c r="B899" s="1839" t="s">
        <v>1637</v>
      </c>
      <c r="C899" s="1839" t="s">
        <v>443</v>
      </c>
      <c r="D899" s="1839" t="s">
        <v>1638</v>
      </c>
      <c r="E899" s="1840">
        <v>45419</v>
      </c>
      <c r="F899" s="1840"/>
      <c r="G899" s="1839" t="s">
        <v>500</v>
      </c>
      <c r="H899" s="1839" t="s">
        <v>1065</v>
      </c>
      <c r="I899" s="1831" t="s">
        <v>1066</v>
      </c>
      <c r="J899" s="1831"/>
    </row>
    <row r="900" spans="1:10" ht="15" hidden="1" x14ac:dyDescent="0.35">
      <c r="A900" s="1831" t="s">
        <v>1639</v>
      </c>
      <c r="B900" s="1839" t="s">
        <v>1640</v>
      </c>
      <c r="C900" s="1839" t="s">
        <v>433</v>
      </c>
      <c r="D900" s="1839" t="s">
        <v>1641</v>
      </c>
      <c r="E900" s="1840">
        <v>46100</v>
      </c>
      <c r="F900" s="1840"/>
      <c r="G900" s="1839" t="s">
        <v>500</v>
      </c>
      <c r="H900" s="1839" t="s">
        <v>1093</v>
      </c>
      <c r="I900" s="1831" t="s">
        <v>1066</v>
      </c>
      <c r="J900" s="1831"/>
    </row>
    <row r="901" spans="1:10" ht="15" hidden="1" x14ac:dyDescent="0.35">
      <c r="A901" s="8" t="s">
        <v>1642</v>
      </c>
      <c r="B901" t="s">
        <v>1643</v>
      </c>
      <c r="C901" t="s">
        <v>439</v>
      </c>
      <c r="D901" t="s">
        <v>1644</v>
      </c>
      <c r="E901" s="9">
        <v>45761</v>
      </c>
      <c r="F901" s="9">
        <v>45982</v>
      </c>
      <c r="G901" t="s">
        <v>494</v>
      </c>
      <c r="H901" t="s">
        <v>1060</v>
      </c>
      <c r="I901" t="s">
        <v>1061</v>
      </c>
      <c r="J901"/>
    </row>
    <row r="902" spans="1:10" ht="15" hidden="1" x14ac:dyDescent="0.35">
      <c r="A902" s="1831" t="s">
        <v>1645</v>
      </c>
      <c r="B902" s="1839" t="s">
        <v>1646</v>
      </c>
      <c r="C902" s="1839" t="s">
        <v>591</v>
      </c>
      <c r="D902" s="1839" t="s">
        <v>1647</v>
      </c>
      <c r="E902" s="1840">
        <v>45628</v>
      </c>
      <c r="F902" s="1840"/>
      <c r="G902" s="1839" t="s">
        <v>500</v>
      </c>
      <c r="H902" s="1839" t="s">
        <v>1093</v>
      </c>
      <c r="I902" s="1831" t="s">
        <v>1066</v>
      </c>
      <c r="J902" s="1831"/>
    </row>
    <row r="903" spans="1:10" ht="15" hidden="1" x14ac:dyDescent="0.35">
      <c r="A903" s="1831" t="s">
        <v>1648</v>
      </c>
      <c r="B903" s="1839" t="s">
        <v>1649</v>
      </c>
      <c r="C903" s="1839" t="s">
        <v>768</v>
      </c>
      <c r="D903" s="1839" t="s">
        <v>1650</v>
      </c>
      <c r="E903" s="1840">
        <v>44399</v>
      </c>
      <c r="F903" s="1840"/>
      <c r="G903" s="1839" t="s">
        <v>500</v>
      </c>
      <c r="H903" s="1839" t="s">
        <v>1060</v>
      </c>
      <c r="I903" s="1831" t="s">
        <v>1061</v>
      </c>
      <c r="J903" s="1831"/>
    </row>
    <row r="904" spans="1:10" ht="15" hidden="1" x14ac:dyDescent="0.35">
      <c r="A904" s="1831" t="s">
        <v>1651</v>
      </c>
      <c r="B904" s="1839" t="s">
        <v>1652</v>
      </c>
      <c r="C904" s="1839" t="s">
        <v>578</v>
      </c>
      <c r="D904" s="1839" t="s">
        <v>1653</v>
      </c>
      <c r="E904" s="1840">
        <v>46157</v>
      </c>
      <c r="F904" s="1840"/>
      <c r="G904" s="1839" t="s">
        <v>500</v>
      </c>
      <c r="H904" s="1839" t="s">
        <v>1060</v>
      </c>
      <c r="I904" s="1831" t="s">
        <v>1061</v>
      </c>
      <c r="J904" s="1831"/>
    </row>
    <row r="905" spans="1:10" ht="15" hidden="1" x14ac:dyDescent="0.35">
      <c r="A905" s="1831" t="s">
        <v>1654</v>
      </c>
      <c r="B905" s="1839" t="s">
        <v>1655</v>
      </c>
      <c r="C905" s="1839" t="s">
        <v>458</v>
      </c>
      <c r="D905" s="1839" t="s">
        <v>1656</v>
      </c>
      <c r="E905" s="1840">
        <v>45644</v>
      </c>
      <c r="F905" s="1840"/>
      <c r="G905" s="1839" t="s">
        <v>500</v>
      </c>
      <c r="H905" s="1839" t="s">
        <v>1060</v>
      </c>
      <c r="I905" s="1831" t="s">
        <v>1061</v>
      </c>
      <c r="J905" s="1831"/>
    </row>
    <row r="906" spans="1:10" ht="15" hidden="1" x14ac:dyDescent="0.35">
      <c r="A906" s="1831" t="s">
        <v>1657</v>
      </c>
      <c r="B906" s="1839" t="s">
        <v>1658</v>
      </c>
      <c r="C906" s="1839" t="s">
        <v>416</v>
      </c>
      <c r="D906" s="1839" t="s">
        <v>1659</v>
      </c>
      <c r="E906" s="1840">
        <v>45721</v>
      </c>
      <c r="F906" s="1840"/>
      <c r="G906" s="1839" t="s">
        <v>500</v>
      </c>
      <c r="H906" s="1839" t="s">
        <v>1078</v>
      </c>
      <c r="I906" s="1831" t="s">
        <v>1061</v>
      </c>
      <c r="J906" s="1831"/>
    </row>
    <row r="907" spans="1:10" ht="15" hidden="1" x14ac:dyDescent="0.35">
      <c r="A907" s="1831" t="s">
        <v>1660</v>
      </c>
      <c r="B907" s="1839" t="s">
        <v>1661</v>
      </c>
      <c r="C907" s="1839" t="s">
        <v>420</v>
      </c>
      <c r="D907" s="1839" t="s">
        <v>1662</v>
      </c>
      <c r="E907" s="1840">
        <v>45383</v>
      </c>
      <c r="F907" s="1840"/>
      <c r="G907" s="1839" t="s">
        <v>500</v>
      </c>
      <c r="H907" s="1839" t="s">
        <v>1078</v>
      </c>
      <c r="I907" s="1831" t="s">
        <v>1061</v>
      </c>
      <c r="J907" s="1831"/>
    </row>
    <row r="908" spans="1:10" ht="15" hidden="1" x14ac:dyDescent="0.35">
      <c r="A908" s="8" t="s">
        <v>1663</v>
      </c>
      <c r="B908" t="s">
        <v>1664</v>
      </c>
      <c r="C908" t="s">
        <v>606</v>
      </c>
      <c r="D908" t="s">
        <v>1665</v>
      </c>
      <c r="E908" s="9">
        <v>45708</v>
      </c>
      <c r="F908" s="9">
        <v>45852</v>
      </c>
      <c r="G908" t="s">
        <v>494</v>
      </c>
      <c r="H908" t="s">
        <v>1065</v>
      </c>
      <c r="I908" t="s">
        <v>1066</v>
      </c>
      <c r="J908"/>
    </row>
    <row r="909" spans="1:10" ht="15" hidden="1" x14ac:dyDescent="0.35">
      <c r="A909" s="1831" t="s">
        <v>1666</v>
      </c>
      <c r="B909" s="1839" t="s">
        <v>1667</v>
      </c>
      <c r="C909" s="1839" t="s">
        <v>1144</v>
      </c>
      <c r="D909" s="1839" t="s">
        <v>1668</v>
      </c>
      <c r="E909" s="1840">
        <v>45707</v>
      </c>
      <c r="F909" s="1840"/>
      <c r="G909" s="1839" t="s">
        <v>500</v>
      </c>
      <c r="H909" s="1839" t="s">
        <v>1060</v>
      </c>
      <c r="I909" s="1831" t="s">
        <v>1061</v>
      </c>
      <c r="J909" s="1831"/>
    </row>
    <row r="910" spans="1:10" ht="15" hidden="1" x14ac:dyDescent="0.35">
      <c r="A910" s="1831" t="s">
        <v>1669</v>
      </c>
      <c r="B910" s="1839" t="s">
        <v>1670</v>
      </c>
      <c r="C910" s="1839" t="s">
        <v>411</v>
      </c>
      <c r="D910" s="1839" t="s">
        <v>1671</v>
      </c>
      <c r="E910" s="1840">
        <v>45755</v>
      </c>
      <c r="F910" s="1840"/>
      <c r="G910" s="1839" t="s">
        <v>500</v>
      </c>
      <c r="H910" s="1839" t="s">
        <v>1078</v>
      </c>
      <c r="I910" s="1831" t="s">
        <v>1061</v>
      </c>
      <c r="J910" s="1831"/>
    </row>
    <row r="911" spans="1:10" ht="15" hidden="1" x14ac:dyDescent="0.35">
      <c r="A911" s="1831" t="s">
        <v>1672</v>
      </c>
      <c r="B911" s="1839" t="s">
        <v>1673</v>
      </c>
      <c r="C911" s="1839" t="s">
        <v>1144</v>
      </c>
      <c r="D911" s="1839" t="s">
        <v>1674</v>
      </c>
      <c r="E911" s="1840">
        <v>46121</v>
      </c>
      <c r="F911" s="1840"/>
      <c r="G911" s="1839" t="s">
        <v>500</v>
      </c>
      <c r="H911" s="1839" t="s">
        <v>1060</v>
      </c>
      <c r="I911" s="1831" t="s">
        <v>1061</v>
      </c>
      <c r="J911" s="1831"/>
    </row>
    <row r="912" spans="1:10" ht="15" hidden="1" x14ac:dyDescent="0.35">
      <c r="A912" s="1831" t="s">
        <v>1675</v>
      </c>
      <c r="B912" s="1839" t="s">
        <v>1676</v>
      </c>
      <c r="C912" s="1839" t="s">
        <v>1677</v>
      </c>
      <c r="D912" s="1839" t="s">
        <v>1678</v>
      </c>
      <c r="E912" s="1840">
        <v>46001</v>
      </c>
      <c r="F912" s="1840"/>
      <c r="G912" s="1839" t="s">
        <v>500</v>
      </c>
      <c r="H912" s="1839" t="s">
        <v>1065</v>
      </c>
      <c r="I912" s="1831" t="s">
        <v>1066</v>
      </c>
      <c r="J912" s="1831"/>
    </row>
    <row r="913" spans="1:10" ht="15" hidden="1" x14ac:dyDescent="0.35">
      <c r="A913" s="8" t="s">
        <v>1679</v>
      </c>
      <c r="B913" t="s">
        <v>1680</v>
      </c>
      <c r="C913" t="s">
        <v>606</v>
      </c>
      <c r="D913" t="s">
        <v>1681</v>
      </c>
      <c r="E913" s="9">
        <v>45708</v>
      </c>
      <c r="F913" s="9">
        <v>45904</v>
      </c>
      <c r="G913" t="s">
        <v>494</v>
      </c>
      <c r="H913" t="s">
        <v>1065</v>
      </c>
      <c r="I913" t="s">
        <v>1066</v>
      </c>
      <c r="J913"/>
    </row>
    <row r="914" spans="1:10" ht="15" hidden="1" x14ac:dyDescent="0.35">
      <c r="A914" s="1831" t="s">
        <v>1682</v>
      </c>
      <c r="B914" s="1839" t="s">
        <v>1683</v>
      </c>
      <c r="C914" s="1839" t="s">
        <v>420</v>
      </c>
      <c r="D914" s="1839" t="s">
        <v>1684</v>
      </c>
      <c r="E914" s="1840">
        <v>46100</v>
      </c>
      <c r="F914" s="1840"/>
      <c r="G914" s="1839" t="s">
        <v>500</v>
      </c>
      <c r="H914" s="1839" t="s">
        <v>1078</v>
      </c>
      <c r="I914" s="1831" t="s">
        <v>1061</v>
      </c>
      <c r="J914" s="1831"/>
    </row>
    <row r="915" spans="1:10" ht="15" hidden="1" x14ac:dyDescent="0.35">
      <c r="A915" s="1831" t="s">
        <v>1685</v>
      </c>
      <c r="B915" s="1839" t="s">
        <v>1686</v>
      </c>
      <c r="C915" s="1839" t="s">
        <v>411</v>
      </c>
      <c r="D915" s="1839" t="s">
        <v>1687</v>
      </c>
      <c r="E915" s="1840">
        <v>46118</v>
      </c>
      <c r="F915" s="1840"/>
      <c r="G915" s="1839" t="s">
        <v>500</v>
      </c>
      <c r="H915" s="1839" t="s">
        <v>1060</v>
      </c>
      <c r="I915" s="1831" t="s">
        <v>1061</v>
      </c>
      <c r="J915" s="1831"/>
    </row>
    <row r="916" spans="1:10" ht="15" hidden="1" x14ac:dyDescent="0.35">
      <c r="A916" s="1831" t="s">
        <v>1688</v>
      </c>
      <c r="B916" s="1839" t="s">
        <v>1689</v>
      </c>
      <c r="C916" s="1839" t="s">
        <v>445</v>
      </c>
      <c r="D916" s="1839" t="s">
        <v>1690</v>
      </c>
      <c r="E916" s="1840">
        <v>45397</v>
      </c>
      <c r="F916" s="1840"/>
      <c r="G916" s="1839" t="s">
        <v>500</v>
      </c>
      <c r="H916" s="1839" t="s">
        <v>1060</v>
      </c>
      <c r="I916" s="1831" t="s">
        <v>1061</v>
      </c>
      <c r="J916" s="1831"/>
    </row>
    <row r="917" spans="1:10" ht="15" hidden="1" x14ac:dyDescent="0.35">
      <c r="A917" s="1831" t="s">
        <v>1691</v>
      </c>
      <c r="B917" s="1839" t="s">
        <v>1692</v>
      </c>
      <c r="C917" s="1839" t="s">
        <v>411</v>
      </c>
      <c r="D917" s="1839" t="s">
        <v>1693</v>
      </c>
      <c r="E917" s="1840">
        <v>45810</v>
      </c>
      <c r="F917" s="1840"/>
      <c r="G917" s="1839" t="s">
        <v>500</v>
      </c>
      <c r="H917" s="1839" t="s">
        <v>1060</v>
      </c>
      <c r="I917" s="1831" t="s">
        <v>1061</v>
      </c>
      <c r="J917" s="1831"/>
    </row>
    <row r="918" spans="1:10" ht="15" hidden="1" x14ac:dyDescent="0.35">
      <c r="A918" s="1831" t="s">
        <v>1694</v>
      </c>
      <c r="B918" s="1839" t="s">
        <v>1695</v>
      </c>
      <c r="C918" s="1839" t="s">
        <v>1696</v>
      </c>
      <c r="D918" s="1839" t="s">
        <v>1697</v>
      </c>
      <c r="E918" s="1840">
        <v>45721</v>
      </c>
      <c r="F918" s="1840"/>
      <c r="G918" s="1839" t="s">
        <v>525</v>
      </c>
      <c r="H918" s="1839" t="s">
        <v>1065</v>
      </c>
      <c r="I918" s="1831" t="s">
        <v>1066</v>
      </c>
      <c r="J918" s="1831"/>
    </row>
    <row r="919" spans="1:10" ht="15" hidden="1" x14ac:dyDescent="0.35">
      <c r="A919" s="1831" t="s">
        <v>1698</v>
      </c>
      <c r="B919" s="1839" t="s">
        <v>1699</v>
      </c>
      <c r="C919" s="1839" t="s">
        <v>410</v>
      </c>
      <c r="D919" s="1839" t="s">
        <v>1700</v>
      </c>
      <c r="E919" s="1840">
        <v>45383</v>
      </c>
      <c r="F919" s="1840"/>
      <c r="G919" s="1839" t="s">
        <v>500</v>
      </c>
      <c r="H919" s="1839" t="s">
        <v>1065</v>
      </c>
      <c r="I919" s="1831" t="s">
        <v>1066</v>
      </c>
      <c r="J919" s="1831"/>
    </row>
    <row r="920" spans="1:10" ht="15" hidden="1" x14ac:dyDescent="0.35">
      <c r="A920" s="8" t="s">
        <v>1701</v>
      </c>
      <c r="B920" t="s">
        <v>1702</v>
      </c>
      <c r="C920" t="s">
        <v>416</v>
      </c>
      <c r="D920" t="s">
        <v>1703</v>
      </c>
      <c r="E920" s="9">
        <v>45722</v>
      </c>
      <c r="F920" s="9">
        <v>45812</v>
      </c>
      <c r="G920" t="s">
        <v>494</v>
      </c>
      <c r="H920" t="s">
        <v>1078</v>
      </c>
      <c r="I920" t="s">
        <v>1061</v>
      </c>
      <c r="J920"/>
    </row>
    <row r="921" spans="1:10" ht="15" hidden="1" x14ac:dyDescent="0.35">
      <c r="A921" s="1831" t="s">
        <v>1704</v>
      </c>
      <c r="B921" s="1839" t="s">
        <v>1705</v>
      </c>
      <c r="C921" s="1839" t="s">
        <v>410</v>
      </c>
      <c r="D921" s="1839" t="s">
        <v>1706</v>
      </c>
      <c r="E921" s="1840">
        <v>45420</v>
      </c>
      <c r="F921" s="1840"/>
      <c r="G921" s="1839" t="s">
        <v>500</v>
      </c>
      <c r="H921" s="1839" t="s">
        <v>1065</v>
      </c>
      <c r="I921" s="1831" t="s">
        <v>1066</v>
      </c>
      <c r="J921" s="1831"/>
    </row>
    <row r="922" spans="1:10" ht="15" hidden="1" x14ac:dyDescent="0.35">
      <c r="A922" s="8" t="s">
        <v>1707</v>
      </c>
      <c r="B922" t="s">
        <v>1708</v>
      </c>
      <c r="C922" t="s">
        <v>409</v>
      </c>
      <c r="D922" t="s">
        <v>1709</v>
      </c>
      <c r="E922" s="9">
        <v>45574</v>
      </c>
      <c r="F922" s="9">
        <v>45853</v>
      </c>
      <c r="G922" t="s">
        <v>494</v>
      </c>
      <c r="H922" t="s">
        <v>1065</v>
      </c>
      <c r="I922" t="s">
        <v>1066</v>
      </c>
      <c r="J922"/>
    </row>
    <row r="923" spans="1:10" ht="15" hidden="1" x14ac:dyDescent="0.35">
      <c r="A923" s="1831" t="s">
        <v>1710</v>
      </c>
      <c r="B923" s="1839" t="s">
        <v>1711</v>
      </c>
      <c r="C923" s="1839" t="s">
        <v>1148</v>
      </c>
      <c r="D923" s="1839" t="s">
        <v>1712</v>
      </c>
      <c r="E923" s="1840">
        <v>45419</v>
      </c>
      <c r="F923" s="1840"/>
      <c r="G923" s="1839" t="s">
        <v>500</v>
      </c>
      <c r="H923" s="1839" t="s">
        <v>1065</v>
      </c>
      <c r="I923" s="1831" t="s">
        <v>1066</v>
      </c>
      <c r="J923" s="1831"/>
    </row>
    <row r="924" spans="1:10" ht="15" hidden="1" x14ac:dyDescent="0.35">
      <c r="A924" s="1831" t="s">
        <v>1713</v>
      </c>
      <c r="B924" s="1839" t="s">
        <v>1714</v>
      </c>
      <c r="C924" s="1839" t="s">
        <v>1715</v>
      </c>
      <c r="D924" s="1839" t="s">
        <v>1716</v>
      </c>
      <c r="E924" s="1840">
        <v>44414</v>
      </c>
      <c r="F924" s="1840"/>
      <c r="G924" s="1839" t="s">
        <v>500</v>
      </c>
      <c r="H924" s="1839" t="s">
        <v>1065</v>
      </c>
      <c r="I924" s="1831" t="s">
        <v>1066</v>
      </c>
      <c r="J924" s="1831"/>
    </row>
    <row r="925" spans="1:10" ht="15" hidden="1" x14ac:dyDescent="0.35">
      <c r="A925" s="1831" t="s">
        <v>1717</v>
      </c>
      <c r="B925" s="1839" t="s">
        <v>1718</v>
      </c>
      <c r="C925" s="1839" t="s">
        <v>1213</v>
      </c>
      <c r="D925" s="1839" t="s">
        <v>1719</v>
      </c>
      <c r="E925" s="1840">
        <v>45377</v>
      </c>
      <c r="F925" s="1840"/>
      <c r="G925" s="1839" t="s">
        <v>500</v>
      </c>
      <c r="H925" s="1839" t="s">
        <v>1060</v>
      </c>
      <c r="I925" s="1831" t="s">
        <v>1061</v>
      </c>
      <c r="J925" s="1831"/>
    </row>
    <row r="926" spans="1:10" ht="15" hidden="1" x14ac:dyDescent="0.35">
      <c r="A926" s="1831" t="s">
        <v>1720</v>
      </c>
      <c r="B926" s="1839" t="s">
        <v>1721</v>
      </c>
      <c r="C926" s="1839" t="s">
        <v>763</v>
      </c>
      <c r="D926" s="1839" t="s">
        <v>1722</v>
      </c>
      <c r="E926" s="1840">
        <v>45173</v>
      </c>
      <c r="F926" s="1840"/>
      <c r="G926" s="1839" t="s">
        <v>500</v>
      </c>
      <c r="H926" s="1839" t="s">
        <v>1065</v>
      </c>
      <c r="I926" s="1831" t="s">
        <v>1066</v>
      </c>
      <c r="J926" s="1831"/>
    </row>
    <row r="927" spans="1:10" ht="15" hidden="1" x14ac:dyDescent="0.35">
      <c r="A927" s="1831" t="s">
        <v>1723</v>
      </c>
      <c r="B927" s="1839" t="s">
        <v>1724</v>
      </c>
      <c r="C927" s="1839" t="s">
        <v>445</v>
      </c>
      <c r="D927" s="1839" t="s">
        <v>1725</v>
      </c>
      <c r="E927" s="1840">
        <v>45706</v>
      </c>
      <c r="F927" s="1840"/>
      <c r="G927" s="1839" t="s">
        <v>500</v>
      </c>
      <c r="H927" s="1839" t="s">
        <v>1060</v>
      </c>
      <c r="I927" s="1831" t="s">
        <v>1061</v>
      </c>
      <c r="J927" s="1831"/>
    </row>
    <row r="928" spans="1:10" ht="15" hidden="1" x14ac:dyDescent="0.35">
      <c r="A928" s="1831" t="s">
        <v>1726</v>
      </c>
      <c r="B928" s="1839" t="s">
        <v>1727</v>
      </c>
      <c r="C928" s="1839" t="s">
        <v>420</v>
      </c>
      <c r="D928" s="1839" t="s">
        <v>1728</v>
      </c>
      <c r="E928" s="1840">
        <v>46001</v>
      </c>
      <c r="F928" s="1840"/>
      <c r="G928" s="1839" t="s">
        <v>500</v>
      </c>
      <c r="H928" s="1839" t="s">
        <v>1078</v>
      </c>
      <c r="I928" s="1831" t="s">
        <v>1061</v>
      </c>
      <c r="J928" s="1831"/>
    </row>
    <row r="929" spans="1:10" ht="15" hidden="1" x14ac:dyDescent="0.35">
      <c r="A929" s="1831" t="s">
        <v>1729</v>
      </c>
      <c r="B929" s="1839" t="s">
        <v>1730</v>
      </c>
      <c r="C929" s="1839" t="s">
        <v>424</v>
      </c>
      <c r="D929" s="1839" t="s">
        <v>1731</v>
      </c>
      <c r="E929" s="1840">
        <v>45377</v>
      </c>
      <c r="F929" s="1840"/>
      <c r="G929" s="1839" t="s">
        <v>500</v>
      </c>
      <c r="H929" s="1839" t="s">
        <v>1060</v>
      </c>
      <c r="I929" s="1831" t="s">
        <v>1061</v>
      </c>
      <c r="J929" s="1831"/>
    </row>
    <row r="930" spans="1:10" ht="15" hidden="1" x14ac:dyDescent="0.35">
      <c r="A930" s="1831" t="s">
        <v>1732</v>
      </c>
      <c r="B930" s="1839" t="s">
        <v>1733</v>
      </c>
      <c r="C930" s="1839" t="s">
        <v>420</v>
      </c>
      <c r="D930" s="1839" t="s">
        <v>1734</v>
      </c>
      <c r="E930" s="1840">
        <v>45419</v>
      </c>
      <c r="F930" s="1840"/>
      <c r="G930" s="1839" t="s">
        <v>500</v>
      </c>
      <c r="H930" s="1839" t="s">
        <v>1093</v>
      </c>
      <c r="I930" s="1831" t="s">
        <v>1066</v>
      </c>
      <c r="J930" s="1831"/>
    </row>
    <row r="931" spans="1:10" ht="15" hidden="1" x14ac:dyDescent="0.35">
      <c r="A931" s="8" t="s">
        <v>1735</v>
      </c>
      <c r="B931" t="s">
        <v>1736</v>
      </c>
      <c r="C931" t="s">
        <v>1440</v>
      </c>
      <c r="D931" t="s">
        <v>1737</v>
      </c>
      <c r="E931" s="9">
        <v>45448</v>
      </c>
      <c r="F931" s="9">
        <v>46129</v>
      </c>
      <c r="G931" t="s">
        <v>494</v>
      </c>
      <c r="H931" t="s">
        <v>1065</v>
      </c>
      <c r="I931" t="s">
        <v>1066</v>
      </c>
      <c r="J931"/>
    </row>
    <row r="932" spans="1:10" ht="15" hidden="1" x14ac:dyDescent="0.35">
      <c r="A932" s="1831" t="s">
        <v>1738</v>
      </c>
      <c r="B932" s="1839" t="s">
        <v>1739</v>
      </c>
      <c r="C932" s="1839" t="s">
        <v>420</v>
      </c>
      <c r="D932" s="1839" t="s">
        <v>1740</v>
      </c>
      <c r="E932" s="1840">
        <v>45481</v>
      </c>
      <c r="F932" s="1840"/>
      <c r="G932" s="1839" t="s">
        <v>500</v>
      </c>
      <c r="H932" s="1839" t="s">
        <v>1093</v>
      </c>
      <c r="I932" s="1831" t="s">
        <v>1066</v>
      </c>
      <c r="J932" s="1831"/>
    </row>
    <row r="933" spans="1:10" ht="15" hidden="1" x14ac:dyDescent="0.35">
      <c r="A933" s="8" t="s">
        <v>1741</v>
      </c>
      <c r="B933" t="s">
        <v>1742</v>
      </c>
      <c r="C933" t="s">
        <v>420</v>
      </c>
      <c r="D933" t="s">
        <v>1743</v>
      </c>
      <c r="E933" s="9">
        <v>45608</v>
      </c>
      <c r="F933" s="9">
        <v>45818</v>
      </c>
      <c r="G933" t="s">
        <v>494</v>
      </c>
      <c r="H933" t="s">
        <v>1093</v>
      </c>
      <c r="I933" t="s">
        <v>1066</v>
      </c>
      <c r="J933"/>
    </row>
    <row r="934" spans="1:10" ht="15" hidden="1" x14ac:dyDescent="0.35">
      <c r="A934" s="1831" t="s">
        <v>1744</v>
      </c>
      <c r="B934" s="1839" t="s">
        <v>1745</v>
      </c>
      <c r="C934" s="1839" t="s">
        <v>1028</v>
      </c>
      <c r="D934" s="1839" t="s">
        <v>1746</v>
      </c>
      <c r="E934" s="1840">
        <v>44378</v>
      </c>
      <c r="F934" s="1840"/>
      <c r="G934" s="1839" t="s">
        <v>500</v>
      </c>
      <c r="H934" s="1839" t="s">
        <v>1060</v>
      </c>
      <c r="I934" s="1831" t="s">
        <v>1061</v>
      </c>
      <c r="J934" s="1831"/>
    </row>
    <row r="935" spans="1:10" ht="15" hidden="1" x14ac:dyDescent="0.35">
      <c r="A935" s="8" t="s">
        <v>1747</v>
      </c>
      <c r="B935" t="s">
        <v>1748</v>
      </c>
      <c r="C935" t="s">
        <v>420</v>
      </c>
      <c r="D935" t="s">
        <v>1749</v>
      </c>
      <c r="E935" s="9">
        <v>45870</v>
      </c>
      <c r="G935" t="s">
        <v>634</v>
      </c>
      <c r="H935" t="s">
        <v>1078</v>
      </c>
      <c r="I935" t="s">
        <v>1061</v>
      </c>
      <c r="J935"/>
    </row>
    <row r="936" spans="1:10" ht="15" hidden="1" x14ac:dyDescent="0.35">
      <c r="A936" s="1831" t="s">
        <v>1750</v>
      </c>
      <c r="B936" s="1839" t="s">
        <v>1751</v>
      </c>
      <c r="C936" s="1839" t="s">
        <v>458</v>
      </c>
      <c r="D936" s="1839" t="s">
        <v>1752</v>
      </c>
      <c r="E936" s="1840">
        <v>45461</v>
      </c>
      <c r="F936" s="1840"/>
      <c r="G936" s="1839" t="s">
        <v>500</v>
      </c>
      <c r="H936" s="1839" t="s">
        <v>1060</v>
      </c>
      <c r="I936" s="1831" t="s">
        <v>1061</v>
      </c>
      <c r="J936" s="1831"/>
    </row>
    <row r="937" spans="1:10" ht="15" hidden="1" x14ac:dyDescent="0.35">
      <c r="A937" s="1831" t="s">
        <v>1753</v>
      </c>
      <c r="B937" s="1839" t="s">
        <v>1754</v>
      </c>
      <c r="C937" s="1839" t="s">
        <v>455</v>
      </c>
      <c r="D937" s="1839" t="s">
        <v>1755</v>
      </c>
      <c r="E937" s="1840">
        <v>45713</v>
      </c>
      <c r="F937" s="1840"/>
      <c r="G937" s="1839" t="s">
        <v>500</v>
      </c>
      <c r="H937" s="1839" t="s">
        <v>1060</v>
      </c>
      <c r="I937" s="1831" t="s">
        <v>1061</v>
      </c>
      <c r="J937" s="1831"/>
    </row>
    <row r="938" spans="1:10" ht="15" hidden="1" x14ac:dyDescent="0.35">
      <c r="A938" s="1831" t="s">
        <v>1756</v>
      </c>
      <c r="B938" s="1839" t="s">
        <v>1757</v>
      </c>
      <c r="C938" s="1839" t="s">
        <v>437</v>
      </c>
      <c r="D938" s="1839" t="s">
        <v>1758</v>
      </c>
      <c r="E938" s="1840">
        <v>44907</v>
      </c>
      <c r="F938" s="1840"/>
      <c r="G938" s="1839" t="s">
        <v>500</v>
      </c>
      <c r="H938" s="1839" t="s">
        <v>1060</v>
      </c>
      <c r="I938" s="1831" t="s">
        <v>1061</v>
      </c>
      <c r="J938" s="1831"/>
    </row>
    <row r="939" spans="1:10" ht="15" hidden="1" x14ac:dyDescent="0.35">
      <c r="A939" s="1831" t="s">
        <v>1759</v>
      </c>
      <c r="B939" s="1839" t="s">
        <v>1760</v>
      </c>
      <c r="C939" s="1839" t="s">
        <v>409</v>
      </c>
      <c r="D939" s="1839" t="s">
        <v>1761</v>
      </c>
      <c r="E939" s="1840">
        <v>45376</v>
      </c>
      <c r="F939" s="1840"/>
      <c r="G939" s="1839" t="s">
        <v>500</v>
      </c>
      <c r="H939" s="1839" t="s">
        <v>1060</v>
      </c>
      <c r="I939" s="1831" t="s">
        <v>1061</v>
      </c>
      <c r="J939" s="1831"/>
    </row>
    <row r="940" spans="1:10" ht="15" hidden="1" x14ac:dyDescent="0.35">
      <c r="A940" s="8" t="s">
        <v>1762</v>
      </c>
      <c r="B940" t="s">
        <v>1763</v>
      </c>
      <c r="C940" t="s">
        <v>420</v>
      </c>
      <c r="D940" t="s">
        <v>1764</v>
      </c>
      <c r="E940" s="9">
        <v>45701</v>
      </c>
      <c r="G940" t="s">
        <v>634</v>
      </c>
      <c r="H940" t="s">
        <v>1078</v>
      </c>
      <c r="I940" t="s">
        <v>1061</v>
      </c>
      <c r="J940"/>
    </row>
    <row r="941" spans="1:10" ht="15" hidden="1" x14ac:dyDescent="0.35">
      <c r="A941" s="1831" t="s">
        <v>1765</v>
      </c>
      <c r="B941" s="1839" t="s">
        <v>1766</v>
      </c>
      <c r="C941" s="1839" t="s">
        <v>409</v>
      </c>
      <c r="D941" s="1839" t="s">
        <v>1767</v>
      </c>
      <c r="E941" s="1840">
        <v>45849</v>
      </c>
      <c r="F941" s="1840"/>
      <c r="G941" s="1839" t="s">
        <v>500</v>
      </c>
      <c r="H941" s="1839" t="s">
        <v>1065</v>
      </c>
      <c r="I941" s="1831" t="s">
        <v>1066</v>
      </c>
      <c r="J941" s="1831"/>
    </row>
    <row r="942" spans="1:10" ht="15" hidden="1" x14ac:dyDescent="0.35">
      <c r="A942" s="1831" t="s">
        <v>1768</v>
      </c>
      <c r="B942" s="1839" t="s">
        <v>83</v>
      </c>
      <c r="C942" s="1839" t="s">
        <v>1769</v>
      </c>
      <c r="D942" s="1839" t="s">
        <v>1770</v>
      </c>
      <c r="E942" s="1840">
        <v>45813</v>
      </c>
      <c r="F942" s="1840"/>
      <c r="G942" s="1839" t="s">
        <v>500</v>
      </c>
      <c r="H942" s="1839" t="s">
        <v>1060</v>
      </c>
      <c r="I942" s="1831" t="s">
        <v>1061</v>
      </c>
      <c r="J942" s="1831"/>
    </row>
    <row r="943" spans="1:10" ht="15" hidden="1" x14ac:dyDescent="0.35">
      <c r="A943" s="1831" t="s">
        <v>1771</v>
      </c>
      <c r="B943" s="1839" t="s">
        <v>1772</v>
      </c>
      <c r="C943" s="1839" t="s">
        <v>443</v>
      </c>
      <c r="D943" s="1839" t="s">
        <v>1773</v>
      </c>
      <c r="E943" s="1840">
        <v>45426</v>
      </c>
      <c r="F943" s="1840"/>
      <c r="G943" s="1839" t="s">
        <v>500</v>
      </c>
      <c r="H943" s="1839" t="s">
        <v>1065</v>
      </c>
      <c r="I943" s="1831" t="s">
        <v>1066</v>
      </c>
      <c r="J943" s="1831"/>
    </row>
    <row r="944" spans="1:10" ht="15" hidden="1" x14ac:dyDescent="0.35">
      <c r="A944" s="1831" t="s">
        <v>1774</v>
      </c>
      <c r="B944" s="1839" t="s">
        <v>1775</v>
      </c>
      <c r="C944" s="1839" t="s">
        <v>456</v>
      </c>
      <c r="D944" s="1839" t="s">
        <v>1776</v>
      </c>
      <c r="E944" s="1840">
        <v>45215</v>
      </c>
      <c r="F944" s="1840"/>
      <c r="G944" s="1839" t="s">
        <v>500</v>
      </c>
      <c r="H944" s="1839" t="s">
        <v>1065</v>
      </c>
      <c r="I944" s="1831" t="s">
        <v>1066</v>
      </c>
      <c r="J944" s="1831"/>
    </row>
    <row r="945" spans="1:10" ht="15" hidden="1" x14ac:dyDescent="0.35">
      <c r="A945" s="8" t="s">
        <v>1777</v>
      </c>
      <c r="B945" t="s">
        <v>1778</v>
      </c>
      <c r="C945" t="s">
        <v>606</v>
      </c>
      <c r="D945" t="s">
        <v>1779</v>
      </c>
      <c r="E945" s="9">
        <v>45419</v>
      </c>
      <c r="G945" t="s">
        <v>634</v>
      </c>
      <c r="H945" t="s">
        <v>1065</v>
      </c>
      <c r="I945" t="s">
        <v>1066</v>
      </c>
      <c r="J945"/>
    </row>
    <row r="946" spans="1:10" ht="15" hidden="1" x14ac:dyDescent="0.35">
      <c r="A946" s="1831" t="s">
        <v>1780</v>
      </c>
      <c r="B946" s="1839" t="s">
        <v>1781</v>
      </c>
      <c r="C946" s="1839" t="s">
        <v>416</v>
      </c>
      <c r="D946" s="1839" t="s">
        <v>1782</v>
      </c>
      <c r="E946" s="1840">
        <v>45419</v>
      </c>
      <c r="F946" s="1840"/>
      <c r="G946" s="1839" t="s">
        <v>500</v>
      </c>
      <c r="H946" s="1839" t="s">
        <v>1093</v>
      </c>
      <c r="I946" s="1831" t="s">
        <v>1066</v>
      </c>
      <c r="J946" s="1831"/>
    </row>
    <row r="947" spans="1:10" ht="15" hidden="1" x14ac:dyDescent="0.35">
      <c r="A947" s="1831" t="s">
        <v>1783</v>
      </c>
      <c r="B947" s="1839" t="s">
        <v>1784</v>
      </c>
      <c r="C947" s="1839" t="s">
        <v>455</v>
      </c>
      <c r="D947" s="1839" t="s">
        <v>1785</v>
      </c>
      <c r="E947" s="1840">
        <v>45853</v>
      </c>
      <c r="F947" s="1840"/>
      <c r="G947" s="1839" t="s">
        <v>500</v>
      </c>
      <c r="H947" s="1839" t="s">
        <v>1065</v>
      </c>
      <c r="I947" s="1831" t="s">
        <v>1066</v>
      </c>
      <c r="J947" s="1831"/>
    </row>
    <row r="948" spans="1:10" ht="15" hidden="1" x14ac:dyDescent="0.35">
      <c r="A948" s="1831" t="s">
        <v>1786</v>
      </c>
      <c r="B948" s="1839" t="s">
        <v>1787</v>
      </c>
      <c r="C948" s="1839" t="s">
        <v>600</v>
      </c>
      <c r="D948" s="1839" t="s">
        <v>1788</v>
      </c>
      <c r="E948" s="1840">
        <v>44768</v>
      </c>
      <c r="F948" s="1840"/>
      <c r="G948" s="1839" t="s">
        <v>525</v>
      </c>
      <c r="H948" s="1839" t="s">
        <v>1065</v>
      </c>
      <c r="I948" s="1831" t="s">
        <v>1066</v>
      </c>
      <c r="J948" s="1831"/>
    </row>
    <row r="949" spans="1:10" ht="15" hidden="1" x14ac:dyDescent="0.35">
      <c r="A949" s="1831" t="s">
        <v>1789</v>
      </c>
      <c r="B949" s="1839" t="s">
        <v>1790</v>
      </c>
      <c r="C949" s="1839" t="s">
        <v>443</v>
      </c>
      <c r="D949" s="1839" t="s">
        <v>1791</v>
      </c>
      <c r="E949" s="1840">
        <v>45706</v>
      </c>
      <c r="F949" s="1840"/>
      <c r="G949" s="1839" t="s">
        <v>500</v>
      </c>
      <c r="H949" s="1839" t="s">
        <v>1060</v>
      </c>
      <c r="I949" s="1831" t="s">
        <v>1061</v>
      </c>
      <c r="J949" s="1831"/>
    </row>
    <row r="950" spans="1:10" ht="15" hidden="1" x14ac:dyDescent="0.35">
      <c r="A950" s="8" t="s">
        <v>1792</v>
      </c>
      <c r="B950" t="s">
        <v>1793</v>
      </c>
      <c r="C950" t="s">
        <v>413</v>
      </c>
      <c r="D950" t="s">
        <v>1794</v>
      </c>
      <c r="E950" s="9">
        <v>45701</v>
      </c>
      <c r="F950" s="9">
        <v>45831</v>
      </c>
      <c r="G950" t="s">
        <v>494</v>
      </c>
      <c r="H950" t="s">
        <v>1060</v>
      </c>
      <c r="I950" t="s">
        <v>1061</v>
      </c>
      <c r="J950"/>
    </row>
    <row r="951" spans="1:10" ht="15" hidden="1" x14ac:dyDescent="0.35">
      <c r="A951" s="8" t="s">
        <v>1795</v>
      </c>
      <c r="B951" t="s">
        <v>1796</v>
      </c>
      <c r="C951" t="s">
        <v>420</v>
      </c>
      <c r="D951" t="s">
        <v>1797</v>
      </c>
      <c r="E951" s="9">
        <v>45828</v>
      </c>
      <c r="F951" s="9">
        <v>46097</v>
      </c>
      <c r="G951" t="s">
        <v>494</v>
      </c>
      <c r="H951" t="s">
        <v>1078</v>
      </c>
      <c r="I951" t="s">
        <v>1061</v>
      </c>
      <c r="J951"/>
    </row>
    <row r="952" spans="1:10" ht="15" hidden="1" x14ac:dyDescent="0.35">
      <c r="A952" s="1831" t="s">
        <v>1798</v>
      </c>
      <c r="B952" s="1839" t="s">
        <v>1799</v>
      </c>
      <c r="C952" s="1839" t="s">
        <v>796</v>
      </c>
      <c r="D952" s="1839" t="s">
        <v>1800</v>
      </c>
      <c r="E952" s="1840">
        <v>45751</v>
      </c>
      <c r="F952" s="1840"/>
      <c r="G952" s="1839" t="s">
        <v>500</v>
      </c>
      <c r="H952" s="1839" t="s">
        <v>1078</v>
      </c>
      <c r="I952" s="1831" t="s">
        <v>1061</v>
      </c>
      <c r="J952" s="1831"/>
    </row>
    <row r="953" spans="1:10" ht="15" hidden="1" x14ac:dyDescent="0.35">
      <c r="A953" s="8" t="s">
        <v>1801</v>
      </c>
      <c r="B953" t="s">
        <v>1802</v>
      </c>
      <c r="C953" t="s">
        <v>1803</v>
      </c>
      <c r="D953" t="s">
        <v>1804</v>
      </c>
      <c r="E953" s="9">
        <v>45377</v>
      </c>
      <c r="F953" s="9">
        <v>45819</v>
      </c>
      <c r="G953" t="s">
        <v>494</v>
      </c>
      <c r="H953" t="s">
        <v>1060</v>
      </c>
      <c r="I953" t="s">
        <v>1061</v>
      </c>
      <c r="J953"/>
    </row>
    <row r="954" spans="1:10" ht="15" hidden="1" x14ac:dyDescent="0.35">
      <c r="A954" s="8" t="s">
        <v>1805</v>
      </c>
      <c r="B954" t="s">
        <v>1806</v>
      </c>
      <c r="C954" t="s">
        <v>439</v>
      </c>
      <c r="D954" t="s">
        <v>1807</v>
      </c>
      <c r="E954" s="9">
        <v>45377</v>
      </c>
      <c r="F954" s="9">
        <v>45996</v>
      </c>
      <c r="G954" t="s">
        <v>494</v>
      </c>
      <c r="H954" t="s">
        <v>1060</v>
      </c>
      <c r="I954" t="s">
        <v>1061</v>
      </c>
      <c r="J954"/>
    </row>
    <row r="955" spans="1:10" ht="15" hidden="1" x14ac:dyDescent="0.35">
      <c r="A955" s="1831" t="s">
        <v>1808</v>
      </c>
      <c r="B955" s="1839" t="s">
        <v>1809</v>
      </c>
      <c r="C955" s="1839" t="s">
        <v>544</v>
      </c>
      <c r="D955" s="1839" t="s">
        <v>1810</v>
      </c>
      <c r="E955" s="1840">
        <v>45148</v>
      </c>
      <c r="F955" s="1840"/>
      <c r="G955" s="1839" t="s">
        <v>500</v>
      </c>
      <c r="H955" s="1839" t="s">
        <v>1065</v>
      </c>
      <c r="I955" s="1831" t="s">
        <v>1066</v>
      </c>
      <c r="J955" s="1831"/>
    </row>
    <row r="956" spans="1:10" ht="15" hidden="1" x14ac:dyDescent="0.35">
      <c r="A956" s="8" t="s">
        <v>1811</v>
      </c>
      <c r="B956" t="s">
        <v>1812</v>
      </c>
      <c r="C956" t="s">
        <v>444</v>
      </c>
      <c r="D956" t="s">
        <v>1813</v>
      </c>
      <c r="E956" s="9">
        <v>46027</v>
      </c>
      <c r="F956" s="9">
        <v>46097</v>
      </c>
      <c r="G956" t="s">
        <v>494</v>
      </c>
      <c r="H956" t="s">
        <v>1060</v>
      </c>
      <c r="I956" t="s">
        <v>1061</v>
      </c>
      <c r="J956"/>
    </row>
    <row r="957" spans="1:10" ht="15" hidden="1" x14ac:dyDescent="0.35">
      <c r="A957" s="8" t="s">
        <v>1814</v>
      </c>
      <c r="B957" t="s">
        <v>1815</v>
      </c>
      <c r="C957" t="s">
        <v>544</v>
      </c>
      <c r="D957" t="s">
        <v>1816</v>
      </c>
      <c r="E957" s="9">
        <v>43236</v>
      </c>
      <c r="G957" t="s">
        <v>634</v>
      </c>
      <c r="H957" t="s">
        <v>1060</v>
      </c>
      <c r="I957" t="s">
        <v>1061</v>
      </c>
      <c r="J957"/>
    </row>
    <row r="958" spans="1:10" ht="15" hidden="1" x14ac:dyDescent="0.35">
      <c r="A958" s="8" t="s">
        <v>1817</v>
      </c>
      <c r="B958" t="s">
        <v>1818</v>
      </c>
      <c r="C958" t="s">
        <v>420</v>
      </c>
      <c r="D958" t="s">
        <v>1819</v>
      </c>
      <c r="E958" s="9">
        <v>45377</v>
      </c>
      <c r="F958" s="9">
        <v>45840</v>
      </c>
      <c r="G958" t="s">
        <v>494</v>
      </c>
      <c r="H958" t="s">
        <v>1078</v>
      </c>
      <c r="I958" t="s">
        <v>1061</v>
      </c>
      <c r="J958"/>
    </row>
    <row r="959" spans="1:10" ht="15" hidden="1" x14ac:dyDescent="0.35">
      <c r="A959" s="8" t="s">
        <v>1820</v>
      </c>
      <c r="B959" t="s">
        <v>1821</v>
      </c>
      <c r="C959" t="s">
        <v>420</v>
      </c>
      <c r="D959" t="s">
        <v>1822</v>
      </c>
      <c r="E959" s="9">
        <v>45383</v>
      </c>
      <c r="F959" s="9">
        <v>46065</v>
      </c>
      <c r="G959" t="s">
        <v>494</v>
      </c>
      <c r="H959" t="s">
        <v>1078</v>
      </c>
      <c r="I959" t="s">
        <v>1061</v>
      </c>
      <c r="J959"/>
    </row>
    <row r="960" spans="1:10" ht="15" hidden="1" x14ac:dyDescent="0.35">
      <c r="A960" s="1831" t="s">
        <v>1823</v>
      </c>
      <c r="B960" s="1839" t="s">
        <v>1824</v>
      </c>
      <c r="C960" s="1839" t="s">
        <v>420</v>
      </c>
      <c r="D960" s="1839" t="s">
        <v>1825</v>
      </c>
      <c r="E960" s="1840">
        <v>45419</v>
      </c>
      <c r="F960" s="1840"/>
      <c r="G960" s="1839" t="s">
        <v>500</v>
      </c>
      <c r="H960" s="1839" t="s">
        <v>1093</v>
      </c>
      <c r="I960" s="1831" t="s">
        <v>1066</v>
      </c>
      <c r="J960" s="1831"/>
    </row>
    <row r="961" spans="1:10" ht="15" hidden="1" x14ac:dyDescent="0.35">
      <c r="A961" s="8" t="s">
        <v>1826</v>
      </c>
      <c r="B961" t="s">
        <v>1827</v>
      </c>
      <c r="C961" t="s">
        <v>420</v>
      </c>
      <c r="D961" t="s">
        <v>1828</v>
      </c>
      <c r="E961" s="9">
        <v>45881</v>
      </c>
      <c r="F961" s="9">
        <v>46155</v>
      </c>
      <c r="G961" t="s">
        <v>494</v>
      </c>
      <c r="H961" t="s">
        <v>1093</v>
      </c>
      <c r="I961" t="s">
        <v>1066</v>
      </c>
      <c r="J961"/>
    </row>
    <row r="962" spans="1:10" ht="15" hidden="1" x14ac:dyDescent="0.35">
      <c r="A962" s="1831" t="s">
        <v>1829</v>
      </c>
      <c r="B962" s="1839" t="s">
        <v>1830</v>
      </c>
      <c r="C962" s="1839" t="s">
        <v>420</v>
      </c>
      <c r="D962" s="1839" t="s">
        <v>1831</v>
      </c>
      <c r="E962" s="1840">
        <v>46129</v>
      </c>
      <c r="F962" s="1840"/>
      <c r="G962" s="1839" t="s">
        <v>500</v>
      </c>
      <c r="H962" s="1839" t="s">
        <v>1078</v>
      </c>
      <c r="I962" s="1831" t="s">
        <v>1061</v>
      </c>
      <c r="J962" s="1831"/>
    </row>
    <row r="963" spans="1:10" ht="15" hidden="1" x14ac:dyDescent="0.35">
      <c r="A963" s="8" t="s">
        <v>1832</v>
      </c>
      <c r="B963" t="s">
        <v>1833</v>
      </c>
      <c r="C963" t="s">
        <v>1834</v>
      </c>
      <c r="D963" t="s">
        <v>1835</v>
      </c>
      <c r="E963" s="9">
        <v>45762</v>
      </c>
      <c r="F963" s="9">
        <v>45992</v>
      </c>
      <c r="G963" t="s">
        <v>494</v>
      </c>
      <c r="H963" t="s">
        <v>1060</v>
      </c>
      <c r="I963" t="s">
        <v>1061</v>
      </c>
      <c r="J963"/>
    </row>
    <row r="964" spans="1:10" ht="15" hidden="1" x14ac:dyDescent="0.35">
      <c r="A964" s="1831" t="s">
        <v>1836</v>
      </c>
      <c r="B964" s="1839" t="s">
        <v>1833</v>
      </c>
      <c r="C964" s="1839" t="s">
        <v>1834</v>
      </c>
      <c r="D964" s="1839" t="s">
        <v>1835</v>
      </c>
      <c r="E964" s="1840">
        <v>46066</v>
      </c>
      <c r="F964" s="1840"/>
      <c r="G964" s="1839" t="s">
        <v>500</v>
      </c>
      <c r="H964" s="1839" t="s">
        <v>1060</v>
      </c>
      <c r="I964" s="1831" t="s">
        <v>1061</v>
      </c>
      <c r="J964" s="1831"/>
    </row>
    <row r="965" spans="1:10" ht="15" hidden="1" x14ac:dyDescent="0.35">
      <c r="A965" s="8" t="s">
        <v>1837</v>
      </c>
      <c r="B965" t="s">
        <v>1838</v>
      </c>
      <c r="C965" t="s">
        <v>1084</v>
      </c>
      <c r="D965" t="s">
        <v>1839</v>
      </c>
      <c r="E965" s="9">
        <v>45706</v>
      </c>
      <c r="F965" s="9">
        <v>45996</v>
      </c>
      <c r="G965" t="s">
        <v>494</v>
      </c>
      <c r="H965" t="s">
        <v>1060</v>
      </c>
      <c r="I965" t="s">
        <v>1061</v>
      </c>
      <c r="J965"/>
    </row>
    <row r="966" spans="1:10" ht="15" hidden="1" x14ac:dyDescent="0.35">
      <c r="A966" s="1831" t="s">
        <v>1840</v>
      </c>
      <c r="B966" s="1839" t="s">
        <v>1841</v>
      </c>
      <c r="C966" s="1839" t="s">
        <v>433</v>
      </c>
      <c r="D966" s="1839" t="s">
        <v>1842</v>
      </c>
      <c r="E966" s="1840">
        <v>45387</v>
      </c>
      <c r="F966" s="1840"/>
      <c r="G966" s="1839" t="s">
        <v>500</v>
      </c>
      <c r="H966" s="1839" t="s">
        <v>1078</v>
      </c>
      <c r="I966" s="1831" t="s">
        <v>1061</v>
      </c>
      <c r="J966" s="1831"/>
    </row>
    <row r="967" spans="1:10" ht="15" hidden="1" x14ac:dyDescent="0.35">
      <c r="A967" s="1831" t="s">
        <v>1843</v>
      </c>
      <c r="B967" s="1839" t="s">
        <v>1844</v>
      </c>
      <c r="C967" s="1839" t="s">
        <v>1088</v>
      </c>
      <c r="D967" s="1839" t="s">
        <v>1845</v>
      </c>
      <c r="E967" s="1840">
        <v>46118</v>
      </c>
      <c r="F967" s="1840"/>
      <c r="G967" s="1839" t="s">
        <v>500</v>
      </c>
      <c r="H967" s="1839" t="s">
        <v>1060</v>
      </c>
      <c r="I967" s="1831" t="s">
        <v>1061</v>
      </c>
      <c r="J967" s="1831"/>
    </row>
    <row r="968" spans="1:10" ht="15" hidden="1" x14ac:dyDescent="0.35">
      <c r="A968" s="8" t="s">
        <v>1846</v>
      </c>
      <c r="B968" t="s">
        <v>1847</v>
      </c>
      <c r="C968" t="s">
        <v>1848</v>
      </c>
      <c r="D968" t="s">
        <v>1849</v>
      </c>
      <c r="E968" s="9">
        <v>45463</v>
      </c>
      <c r="F968" s="9">
        <v>45821</v>
      </c>
      <c r="G968" t="s">
        <v>494</v>
      </c>
      <c r="H968" t="s">
        <v>1065</v>
      </c>
      <c r="I968" t="s">
        <v>1066</v>
      </c>
      <c r="J968"/>
    </row>
    <row r="969" spans="1:10" ht="15" hidden="1" x14ac:dyDescent="0.35">
      <c r="A969" s="1831" t="s">
        <v>1850</v>
      </c>
      <c r="B969" s="1839" t="s">
        <v>1851</v>
      </c>
      <c r="C969" s="1839" t="s">
        <v>410</v>
      </c>
      <c r="D969" s="1839" t="s">
        <v>1852</v>
      </c>
      <c r="E969" s="1840">
        <v>45377</v>
      </c>
      <c r="F969" s="1840"/>
      <c r="G969" s="1839" t="s">
        <v>500</v>
      </c>
      <c r="H969" s="1839" t="s">
        <v>1065</v>
      </c>
      <c r="I969" s="1831" t="s">
        <v>1066</v>
      </c>
      <c r="J969" s="1831"/>
    </row>
    <row r="970" spans="1:10" ht="15" hidden="1" x14ac:dyDescent="0.35">
      <c r="A970" s="1831" t="s">
        <v>1853</v>
      </c>
      <c r="B970" s="1839" t="s">
        <v>1854</v>
      </c>
      <c r="C970" s="1839" t="s">
        <v>436</v>
      </c>
      <c r="D970" s="1839" t="s">
        <v>1855</v>
      </c>
      <c r="E970" s="1840">
        <v>45713</v>
      </c>
      <c r="F970" s="1840"/>
      <c r="G970" s="1839" t="s">
        <v>500</v>
      </c>
      <c r="H970" s="1839" t="s">
        <v>1078</v>
      </c>
      <c r="I970" s="1831" t="s">
        <v>1061</v>
      </c>
      <c r="J970" s="1831"/>
    </row>
    <row r="971" spans="1:10" ht="15" hidden="1" x14ac:dyDescent="0.35">
      <c r="A971" s="1831" t="s">
        <v>1856</v>
      </c>
      <c r="B971" s="1839" t="s">
        <v>1857</v>
      </c>
      <c r="C971" s="1839" t="s">
        <v>578</v>
      </c>
      <c r="D971" s="1839" t="s">
        <v>1858</v>
      </c>
      <c r="E971" s="1840">
        <v>45721</v>
      </c>
      <c r="F971" s="1840"/>
      <c r="G971" s="1839" t="s">
        <v>500</v>
      </c>
      <c r="H971" s="1839" t="s">
        <v>1065</v>
      </c>
      <c r="I971" s="1831" t="s">
        <v>1066</v>
      </c>
      <c r="J971" s="1831"/>
    </row>
    <row r="972" spans="1:10" ht="15" hidden="1" x14ac:dyDescent="0.35">
      <c r="A972" s="1831" t="s">
        <v>1859</v>
      </c>
      <c r="B972" s="1839" t="s">
        <v>1860</v>
      </c>
      <c r="C972" s="1839" t="s">
        <v>1144</v>
      </c>
      <c r="D972" s="1839" t="s">
        <v>1861</v>
      </c>
      <c r="E972" s="1840">
        <v>45490</v>
      </c>
      <c r="F972" s="1840"/>
      <c r="G972" s="1839" t="s">
        <v>500</v>
      </c>
      <c r="H972" s="1839" t="s">
        <v>1060</v>
      </c>
      <c r="I972" s="1831" t="s">
        <v>1061</v>
      </c>
      <c r="J972" s="1831"/>
    </row>
    <row r="973" spans="1:10" ht="15" hidden="1" x14ac:dyDescent="0.35">
      <c r="A973" s="1831" t="s">
        <v>1862</v>
      </c>
      <c r="B973" s="1839" t="s">
        <v>1863</v>
      </c>
      <c r="C973" s="1839" t="s">
        <v>420</v>
      </c>
      <c r="D973" s="1839" t="s">
        <v>1864</v>
      </c>
      <c r="E973" s="1840">
        <v>45419</v>
      </c>
      <c r="F973" s="1840"/>
      <c r="G973" s="1839" t="s">
        <v>500</v>
      </c>
      <c r="H973" s="1839" t="s">
        <v>1093</v>
      </c>
      <c r="I973" s="1831" t="s">
        <v>1066</v>
      </c>
      <c r="J973" s="1831"/>
    </row>
    <row r="974" spans="1:10" ht="15" hidden="1" x14ac:dyDescent="0.35">
      <c r="A974" s="1831" t="s">
        <v>1865</v>
      </c>
      <c r="B974" s="1839" t="s">
        <v>1866</v>
      </c>
      <c r="C974" s="1839" t="s">
        <v>457</v>
      </c>
      <c r="D974" s="1839" t="s">
        <v>1867</v>
      </c>
      <c r="E974" s="1840">
        <v>46066</v>
      </c>
      <c r="F974" s="1840"/>
      <c r="G974" s="1839" t="s">
        <v>500</v>
      </c>
      <c r="H974" s="1839" t="s">
        <v>1060</v>
      </c>
      <c r="I974" s="1831" t="s">
        <v>1061</v>
      </c>
      <c r="J974" s="1831"/>
    </row>
    <row r="975" spans="1:10" ht="15" hidden="1" x14ac:dyDescent="0.35">
      <c r="A975" s="1831" t="s">
        <v>1868</v>
      </c>
      <c r="B975" s="1839" t="s">
        <v>1869</v>
      </c>
      <c r="C975" s="1839" t="s">
        <v>1088</v>
      </c>
      <c r="D975" s="1839" t="s">
        <v>1870</v>
      </c>
      <c r="E975" s="1840">
        <v>45849</v>
      </c>
      <c r="F975" s="1840"/>
      <c r="G975" s="1839" t="s">
        <v>500</v>
      </c>
      <c r="H975" s="1839" t="s">
        <v>1060</v>
      </c>
      <c r="I975" s="1831" t="s">
        <v>1061</v>
      </c>
      <c r="J975" s="1831"/>
    </row>
    <row r="976" spans="1:10" ht="15" hidden="1" x14ac:dyDescent="0.35">
      <c r="A976" s="1831" t="s">
        <v>1871</v>
      </c>
      <c r="B976" s="1839" t="s">
        <v>1872</v>
      </c>
      <c r="C976" s="1839" t="s">
        <v>445</v>
      </c>
      <c r="D976" s="1839" t="s">
        <v>1873</v>
      </c>
      <c r="E976" s="1840">
        <v>45979</v>
      </c>
      <c r="F976" s="1840"/>
      <c r="G976" s="1839" t="s">
        <v>500</v>
      </c>
      <c r="H976" s="1839" t="s">
        <v>1060</v>
      </c>
      <c r="I976" s="1831" t="s">
        <v>1061</v>
      </c>
      <c r="J976" s="1831"/>
    </row>
    <row r="977" spans="1:10" ht="15" hidden="1" x14ac:dyDescent="0.35">
      <c r="A977" s="8" t="s">
        <v>1874</v>
      </c>
      <c r="B977" t="s">
        <v>1875</v>
      </c>
      <c r="C977" t="s">
        <v>1876</v>
      </c>
      <c r="D977" t="s">
        <v>1877</v>
      </c>
      <c r="E977" s="9">
        <v>45721</v>
      </c>
      <c r="F977" s="9">
        <v>45727</v>
      </c>
      <c r="G977" t="s">
        <v>494</v>
      </c>
      <c r="H977" t="s">
        <v>1060</v>
      </c>
      <c r="I977" t="s">
        <v>1061</v>
      </c>
      <c r="J977"/>
    </row>
    <row r="978" spans="1:10" ht="15" hidden="1" x14ac:dyDescent="0.35">
      <c r="A978" s="1831" t="s">
        <v>1878</v>
      </c>
      <c r="B978" s="1839" t="s">
        <v>1879</v>
      </c>
      <c r="C978" s="1839" t="s">
        <v>1148</v>
      </c>
      <c r="D978" s="1839" t="s">
        <v>1880</v>
      </c>
      <c r="E978" s="1840">
        <v>44768</v>
      </c>
      <c r="F978" s="1840"/>
      <c r="G978" s="1839" t="s">
        <v>500</v>
      </c>
      <c r="H978" s="1839" t="s">
        <v>1060</v>
      </c>
      <c r="I978" s="1831" t="s">
        <v>1061</v>
      </c>
      <c r="J978" s="1831"/>
    </row>
    <row r="979" spans="1:10" ht="15" hidden="1" x14ac:dyDescent="0.35">
      <c r="A979" s="1831" t="s">
        <v>1881</v>
      </c>
      <c r="B979" s="1839" t="s">
        <v>1882</v>
      </c>
      <c r="C979" s="1839" t="s">
        <v>1144</v>
      </c>
      <c r="D979" s="1839" t="s">
        <v>1883</v>
      </c>
      <c r="E979" s="1840">
        <v>45244</v>
      </c>
      <c r="F979" s="1840"/>
      <c r="G979" s="1839" t="s">
        <v>500</v>
      </c>
      <c r="H979" s="1839" t="s">
        <v>1060</v>
      </c>
      <c r="I979" s="1831" t="s">
        <v>1061</v>
      </c>
      <c r="J979" s="1831"/>
    </row>
    <row r="980" spans="1:10" ht="15" hidden="1" x14ac:dyDescent="0.35">
      <c r="A980" s="8" t="s">
        <v>1884</v>
      </c>
      <c r="B980" t="s">
        <v>1885</v>
      </c>
      <c r="C980" t="s">
        <v>1450</v>
      </c>
      <c r="D980" t="s">
        <v>1886</v>
      </c>
      <c r="E980" s="9">
        <v>45568</v>
      </c>
      <c r="F980" s="9">
        <v>45910</v>
      </c>
      <c r="G980" t="s">
        <v>494</v>
      </c>
      <c r="H980" t="s">
        <v>1065</v>
      </c>
      <c r="I980" t="s">
        <v>1066</v>
      </c>
      <c r="J980"/>
    </row>
    <row r="981" spans="1:10" ht="15" hidden="1" x14ac:dyDescent="0.35">
      <c r="A981" s="8" t="s">
        <v>1887</v>
      </c>
      <c r="B981" t="s">
        <v>1888</v>
      </c>
      <c r="C981" t="s">
        <v>1263</v>
      </c>
      <c r="D981" t="s">
        <v>1889</v>
      </c>
      <c r="E981" s="9">
        <v>45629</v>
      </c>
      <c r="F981" s="9">
        <v>45951</v>
      </c>
      <c r="G981" t="s">
        <v>494</v>
      </c>
      <c r="H981" t="s">
        <v>1078</v>
      </c>
      <c r="I981" t="s">
        <v>1061</v>
      </c>
      <c r="J981"/>
    </row>
    <row r="982" spans="1:10" ht="15" hidden="1" x14ac:dyDescent="0.35">
      <c r="A982" s="8" t="s">
        <v>1890</v>
      </c>
      <c r="B982" t="s">
        <v>1891</v>
      </c>
      <c r="C982" t="s">
        <v>420</v>
      </c>
      <c r="D982" t="s">
        <v>1892</v>
      </c>
      <c r="E982" s="9">
        <v>45856</v>
      </c>
      <c r="F982" s="9">
        <v>45952</v>
      </c>
      <c r="G982" t="s">
        <v>494</v>
      </c>
      <c r="H982" t="s">
        <v>1078</v>
      </c>
      <c r="I982" t="s">
        <v>1061</v>
      </c>
      <c r="J982"/>
    </row>
    <row r="983" spans="1:10" ht="15" hidden="1" x14ac:dyDescent="0.35">
      <c r="A983" s="1831" t="s">
        <v>1893</v>
      </c>
      <c r="B983" s="1839" t="s">
        <v>1894</v>
      </c>
      <c r="C983" s="1839" t="s">
        <v>434</v>
      </c>
      <c r="D983" s="1839" t="s">
        <v>1895</v>
      </c>
      <c r="E983" s="1840">
        <v>45569</v>
      </c>
      <c r="F983" s="1840"/>
      <c r="G983" s="1839" t="s">
        <v>525</v>
      </c>
      <c r="H983" s="1839" t="s">
        <v>1065</v>
      </c>
      <c r="I983" s="1831" t="s">
        <v>1066</v>
      </c>
      <c r="J983" s="1831"/>
    </row>
    <row r="984" spans="1:10" ht="15" hidden="1" x14ac:dyDescent="0.35">
      <c r="A984" s="1831" t="s">
        <v>1896</v>
      </c>
      <c r="B984" s="1839" t="s">
        <v>1897</v>
      </c>
      <c r="C984" s="1839" t="s">
        <v>439</v>
      </c>
      <c r="D984" s="1839" t="s">
        <v>1898</v>
      </c>
      <c r="E984" s="1840">
        <v>45853</v>
      </c>
      <c r="F984" s="1840"/>
      <c r="G984" s="1839" t="s">
        <v>500</v>
      </c>
      <c r="H984" s="1839" t="s">
        <v>1065</v>
      </c>
      <c r="I984" s="1831" t="s">
        <v>1066</v>
      </c>
      <c r="J984" s="1831"/>
    </row>
    <row r="985" spans="1:10" ht="15" hidden="1" x14ac:dyDescent="0.35">
      <c r="A985" s="1831" t="s">
        <v>1899</v>
      </c>
      <c r="B985" s="1839" t="s">
        <v>1900</v>
      </c>
      <c r="C985" s="1839" t="s">
        <v>420</v>
      </c>
      <c r="D985" s="1839" t="s">
        <v>1901</v>
      </c>
      <c r="E985" s="1840">
        <v>45474</v>
      </c>
      <c r="F985" s="1840"/>
      <c r="G985" s="1839" t="s">
        <v>500</v>
      </c>
      <c r="H985" s="1839" t="s">
        <v>1078</v>
      </c>
      <c r="I985" s="1831" t="s">
        <v>1061</v>
      </c>
      <c r="J985" s="1831"/>
    </row>
    <row r="986" spans="1:10" ht="15" hidden="1" x14ac:dyDescent="0.35">
      <c r="A986" s="8" t="s">
        <v>1902</v>
      </c>
      <c r="B986" t="s">
        <v>1903</v>
      </c>
      <c r="C986" t="s">
        <v>874</v>
      </c>
      <c r="D986" t="s">
        <v>1904</v>
      </c>
      <c r="E986" s="9">
        <v>45722</v>
      </c>
      <c r="F986" s="9">
        <v>45811</v>
      </c>
      <c r="G986" t="s">
        <v>494</v>
      </c>
      <c r="H986" t="s">
        <v>1065</v>
      </c>
      <c r="I986" t="s">
        <v>1066</v>
      </c>
      <c r="J986"/>
    </row>
    <row r="987" spans="1:10" ht="15" hidden="1" x14ac:dyDescent="0.35">
      <c r="A987" s="8" t="s">
        <v>1905</v>
      </c>
      <c r="B987" t="s">
        <v>1906</v>
      </c>
      <c r="C987" t="s">
        <v>420</v>
      </c>
      <c r="D987" t="s">
        <v>1907</v>
      </c>
      <c r="E987" s="9">
        <v>45887</v>
      </c>
      <c r="F987" s="9">
        <v>45999</v>
      </c>
      <c r="G987" t="s">
        <v>494</v>
      </c>
      <c r="H987" t="s">
        <v>1093</v>
      </c>
      <c r="I987" t="s">
        <v>1066</v>
      </c>
      <c r="J987"/>
    </row>
    <row r="988" spans="1:10" ht="15" hidden="1" x14ac:dyDescent="0.35">
      <c r="A988" s="8" t="s">
        <v>1908</v>
      </c>
      <c r="B988" t="s">
        <v>1909</v>
      </c>
      <c r="C988" t="s">
        <v>544</v>
      </c>
      <c r="D988" t="s">
        <v>1910</v>
      </c>
      <c r="E988" s="9">
        <v>41249</v>
      </c>
      <c r="G988" t="s">
        <v>634</v>
      </c>
      <c r="H988" t="s">
        <v>1065</v>
      </c>
      <c r="I988" t="s">
        <v>1066</v>
      </c>
      <c r="J988"/>
    </row>
    <row r="989" spans="1:10" ht="15" hidden="1" x14ac:dyDescent="0.35">
      <c r="A989" s="1831" t="s">
        <v>1911</v>
      </c>
      <c r="B989" s="1839" t="s">
        <v>1912</v>
      </c>
      <c r="C989" s="1839" t="s">
        <v>433</v>
      </c>
      <c r="D989" s="1839" t="s">
        <v>1913</v>
      </c>
      <c r="E989" s="1840">
        <v>46118</v>
      </c>
      <c r="F989" s="1840"/>
      <c r="G989" s="1839" t="s">
        <v>500</v>
      </c>
      <c r="H989" s="1839" t="s">
        <v>1078</v>
      </c>
      <c r="I989" s="1831" t="s">
        <v>1061</v>
      </c>
      <c r="J989" s="1831"/>
    </row>
    <row r="990" spans="1:10" ht="15" hidden="1" x14ac:dyDescent="0.35">
      <c r="A990" s="1831" t="s">
        <v>1914</v>
      </c>
      <c r="B990" s="1839" t="s">
        <v>1915</v>
      </c>
      <c r="C990" s="1839" t="s">
        <v>411</v>
      </c>
      <c r="D990" s="1839" t="s">
        <v>1916</v>
      </c>
      <c r="E990" s="1840">
        <v>45432</v>
      </c>
      <c r="F990" s="1840"/>
      <c r="G990" s="1839" t="s">
        <v>500</v>
      </c>
      <c r="H990" s="1839" t="s">
        <v>1065</v>
      </c>
      <c r="I990" s="1831" t="s">
        <v>1066</v>
      </c>
      <c r="J990" s="1831"/>
    </row>
    <row r="991" spans="1:10" ht="15" hidden="1" x14ac:dyDescent="0.35">
      <c r="A991" s="1831" t="s">
        <v>1917</v>
      </c>
      <c r="B991" s="1839" t="s">
        <v>1918</v>
      </c>
      <c r="C991" s="1839" t="s">
        <v>437</v>
      </c>
      <c r="D991" s="1839" t="s">
        <v>1919</v>
      </c>
      <c r="E991" s="1840">
        <v>45702</v>
      </c>
      <c r="F991" s="1840"/>
      <c r="G991" s="1839" t="s">
        <v>500</v>
      </c>
      <c r="H991" s="1839" t="s">
        <v>1065</v>
      </c>
      <c r="I991" s="1831" t="s">
        <v>1066</v>
      </c>
      <c r="J991" s="1831"/>
    </row>
    <row r="992" spans="1:10" ht="15" hidden="1" x14ac:dyDescent="0.35">
      <c r="A992" s="1831" t="s">
        <v>1920</v>
      </c>
      <c r="B992" s="1839" t="s">
        <v>1921</v>
      </c>
      <c r="C992" s="1839" t="s">
        <v>410</v>
      </c>
      <c r="D992" s="1839" t="s">
        <v>1922</v>
      </c>
      <c r="E992" s="1840">
        <v>45419</v>
      </c>
      <c r="F992" s="1840"/>
      <c r="G992" s="1839" t="s">
        <v>500</v>
      </c>
      <c r="H992" s="1839" t="s">
        <v>1065</v>
      </c>
      <c r="I992" s="1831" t="s">
        <v>1066</v>
      </c>
      <c r="J992" s="1831"/>
    </row>
    <row r="993" spans="1:10" ht="15" hidden="1" x14ac:dyDescent="0.35">
      <c r="A993" s="1831" t="s">
        <v>1923</v>
      </c>
      <c r="B993" s="1839" t="s">
        <v>1924</v>
      </c>
      <c r="C993" s="1839" t="s">
        <v>410</v>
      </c>
      <c r="D993" s="1839" t="s">
        <v>1925</v>
      </c>
      <c r="E993" s="1840">
        <v>45419</v>
      </c>
      <c r="F993" s="1840"/>
      <c r="G993" s="1839" t="s">
        <v>500</v>
      </c>
      <c r="H993" s="1839" t="s">
        <v>1065</v>
      </c>
      <c r="I993" s="1831" t="s">
        <v>1066</v>
      </c>
      <c r="J993" s="1831"/>
    </row>
    <row r="994" spans="1:10" ht="15" hidden="1" x14ac:dyDescent="0.35">
      <c r="A994" s="1831" t="s">
        <v>1926</v>
      </c>
      <c r="B994" s="1839" t="s">
        <v>1927</v>
      </c>
      <c r="C994" s="1839" t="s">
        <v>1450</v>
      </c>
      <c r="D994" s="1839" t="s">
        <v>1928</v>
      </c>
      <c r="E994" s="1840">
        <v>45933</v>
      </c>
      <c r="F994" s="1840"/>
      <c r="G994" s="1839" t="s">
        <v>500</v>
      </c>
      <c r="H994" s="1839" t="s">
        <v>1060</v>
      </c>
      <c r="I994" s="1831" t="s">
        <v>1061</v>
      </c>
      <c r="J994" s="1831"/>
    </row>
    <row r="995" spans="1:10" ht="15" hidden="1" x14ac:dyDescent="0.35">
      <c r="A995" s="1831" t="s">
        <v>1929</v>
      </c>
      <c r="B995" s="1839" t="s">
        <v>1930</v>
      </c>
      <c r="C995" s="1839" t="s">
        <v>1931</v>
      </c>
      <c r="D995" s="1839" t="s">
        <v>1932</v>
      </c>
      <c r="E995" s="1840">
        <v>45377</v>
      </c>
      <c r="F995" s="1840"/>
      <c r="G995" s="1839" t="s">
        <v>500</v>
      </c>
      <c r="H995" s="1839" t="s">
        <v>1078</v>
      </c>
      <c r="I995" s="1831" t="s">
        <v>1061</v>
      </c>
      <c r="J995" s="1831"/>
    </row>
    <row r="996" spans="1:10" ht="15" hidden="1" x14ac:dyDescent="0.35">
      <c r="A996" s="1831" t="s">
        <v>1933</v>
      </c>
      <c r="B996" s="1839" t="s">
        <v>1934</v>
      </c>
      <c r="C996" s="1839" t="s">
        <v>411</v>
      </c>
      <c r="D996" s="1839" t="s">
        <v>1935</v>
      </c>
      <c r="E996" s="1840">
        <v>46066</v>
      </c>
      <c r="F996" s="1840"/>
      <c r="G996" s="1839" t="s">
        <v>500</v>
      </c>
      <c r="H996" s="1839" t="s">
        <v>1065</v>
      </c>
      <c r="I996" s="1831" t="s">
        <v>1066</v>
      </c>
      <c r="J996" s="1831"/>
    </row>
    <row r="997" spans="1:10" ht="15" hidden="1" x14ac:dyDescent="0.35">
      <c r="A997" s="8" t="s">
        <v>1936</v>
      </c>
      <c r="B997" t="s">
        <v>1937</v>
      </c>
      <c r="C997" t="s">
        <v>420</v>
      </c>
      <c r="D997" t="s">
        <v>1938</v>
      </c>
      <c r="E997" s="9">
        <v>45425</v>
      </c>
      <c r="F997" s="9">
        <v>46104</v>
      </c>
      <c r="G997" t="s">
        <v>494</v>
      </c>
      <c r="H997" t="s">
        <v>1093</v>
      </c>
      <c r="I997" t="s">
        <v>1066</v>
      </c>
      <c r="J997"/>
    </row>
    <row r="998" spans="1:10" ht="15" hidden="1" x14ac:dyDescent="0.35">
      <c r="A998" s="1831" t="s">
        <v>1939</v>
      </c>
      <c r="B998" s="1839" t="s">
        <v>1940</v>
      </c>
      <c r="C998" s="1839" t="s">
        <v>416</v>
      </c>
      <c r="D998" s="1839" t="s">
        <v>1941</v>
      </c>
      <c r="E998" s="1840">
        <v>45722</v>
      </c>
      <c r="F998" s="1840"/>
      <c r="G998" s="1839" t="s">
        <v>500</v>
      </c>
      <c r="H998" s="1839" t="s">
        <v>1078</v>
      </c>
      <c r="I998" s="1831" t="s">
        <v>1061</v>
      </c>
      <c r="J998" s="1831"/>
    </row>
    <row r="999" spans="1:10" ht="15" hidden="1" x14ac:dyDescent="0.35">
      <c r="A999" s="8" t="s">
        <v>1942</v>
      </c>
      <c r="B999" t="s">
        <v>1943</v>
      </c>
      <c r="C999" t="s">
        <v>1088</v>
      </c>
      <c r="D999" t="s">
        <v>1944</v>
      </c>
      <c r="E999" s="9">
        <v>45691</v>
      </c>
      <c r="F999" s="9">
        <v>46120</v>
      </c>
      <c r="G999" t="s">
        <v>494</v>
      </c>
      <c r="H999" t="s">
        <v>1065</v>
      </c>
      <c r="I999" t="s">
        <v>1066</v>
      </c>
      <c r="J999"/>
    </row>
    <row r="1000" spans="1:10" ht="15" hidden="1" x14ac:dyDescent="0.35">
      <c r="A1000" s="1831" t="s">
        <v>1945</v>
      </c>
      <c r="B1000" s="1839" t="s">
        <v>1946</v>
      </c>
      <c r="C1000" s="1839" t="s">
        <v>444</v>
      </c>
      <c r="D1000" s="1839" t="s">
        <v>1947</v>
      </c>
      <c r="E1000" s="1840">
        <v>43851</v>
      </c>
      <c r="F1000" s="1840"/>
      <c r="G1000" s="1839" t="s">
        <v>500</v>
      </c>
      <c r="H1000" s="1839" t="s">
        <v>1065</v>
      </c>
      <c r="I1000" s="1831" t="s">
        <v>1066</v>
      </c>
      <c r="J1000" s="1831"/>
    </row>
    <row r="1001" spans="1:10" ht="15" hidden="1" x14ac:dyDescent="0.35">
      <c r="A1001" s="8" t="s">
        <v>1948</v>
      </c>
      <c r="B1001" t="s">
        <v>1949</v>
      </c>
      <c r="C1001" t="s">
        <v>420</v>
      </c>
      <c r="D1001" t="s">
        <v>1950</v>
      </c>
      <c r="E1001" s="9">
        <v>45426</v>
      </c>
      <c r="F1001" s="9">
        <v>46090</v>
      </c>
      <c r="G1001" t="s">
        <v>494</v>
      </c>
      <c r="H1001" t="s">
        <v>1093</v>
      </c>
      <c r="I1001" t="s">
        <v>1066</v>
      </c>
      <c r="J1001"/>
    </row>
    <row r="1002" spans="1:10" ht="15" hidden="1" x14ac:dyDescent="0.35">
      <c r="A1002" s="1831" t="s">
        <v>1951</v>
      </c>
      <c r="B1002" s="1839" t="s">
        <v>1952</v>
      </c>
      <c r="C1002" s="1839" t="s">
        <v>420</v>
      </c>
      <c r="D1002" s="1839" t="s">
        <v>1953</v>
      </c>
      <c r="E1002" s="1840">
        <v>45432</v>
      </c>
      <c r="F1002" s="1840"/>
      <c r="G1002" s="1839" t="s">
        <v>500</v>
      </c>
      <c r="H1002" s="1839" t="s">
        <v>1093</v>
      </c>
      <c r="I1002" s="1831" t="s">
        <v>1066</v>
      </c>
      <c r="J1002" s="1831"/>
    </row>
    <row r="1003" spans="1:10" ht="15" hidden="1" x14ac:dyDescent="0.35">
      <c r="A1003" s="1831" t="s">
        <v>1954</v>
      </c>
      <c r="B1003" s="1839" t="s">
        <v>1955</v>
      </c>
      <c r="C1003" s="1839" t="s">
        <v>420</v>
      </c>
      <c r="D1003" s="1839" t="s">
        <v>1956</v>
      </c>
      <c r="E1003" s="1840">
        <v>45383</v>
      </c>
      <c r="F1003" s="1840"/>
      <c r="G1003" s="1839" t="s">
        <v>500</v>
      </c>
      <c r="H1003" s="1839" t="s">
        <v>1078</v>
      </c>
      <c r="I1003" s="1831" t="s">
        <v>1061</v>
      </c>
      <c r="J1003" s="1831"/>
    </row>
    <row r="1004" spans="1:10" ht="15" hidden="1" x14ac:dyDescent="0.35">
      <c r="A1004" s="8" t="s">
        <v>1957</v>
      </c>
      <c r="B1004" t="s">
        <v>1958</v>
      </c>
      <c r="C1004" t="s">
        <v>578</v>
      </c>
      <c r="D1004" t="s">
        <v>1959</v>
      </c>
      <c r="E1004" s="9">
        <v>45701</v>
      </c>
      <c r="F1004" s="9">
        <v>45974</v>
      </c>
      <c r="G1004" t="s">
        <v>494</v>
      </c>
      <c r="H1004" t="s">
        <v>1060</v>
      </c>
      <c r="I1004" t="s">
        <v>1061</v>
      </c>
      <c r="J1004"/>
    </row>
    <row r="1005" spans="1:10" ht="15" hidden="1" x14ac:dyDescent="0.35">
      <c r="A1005" s="8" t="s">
        <v>1960</v>
      </c>
      <c r="B1005" t="s">
        <v>1961</v>
      </c>
      <c r="C1005" t="s">
        <v>420</v>
      </c>
      <c r="D1005" t="s">
        <v>1962</v>
      </c>
      <c r="E1005" s="9">
        <v>45826</v>
      </c>
      <c r="F1005" s="9">
        <v>46155</v>
      </c>
      <c r="G1005" t="s">
        <v>494</v>
      </c>
      <c r="H1005" t="s">
        <v>1093</v>
      </c>
      <c r="I1005" t="s">
        <v>1066</v>
      </c>
      <c r="J1005"/>
    </row>
    <row r="1006" spans="1:10" ht="15" hidden="1" x14ac:dyDescent="0.35">
      <c r="A1006" s="1831" t="s">
        <v>1963</v>
      </c>
      <c r="B1006" s="1839" t="s">
        <v>1964</v>
      </c>
      <c r="C1006" s="1839" t="s">
        <v>433</v>
      </c>
      <c r="D1006" s="1839" t="s">
        <v>1965</v>
      </c>
      <c r="E1006" s="1840">
        <v>45890</v>
      </c>
      <c r="F1006" s="1840"/>
      <c r="G1006" s="1839" t="s">
        <v>500</v>
      </c>
      <c r="H1006" s="1839" t="s">
        <v>1093</v>
      </c>
      <c r="I1006" s="1831" t="s">
        <v>1066</v>
      </c>
      <c r="J1006" s="1831"/>
    </row>
    <row r="1007" spans="1:10" ht="15" hidden="1" x14ac:dyDescent="0.35">
      <c r="A1007" s="1831" t="s">
        <v>1966</v>
      </c>
      <c r="B1007" s="1839" t="s">
        <v>1967</v>
      </c>
      <c r="C1007" s="1839" t="s">
        <v>1968</v>
      </c>
      <c r="D1007" s="1839" t="s">
        <v>1969</v>
      </c>
      <c r="E1007" s="1840">
        <v>45705</v>
      </c>
      <c r="F1007" s="1840"/>
      <c r="G1007" s="1839" t="s">
        <v>500</v>
      </c>
      <c r="H1007" s="1839" t="s">
        <v>1065</v>
      </c>
      <c r="I1007" s="1831" t="s">
        <v>1066</v>
      </c>
      <c r="J1007" s="1831"/>
    </row>
    <row r="1008" spans="1:10" ht="15" hidden="1" x14ac:dyDescent="0.35">
      <c r="A1008" s="1831" t="s">
        <v>1970</v>
      </c>
      <c r="B1008" s="1839" t="s">
        <v>1971</v>
      </c>
      <c r="C1008" s="1839" t="s">
        <v>423</v>
      </c>
      <c r="D1008" s="1839" t="s">
        <v>1972</v>
      </c>
      <c r="E1008" s="1840">
        <v>45383</v>
      </c>
      <c r="F1008" s="1840"/>
      <c r="G1008" s="1839" t="s">
        <v>500</v>
      </c>
      <c r="H1008" s="1839" t="s">
        <v>1060</v>
      </c>
      <c r="I1008" s="1831" t="s">
        <v>1061</v>
      </c>
      <c r="J1008" s="1831"/>
    </row>
    <row r="1009" spans="1:10" ht="15" hidden="1" x14ac:dyDescent="0.35">
      <c r="A1009" s="1831" t="s">
        <v>1973</v>
      </c>
      <c r="B1009" s="1839" t="s">
        <v>1974</v>
      </c>
      <c r="C1009" s="1839" t="s">
        <v>768</v>
      </c>
      <c r="D1009" s="1839" t="s">
        <v>1975</v>
      </c>
      <c r="E1009" s="1840">
        <v>44095</v>
      </c>
      <c r="F1009" s="1840"/>
      <c r="G1009" s="1839" t="s">
        <v>500</v>
      </c>
      <c r="H1009" s="1839" t="s">
        <v>1060</v>
      </c>
      <c r="I1009" s="1831" t="s">
        <v>1061</v>
      </c>
      <c r="J1009" s="1831"/>
    </row>
    <row r="1010" spans="1:10" ht="15" hidden="1" x14ac:dyDescent="0.35">
      <c r="A1010" s="1831" t="s">
        <v>1976</v>
      </c>
      <c r="B1010" s="1839" t="s">
        <v>1977</v>
      </c>
      <c r="C1010" s="1839" t="s">
        <v>578</v>
      </c>
      <c r="D1010" s="1839" t="s">
        <v>1978</v>
      </c>
      <c r="E1010" s="1840">
        <v>45131</v>
      </c>
      <c r="F1010" s="1840"/>
      <c r="G1010" s="1839" t="s">
        <v>500</v>
      </c>
      <c r="H1010" s="1839" t="s">
        <v>1065</v>
      </c>
      <c r="I1010" s="1831" t="s">
        <v>1066</v>
      </c>
      <c r="J1010" s="1831"/>
    </row>
    <row r="1011" spans="1:10" ht="15" hidden="1" x14ac:dyDescent="0.35">
      <c r="A1011" s="8" t="s">
        <v>1979</v>
      </c>
      <c r="B1011" t="s">
        <v>1980</v>
      </c>
      <c r="C1011" t="s">
        <v>1088</v>
      </c>
      <c r="D1011" t="s">
        <v>1981</v>
      </c>
      <c r="E1011" s="9">
        <v>45889</v>
      </c>
      <c r="F1011" s="9">
        <v>46072</v>
      </c>
      <c r="G1011" t="s">
        <v>494</v>
      </c>
      <c r="H1011" t="s">
        <v>1065</v>
      </c>
      <c r="I1011" t="s">
        <v>1066</v>
      </c>
      <c r="J1011"/>
    </row>
    <row r="1012" spans="1:10" ht="15" hidden="1" x14ac:dyDescent="0.35">
      <c r="A1012" s="1831" t="s">
        <v>1982</v>
      </c>
      <c r="B1012" s="1839" t="s">
        <v>1983</v>
      </c>
      <c r="C1012" s="1839" t="s">
        <v>420</v>
      </c>
      <c r="D1012" s="1839" t="s">
        <v>1984</v>
      </c>
      <c r="E1012" s="1840">
        <v>45705</v>
      </c>
      <c r="F1012" s="1840"/>
      <c r="G1012" s="1839" t="s">
        <v>500</v>
      </c>
      <c r="H1012" s="1839" t="s">
        <v>1078</v>
      </c>
      <c r="I1012" s="1831" t="s">
        <v>1061</v>
      </c>
      <c r="J1012" s="1831"/>
    </row>
    <row r="1013" spans="1:10" ht="15" hidden="1" x14ac:dyDescent="0.35">
      <c r="A1013" s="8" t="s">
        <v>1985</v>
      </c>
      <c r="B1013" t="s">
        <v>1986</v>
      </c>
      <c r="C1013" t="s">
        <v>420</v>
      </c>
      <c r="D1013" t="s">
        <v>1987</v>
      </c>
      <c r="E1013" s="9">
        <v>45839</v>
      </c>
      <c r="F1013" s="9">
        <v>46031</v>
      </c>
      <c r="G1013" t="s">
        <v>494</v>
      </c>
      <c r="H1013" t="s">
        <v>1078</v>
      </c>
      <c r="I1013" t="s">
        <v>1061</v>
      </c>
      <c r="J1013"/>
    </row>
    <row r="1014" spans="1:10" ht="15" hidden="1" x14ac:dyDescent="0.35">
      <c r="A1014" s="8" t="s">
        <v>1988</v>
      </c>
      <c r="B1014" t="s">
        <v>1989</v>
      </c>
      <c r="C1014" t="s">
        <v>421</v>
      </c>
      <c r="D1014" t="s">
        <v>1990</v>
      </c>
      <c r="E1014" s="9">
        <v>45733</v>
      </c>
      <c r="F1014" s="9">
        <v>46097</v>
      </c>
      <c r="G1014" t="s">
        <v>494</v>
      </c>
      <c r="H1014" t="s">
        <v>1060</v>
      </c>
      <c r="I1014" t="s">
        <v>1061</v>
      </c>
      <c r="J1014"/>
    </row>
    <row r="1015" spans="1:10" ht="15" hidden="1" x14ac:dyDescent="0.35">
      <c r="A1015" s="1831" t="s">
        <v>1991</v>
      </c>
      <c r="B1015" s="1839" t="s">
        <v>1992</v>
      </c>
      <c r="C1015" s="1839" t="s">
        <v>1148</v>
      </c>
      <c r="D1015" s="1839" t="s">
        <v>1993</v>
      </c>
      <c r="E1015" s="1840">
        <v>45702</v>
      </c>
      <c r="F1015" s="1840"/>
      <c r="G1015" s="1839" t="s">
        <v>500</v>
      </c>
      <c r="H1015" s="1839" t="s">
        <v>1065</v>
      </c>
      <c r="I1015" s="1831" t="s">
        <v>1066</v>
      </c>
      <c r="J1015" s="1831"/>
    </row>
    <row r="1016" spans="1:10" ht="15" hidden="1" x14ac:dyDescent="0.35">
      <c r="A1016" s="1831" t="s">
        <v>1994</v>
      </c>
      <c r="B1016" s="1839" t="s">
        <v>1995</v>
      </c>
      <c r="C1016" s="1839" t="s">
        <v>606</v>
      </c>
      <c r="D1016" s="1839" t="s">
        <v>1996</v>
      </c>
      <c r="E1016" s="1840">
        <v>45420</v>
      </c>
      <c r="F1016" s="1840"/>
      <c r="G1016" s="1839" t="s">
        <v>500</v>
      </c>
      <c r="H1016" s="1839" t="s">
        <v>1065</v>
      </c>
      <c r="I1016" s="1831" t="s">
        <v>1066</v>
      </c>
      <c r="J1016" s="1831"/>
    </row>
    <row r="1017" spans="1:10" ht="15" hidden="1" x14ac:dyDescent="0.35">
      <c r="A1017" s="8" t="s">
        <v>1997</v>
      </c>
      <c r="B1017" t="s">
        <v>1998</v>
      </c>
      <c r="C1017" t="s">
        <v>410</v>
      </c>
      <c r="D1017" t="s">
        <v>1999</v>
      </c>
      <c r="E1017" s="9">
        <v>45708</v>
      </c>
      <c r="F1017" s="9">
        <v>45875</v>
      </c>
      <c r="G1017" t="s">
        <v>494</v>
      </c>
      <c r="H1017" t="s">
        <v>1060</v>
      </c>
      <c r="I1017" t="s">
        <v>1061</v>
      </c>
      <c r="J1017"/>
    </row>
    <row r="1018" spans="1:10" ht="15" hidden="1" x14ac:dyDescent="0.35">
      <c r="A1018" s="1831" t="s">
        <v>2000</v>
      </c>
      <c r="B1018" s="1839" t="s">
        <v>2001</v>
      </c>
      <c r="C1018" s="1839" t="s">
        <v>1088</v>
      </c>
      <c r="D1018" s="1839" t="s">
        <v>2002</v>
      </c>
      <c r="E1018" s="1840">
        <v>45701</v>
      </c>
      <c r="F1018" s="1840"/>
      <c r="G1018" s="1839" t="s">
        <v>500</v>
      </c>
      <c r="H1018" s="1839" t="s">
        <v>1060</v>
      </c>
      <c r="I1018" s="1831" t="s">
        <v>1061</v>
      </c>
      <c r="J1018" s="1831"/>
    </row>
    <row r="1019" spans="1:10" ht="15" hidden="1" x14ac:dyDescent="0.35">
      <c r="A1019" s="1831" t="s">
        <v>2003</v>
      </c>
      <c r="B1019" s="1839" t="s">
        <v>2004</v>
      </c>
      <c r="C1019" s="1839" t="s">
        <v>439</v>
      </c>
      <c r="D1019" s="1839" t="s">
        <v>2005</v>
      </c>
      <c r="E1019" s="1840">
        <v>45943</v>
      </c>
      <c r="F1019" s="1840"/>
      <c r="G1019" s="1839" t="s">
        <v>500</v>
      </c>
      <c r="H1019" s="1839" t="s">
        <v>1065</v>
      </c>
      <c r="I1019" s="1831" t="s">
        <v>1066</v>
      </c>
      <c r="J1019" s="1831"/>
    </row>
    <row r="1020" spans="1:10" ht="15" hidden="1" x14ac:dyDescent="0.35">
      <c r="A1020" s="8" t="s">
        <v>2006</v>
      </c>
      <c r="B1020" t="s">
        <v>2007</v>
      </c>
      <c r="C1020" t="s">
        <v>2008</v>
      </c>
      <c r="D1020" t="s">
        <v>2009</v>
      </c>
      <c r="E1020" s="9">
        <v>45427</v>
      </c>
      <c r="F1020" s="9">
        <v>45803</v>
      </c>
      <c r="G1020" t="s">
        <v>494</v>
      </c>
      <c r="H1020" t="s">
        <v>1065</v>
      </c>
      <c r="I1020" t="s">
        <v>1066</v>
      </c>
      <c r="J1020"/>
    </row>
    <row r="1021" spans="1:10" ht="15" hidden="1" x14ac:dyDescent="0.35">
      <c r="A1021" s="1831" t="s">
        <v>2010</v>
      </c>
      <c r="B1021" s="1839" t="s">
        <v>2011</v>
      </c>
      <c r="C1021" s="1839" t="s">
        <v>578</v>
      </c>
      <c r="D1021" s="1839" t="s">
        <v>2012</v>
      </c>
      <c r="E1021" s="1840">
        <v>45713</v>
      </c>
      <c r="F1021" s="1840"/>
      <c r="G1021" s="1839" t="s">
        <v>500</v>
      </c>
      <c r="H1021" s="1839" t="s">
        <v>1065</v>
      </c>
      <c r="I1021" s="1831" t="s">
        <v>1066</v>
      </c>
      <c r="J1021" s="1831"/>
    </row>
    <row r="1022" spans="1:10" ht="15" hidden="1" x14ac:dyDescent="0.35">
      <c r="A1022" s="1831" t="s">
        <v>2013</v>
      </c>
      <c r="B1022" s="1839" t="s">
        <v>2014</v>
      </c>
      <c r="C1022" s="1839" t="s">
        <v>416</v>
      </c>
      <c r="D1022" s="1839" t="s">
        <v>2015</v>
      </c>
      <c r="E1022" s="1840">
        <v>45870</v>
      </c>
      <c r="F1022" s="1840"/>
      <c r="G1022" s="1839" t="s">
        <v>500</v>
      </c>
      <c r="H1022" s="1839" t="s">
        <v>1078</v>
      </c>
      <c r="I1022" s="1831" t="s">
        <v>1061</v>
      </c>
      <c r="J1022" s="1831"/>
    </row>
    <row r="1023" spans="1:10" ht="15" hidden="1" x14ac:dyDescent="0.35">
      <c r="A1023" s="1831" t="s">
        <v>2016</v>
      </c>
      <c r="B1023" s="1839" t="s">
        <v>2017</v>
      </c>
      <c r="C1023" s="1839" t="s">
        <v>1088</v>
      </c>
      <c r="D1023" s="1839" t="s">
        <v>2018</v>
      </c>
      <c r="E1023" s="1840">
        <v>45789</v>
      </c>
      <c r="F1023" s="1840"/>
      <c r="G1023" s="1839" t="s">
        <v>500</v>
      </c>
      <c r="H1023" s="1839" t="s">
        <v>1065</v>
      </c>
      <c r="I1023" s="1831" t="s">
        <v>1066</v>
      </c>
      <c r="J1023" s="1831"/>
    </row>
    <row r="1024" spans="1:10" ht="15" hidden="1" x14ac:dyDescent="0.35">
      <c r="A1024" s="1831" t="s">
        <v>2019</v>
      </c>
      <c r="B1024" s="1839" t="s">
        <v>2020</v>
      </c>
      <c r="C1024" s="1839" t="s">
        <v>438</v>
      </c>
      <c r="D1024" s="1839" t="s">
        <v>2021</v>
      </c>
      <c r="E1024" s="1840">
        <v>45642</v>
      </c>
      <c r="F1024" s="1840"/>
      <c r="G1024" s="1839" t="s">
        <v>500</v>
      </c>
      <c r="H1024" s="1839" t="s">
        <v>1065</v>
      </c>
      <c r="I1024" s="1831" t="s">
        <v>1066</v>
      </c>
      <c r="J1024" s="1831"/>
    </row>
    <row r="1025" spans="1:10" ht="15" hidden="1" x14ac:dyDescent="0.35">
      <c r="A1025" s="8" t="s">
        <v>2022</v>
      </c>
      <c r="B1025" t="s">
        <v>2023</v>
      </c>
      <c r="C1025" t="s">
        <v>416</v>
      </c>
      <c r="D1025" t="s">
        <v>2024</v>
      </c>
      <c r="E1025" s="9">
        <v>45870</v>
      </c>
      <c r="F1025" s="9">
        <v>46097</v>
      </c>
      <c r="G1025" t="s">
        <v>494</v>
      </c>
      <c r="H1025" t="s">
        <v>1078</v>
      </c>
      <c r="I1025" t="s">
        <v>1061</v>
      </c>
      <c r="J1025"/>
    </row>
    <row r="1026" spans="1:10" ht="15" hidden="1" x14ac:dyDescent="0.35">
      <c r="A1026" s="1831" t="s">
        <v>2025</v>
      </c>
      <c r="B1026" s="1839" t="s">
        <v>2026</v>
      </c>
      <c r="C1026" s="1839" t="s">
        <v>600</v>
      </c>
      <c r="D1026" s="1839" t="s">
        <v>2027</v>
      </c>
      <c r="E1026" s="1840">
        <v>45524</v>
      </c>
      <c r="F1026" s="1840"/>
      <c r="G1026" s="1839" t="s">
        <v>500</v>
      </c>
      <c r="H1026" s="1839" t="s">
        <v>1065</v>
      </c>
      <c r="I1026" s="1831" t="s">
        <v>1066</v>
      </c>
      <c r="J1026" s="1831"/>
    </row>
    <row r="1027" spans="1:10" ht="15" hidden="1" x14ac:dyDescent="0.35">
      <c r="A1027" s="1831" t="s">
        <v>2028</v>
      </c>
      <c r="B1027" s="1839" t="s">
        <v>2029</v>
      </c>
      <c r="C1027" s="1839" t="s">
        <v>2030</v>
      </c>
      <c r="D1027" s="1839" t="s">
        <v>2031</v>
      </c>
      <c r="E1027" s="1840">
        <v>45419</v>
      </c>
      <c r="F1027" s="1840"/>
      <c r="G1027" s="1839" t="s">
        <v>500</v>
      </c>
      <c r="H1027" s="1839" t="s">
        <v>1065</v>
      </c>
      <c r="I1027" s="1831" t="s">
        <v>1066</v>
      </c>
      <c r="J1027" s="1831"/>
    </row>
    <row r="1028" spans="1:10" ht="15" hidden="1" x14ac:dyDescent="0.35">
      <c r="A1028" s="1831" t="s">
        <v>2032</v>
      </c>
      <c r="B1028" s="1839" t="s">
        <v>2033</v>
      </c>
      <c r="C1028" s="1839" t="s">
        <v>420</v>
      </c>
      <c r="D1028" s="1839" t="s">
        <v>2034</v>
      </c>
      <c r="E1028" s="1840">
        <v>45419</v>
      </c>
      <c r="F1028" s="1840"/>
      <c r="G1028" s="1839" t="s">
        <v>500</v>
      </c>
      <c r="H1028" s="1839" t="s">
        <v>1093</v>
      </c>
      <c r="I1028" s="1831" t="s">
        <v>1066</v>
      </c>
      <c r="J1028" s="1831"/>
    </row>
    <row r="1029" spans="1:10" ht="15" hidden="1" x14ac:dyDescent="0.35">
      <c r="A1029" s="8" t="s">
        <v>2035</v>
      </c>
      <c r="B1029" t="s">
        <v>2036</v>
      </c>
      <c r="C1029" t="s">
        <v>420</v>
      </c>
      <c r="D1029" t="s">
        <v>2037</v>
      </c>
      <c r="E1029" s="9">
        <v>45713</v>
      </c>
      <c r="F1029" s="9">
        <v>45840</v>
      </c>
      <c r="G1029" t="s">
        <v>494</v>
      </c>
      <c r="H1029" t="s">
        <v>1078</v>
      </c>
      <c r="I1029" t="s">
        <v>1061</v>
      </c>
      <c r="J1029"/>
    </row>
    <row r="1030" spans="1:10" ht="15" hidden="1" x14ac:dyDescent="0.35">
      <c r="A1030" s="8" t="s">
        <v>2038</v>
      </c>
      <c r="B1030" t="s">
        <v>2039</v>
      </c>
      <c r="C1030" t="s">
        <v>410</v>
      </c>
      <c r="D1030" t="s">
        <v>2040</v>
      </c>
      <c r="E1030" s="9">
        <v>45712</v>
      </c>
      <c r="F1030" s="9">
        <v>45793</v>
      </c>
      <c r="G1030" t="s">
        <v>494</v>
      </c>
      <c r="H1030" t="s">
        <v>1065</v>
      </c>
      <c r="I1030" t="s">
        <v>1066</v>
      </c>
      <c r="J1030"/>
    </row>
    <row r="1031" spans="1:10" ht="15" hidden="1" x14ac:dyDescent="0.35">
      <c r="A1031" s="1831" t="s">
        <v>2041</v>
      </c>
      <c r="B1031" s="1839" t="s">
        <v>2042</v>
      </c>
      <c r="C1031" s="1839" t="s">
        <v>420</v>
      </c>
      <c r="D1031" s="1839" t="s">
        <v>2043</v>
      </c>
      <c r="E1031" s="1840">
        <v>45701</v>
      </c>
      <c r="F1031" s="1840"/>
      <c r="G1031" s="1839" t="s">
        <v>500</v>
      </c>
      <c r="H1031" s="1839" t="s">
        <v>1078</v>
      </c>
      <c r="I1031" s="1831" t="s">
        <v>1061</v>
      </c>
      <c r="J1031" s="1831"/>
    </row>
    <row r="1032" spans="1:10" ht="15" hidden="1" x14ac:dyDescent="0.35">
      <c r="A1032" s="1831" t="s">
        <v>2044</v>
      </c>
      <c r="B1032" s="1839" t="s">
        <v>2045</v>
      </c>
      <c r="C1032" s="1839" t="s">
        <v>600</v>
      </c>
      <c r="D1032" s="1839" t="s">
        <v>2046</v>
      </c>
      <c r="E1032" s="1840">
        <v>44399</v>
      </c>
      <c r="F1032" s="1840"/>
      <c r="G1032" s="1839" t="s">
        <v>500</v>
      </c>
      <c r="H1032" s="1839" t="s">
        <v>1060</v>
      </c>
      <c r="I1032" s="1831" t="s">
        <v>1061</v>
      </c>
      <c r="J1032" s="1831"/>
    </row>
    <row r="1033" spans="1:10" ht="15" hidden="1" x14ac:dyDescent="0.35">
      <c r="A1033" s="8" t="s">
        <v>2047</v>
      </c>
      <c r="B1033" t="s">
        <v>2048</v>
      </c>
      <c r="C1033" t="s">
        <v>1088</v>
      </c>
      <c r="D1033" t="s">
        <v>2049</v>
      </c>
      <c r="E1033" s="9">
        <v>45642</v>
      </c>
      <c r="F1033" s="9">
        <v>45890</v>
      </c>
      <c r="G1033" t="s">
        <v>494</v>
      </c>
      <c r="H1033" t="s">
        <v>1060</v>
      </c>
      <c r="I1033" t="s">
        <v>1061</v>
      </c>
      <c r="J1033"/>
    </row>
    <row r="1034" spans="1:10" ht="15" hidden="1" x14ac:dyDescent="0.35">
      <c r="A1034" s="8" t="s">
        <v>2050</v>
      </c>
      <c r="B1034" t="s">
        <v>2051</v>
      </c>
      <c r="C1034" t="s">
        <v>420</v>
      </c>
      <c r="D1034" t="s">
        <v>2052</v>
      </c>
      <c r="E1034" s="9">
        <v>45419</v>
      </c>
      <c r="F1034" s="9">
        <v>46129</v>
      </c>
      <c r="G1034" t="s">
        <v>494</v>
      </c>
      <c r="H1034" t="s">
        <v>1093</v>
      </c>
      <c r="I1034" t="s">
        <v>1066</v>
      </c>
      <c r="J1034"/>
    </row>
    <row r="1035" spans="1:10" ht="15" hidden="1" x14ac:dyDescent="0.35">
      <c r="A1035" s="1831" t="s">
        <v>2053</v>
      </c>
      <c r="B1035" s="1839" t="s">
        <v>2054</v>
      </c>
      <c r="C1035" s="1839" t="s">
        <v>420</v>
      </c>
      <c r="D1035" s="1839" t="s">
        <v>2055</v>
      </c>
      <c r="E1035" s="1840">
        <v>45607</v>
      </c>
      <c r="F1035" s="1840"/>
      <c r="G1035" s="1839" t="s">
        <v>525</v>
      </c>
      <c r="H1035" s="1839" t="s">
        <v>1078</v>
      </c>
      <c r="I1035" s="1831" t="s">
        <v>1061</v>
      </c>
      <c r="J1035" s="1831"/>
    </row>
    <row r="1036" spans="1:10" ht="15" hidden="1" x14ac:dyDescent="0.35">
      <c r="A1036" s="1831" t="s">
        <v>2056</v>
      </c>
      <c r="B1036" s="1839" t="s">
        <v>2057</v>
      </c>
      <c r="C1036" s="1839" t="s">
        <v>420</v>
      </c>
      <c r="D1036" s="1839" t="s">
        <v>2058</v>
      </c>
      <c r="E1036" s="1840">
        <v>45446</v>
      </c>
      <c r="F1036" s="1840"/>
      <c r="G1036" s="1839" t="s">
        <v>500</v>
      </c>
      <c r="H1036" s="1839" t="s">
        <v>1093</v>
      </c>
      <c r="I1036" s="1831" t="s">
        <v>1066</v>
      </c>
      <c r="J1036" s="1831"/>
    </row>
    <row r="1037" spans="1:10" ht="15" hidden="1" x14ac:dyDescent="0.35">
      <c r="A1037" s="1831" t="s">
        <v>2059</v>
      </c>
      <c r="B1037" s="1839" t="s">
        <v>2060</v>
      </c>
      <c r="C1037" s="1839" t="s">
        <v>410</v>
      </c>
      <c r="D1037" s="1839" t="s">
        <v>2061</v>
      </c>
      <c r="E1037" s="1840">
        <v>45377</v>
      </c>
      <c r="F1037" s="1840"/>
      <c r="G1037" s="1839" t="s">
        <v>500</v>
      </c>
      <c r="H1037" s="1839" t="s">
        <v>1060</v>
      </c>
      <c r="I1037" s="1831" t="s">
        <v>1061</v>
      </c>
      <c r="J1037" s="1831"/>
    </row>
    <row r="1038" spans="1:10" ht="15" hidden="1" x14ac:dyDescent="0.35">
      <c r="A1038" s="1831" t="s">
        <v>2062</v>
      </c>
      <c r="B1038" s="1839" t="s">
        <v>2063</v>
      </c>
      <c r="C1038" s="1839" t="s">
        <v>1263</v>
      </c>
      <c r="D1038" s="1839" t="s">
        <v>2064</v>
      </c>
      <c r="E1038" s="1840">
        <v>45419</v>
      </c>
      <c r="F1038" s="1840"/>
      <c r="G1038" s="1839" t="s">
        <v>500</v>
      </c>
      <c r="H1038" s="1839" t="s">
        <v>1093</v>
      </c>
      <c r="I1038" s="1831" t="s">
        <v>1066</v>
      </c>
      <c r="J1038" s="1831"/>
    </row>
    <row r="1039" spans="1:10" ht="15" hidden="1" x14ac:dyDescent="0.35">
      <c r="A1039" s="1831" t="s">
        <v>2065</v>
      </c>
      <c r="B1039" s="1839" t="s">
        <v>2066</v>
      </c>
      <c r="C1039" s="1839" t="s">
        <v>441</v>
      </c>
      <c r="D1039" s="1839" t="s">
        <v>2067</v>
      </c>
      <c r="E1039" s="1840">
        <v>45713</v>
      </c>
      <c r="F1039" s="1840"/>
      <c r="G1039" s="1839" t="s">
        <v>500</v>
      </c>
      <c r="H1039" s="1839" t="s">
        <v>1093</v>
      </c>
      <c r="I1039" s="1831" t="s">
        <v>1066</v>
      </c>
      <c r="J1039" s="1831"/>
    </row>
    <row r="1040" spans="1:10" ht="15" hidden="1" x14ac:dyDescent="0.35">
      <c r="A1040" s="1831" t="s">
        <v>2068</v>
      </c>
      <c r="B1040" s="1839" t="s">
        <v>2069</v>
      </c>
      <c r="C1040" s="1839" t="s">
        <v>413</v>
      </c>
      <c r="D1040" s="1839" t="s">
        <v>2070</v>
      </c>
      <c r="E1040" s="1840">
        <v>45859</v>
      </c>
      <c r="F1040" s="1840"/>
      <c r="G1040" s="1839" t="s">
        <v>500</v>
      </c>
      <c r="H1040" s="1839" t="s">
        <v>1060</v>
      </c>
      <c r="I1040" s="1831" t="s">
        <v>1061</v>
      </c>
      <c r="J1040" s="1831"/>
    </row>
    <row r="1041" spans="1:10" ht="15" hidden="1" x14ac:dyDescent="0.35">
      <c r="A1041" s="8" t="s">
        <v>2071</v>
      </c>
      <c r="B1041" t="s">
        <v>2072</v>
      </c>
      <c r="C1041" t="s">
        <v>1144</v>
      </c>
      <c r="D1041" t="s">
        <v>2073</v>
      </c>
      <c r="E1041" s="9">
        <v>44399</v>
      </c>
      <c r="F1041" s="9">
        <v>45779</v>
      </c>
      <c r="G1041" t="s">
        <v>494</v>
      </c>
      <c r="H1041" t="s">
        <v>1065</v>
      </c>
      <c r="I1041" t="s">
        <v>1066</v>
      </c>
      <c r="J1041"/>
    </row>
    <row r="1042" spans="1:10" ht="15" hidden="1" x14ac:dyDescent="0.35">
      <c r="A1042" s="8" t="s">
        <v>2074</v>
      </c>
      <c r="B1042" t="s">
        <v>2075</v>
      </c>
      <c r="C1042" t="s">
        <v>410</v>
      </c>
      <c r="D1042" t="s">
        <v>2076</v>
      </c>
      <c r="E1042" s="9">
        <v>45401</v>
      </c>
      <c r="F1042" s="9">
        <v>45855</v>
      </c>
      <c r="G1042" t="s">
        <v>494</v>
      </c>
      <c r="H1042" t="s">
        <v>1060</v>
      </c>
      <c r="I1042" t="s">
        <v>1061</v>
      </c>
      <c r="J1042"/>
    </row>
    <row r="1043" spans="1:10" ht="15" hidden="1" x14ac:dyDescent="0.35">
      <c r="A1043" s="1831" t="s">
        <v>2077</v>
      </c>
      <c r="B1043" s="1839" t="s">
        <v>2078</v>
      </c>
      <c r="C1043" s="1839" t="s">
        <v>1072</v>
      </c>
      <c r="D1043" s="1839" t="s">
        <v>2079</v>
      </c>
      <c r="E1043" s="1840">
        <v>43851</v>
      </c>
      <c r="F1043" s="1840"/>
      <c r="G1043" s="1839" t="s">
        <v>500</v>
      </c>
      <c r="H1043" s="1839" t="s">
        <v>1065</v>
      </c>
      <c r="I1043" s="1831" t="s">
        <v>1066</v>
      </c>
      <c r="J1043" s="1831"/>
    </row>
    <row r="1044" spans="1:10" ht="15" hidden="1" x14ac:dyDescent="0.35">
      <c r="A1044" s="1831" t="s">
        <v>2080</v>
      </c>
      <c r="B1044" s="1839" t="s">
        <v>2081</v>
      </c>
      <c r="C1044" s="1839" t="s">
        <v>591</v>
      </c>
      <c r="D1044" s="1839" t="s">
        <v>2082</v>
      </c>
      <c r="E1044" s="1840">
        <v>46127</v>
      </c>
      <c r="F1044" s="1840"/>
      <c r="G1044" s="1839" t="s">
        <v>500</v>
      </c>
      <c r="H1044" s="1839" t="s">
        <v>1093</v>
      </c>
      <c r="I1044" s="1831" t="s">
        <v>1066</v>
      </c>
      <c r="J1044" s="1831"/>
    </row>
    <row r="1045" spans="1:10" ht="15" hidden="1" x14ac:dyDescent="0.35">
      <c r="A1045" s="1831" t="s">
        <v>2083</v>
      </c>
      <c r="B1045" s="1839" t="s">
        <v>2084</v>
      </c>
      <c r="C1045" s="1839" t="s">
        <v>1088</v>
      </c>
      <c r="D1045" s="1839" t="s">
        <v>2085</v>
      </c>
      <c r="E1045" s="1840">
        <v>45419</v>
      </c>
      <c r="F1045" s="1840"/>
      <c r="G1045" s="1839" t="s">
        <v>500</v>
      </c>
      <c r="H1045" s="1839" t="s">
        <v>1065</v>
      </c>
      <c r="I1045" s="1831" t="s">
        <v>1066</v>
      </c>
      <c r="J1045" s="1831"/>
    </row>
    <row r="1046" spans="1:10" ht="15" hidden="1" x14ac:dyDescent="0.35">
      <c r="A1046" s="8" t="s">
        <v>2086</v>
      </c>
      <c r="B1046" t="s">
        <v>2087</v>
      </c>
      <c r="C1046" t="s">
        <v>1148</v>
      </c>
      <c r="D1046" t="s">
        <v>2088</v>
      </c>
      <c r="E1046" s="9">
        <v>43864</v>
      </c>
      <c r="F1046" s="9">
        <v>45902</v>
      </c>
      <c r="G1046" t="s">
        <v>494</v>
      </c>
      <c r="H1046" t="s">
        <v>1060</v>
      </c>
      <c r="I1046" t="s">
        <v>1061</v>
      </c>
      <c r="J1046"/>
    </row>
    <row r="1047" spans="1:10" ht="15" hidden="1" x14ac:dyDescent="0.35">
      <c r="A1047" s="8" t="s">
        <v>2089</v>
      </c>
      <c r="B1047" t="s">
        <v>2090</v>
      </c>
      <c r="C1047" t="s">
        <v>578</v>
      </c>
      <c r="D1047" t="s">
        <v>2091</v>
      </c>
      <c r="E1047" s="9">
        <v>45131</v>
      </c>
      <c r="F1047" s="9">
        <v>46002</v>
      </c>
      <c r="G1047" t="s">
        <v>494</v>
      </c>
      <c r="H1047" t="s">
        <v>1065</v>
      </c>
      <c r="I1047" t="s">
        <v>1066</v>
      </c>
      <c r="J1047"/>
    </row>
    <row r="1048" spans="1:10" ht="15" hidden="1" x14ac:dyDescent="0.35">
      <c r="A1048" s="1831" t="s">
        <v>2092</v>
      </c>
      <c r="B1048" s="1839" t="s">
        <v>2093</v>
      </c>
      <c r="C1048" s="1839" t="s">
        <v>420</v>
      </c>
      <c r="D1048" s="1839" t="s">
        <v>2094</v>
      </c>
      <c r="E1048" s="1840">
        <v>46127</v>
      </c>
      <c r="F1048" s="1840"/>
      <c r="G1048" s="1839" t="s">
        <v>500</v>
      </c>
      <c r="H1048" s="1839" t="s">
        <v>1078</v>
      </c>
      <c r="I1048" s="1831" t="s">
        <v>1061</v>
      </c>
      <c r="J1048" s="1831"/>
    </row>
    <row r="1049" spans="1:10" ht="15" hidden="1" x14ac:dyDescent="0.35">
      <c r="A1049" s="1831" t="s">
        <v>2095</v>
      </c>
      <c r="B1049" s="1839" t="s">
        <v>2096</v>
      </c>
      <c r="C1049" s="1839" t="s">
        <v>1148</v>
      </c>
      <c r="D1049" s="1839" t="s">
        <v>2097</v>
      </c>
      <c r="E1049" s="1840">
        <v>43460</v>
      </c>
      <c r="F1049" s="1840"/>
      <c r="G1049" s="1839" t="s">
        <v>500</v>
      </c>
      <c r="H1049" s="1839" t="s">
        <v>1065</v>
      </c>
      <c r="I1049" s="1831" t="s">
        <v>1066</v>
      </c>
      <c r="J1049" s="1831"/>
    </row>
    <row r="1050" spans="1:10" ht="15" hidden="1" x14ac:dyDescent="0.35">
      <c r="A1050" s="1831" t="s">
        <v>2098</v>
      </c>
      <c r="B1050" s="1839" t="s">
        <v>2099</v>
      </c>
      <c r="C1050" s="1839" t="s">
        <v>1144</v>
      </c>
      <c r="D1050" s="1839" t="s">
        <v>2100</v>
      </c>
      <c r="E1050" s="1840">
        <v>45027</v>
      </c>
      <c r="F1050" s="1840"/>
      <c r="G1050" s="1839" t="s">
        <v>500</v>
      </c>
      <c r="H1050" s="1839" t="s">
        <v>1065</v>
      </c>
      <c r="I1050" s="1831" t="s">
        <v>1066</v>
      </c>
      <c r="J1050" s="1831"/>
    </row>
    <row r="1051" spans="1:10" ht="15" hidden="1" x14ac:dyDescent="0.35">
      <c r="A1051" s="1831" t="s">
        <v>2101</v>
      </c>
      <c r="B1051" s="1839" t="s">
        <v>2102</v>
      </c>
      <c r="C1051" s="1839" t="s">
        <v>410</v>
      </c>
      <c r="D1051" s="1839" t="s">
        <v>2103</v>
      </c>
      <c r="E1051" s="1840">
        <v>45713</v>
      </c>
      <c r="F1051" s="1840"/>
      <c r="G1051" s="1839" t="s">
        <v>500</v>
      </c>
      <c r="H1051" s="1839" t="s">
        <v>1060</v>
      </c>
      <c r="I1051" s="1831" t="s">
        <v>1061</v>
      </c>
      <c r="J1051" s="1831"/>
    </row>
    <row r="1052" spans="1:10" ht="15" hidden="1" x14ac:dyDescent="0.35">
      <c r="A1052" s="1831" t="s">
        <v>2104</v>
      </c>
      <c r="B1052" s="1839" t="s">
        <v>2105</v>
      </c>
      <c r="C1052" s="1839" t="s">
        <v>420</v>
      </c>
      <c r="D1052" s="1839" t="s">
        <v>2106</v>
      </c>
      <c r="E1052" s="1840">
        <v>45419</v>
      </c>
      <c r="F1052" s="1840"/>
      <c r="G1052" s="1839" t="s">
        <v>500</v>
      </c>
      <c r="H1052" s="1839" t="s">
        <v>1093</v>
      </c>
      <c r="I1052" s="1831" t="s">
        <v>1066</v>
      </c>
      <c r="J1052" s="1831"/>
    </row>
    <row r="1053" spans="1:10" ht="15" hidden="1" x14ac:dyDescent="0.35">
      <c r="A1053" s="8" t="s">
        <v>2107</v>
      </c>
      <c r="B1053" t="s">
        <v>2108</v>
      </c>
      <c r="C1053" t="s">
        <v>441</v>
      </c>
      <c r="D1053" t="s">
        <v>2109</v>
      </c>
      <c r="E1053" s="9">
        <v>45722</v>
      </c>
      <c r="F1053" s="9">
        <v>46101</v>
      </c>
      <c r="G1053" t="s">
        <v>494</v>
      </c>
      <c r="H1053" t="s">
        <v>1093</v>
      </c>
      <c r="I1053" t="s">
        <v>1066</v>
      </c>
      <c r="J1053"/>
    </row>
    <row r="1054" spans="1:10" ht="15" hidden="1" x14ac:dyDescent="0.35">
      <c r="A1054" s="1831" t="s">
        <v>2110</v>
      </c>
      <c r="B1054" s="1839" t="s">
        <v>2111</v>
      </c>
      <c r="C1054" s="1839" t="s">
        <v>578</v>
      </c>
      <c r="D1054" s="1839" t="s">
        <v>2112</v>
      </c>
      <c r="E1054" s="1840">
        <v>45131</v>
      </c>
      <c r="F1054" s="1840"/>
      <c r="G1054" s="1839" t="s">
        <v>500</v>
      </c>
      <c r="H1054" s="1839" t="s">
        <v>1065</v>
      </c>
      <c r="I1054" s="1831" t="s">
        <v>1066</v>
      </c>
      <c r="J1054" s="1831"/>
    </row>
    <row r="1055" spans="1:10" ht="15" hidden="1" x14ac:dyDescent="0.35">
      <c r="A1055" s="1831" t="s">
        <v>2113</v>
      </c>
      <c r="B1055" s="1839" t="s">
        <v>2114</v>
      </c>
      <c r="C1055" s="1839" t="s">
        <v>420</v>
      </c>
      <c r="D1055" s="1839" t="s">
        <v>2115</v>
      </c>
      <c r="E1055" s="1840">
        <v>45383</v>
      </c>
      <c r="F1055" s="1840"/>
      <c r="G1055" s="1839" t="s">
        <v>500</v>
      </c>
      <c r="H1055" s="1839" t="s">
        <v>1078</v>
      </c>
      <c r="I1055" s="1831" t="s">
        <v>1061</v>
      </c>
      <c r="J1055" s="1831"/>
    </row>
    <row r="1056" spans="1:10" ht="15" hidden="1" x14ac:dyDescent="0.35">
      <c r="A1056" s="1831" t="s">
        <v>2116</v>
      </c>
      <c r="B1056" s="1839" t="s">
        <v>2117</v>
      </c>
      <c r="C1056" s="1839" t="s">
        <v>411</v>
      </c>
      <c r="D1056" s="1839" t="s">
        <v>2118</v>
      </c>
      <c r="E1056" s="1840">
        <v>45726</v>
      </c>
      <c r="F1056" s="1840"/>
      <c r="G1056" s="1839" t="s">
        <v>500</v>
      </c>
      <c r="H1056" s="1839" t="s">
        <v>1060</v>
      </c>
      <c r="I1056" s="1831" t="s">
        <v>1061</v>
      </c>
      <c r="J1056" s="1831"/>
    </row>
    <row r="1057" spans="1:10" ht="15" hidden="1" x14ac:dyDescent="0.35">
      <c r="A1057" s="8" t="s">
        <v>2119</v>
      </c>
      <c r="B1057" t="s">
        <v>2120</v>
      </c>
      <c r="C1057" t="s">
        <v>420</v>
      </c>
      <c r="D1057" t="s">
        <v>2121</v>
      </c>
      <c r="E1057" s="9">
        <v>45887</v>
      </c>
      <c r="F1057" s="9">
        <v>46002</v>
      </c>
      <c r="G1057" t="s">
        <v>494</v>
      </c>
      <c r="H1057" t="s">
        <v>1078</v>
      </c>
      <c r="I1057" t="s">
        <v>1061</v>
      </c>
      <c r="J1057"/>
    </row>
    <row r="1058" spans="1:10" ht="15" hidden="1" x14ac:dyDescent="0.35">
      <c r="A1058" s="1831" t="s">
        <v>2122</v>
      </c>
      <c r="B1058" s="1839" t="s">
        <v>2123</v>
      </c>
      <c r="C1058" s="1839" t="s">
        <v>420</v>
      </c>
      <c r="D1058" s="1839" t="s">
        <v>2124</v>
      </c>
      <c r="E1058" s="1840">
        <v>45524</v>
      </c>
      <c r="F1058" s="1840"/>
      <c r="G1058" s="1839" t="s">
        <v>500</v>
      </c>
      <c r="H1058" s="1839" t="s">
        <v>1093</v>
      </c>
      <c r="I1058" s="1831" t="s">
        <v>1066</v>
      </c>
      <c r="J1058" s="1831"/>
    </row>
    <row r="1059" spans="1:10" ht="15" hidden="1" x14ac:dyDescent="0.35">
      <c r="A1059" s="8" t="s">
        <v>2125</v>
      </c>
      <c r="B1059" t="s">
        <v>2126</v>
      </c>
      <c r="C1059" t="s">
        <v>420</v>
      </c>
      <c r="D1059" t="s">
        <v>2127</v>
      </c>
      <c r="E1059" s="9">
        <v>45573</v>
      </c>
      <c r="F1059" s="9">
        <v>46083</v>
      </c>
      <c r="G1059" t="s">
        <v>494</v>
      </c>
      <c r="H1059" t="s">
        <v>1078</v>
      </c>
      <c r="I1059" t="s">
        <v>1061</v>
      </c>
      <c r="J1059"/>
    </row>
    <row r="1060" spans="1:10" ht="15" hidden="1" x14ac:dyDescent="0.35">
      <c r="A1060" s="8" t="s">
        <v>2128</v>
      </c>
      <c r="B1060" t="s">
        <v>2129</v>
      </c>
      <c r="C1060" t="s">
        <v>410</v>
      </c>
      <c r="D1060" t="s">
        <v>2130</v>
      </c>
      <c r="E1060" s="9">
        <v>45933</v>
      </c>
      <c r="F1060" s="9">
        <v>46055</v>
      </c>
      <c r="G1060" t="s">
        <v>494</v>
      </c>
      <c r="H1060" t="s">
        <v>1060</v>
      </c>
      <c r="I1060" t="s">
        <v>1061</v>
      </c>
      <c r="J1060"/>
    </row>
    <row r="1061" spans="1:10" ht="15" hidden="1" x14ac:dyDescent="0.35">
      <c r="A1061" s="1831" t="s">
        <v>2131</v>
      </c>
      <c r="B1061" s="1839" t="s">
        <v>2132</v>
      </c>
      <c r="C1061" s="1839" t="s">
        <v>872</v>
      </c>
      <c r="D1061" s="1839" t="s">
        <v>2133</v>
      </c>
      <c r="E1061" s="1840">
        <v>45730</v>
      </c>
      <c r="F1061" s="1840"/>
      <c r="G1061" s="1839" t="s">
        <v>500</v>
      </c>
      <c r="H1061" s="1839" t="s">
        <v>1065</v>
      </c>
      <c r="I1061" s="1831" t="s">
        <v>1066</v>
      </c>
      <c r="J1061" s="1831"/>
    </row>
    <row r="1062" spans="1:10" ht="15" hidden="1" x14ac:dyDescent="0.35">
      <c r="A1062" s="1831" t="s">
        <v>2134</v>
      </c>
      <c r="B1062" s="1839" t="s">
        <v>2135</v>
      </c>
      <c r="C1062" s="1839" t="s">
        <v>429</v>
      </c>
      <c r="D1062" s="1839" t="s">
        <v>2136</v>
      </c>
      <c r="E1062" s="1840">
        <v>45810</v>
      </c>
      <c r="F1062" s="1840"/>
      <c r="G1062" s="1839" t="s">
        <v>500</v>
      </c>
      <c r="H1062" s="1839" t="s">
        <v>1093</v>
      </c>
      <c r="I1062" s="1831" t="s">
        <v>1066</v>
      </c>
      <c r="J1062" s="1831"/>
    </row>
    <row r="1063" spans="1:10" ht="15" hidden="1" x14ac:dyDescent="0.35">
      <c r="A1063" s="1831" t="s">
        <v>2137</v>
      </c>
      <c r="B1063" s="1839" t="s">
        <v>2138</v>
      </c>
      <c r="C1063" s="1839" t="s">
        <v>420</v>
      </c>
      <c r="D1063" s="1839" t="s">
        <v>2139</v>
      </c>
      <c r="E1063" s="1840">
        <v>45566</v>
      </c>
      <c r="F1063" s="1840"/>
      <c r="G1063" s="1839" t="s">
        <v>500</v>
      </c>
      <c r="H1063" s="1839" t="s">
        <v>1093</v>
      </c>
      <c r="I1063" s="1831" t="s">
        <v>1066</v>
      </c>
      <c r="J1063" s="1831"/>
    </row>
    <row r="1064" spans="1:10" ht="15" hidden="1" x14ac:dyDescent="0.35">
      <c r="A1064" s="1831" t="s">
        <v>2140</v>
      </c>
      <c r="B1064" s="1839" t="s">
        <v>2141</v>
      </c>
      <c r="C1064" s="1839" t="s">
        <v>411</v>
      </c>
      <c r="D1064" s="1839" t="s">
        <v>2142</v>
      </c>
      <c r="E1064" s="1840">
        <v>45541</v>
      </c>
      <c r="F1064" s="1840"/>
      <c r="G1064" s="1839" t="s">
        <v>1118</v>
      </c>
      <c r="H1064" s="1839" t="s">
        <v>1065</v>
      </c>
      <c r="I1064" s="1831" t="s">
        <v>1066</v>
      </c>
      <c r="J1064" s="1831"/>
    </row>
    <row r="1065" spans="1:10" ht="15" hidden="1" x14ac:dyDescent="0.35">
      <c r="A1065" s="8" t="s">
        <v>2143</v>
      </c>
      <c r="B1065" t="s">
        <v>2144</v>
      </c>
      <c r="C1065" t="s">
        <v>437</v>
      </c>
      <c r="D1065" t="s">
        <v>2145</v>
      </c>
      <c r="E1065" s="9">
        <v>45702</v>
      </c>
      <c r="F1065" s="9">
        <v>45848</v>
      </c>
      <c r="G1065" t="s">
        <v>494</v>
      </c>
      <c r="H1065" t="s">
        <v>1060</v>
      </c>
      <c r="I1065" t="s">
        <v>1061</v>
      </c>
      <c r="J1065"/>
    </row>
    <row r="1066" spans="1:10" ht="15" hidden="1" x14ac:dyDescent="0.35">
      <c r="A1066" s="1831" t="s">
        <v>2146</v>
      </c>
      <c r="B1066" s="1839" t="s">
        <v>2147</v>
      </c>
      <c r="C1066" s="1839" t="s">
        <v>438</v>
      </c>
      <c r="D1066" s="1839" t="s">
        <v>2148</v>
      </c>
      <c r="E1066" s="1840">
        <v>44768</v>
      </c>
      <c r="F1066" s="1840"/>
      <c r="G1066" s="1839" t="s">
        <v>525</v>
      </c>
      <c r="H1066" s="1839" t="s">
        <v>1060</v>
      </c>
      <c r="I1066" s="1831" t="s">
        <v>1061</v>
      </c>
      <c r="J1066" s="1831"/>
    </row>
    <row r="1067" spans="1:10" ht="15" hidden="1" x14ac:dyDescent="0.35">
      <c r="A1067" s="1831" t="s">
        <v>2149</v>
      </c>
      <c r="B1067" s="1839" t="s">
        <v>2150</v>
      </c>
      <c r="C1067" s="1839" t="s">
        <v>1125</v>
      </c>
      <c r="D1067" s="1839" t="s">
        <v>2151</v>
      </c>
      <c r="E1067" s="1840">
        <v>45064</v>
      </c>
      <c r="F1067" s="1840"/>
      <c r="G1067" s="1839" t="s">
        <v>500</v>
      </c>
      <c r="H1067" s="1839" t="s">
        <v>1060</v>
      </c>
      <c r="I1067" s="1831" t="s">
        <v>1061</v>
      </c>
      <c r="J1067" s="1831"/>
    </row>
    <row r="1068" spans="1:10" ht="15" hidden="1" x14ac:dyDescent="0.35">
      <c r="A1068" s="1831" t="s">
        <v>2152</v>
      </c>
      <c r="B1068" s="1839" t="s">
        <v>2153</v>
      </c>
      <c r="C1068" s="1839" t="s">
        <v>436</v>
      </c>
      <c r="D1068" s="1839" t="s">
        <v>2154</v>
      </c>
      <c r="E1068" s="1840">
        <v>45432</v>
      </c>
      <c r="F1068" s="1840"/>
      <c r="G1068" s="1839" t="s">
        <v>500</v>
      </c>
      <c r="H1068" s="1839" t="s">
        <v>1093</v>
      </c>
      <c r="I1068" s="1831" t="s">
        <v>1066</v>
      </c>
      <c r="J1068" s="1831"/>
    </row>
    <row r="1069" spans="1:10" ht="15" hidden="1" x14ac:dyDescent="0.35">
      <c r="A1069" s="8" t="s">
        <v>2155</v>
      </c>
      <c r="B1069" t="s">
        <v>2156</v>
      </c>
      <c r="C1069" t="s">
        <v>420</v>
      </c>
      <c r="D1069" t="s">
        <v>2157</v>
      </c>
      <c r="E1069" s="9">
        <v>45722</v>
      </c>
      <c r="F1069" s="9">
        <v>46083</v>
      </c>
      <c r="G1069" t="s">
        <v>494</v>
      </c>
      <c r="H1069" t="s">
        <v>1093</v>
      </c>
      <c r="I1069" t="s">
        <v>1066</v>
      </c>
      <c r="J1069"/>
    </row>
    <row r="1070" spans="1:10" ht="15" hidden="1" x14ac:dyDescent="0.35">
      <c r="A1070" s="1831" t="s">
        <v>2158</v>
      </c>
      <c r="B1070" s="1839" t="s">
        <v>2159</v>
      </c>
      <c r="C1070" s="1839" t="s">
        <v>1144</v>
      </c>
      <c r="D1070" s="1839" t="s">
        <v>2160</v>
      </c>
      <c r="E1070" s="1840">
        <v>45385</v>
      </c>
      <c r="F1070" s="1840"/>
      <c r="G1070" s="1839" t="s">
        <v>500</v>
      </c>
      <c r="H1070" s="1839" t="s">
        <v>1065</v>
      </c>
      <c r="I1070" s="1831" t="s">
        <v>1066</v>
      </c>
      <c r="J1070" s="1831"/>
    </row>
    <row r="1071" spans="1:10" ht="15" hidden="1" x14ac:dyDescent="0.35">
      <c r="A1071" s="8" t="s">
        <v>2161</v>
      </c>
      <c r="B1071" t="s">
        <v>2162</v>
      </c>
      <c r="C1071" t="s">
        <v>439</v>
      </c>
      <c r="D1071" t="s">
        <v>2163</v>
      </c>
      <c r="E1071" s="9">
        <v>45642</v>
      </c>
      <c r="F1071" s="9">
        <v>45855</v>
      </c>
      <c r="G1071" t="s">
        <v>494</v>
      </c>
      <c r="H1071" t="s">
        <v>1065</v>
      </c>
      <c r="I1071" t="s">
        <v>1066</v>
      </c>
      <c r="J1071"/>
    </row>
    <row r="1072" spans="1:10" ht="15" hidden="1" x14ac:dyDescent="0.35">
      <c r="A1072" s="8" t="s">
        <v>2164</v>
      </c>
      <c r="B1072" t="s">
        <v>2165</v>
      </c>
      <c r="C1072" t="s">
        <v>410</v>
      </c>
      <c r="D1072" t="s">
        <v>2166</v>
      </c>
      <c r="E1072" s="9">
        <v>45708</v>
      </c>
      <c r="F1072" s="9">
        <v>46120</v>
      </c>
      <c r="G1072" t="s">
        <v>494</v>
      </c>
      <c r="H1072" t="s">
        <v>1065</v>
      </c>
      <c r="I1072" t="s">
        <v>1066</v>
      </c>
      <c r="J1072"/>
    </row>
    <row r="1073" spans="1:10" ht="15" hidden="1" x14ac:dyDescent="0.35">
      <c r="A1073" s="1831" t="s">
        <v>2167</v>
      </c>
      <c r="B1073" s="1839" t="s">
        <v>2168</v>
      </c>
      <c r="C1073" s="1839" t="s">
        <v>763</v>
      </c>
      <c r="D1073" s="1839" t="s">
        <v>2169</v>
      </c>
      <c r="E1073" s="1840">
        <v>45244</v>
      </c>
      <c r="F1073" s="1840"/>
      <c r="G1073" s="1839" t="s">
        <v>500</v>
      </c>
      <c r="H1073" s="1839" t="s">
        <v>1065</v>
      </c>
      <c r="I1073" s="1831" t="s">
        <v>1066</v>
      </c>
      <c r="J1073" s="1831"/>
    </row>
    <row r="1074" spans="1:10" ht="15" hidden="1" x14ac:dyDescent="0.35">
      <c r="A1074" s="1831" t="s">
        <v>2170</v>
      </c>
      <c r="B1074" s="1839" t="s">
        <v>2171</v>
      </c>
      <c r="C1074" s="1839" t="s">
        <v>438</v>
      </c>
      <c r="D1074" s="1839" t="s">
        <v>2172</v>
      </c>
      <c r="E1074" s="1840">
        <v>44963</v>
      </c>
      <c r="F1074" s="1840"/>
      <c r="G1074" s="1839" t="s">
        <v>500</v>
      </c>
      <c r="H1074" s="1839" t="s">
        <v>1065</v>
      </c>
      <c r="I1074" s="1831" t="s">
        <v>1066</v>
      </c>
      <c r="J1074" s="1831"/>
    </row>
    <row r="1075" spans="1:10" ht="15" x14ac:dyDescent="0.35">
      <c r="A1075" s="1831" t="s">
        <v>2173</v>
      </c>
      <c r="B1075" s="1839" t="s">
        <v>2174</v>
      </c>
      <c r="C1075" s="1839" t="s">
        <v>433</v>
      </c>
      <c r="D1075" s="1839" t="s">
        <v>2175</v>
      </c>
      <c r="E1075" s="1840">
        <v>46000</v>
      </c>
      <c r="F1075" s="1840"/>
      <c r="G1075" s="1839" t="s">
        <v>500</v>
      </c>
      <c r="H1075" s="1839" t="s">
        <v>1078</v>
      </c>
      <c r="I1075" s="1831" t="s">
        <v>1061</v>
      </c>
      <c r="J1075" s="1831"/>
    </row>
    <row r="1076" spans="1:10" ht="15" hidden="1" x14ac:dyDescent="0.35">
      <c r="A1076" s="1831" t="s">
        <v>2176</v>
      </c>
      <c r="B1076" s="1839" t="s">
        <v>2177</v>
      </c>
      <c r="C1076" s="1839" t="s">
        <v>1084</v>
      </c>
      <c r="D1076" s="1839" t="s">
        <v>2178</v>
      </c>
      <c r="E1076" s="1840">
        <v>45722</v>
      </c>
      <c r="F1076" s="1840"/>
      <c r="G1076" s="1839" t="s">
        <v>500</v>
      </c>
      <c r="H1076" s="1839" t="s">
        <v>1060</v>
      </c>
      <c r="I1076" s="1831" t="s">
        <v>1061</v>
      </c>
      <c r="J1076" s="1831"/>
    </row>
    <row r="1077" spans="1:10" ht="15" hidden="1" x14ac:dyDescent="0.35">
      <c r="A1077" s="8" t="s">
        <v>2179</v>
      </c>
      <c r="B1077" t="s">
        <v>2180</v>
      </c>
      <c r="C1077" t="s">
        <v>867</v>
      </c>
      <c r="D1077" t="s">
        <v>2181</v>
      </c>
      <c r="E1077" s="9">
        <v>45713</v>
      </c>
      <c r="F1077" s="9">
        <v>45847</v>
      </c>
      <c r="G1077" t="s">
        <v>494</v>
      </c>
      <c r="H1077" t="s">
        <v>1060</v>
      </c>
      <c r="I1077" t="s">
        <v>1061</v>
      </c>
      <c r="J1077"/>
    </row>
    <row r="1078" spans="1:10" ht="15" hidden="1" x14ac:dyDescent="0.35">
      <c r="A1078" s="1831" t="s">
        <v>2182</v>
      </c>
      <c r="B1078" s="1839" t="s">
        <v>2183</v>
      </c>
      <c r="C1078" s="1839" t="s">
        <v>1088</v>
      </c>
      <c r="D1078" s="1839" t="s">
        <v>2184</v>
      </c>
      <c r="E1078" s="1840">
        <v>45881</v>
      </c>
      <c r="F1078" s="1840"/>
      <c r="G1078" s="1839" t="s">
        <v>500</v>
      </c>
      <c r="H1078" s="1839" t="s">
        <v>1060</v>
      </c>
      <c r="I1078" s="1831" t="s">
        <v>1061</v>
      </c>
      <c r="J1078" s="1831"/>
    </row>
    <row r="1079" spans="1:10" ht="15" hidden="1" x14ac:dyDescent="0.35">
      <c r="A1079" s="1831" t="s">
        <v>2185</v>
      </c>
      <c r="B1079" s="1839" t="s">
        <v>2186</v>
      </c>
      <c r="C1079" s="1839" t="s">
        <v>420</v>
      </c>
      <c r="D1079" s="1839" t="s">
        <v>2187</v>
      </c>
      <c r="E1079" s="1840">
        <v>45701</v>
      </c>
      <c r="F1079" s="1840"/>
      <c r="G1079" s="1839" t="s">
        <v>525</v>
      </c>
      <c r="H1079" s="1839" t="s">
        <v>1078</v>
      </c>
      <c r="I1079" s="1831" t="s">
        <v>1061</v>
      </c>
      <c r="J1079" s="1831"/>
    </row>
    <row r="1080" spans="1:10" ht="15" hidden="1" x14ac:dyDescent="0.35">
      <c r="A1080" s="1831" t="s">
        <v>2188</v>
      </c>
      <c r="B1080" s="1839" t="s">
        <v>2189</v>
      </c>
      <c r="C1080" s="1839" t="s">
        <v>410</v>
      </c>
      <c r="D1080" s="1839" t="s">
        <v>2190</v>
      </c>
      <c r="E1080" s="1840">
        <v>45713</v>
      </c>
      <c r="F1080" s="1840"/>
      <c r="G1080" s="1839" t="s">
        <v>500</v>
      </c>
      <c r="H1080" s="1839" t="s">
        <v>1060</v>
      </c>
      <c r="I1080" s="1831" t="s">
        <v>1061</v>
      </c>
      <c r="J1080" s="1831"/>
    </row>
    <row r="1081" spans="1:10" ht="15" hidden="1" x14ac:dyDescent="0.35">
      <c r="A1081" s="8" t="s">
        <v>2191</v>
      </c>
      <c r="B1081" t="s">
        <v>2192</v>
      </c>
      <c r="C1081" t="s">
        <v>1585</v>
      </c>
      <c r="D1081" t="s">
        <v>2193</v>
      </c>
      <c r="E1081" s="9">
        <v>45708</v>
      </c>
      <c r="F1081" s="9">
        <v>45756</v>
      </c>
      <c r="G1081" t="s">
        <v>494</v>
      </c>
      <c r="H1081" t="s">
        <v>1060</v>
      </c>
      <c r="I1081" t="s">
        <v>1061</v>
      </c>
      <c r="J1081"/>
    </row>
    <row r="1082" spans="1:10" ht="15" hidden="1" x14ac:dyDescent="0.35">
      <c r="A1082" s="1831" t="s">
        <v>2194</v>
      </c>
      <c r="B1082" s="1839" t="s">
        <v>2195</v>
      </c>
      <c r="C1082" s="1839" t="s">
        <v>578</v>
      </c>
      <c r="D1082" s="1839" t="s">
        <v>2196</v>
      </c>
      <c r="E1082" s="1840">
        <v>45580</v>
      </c>
      <c r="F1082" s="1840"/>
      <c r="G1082" s="1839" t="s">
        <v>500</v>
      </c>
      <c r="H1082" s="1839" t="s">
        <v>1065</v>
      </c>
      <c r="I1082" s="1831" t="s">
        <v>1066</v>
      </c>
      <c r="J1082" s="1831"/>
    </row>
    <row r="1083" spans="1:10" ht="15" hidden="1" x14ac:dyDescent="0.35">
      <c r="A1083" s="1831" t="s">
        <v>2197</v>
      </c>
      <c r="B1083" s="1839" t="s">
        <v>2198</v>
      </c>
      <c r="C1083" s="1839" t="s">
        <v>620</v>
      </c>
      <c r="D1083" s="1839" t="s">
        <v>2199</v>
      </c>
      <c r="E1083" s="1840">
        <v>45840</v>
      </c>
      <c r="F1083" s="1840"/>
      <c r="G1083" s="1839" t="s">
        <v>500</v>
      </c>
      <c r="H1083" s="1839" t="s">
        <v>1060</v>
      </c>
      <c r="I1083" s="1831" t="s">
        <v>1061</v>
      </c>
      <c r="J1083" s="1831"/>
    </row>
    <row r="1084" spans="1:10" ht="15" hidden="1" x14ac:dyDescent="0.35">
      <c r="A1084" s="1831" t="s">
        <v>2200</v>
      </c>
      <c r="B1084" s="1839" t="s">
        <v>2201</v>
      </c>
      <c r="C1084" s="1839" t="s">
        <v>420</v>
      </c>
      <c r="D1084" s="1839" t="s">
        <v>2202</v>
      </c>
      <c r="E1084" s="1840">
        <v>45701</v>
      </c>
      <c r="F1084" s="1840"/>
      <c r="G1084" s="1839" t="s">
        <v>500</v>
      </c>
      <c r="H1084" s="1839" t="s">
        <v>1078</v>
      </c>
      <c r="I1084" s="1831" t="s">
        <v>1061</v>
      </c>
      <c r="J1084" s="1831"/>
    </row>
    <row r="1085" spans="1:10" ht="15" hidden="1" x14ac:dyDescent="0.35">
      <c r="A1085" s="1831" t="s">
        <v>2203</v>
      </c>
      <c r="B1085" s="1839" t="s">
        <v>2204</v>
      </c>
      <c r="C1085" s="1839" t="s">
        <v>416</v>
      </c>
      <c r="D1085" s="1839" t="s">
        <v>2205</v>
      </c>
      <c r="E1085" s="1840">
        <v>46146</v>
      </c>
      <c r="F1085" s="1840"/>
      <c r="G1085" s="1839" t="s">
        <v>500</v>
      </c>
      <c r="H1085" s="1839" t="s">
        <v>1078</v>
      </c>
      <c r="I1085" s="1831" t="s">
        <v>1061</v>
      </c>
      <c r="J1085" s="1831"/>
    </row>
    <row r="1086" spans="1:10" ht="15" hidden="1" x14ac:dyDescent="0.35">
      <c r="A1086" s="1831" t="s">
        <v>2206</v>
      </c>
      <c r="B1086" s="1839" t="s">
        <v>2207</v>
      </c>
      <c r="C1086" s="1839" t="s">
        <v>455</v>
      </c>
      <c r="D1086" s="1839" t="s">
        <v>2208</v>
      </c>
      <c r="E1086" s="1840">
        <v>45722</v>
      </c>
      <c r="F1086" s="1840"/>
      <c r="G1086" s="1839" t="s">
        <v>500</v>
      </c>
      <c r="H1086" s="1839" t="s">
        <v>1060</v>
      </c>
      <c r="I1086" s="1831" t="s">
        <v>1061</v>
      </c>
      <c r="J1086" s="1831"/>
    </row>
    <row r="1087" spans="1:10" ht="15" hidden="1" x14ac:dyDescent="0.35">
      <c r="A1087" s="1831" t="s">
        <v>2209</v>
      </c>
      <c r="B1087" s="1839" t="s">
        <v>2210</v>
      </c>
      <c r="C1087" s="1839" t="s">
        <v>1144</v>
      </c>
      <c r="D1087" s="1839" t="s">
        <v>2211</v>
      </c>
      <c r="E1087" s="1840">
        <v>45524</v>
      </c>
      <c r="F1087" s="1840"/>
      <c r="G1087" s="1839" t="s">
        <v>500</v>
      </c>
      <c r="H1087" s="1839" t="s">
        <v>1065</v>
      </c>
      <c r="I1087" s="1831" t="s">
        <v>1066</v>
      </c>
      <c r="J1087" s="1831"/>
    </row>
    <row r="1088" spans="1:10" ht="15" hidden="1" x14ac:dyDescent="0.35">
      <c r="A1088" s="1831" t="s">
        <v>2212</v>
      </c>
      <c r="B1088" s="1839" t="s">
        <v>2213</v>
      </c>
      <c r="C1088" s="1839" t="s">
        <v>410</v>
      </c>
      <c r="D1088" s="1839" t="s">
        <v>2214</v>
      </c>
      <c r="E1088" s="1840">
        <v>45427</v>
      </c>
      <c r="F1088" s="1840"/>
      <c r="G1088" s="1839" t="s">
        <v>500</v>
      </c>
      <c r="H1088" s="1839" t="s">
        <v>1065</v>
      </c>
      <c r="I1088" s="1831" t="s">
        <v>1066</v>
      </c>
      <c r="J1088" s="1831"/>
    </row>
    <row r="1089" spans="1:10" ht="15" hidden="1" x14ac:dyDescent="0.35">
      <c r="A1089" s="8" t="s">
        <v>2215</v>
      </c>
      <c r="B1089" t="s">
        <v>2216</v>
      </c>
      <c r="C1089" t="s">
        <v>420</v>
      </c>
      <c r="D1089" t="s">
        <v>2217</v>
      </c>
      <c r="E1089" s="9">
        <v>45446</v>
      </c>
      <c r="G1089" t="s">
        <v>634</v>
      </c>
      <c r="H1089" t="s">
        <v>1078</v>
      </c>
      <c r="I1089" t="s">
        <v>1061</v>
      </c>
      <c r="J1089"/>
    </row>
    <row r="1090" spans="1:10" ht="15" hidden="1" x14ac:dyDescent="0.35">
      <c r="A1090" s="8" t="s">
        <v>2218</v>
      </c>
      <c r="B1090" t="s">
        <v>2219</v>
      </c>
      <c r="C1090" t="s">
        <v>420</v>
      </c>
      <c r="D1090" t="s">
        <v>2220</v>
      </c>
      <c r="E1090" s="9">
        <v>45670</v>
      </c>
      <c r="F1090" s="9">
        <v>45793</v>
      </c>
      <c r="G1090" t="s">
        <v>494</v>
      </c>
      <c r="H1090" t="s">
        <v>1078</v>
      </c>
      <c r="I1090" t="s">
        <v>1061</v>
      </c>
      <c r="J1090"/>
    </row>
    <row r="1091" spans="1:10" ht="15" hidden="1" x14ac:dyDescent="0.35">
      <c r="A1091" s="1831" t="s">
        <v>2221</v>
      </c>
      <c r="B1091" s="1839" t="s">
        <v>2222</v>
      </c>
      <c r="C1091" s="1839" t="s">
        <v>410</v>
      </c>
      <c r="D1091" s="1839" t="s">
        <v>2223</v>
      </c>
      <c r="E1091" s="1840">
        <v>45383</v>
      </c>
      <c r="F1091" s="1840"/>
      <c r="G1091" s="1839" t="s">
        <v>500</v>
      </c>
      <c r="H1091" s="1839" t="s">
        <v>1060</v>
      </c>
      <c r="I1091" s="1831" t="s">
        <v>1061</v>
      </c>
      <c r="J1091" s="1831"/>
    </row>
    <row r="1092" spans="1:10" ht="15" hidden="1" x14ac:dyDescent="0.35">
      <c r="A1092" s="1831" t="s">
        <v>2224</v>
      </c>
      <c r="B1092" s="1839" t="s">
        <v>2225</v>
      </c>
      <c r="C1092" s="1839" t="s">
        <v>1028</v>
      </c>
      <c r="D1092" s="1839" t="s">
        <v>2226</v>
      </c>
      <c r="E1092" s="1840">
        <v>45421</v>
      </c>
      <c r="F1092" s="1840"/>
      <c r="G1092" s="1839" t="s">
        <v>500</v>
      </c>
      <c r="H1092" s="1839" t="s">
        <v>1060</v>
      </c>
      <c r="I1092" s="1831" t="s">
        <v>1061</v>
      </c>
      <c r="J1092" s="1831"/>
    </row>
    <row r="1093" spans="1:10" ht="15" hidden="1" x14ac:dyDescent="0.35">
      <c r="A1093" s="1831" t="s">
        <v>2227</v>
      </c>
      <c r="B1093" s="1839" t="s">
        <v>2228</v>
      </c>
      <c r="C1093" s="1839" t="s">
        <v>421</v>
      </c>
      <c r="D1093" s="1839" t="s">
        <v>2229</v>
      </c>
      <c r="E1093" s="1840">
        <v>45420</v>
      </c>
      <c r="F1093" s="1840"/>
      <c r="G1093" s="1839" t="s">
        <v>500</v>
      </c>
      <c r="H1093" s="1839" t="s">
        <v>1065</v>
      </c>
      <c r="I1093" s="1831" t="s">
        <v>1066</v>
      </c>
      <c r="J1093" s="1831"/>
    </row>
    <row r="1094" spans="1:10" ht="15" hidden="1" x14ac:dyDescent="0.35">
      <c r="A1094" s="1831" t="s">
        <v>2230</v>
      </c>
      <c r="B1094" s="1839" t="s">
        <v>2231</v>
      </c>
      <c r="C1094" s="1839" t="s">
        <v>578</v>
      </c>
      <c r="D1094" s="1839" t="s">
        <v>2232</v>
      </c>
      <c r="E1094" s="1840">
        <v>45383</v>
      </c>
      <c r="F1094" s="1840"/>
      <c r="G1094" s="1839" t="s">
        <v>500</v>
      </c>
      <c r="H1094" s="1839" t="s">
        <v>1065</v>
      </c>
      <c r="I1094" s="1831" t="s">
        <v>1066</v>
      </c>
      <c r="J1094" s="1831"/>
    </row>
    <row r="1095" spans="1:10" ht="15" hidden="1" x14ac:dyDescent="0.35">
      <c r="A1095" s="8" t="s">
        <v>2233</v>
      </c>
      <c r="B1095" t="s">
        <v>2234</v>
      </c>
      <c r="C1095" t="s">
        <v>444</v>
      </c>
      <c r="D1095" t="s">
        <v>2235</v>
      </c>
      <c r="E1095" s="9">
        <v>45485</v>
      </c>
      <c r="F1095" s="9">
        <v>45870</v>
      </c>
      <c r="G1095" t="s">
        <v>494</v>
      </c>
      <c r="H1095" t="s">
        <v>1060</v>
      </c>
      <c r="I1095" t="s">
        <v>1061</v>
      </c>
      <c r="J1095"/>
    </row>
    <row r="1096" spans="1:10" ht="15" hidden="1" x14ac:dyDescent="0.35">
      <c r="A1096" s="1831" t="s">
        <v>2236</v>
      </c>
      <c r="B1096" s="1839" t="s">
        <v>2237</v>
      </c>
      <c r="C1096" s="1839" t="s">
        <v>434</v>
      </c>
      <c r="D1096" s="1839" t="s">
        <v>2238</v>
      </c>
      <c r="E1096" s="1840">
        <v>44699</v>
      </c>
      <c r="F1096" s="1840"/>
      <c r="G1096" s="1839" t="s">
        <v>500</v>
      </c>
      <c r="H1096" s="1839" t="s">
        <v>1060</v>
      </c>
      <c r="I1096" s="1831" t="s">
        <v>1061</v>
      </c>
      <c r="J1096" s="1831"/>
    </row>
    <row r="1097" spans="1:10" ht="15" hidden="1" x14ac:dyDescent="0.35">
      <c r="A1097" s="1831" t="s">
        <v>2239</v>
      </c>
      <c r="B1097" s="1839" t="s">
        <v>2240</v>
      </c>
      <c r="C1097" s="1839" t="s">
        <v>1148</v>
      </c>
      <c r="D1097" s="1839" t="s">
        <v>2241</v>
      </c>
      <c r="E1097" s="1840">
        <v>45377</v>
      </c>
      <c r="F1097" s="1840"/>
      <c r="G1097" s="1839" t="s">
        <v>500</v>
      </c>
      <c r="H1097" s="1839" t="s">
        <v>1060</v>
      </c>
      <c r="I1097" s="1831" t="s">
        <v>1061</v>
      </c>
      <c r="J1097" s="1831"/>
    </row>
    <row r="1098" spans="1:10" ht="15" hidden="1" x14ac:dyDescent="0.35">
      <c r="A1098" s="1831" t="s">
        <v>2242</v>
      </c>
      <c r="B1098" s="1839" t="s">
        <v>2243</v>
      </c>
      <c r="C1098" s="1839" t="s">
        <v>578</v>
      </c>
      <c r="D1098" s="1839" t="s">
        <v>2244</v>
      </c>
      <c r="E1098" s="1840">
        <v>44904</v>
      </c>
      <c r="F1098" s="1840"/>
      <c r="G1098" s="1839" t="s">
        <v>500</v>
      </c>
      <c r="H1098" s="1839" t="s">
        <v>1060</v>
      </c>
      <c r="I1098" s="1831" t="s">
        <v>1061</v>
      </c>
      <c r="J1098" s="1831"/>
    </row>
    <row r="1099" spans="1:10" ht="15" hidden="1" x14ac:dyDescent="0.35">
      <c r="A1099" s="8" t="s">
        <v>2245</v>
      </c>
      <c r="B1099" t="s">
        <v>2246</v>
      </c>
      <c r="C1099" t="s">
        <v>606</v>
      </c>
      <c r="D1099" t="s">
        <v>2247</v>
      </c>
      <c r="E1099" s="9">
        <v>45712</v>
      </c>
      <c r="F1099" s="9">
        <v>46056</v>
      </c>
      <c r="G1099" t="s">
        <v>494</v>
      </c>
      <c r="H1099" t="s">
        <v>1060</v>
      </c>
      <c r="I1099" t="s">
        <v>1061</v>
      </c>
      <c r="J1099"/>
    </row>
    <row r="1100" spans="1:10" ht="15" hidden="1" x14ac:dyDescent="0.35">
      <c r="A1100" s="1831" t="s">
        <v>2248</v>
      </c>
      <c r="B1100" s="1839" t="s">
        <v>2249</v>
      </c>
      <c r="C1100" s="1839" t="s">
        <v>443</v>
      </c>
      <c r="D1100" s="1839" t="s">
        <v>2250</v>
      </c>
      <c r="E1100" s="1840">
        <v>45707</v>
      </c>
      <c r="F1100" s="1840"/>
      <c r="G1100" s="1839" t="s">
        <v>500</v>
      </c>
      <c r="H1100" s="1839" t="s">
        <v>1060</v>
      </c>
      <c r="I1100" s="1831" t="s">
        <v>1061</v>
      </c>
      <c r="J1100" s="1831"/>
    </row>
    <row r="1101" spans="1:10" ht="15" hidden="1" x14ac:dyDescent="0.35">
      <c r="A1101" s="8" t="s">
        <v>2251</v>
      </c>
      <c r="B1101" t="s">
        <v>2252</v>
      </c>
      <c r="C1101" t="s">
        <v>591</v>
      </c>
      <c r="D1101" t="s">
        <v>2253</v>
      </c>
      <c r="E1101" s="9">
        <v>45840</v>
      </c>
      <c r="F1101" s="9">
        <v>46055</v>
      </c>
      <c r="G1101" t="s">
        <v>494</v>
      </c>
      <c r="H1101" t="s">
        <v>1093</v>
      </c>
      <c r="I1101" t="s">
        <v>1066</v>
      </c>
      <c r="J1101"/>
    </row>
    <row r="1102" spans="1:10" ht="15" hidden="1" x14ac:dyDescent="0.35">
      <c r="A1102" s="1831" t="s">
        <v>2254</v>
      </c>
      <c r="B1102" s="1839" t="s">
        <v>2255</v>
      </c>
      <c r="C1102" s="1839" t="s">
        <v>1088</v>
      </c>
      <c r="D1102" s="1839" t="s">
        <v>2256</v>
      </c>
      <c r="E1102" s="1840">
        <v>46101</v>
      </c>
      <c r="F1102" s="1840"/>
      <c r="G1102" s="1839" t="s">
        <v>500</v>
      </c>
      <c r="H1102" s="1839" t="s">
        <v>1065</v>
      </c>
      <c r="I1102" s="1831" t="s">
        <v>1066</v>
      </c>
      <c r="J1102" s="1831"/>
    </row>
    <row r="1103" spans="1:10" ht="15" hidden="1" x14ac:dyDescent="0.35">
      <c r="A1103" s="8" t="s">
        <v>2257</v>
      </c>
      <c r="B1103" t="s">
        <v>2258</v>
      </c>
      <c r="C1103" t="s">
        <v>1144</v>
      </c>
      <c r="D1103" t="s">
        <v>2259</v>
      </c>
      <c r="E1103" s="9">
        <v>45691</v>
      </c>
      <c r="F1103" s="9">
        <v>45853</v>
      </c>
      <c r="G1103" t="s">
        <v>494</v>
      </c>
      <c r="H1103" t="s">
        <v>1065</v>
      </c>
      <c r="I1103" t="s">
        <v>1066</v>
      </c>
      <c r="J1103"/>
    </row>
    <row r="1104" spans="1:10" ht="15" hidden="1" x14ac:dyDescent="0.35">
      <c r="A1104" s="1831" t="s">
        <v>2260</v>
      </c>
      <c r="B1104" s="1839" t="s">
        <v>2261</v>
      </c>
      <c r="C1104" s="1839" t="s">
        <v>443</v>
      </c>
      <c r="D1104" s="1839" t="s">
        <v>2262</v>
      </c>
      <c r="E1104" s="1840">
        <v>45713</v>
      </c>
      <c r="F1104" s="1840"/>
      <c r="G1104" s="1839" t="s">
        <v>500</v>
      </c>
      <c r="H1104" s="1839" t="s">
        <v>1060</v>
      </c>
      <c r="I1104" s="1831" t="s">
        <v>1061</v>
      </c>
      <c r="J1104" s="1831"/>
    </row>
    <row r="1105" spans="1:10" ht="15" hidden="1" x14ac:dyDescent="0.35">
      <c r="A1105" s="1831" t="s">
        <v>2263</v>
      </c>
      <c r="B1105" s="1839" t="s">
        <v>2264</v>
      </c>
      <c r="C1105" s="1839" t="s">
        <v>409</v>
      </c>
      <c r="D1105" s="1839" t="s">
        <v>2265</v>
      </c>
      <c r="E1105" s="1840">
        <v>45919</v>
      </c>
      <c r="F1105" s="1840"/>
      <c r="G1105" s="1839" t="s">
        <v>500</v>
      </c>
      <c r="H1105" s="1839" t="s">
        <v>1060</v>
      </c>
      <c r="I1105" s="1831" t="s">
        <v>1061</v>
      </c>
      <c r="J1105" s="1831"/>
    </row>
    <row r="1106" spans="1:10" ht="15" hidden="1" x14ac:dyDescent="0.35">
      <c r="A1106" s="8" t="s">
        <v>2266</v>
      </c>
      <c r="B1106" t="s">
        <v>2267</v>
      </c>
      <c r="C1106" t="s">
        <v>1144</v>
      </c>
      <c r="D1106" t="s">
        <v>2268</v>
      </c>
      <c r="E1106" s="9">
        <v>45702</v>
      </c>
      <c r="F1106" s="9">
        <v>45880</v>
      </c>
      <c r="G1106" t="s">
        <v>494</v>
      </c>
      <c r="H1106" t="s">
        <v>1065</v>
      </c>
      <c r="I1106" t="s">
        <v>1066</v>
      </c>
      <c r="J1106"/>
    </row>
    <row r="1107" spans="1:10" ht="15" hidden="1" x14ac:dyDescent="0.35">
      <c r="A1107" s="8" t="s">
        <v>2269</v>
      </c>
      <c r="B1107" t="s">
        <v>2270</v>
      </c>
      <c r="C1107" t="s">
        <v>1144</v>
      </c>
      <c r="D1107" t="s">
        <v>2271</v>
      </c>
      <c r="E1107" s="9">
        <v>45603</v>
      </c>
      <c r="F1107" s="9">
        <v>45849</v>
      </c>
      <c r="G1107" t="s">
        <v>494</v>
      </c>
      <c r="H1107" t="s">
        <v>1060</v>
      </c>
      <c r="I1107" t="s">
        <v>1061</v>
      </c>
      <c r="J1107"/>
    </row>
    <row r="1108" spans="1:10" ht="15" hidden="1" x14ac:dyDescent="0.35">
      <c r="A1108" s="8" t="s">
        <v>2272</v>
      </c>
      <c r="B1108" t="s">
        <v>2273</v>
      </c>
      <c r="C1108" t="s">
        <v>1088</v>
      </c>
      <c r="D1108" t="s">
        <v>2274</v>
      </c>
      <c r="E1108" s="9">
        <v>45600</v>
      </c>
      <c r="F1108" s="9">
        <v>46120</v>
      </c>
      <c r="G1108" t="s">
        <v>494</v>
      </c>
      <c r="H1108" t="s">
        <v>1065</v>
      </c>
      <c r="I1108" t="s">
        <v>1066</v>
      </c>
      <c r="J1108"/>
    </row>
    <row r="1109" spans="1:10" ht="15" hidden="1" x14ac:dyDescent="0.35">
      <c r="A1109" s="1831" t="s">
        <v>2275</v>
      </c>
      <c r="B1109" s="1839" t="s">
        <v>2276</v>
      </c>
      <c r="C1109" s="1839" t="s">
        <v>443</v>
      </c>
      <c r="D1109" s="1839" t="s">
        <v>2277</v>
      </c>
      <c r="E1109" s="1840">
        <v>45707</v>
      </c>
      <c r="F1109" s="1840"/>
      <c r="G1109" s="1839" t="s">
        <v>500</v>
      </c>
      <c r="H1109" s="1839" t="s">
        <v>1060</v>
      </c>
      <c r="I1109" s="1831" t="s">
        <v>1061</v>
      </c>
      <c r="J1109" s="1831"/>
    </row>
    <row r="1110" spans="1:10" ht="15" hidden="1" x14ac:dyDescent="0.35">
      <c r="A1110" s="8" t="s">
        <v>2278</v>
      </c>
      <c r="B1110" t="s">
        <v>2279</v>
      </c>
      <c r="C1110" t="s">
        <v>1144</v>
      </c>
      <c r="D1110" t="s">
        <v>2280</v>
      </c>
      <c r="E1110" s="9">
        <v>45737</v>
      </c>
      <c r="F1110" s="9">
        <v>45841</v>
      </c>
      <c r="G1110" t="s">
        <v>494</v>
      </c>
      <c r="H1110" t="s">
        <v>1065</v>
      </c>
      <c r="I1110" t="s">
        <v>1066</v>
      </c>
      <c r="J1110"/>
    </row>
    <row r="1111" spans="1:10" ht="15" hidden="1" x14ac:dyDescent="0.35">
      <c r="A1111" s="1831" t="s">
        <v>2281</v>
      </c>
      <c r="B1111" s="1839" t="s">
        <v>2282</v>
      </c>
      <c r="C1111" s="1839" t="s">
        <v>432</v>
      </c>
      <c r="D1111" s="1839" t="s">
        <v>2283</v>
      </c>
      <c r="E1111" s="1840">
        <v>45702</v>
      </c>
      <c r="F1111" s="1840"/>
      <c r="G1111" s="1839" t="s">
        <v>500</v>
      </c>
      <c r="H1111" s="1839" t="s">
        <v>1065</v>
      </c>
      <c r="I1111" s="1831" t="s">
        <v>1066</v>
      </c>
      <c r="J1111" s="1831"/>
    </row>
    <row r="1112" spans="1:10" ht="15" hidden="1" x14ac:dyDescent="0.35">
      <c r="A1112" s="8" t="s">
        <v>2284</v>
      </c>
      <c r="B1112" t="s">
        <v>2285</v>
      </c>
      <c r="C1112" t="s">
        <v>2008</v>
      </c>
      <c r="D1112" t="s">
        <v>2286</v>
      </c>
      <c r="E1112" s="9">
        <v>45387</v>
      </c>
      <c r="F1112" s="9">
        <v>46031</v>
      </c>
      <c r="G1112" t="s">
        <v>494</v>
      </c>
      <c r="H1112" t="s">
        <v>1065</v>
      </c>
      <c r="I1112" t="s">
        <v>1066</v>
      </c>
      <c r="J1112"/>
    </row>
    <row r="1113" spans="1:10" ht="15" x14ac:dyDescent="0.35">
      <c r="A1113" s="1831" t="s">
        <v>2287</v>
      </c>
      <c r="B1113" s="1839" t="s">
        <v>2288</v>
      </c>
      <c r="C1113" s="1839" t="s">
        <v>436</v>
      </c>
      <c r="D1113" s="1839" t="s">
        <v>2289</v>
      </c>
      <c r="E1113" s="1840">
        <v>45419</v>
      </c>
      <c r="F1113" s="1840"/>
      <c r="G1113" s="1839" t="s">
        <v>500</v>
      </c>
      <c r="H1113" s="1839" t="s">
        <v>1093</v>
      </c>
      <c r="I1113" s="1831" t="s">
        <v>1066</v>
      </c>
      <c r="J1113" s="1831"/>
    </row>
    <row r="1114" spans="1:10" ht="15" hidden="1" x14ac:dyDescent="0.35">
      <c r="A1114" s="8" t="s">
        <v>2290</v>
      </c>
      <c r="B1114" t="s">
        <v>2291</v>
      </c>
      <c r="C1114" t="s">
        <v>2292</v>
      </c>
      <c r="D1114" t="s">
        <v>2293</v>
      </c>
      <c r="E1114" s="9">
        <v>45376</v>
      </c>
      <c r="F1114" s="9">
        <v>45951</v>
      </c>
      <c r="G1114" t="s">
        <v>494</v>
      </c>
      <c r="H1114" t="s">
        <v>1078</v>
      </c>
      <c r="I1114" t="s">
        <v>1061</v>
      </c>
      <c r="J1114"/>
    </row>
    <row r="1115" spans="1:10" ht="15" hidden="1" x14ac:dyDescent="0.35">
      <c r="A1115" s="1831" t="s">
        <v>2294</v>
      </c>
      <c r="B1115" s="1839" t="s">
        <v>2295</v>
      </c>
      <c r="C1115" s="1839" t="s">
        <v>420</v>
      </c>
      <c r="D1115" s="1839" t="s">
        <v>2296</v>
      </c>
      <c r="E1115" s="1840">
        <v>45785</v>
      </c>
      <c r="F1115" s="1840"/>
      <c r="G1115" s="1839" t="s">
        <v>500</v>
      </c>
      <c r="H1115" s="1839" t="s">
        <v>1093</v>
      </c>
      <c r="I1115" s="1831" t="s">
        <v>1066</v>
      </c>
      <c r="J1115" s="1831"/>
    </row>
    <row r="1116" spans="1:10" ht="15" hidden="1" x14ac:dyDescent="0.35">
      <c r="A1116" s="1831" t="s">
        <v>2297</v>
      </c>
      <c r="B1116" s="1839" t="s">
        <v>2298</v>
      </c>
      <c r="C1116" s="1839" t="s">
        <v>420</v>
      </c>
      <c r="D1116" s="1839" t="s">
        <v>2299</v>
      </c>
      <c r="E1116" s="1840">
        <v>45692</v>
      </c>
      <c r="F1116" s="1840"/>
      <c r="G1116" s="1839" t="s">
        <v>500</v>
      </c>
      <c r="H1116" s="1839" t="s">
        <v>1078</v>
      </c>
      <c r="I1116" s="1831" t="s">
        <v>1061</v>
      </c>
      <c r="J1116" s="1831"/>
    </row>
    <row r="1117" spans="1:10" ht="15" hidden="1" x14ac:dyDescent="0.35">
      <c r="A1117" s="1831" t="s">
        <v>2300</v>
      </c>
      <c r="B1117" s="1839" t="s">
        <v>2301</v>
      </c>
      <c r="C1117" s="1839" t="s">
        <v>1144</v>
      </c>
      <c r="D1117" s="1839" t="s">
        <v>2302</v>
      </c>
      <c r="E1117" s="1840">
        <v>45691</v>
      </c>
      <c r="F1117" s="1840"/>
      <c r="G1117" s="1839" t="s">
        <v>500</v>
      </c>
      <c r="H1117" s="1839" t="s">
        <v>1065</v>
      </c>
      <c r="I1117" s="1831" t="s">
        <v>1066</v>
      </c>
      <c r="J1117" s="1831"/>
    </row>
    <row r="1118" spans="1:10" ht="15" hidden="1" x14ac:dyDescent="0.35">
      <c r="A1118" s="1831" t="s">
        <v>2303</v>
      </c>
      <c r="B1118" s="1839" t="s">
        <v>2304</v>
      </c>
      <c r="C1118" s="1839" t="s">
        <v>410</v>
      </c>
      <c r="D1118" s="1839" t="s">
        <v>2305</v>
      </c>
      <c r="E1118" s="1840">
        <v>45420</v>
      </c>
      <c r="F1118" s="1840"/>
      <c r="G1118" s="1839" t="s">
        <v>500</v>
      </c>
      <c r="H1118" s="1839" t="s">
        <v>1065</v>
      </c>
      <c r="I1118" s="1831" t="s">
        <v>1066</v>
      </c>
      <c r="J1118" s="1831"/>
    </row>
    <row r="1119" spans="1:10" ht="15" hidden="1" x14ac:dyDescent="0.35">
      <c r="A1119" s="1831" t="s">
        <v>2306</v>
      </c>
      <c r="B1119" s="1839" t="s">
        <v>2307</v>
      </c>
      <c r="C1119" s="1839" t="s">
        <v>420</v>
      </c>
      <c r="D1119" s="1839" t="s">
        <v>2308</v>
      </c>
      <c r="E1119" s="1840">
        <v>45419</v>
      </c>
      <c r="F1119" s="1840"/>
      <c r="G1119" s="1839" t="s">
        <v>500</v>
      </c>
      <c r="H1119" s="1839" t="s">
        <v>1093</v>
      </c>
      <c r="I1119" s="1831" t="s">
        <v>1066</v>
      </c>
      <c r="J1119" s="1831"/>
    </row>
    <row r="1120" spans="1:10" ht="15" hidden="1" x14ac:dyDescent="0.35">
      <c r="A1120" s="1831" t="s">
        <v>2309</v>
      </c>
      <c r="B1120" s="1839" t="s">
        <v>2310</v>
      </c>
      <c r="C1120" s="1839" t="s">
        <v>763</v>
      </c>
      <c r="D1120" s="1839" t="s">
        <v>2311</v>
      </c>
      <c r="E1120" s="1840">
        <v>44958</v>
      </c>
      <c r="F1120" s="1840"/>
      <c r="G1120" s="1839" t="s">
        <v>500</v>
      </c>
      <c r="H1120" s="1839" t="s">
        <v>1060</v>
      </c>
      <c r="I1120" s="1831" t="s">
        <v>1061</v>
      </c>
      <c r="J1120" s="1831"/>
    </row>
    <row r="1121" spans="1:10" ht="15" hidden="1" x14ac:dyDescent="0.35">
      <c r="A1121" s="1831" t="s">
        <v>2312</v>
      </c>
      <c r="B1121" s="1839" t="s">
        <v>2313</v>
      </c>
      <c r="C1121" s="1839" t="s">
        <v>1144</v>
      </c>
      <c r="D1121" s="1839" t="s">
        <v>2314</v>
      </c>
      <c r="E1121" s="1840">
        <v>46027</v>
      </c>
      <c r="F1121" s="1840"/>
      <c r="G1121" s="1839" t="s">
        <v>500</v>
      </c>
      <c r="H1121" s="1839" t="s">
        <v>1065</v>
      </c>
      <c r="I1121" s="1831" t="s">
        <v>1066</v>
      </c>
      <c r="J1121" s="1831"/>
    </row>
    <row r="1122" spans="1:10" ht="15" hidden="1" x14ac:dyDescent="0.35">
      <c r="A1122" s="1831" t="s">
        <v>2315</v>
      </c>
      <c r="B1122" s="1839" t="s">
        <v>2316</v>
      </c>
      <c r="C1122" s="1839" t="s">
        <v>1263</v>
      </c>
      <c r="D1122" s="1839" t="s">
        <v>2317</v>
      </c>
      <c r="E1122" s="1840">
        <v>45376</v>
      </c>
      <c r="F1122" s="1840"/>
      <c r="G1122" s="1839" t="s">
        <v>500</v>
      </c>
      <c r="H1122" s="1839" t="s">
        <v>1078</v>
      </c>
      <c r="I1122" s="1831" t="s">
        <v>1061</v>
      </c>
      <c r="J1122" s="1831"/>
    </row>
    <row r="1123" spans="1:10" ht="15" hidden="1" x14ac:dyDescent="0.35">
      <c r="A1123" s="1831" t="s">
        <v>2318</v>
      </c>
      <c r="B1123" s="1839" t="s">
        <v>2319</v>
      </c>
      <c r="C1123" s="1839" t="s">
        <v>420</v>
      </c>
      <c r="D1123" s="1839" t="s">
        <v>2320</v>
      </c>
      <c r="E1123" s="1840">
        <v>45419</v>
      </c>
      <c r="F1123" s="1840"/>
      <c r="G1123" s="1839" t="s">
        <v>500</v>
      </c>
      <c r="H1123" s="1839" t="s">
        <v>1093</v>
      </c>
      <c r="I1123" s="1831" t="s">
        <v>1066</v>
      </c>
      <c r="J1123" s="1831"/>
    </row>
    <row r="1124" spans="1:10" ht="15" hidden="1" x14ac:dyDescent="0.35">
      <c r="A1124" s="8" t="s">
        <v>2321</v>
      </c>
      <c r="B1124" t="s">
        <v>2322</v>
      </c>
      <c r="C1124" t="s">
        <v>420</v>
      </c>
      <c r="D1124" t="s">
        <v>2323</v>
      </c>
      <c r="E1124" s="9">
        <v>45419</v>
      </c>
      <c r="F1124" s="9">
        <v>45814</v>
      </c>
      <c r="G1124" t="s">
        <v>494</v>
      </c>
      <c r="H1124" t="s">
        <v>1093</v>
      </c>
      <c r="I1124" t="s">
        <v>1066</v>
      </c>
      <c r="J1124"/>
    </row>
    <row r="1125" spans="1:10" ht="15" hidden="1" x14ac:dyDescent="0.35">
      <c r="A1125" s="8" t="s">
        <v>2324</v>
      </c>
      <c r="B1125" t="s">
        <v>2325</v>
      </c>
      <c r="C1125" t="s">
        <v>416</v>
      </c>
      <c r="D1125" t="s">
        <v>2326</v>
      </c>
      <c r="E1125" s="9">
        <v>45721</v>
      </c>
      <c r="F1125" s="9">
        <v>45792</v>
      </c>
      <c r="G1125" t="s">
        <v>494</v>
      </c>
      <c r="H1125" t="s">
        <v>1078</v>
      </c>
      <c r="I1125" t="s">
        <v>1061</v>
      </c>
      <c r="J1125"/>
    </row>
    <row r="1126" spans="1:10" ht="15" hidden="1" x14ac:dyDescent="0.35">
      <c r="A1126" s="8" t="s">
        <v>2327</v>
      </c>
      <c r="B1126" t="s">
        <v>2328</v>
      </c>
      <c r="C1126" t="s">
        <v>443</v>
      </c>
      <c r="D1126" t="s">
        <v>2329</v>
      </c>
      <c r="E1126" s="9">
        <v>45873</v>
      </c>
      <c r="F1126" s="9">
        <v>45996</v>
      </c>
      <c r="G1126" t="s">
        <v>494</v>
      </c>
      <c r="H1126" t="s">
        <v>1060</v>
      </c>
      <c r="I1126" t="s">
        <v>1061</v>
      </c>
      <c r="J1126"/>
    </row>
    <row r="1127" spans="1:10" ht="15" hidden="1" x14ac:dyDescent="0.35">
      <c r="A1127" s="8" t="s">
        <v>2330</v>
      </c>
      <c r="B1127" t="s">
        <v>2331</v>
      </c>
      <c r="C1127" t="s">
        <v>440</v>
      </c>
      <c r="D1127" t="s">
        <v>2332</v>
      </c>
      <c r="E1127" s="9">
        <v>45426</v>
      </c>
      <c r="G1127" t="s">
        <v>665</v>
      </c>
      <c r="H1127" t="s">
        <v>1065</v>
      </c>
      <c r="I1127" t="s">
        <v>1066</v>
      </c>
      <c r="J1127"/>
    </row>
    <row r="1128" spans="1:10" ht="15" hidden="1" x14ac:dyDescent="0.35">
      <c r="A1128" s="1831" t="s">
        <v>2333</v>
      </c>
      <c r="B1128" s="1839" t="s">
        <v>2334</v>
      </c>
      <c r="C1128" s="1839" t="s">
        <v>421</v>
      </c>
      <c r="D1128" s="1839" t="s">
        <v>2335</v>
      </c>
      <c r="E1128" s="1840">
        <v>45383</v>
      </c>
      <c r="F1128" s="1840"/>
      <c r="G1128" s="1839" t="s">
        <v>500</v>
      </c>
      <c r="H1128" s="1839" t="s">
        <v>1060</v>
      </c>
      <c r="I1128" s="1831" t="s">
        <v>1061</v>
      </c>
      <c r="J1128" s="1831"/>
    </row>
    <row r="1129" spans="1:10" ht="15" hidden="1" x14ac:dyDescent="0.35">
      <c r="A1129" s="1831" t="s">
        <v>2336</v>
      </c>
      <c r="B1129" s="1839" t="s">
        <v>2337</v>
      </c>
      <c r="C1129" s="1839" t="s">
        <v>420</v>
      </c>
      <c r="D1129" s="1839" t="s">
        <v>2338</v>
      </c>
      <c r="E1129" s="1840">
        <v>46150</v>
      </c>
      <c r="F1129" s="1840"/>
      <c r="G1129" s="1839" t="s">
        <v>500</v>
      </c>
      <c r="H1129" s="1839" t="s">
        <v>1093</v>
      </c>
      <c r="I1129" s="1831" t="s">
        <v>1066</v>
      </c>
      <c r="J1129" s="1831"/>
    </row>
    <row r="1130" spans="1:10" ht="15" hidden="1" x14ac:dyDescent="0.35">
      <c r="A1130" s="1831" t="s">
        <v>2339</v>
      </c>
      <c r="B1130" s="1839" t="s">
        <v>2340</v>
      </c>
      <c r="C1130" s="1839" t="s">
        <v>578</v>
      </c>
      <c r="D1130" s="1839" t="s">
        <v>2341</v>
      </c>
      <c r="E1130" s="1840">
        <v>44186</v>
      </c>
      <c r="F1130" s="1840"/>
      <c r="G1130" s="1839" t="s">
        <v>500</v>
      </c>
      <c r="H1130" s="1839" t="s">
        <v>1060</v>
      </c>
      <c r="I1130" s="1831" t="s">
        <v>1061</v>
      </c>
      <c r="J1130" s="1831"/>
    </row>
    <row r="1131" spans="1:10" ht="15" hidden="1" x14ac:dyDescent="0.35">
      <c r="A1131" s="8" t="s">
        <v>2342</v>
      </c>
      <c r="B1131" t="s">
        <v>2343</v>
      </c>
      <c r="C1131" t="s">
        <v>421</v>
      </c>
      <c r="D1131" t="s">
        <v>2344</v>
      </c>
      <c r="E1131" s="9">
        <v>45463</v>
      </c>
      <c r="G1131" t="s">
        <v>634</v>
      </c>
      <c r="H1131" t="s">
        <v>1065</v>
      </c>
      <c r="I1131" t="s">
        <v>1066</v>
      </c>
      <c r="J1131"/>
    </row>
    <row r="1132" spans="1:10" ht="15" hidden="1" x14ac:dyDescent="0.35">
      <c r="A1132" s="1831" t="s">
        <v>2345</v>
      </c>
      <c r="B1132" s="1839" t="s">
        <v>2346</v>
      </c>
      <c r="C1132" s="1839" t="s">
        <v>796</v>
      </c>
      <c r="D1132" s="1839" t="s">
        <v>2347</v>
      </c>
      <c r="E1132" s="1840">
        <v>45751</v>
      </c>
      <c r="F1132" s="1840"/>
      <c r="G1132" s="1839" t="s">
        <v>525</v>
      </c>
      <c r="H1132" s="1839" t="s">
        <v>1078</v>
      </c>
      <c r="I1132" s="1831" t="s">
        <v>1061</v>
      </c>
      <c r="J1132" s="1831"/>
    </row>
    <row r="1133" spans="1:10" ht="15" hidden="1" x14ac:dyDescent="0.35">
      <c r="A1133" s="8" t="s">
        <v>2348</v>
      </c>
      <c r="B1133" t="s">
        <v>2349</v>
      </c>
      <c r="C1133" t="s">
        <v>409</v>
      </c>
      <c r="D1133" t="s">
        <v>2350</v>
      </c>
      <c r="E1133" s="9">
        <v>45202</v>
      </c>
      <c r="F1133" s="9">
        <v>45859</v>
      </c>
      <c r="G1133" t="s">
        <v>494</v>
      </c>
      <c r="H1133" t="s">
        <v>1060</v>
      </c>
      <c r="I1133" t="s">
        <v>1061</v>
      </c>
      <c r="J1133"/>
    </row>
    <row r="1134" spans="1:10" ht="15" hidden="1" x14ac:dyDescent="0.35">
      <c r="A1134" s="1831" t="s">
        <v>2351</v>
      </c>
      <c r="B1134" s="1839" t="s">
        <v>2352</v>
      </c>
      <c r="C1134" s="1839" t="s">
        <v>1148</v>
      </c>
      <c r="D1134" s="1839" t="s">
        <v>2353</v>
      </c>
      <c r="E1134" s="1840">
        <v>45524</v>
      </c>
      <c r="F1134" s="1840"/>
      <c r="G1134" s="1839" t="s">
        <v>500</v>
      </c>
      <c r="H1134" s="1839" t="s">
        <v>1065</v>
      </c>
      <c r="I1134" s="1831" t="s">
        <v>1066</v>
      </c>
      <c r="J1134" s="1831"/>
    </row>
    <row r="1135" spans="1:10" ht="15" hidden="1" x14ac:dyDescent="0.35">
      <c r="A1135" s="1831" t="s">
        <v>2354</v>
      </c>
      <c r="B1135" s="1839" t="s">
        <v>2355</v>
      </c>
      <c r="C1135" s="1839" t="s">
        <v>443</v>
      </c>
      <c r="D1135" s="1839" t="s">
        <v>2356</v>
      </c>
      <c r="E1135" s="1840">
        <v>45707</v>
      </c>
      <c r="F1135" s="1840"/>
      <c r="G1135" s="1839" t="s">
        <v>500</v>
      </c>
      <c r="H1135" s="1839" t="s">
        <v>1060</v>
      </c>
      <c r="I1135" s="1831" t="s">
        <v>1061</v>
      </c>
      <c r="J1135" s="1831"/>
    </row>
    <row r="1136" spans="1:10" ht="15" hidden="1" x14ac:dyDescent="0.35">
      <c r="A1136" s="8" t="s">
        <v>2357</v>
      </c>
      <c r="B1136" t="s">
        <v>2358</v>
      </c>
      <c r="C1136" t="s">
        <v>1088</v>
      </c>
      <c r="D1136" t="s">
        <v>2359</v>
      </c>
      <c r="E1136" s="9">
        <v>45708</v>
      </c>
      <c r="F1136" s="9">
        <v>45840</v>
      </c>
      <c r="G1136" t="s">
        <v>494</v>
      </c>
      <c r="H1136" t="s">
        <v>1060</v>
      </c>
      <c r="I1136" t="s">
        <v>1061</v>
      </c>
      <c r="J1136"/>
    </row>
    <row r="1137" spans="1:10" ht="15" hidden="1" x14ac:dyDescent="0.35">
      <c r="A1137" s="1831" t="s">
        <v>2360</v>
      </c>
      <c r="B1137" s="1839" t="s">
        <v>2361</v>
      </c>
      <c r="C1137" s="1839" t="s">
        <v>455</v>
      </c>
      <c r="D1137" s="1839" t="s">
        <v>2362</v>
      </c>
      <c r="E1137" s="1840">
        <v>46066</v>
      </c>
      <c r="F1137" s="1840"/>
      <c r="G1137" s="1839" t="s">
        <v>500</v>
      </c>
      <c r="H1137" s="1839" t="s">
        <v>1060</v>
      </c>
      <c r="I1137" s="1831" t="s">
        <v>1061</v>
      </c>
      <c r="J1137" s="1831"/>
    </row>
    <row r="1138" spans="1:10" ht="15" hidden="1" x14ac:dyDescent="0.35">
      <c r="A1138" s="1831" t="s">
        <v>2363</v>
      </c>
      <c r="B1138" s="1839" t="s">
        <v>2364</v>
      </c>
      <c r="C1138" s="1839" t="s">
        <v>2365</v>
      </c>
      <c r="D1138" s="1839" t="s">
        <v>2366</v>
      </c>
      <c r="E1138" s="1840">
        <v>45603</v>
      </c>
      <c r="F1138" s="1840"/>
      <c r="G1138" s="1839" t="s">
        <v>500</v>
      </c>
      <c r="H1138" s="1839" t="s">
        <v>1065</v>
      </c>
      <c r="I1138" s="1831" t="s">
        <v>1066</v>
      </c>
      <c r="J1138" s="1831"/>
    </row>
    <row r="1139" spans="1:10" ht="15" hidden="1" x14ac:dyDescent="0.35">
      <c r="A1139" s="1831" t="s">
        <v>2367</v>
      </c>
      <c r="B1139" s="1839" t="s">
        <v>2368</v>
      </c>
      <c r="C1139" s="1839" t="s">
        <v>1144</v>
      </c>
      <c r="D1139" s="1839" t="s">
        <v>2369</v>
      </c>
      <c r="E1139" s="1840">
        <v>45721</v>
      </c>
      <c r="F1139" s="1840"/>
      <c r="G1139" s="1839" t="s">
        <v>500</v>
      </c>
      <c r="H1139" s="1839" t="s">
        <v>1060</v>
      </c>
      <c r="I1139" s="1831" t="s">
        <v>1061</v>
      </c>
      <c r="J1139" s="1831"/>
    </row>
    <row r="1140" spans="1:10" ht="15" x14ac:dyDescent="0.35">
      <c r="A1140" s="1831" t="s">
        <v>2370</v>
      </c>
      <c r="B1140" s="1839" t="s">
        <v>2371</v>
      </c>
      <c r="C1140" s="1839" t="s">
        <v>437</v>
      </c>
      <c r="D1140" s="1839" t="s">
        <v>2372</v>
      </c>
      <c r="E1140" s="1840">
        <v>45461</v>
      </c>
      <c r="F1140" s="1840"/>
      <c r="G1140" s="1839" t="s">
        <v>500</v>
      </c>
      <c r="H1140" s="1839" t="s">
        <v>1065</v>
      </c>
      <c r="I1140" s="1831" t="s">
        <v>1066</v>
      </c>
      <c r="J1140" s="1831"/>
    </row>
    <row r="1141" spans="1:10" ht="15" hidden="1" x14ac:dyDescent="0.35">
      <c r="A1141" s="1831" t="s">
        <v>2373</v>
      </c>
      <c r="B1141" s="1839" t="s">
        <v>2374</v>
      </c>
      <c r="C1141" s="1839" t="s">
        <v>420</v>
      </c>
      <c r="D1141" s="1839" t="s">
        <v>2375</v>
      </c>
      <c r="E1141" s="1840">
        <v>46104</v>
      </c>
      <c r="F1141" s="1840"/>
      <c r="G1141" s="1839" t="s">
        <v>500</v>
      </c>
      <c r="H1141" s="1839" t="s">
        <v>1078</v>
      </c>
      <c r="I1141" s="1831" t="s">
        <v>1061</v>
      </c>
      <c r="J1141" s="1831"/>
    </row>
    <row r="1142" spans="1:10" ht="15" hidden="1" x14ac:dyDescent="0.35">
      <c r="A1142" s="1831" t="s">
        <v>2376</v>
      </c>
      <c r="B1142" s="1839" t="s">
        <v>2377</v>
      </c>
      <c r="C1142" s="1839" t="s">
        <v>445</v>
      </c>
      <c r="D1142" s="1839" t="s">
        <v>2378</v>
      </c>
      <c r="E1142" s="1840">
        <v>45828</v>
      </c>
      <c r="F1142" s="1840"/>
      <c r="G1142" s="1839" t="s">
        <v>500</v>
      </c>
      <c r="H1142" s="1839" t="s">
        <v>1065</v>
      </c>
      <c r="I1142" s="1831" t="s">
        <v>1066</v>
      </c>
      <c r="J1142" s="1831"/>
    </row>
    <row r="1143" spans="1:10" ht="15" hidden="1" x14ac:dyDescent="0.35">
      <c r="A1143" s="8" t="s">
        <v>2379</v>
      </c>
      <c r="B1143" t="s">
        <v>2380</v>
      </c>
      <c r="C1143" t="s">
        <v>420</v>
      </c>
      <c r="D1143" t="s">
        <v>2381</v>
      </c>
      <c r="E1143" s="9">
        <v>46099</v>
      </c>
      <c r="F1143" s="9">
        <v>46150</v>
      </c>
      <c r="G1143" t="s">
        <v>494</v>
      </c>
      <c r="H1143" t="s">
        <v>1078</v>
      </c>
      <c r="I1143" t="s">
        <v>1061</v>
      </c>
      <c r="J1143"/>
    </row>
    <row r="1144" spans="1:10" ht="15" hidden="1" x14ac:dyDescent="0.35">
      <c r="A1144" s="8" t="s">
        <v>2382</v>
      </c>
      <c r="B1144" t="s">
        <v>2383</v>
      </c>
      <c r="C1144" t="s">
        <v>527</v>
      </c>
      <c r="D1144" t="s">
        <v>2384</v>
      </c>
      <c r="E1144" s="9">
        <v>45849</v>
      </c>
      <c r="F1144" s="9">
        <v>46120</v>
      </c>
      <c r="G1144" t="s">
        <v>494</v>
      </c>
      <c r="H1144" t="s">
        <v>1065</v>
      </c>
      <c r="I1144" t="s">
        <v>1066</v>
      </c>
      <c r="J1144"/>
    </row>
    <row r="1145" spans="1:10" ht="15" hidden="1" x14ac:dyDescent="0.35">
      <c r="A1145" s="8" t="s">
        <v>2385</v>
      </c>
      <c r="B1145" t="s">
        <v>2386</v>
      </c>
      <c r="C1145" t="s">
        <v>420</v>
      </c>
      <c r="D1145" t="s">
        <v>2387</v>
      </c>
      <c r="E1145" s="9">
        <v>45880</v>
      </c>
      <c r="G1145" t="s">
        <v>665</v>
      </c>
      <c r="H1145" t="s">
        <v>1093</v>
      </c>
      <c r="I1145" t="s">
        <v>1066</v>
      </c>
      <c r="J1145"/>
    </row>
    <row r="1146" spans="1:10" ht="15" hidden="1" x14ac:dyDescent="0.35">
      <c r="A1146" s="1831" t="s">
        <v>2388</v>
      </c>
      <c r="B1146" s="1839" t="s">
        <v>2389</v>
      </c>
      <c r="C1146" s="1839" t="s">
        <v>419</v>
      </c>
      <c r="D1146" s="1839" t="s">
        <v>2390</v>
      </c>
      <c r="E1146" s="1840">
        <v>45813</v>
      </c>
      <c r="F1146" s="1840"/>
      <c r="G1146" s="1839" t="s">
        <v>500</v>
      </c>
      <c r="H1146" s="1839" t="s">
        <v>1060</v>
      </c>
      <c r="I1146" s="1831" t="s">
        <v>1061</v>
      </c>
      <c r="J1146" s="1831"/>
    </row>
    <row r="1147" spans="1:10" ht="15" hidden="1" x14ac:dyDescent="0.35">
      <c r="A1147" s="8" t="s">
        <v>2391</v>
      </c>
      <c r="B1147" t="s">
        <v>2392</v>
      </c>
      <c r="C1147" t="s">
        <v>443</v>
      </c>
      <c r="D1147" t="s">
        <v>2393</v>
      </c>
      <c r="E1147" s="9">
        <v>45708</v>
      </c>
      <c r="F1147" s="9">
        <v>46042</v>
      </c>
      <c r="G1147" t="s">
        <v>494</v>
      </c>
      <c r="H1147" t="s">
        <v>1060</v>
      </c>
      <c r="I1147" t="s">
        <v>1061</v>
      </c>
      <c r="J1147"/>
    </row>
    <row r="1148" spans="1:10" ht="15" hidden="1" x14ac:dyDescent="0.35">
      <c r="A1148" s="1831" t="s">
        <v>2394</v>
      </c>
      <c r="B1148" s="1839" t="s">
        <v>2395</v>
      </c>
      <c r="C1148" s="1839" t="s">
        <v>420</v>
      </c>
      <c r="D1148" s="1839" t="s">
        <v>2396</v>
      </c>
      <c r="E1148" s="1840">
        <v>45377</v>
      </c>
      <c r="F1148" s="1840"/>
      <c r="G1148" s="1839" t="s">
        <v>500</v>
      </c>
      <c r="H1148" s="1839" t="s">
        <v>1078</v>
      </c>
      <c r="I1148" s="1831" t="s">
        <v>1061</v>
      </c>
      <c r="J1148" s="1831"/>
    </row>
    <row r="1149" spans="1:10" ht="15" hidden="1" x14ac:dyDescent="0.35">
      <c r="A1149" s="1831" t="s">
        <v>2397</v>
      </c>
      <c r="B1149" s="1839" t="s">
        <v>2398</v>
      </c>
      <c r="C1149" s="1839" t="s">
        <v>1144</v>
      </c>
      <c r="D1149" s="1839" t="s">
        <v>2399</v>
      </c>
      <c r="E1149" s="1840">
        <v>45131</v>
      </c>
      <c r="F1149" s="1840"/>
      <c r="G1149" s="1839" t="s">
        <v>500</v>
      </c>
      <c r="H1149" s="1839" t="s">
        <v>1065</v>
      </c>
      <c r="I1149" s="1831" t="s">
        <v>1066</v>
      </c>
      <c r="J1149" s="1831"/>
    </row>
    <row r="1150" spans="1:10" ht="15" hidden="1" x14ac:dyDescent="0.35">
      <c r="A1150" s="8" t="s">
        <v>2400</v>
      </c>
      <c r="B1150" t="s">
        <v>2401</v>
      </c>
      <c r="C1150" t="s">
        <v>420</v>
      </c>
      <c r="D1150" t="s">
        <v>2402</v>
      </c>
      <c r="E1150" s="9">
        <v>45376</v>
      </c>
      <c r="F1150" s="9">
        <v>46065</v>
      </c>
      <c r="G1150" t="s">
        <v>494</v>
      </c>
      <c r="H1150" t="s">
        <v>1078</v>
      </c>
      <c r="I1150" t="s">
        <v>1061</v>
      </c>
      <c r="J1150"/>
    </row>
    <row r="1151" spans="1:10" ht="15" hidden="1" x14ac:dyDescent="0.35">
      <c r="A1151" s="1831" t="s">
        <v>2403</v>
      </c>
      <c r="B1151" s="1839" t="s">
        <v>2404</v>
      </c>
      <c r="C1151" s="1839" t="s">
        <v>410</v>
      </c>
      <c r="D1151" s="1839" t="s">
        <v>2405</v>
      </c>
      <c r="E1151" s="1840">
        <v>45421</v>
      </c>
      <c r="F1151" s="1840"/>
      <c r="G1151" s="1839" t="s">
        <v>500</v>
      </c>
      <c r="H1151" s="1839" t="s">
        <v>1065</v>
      </c>
      <c r="I1151" s="1831" t="s">
        <v>1066</v>
      </c>
      <c r="J1151" s="1831"/>
    </row>
    <row r="1152" spans="1:10" ht="15" hidden="1" x14ac:dyDescent="0.35">
      <c r="A1152" s="1831" t="s">
        <v>2406</v>
      </c>
      <c r="B1152" s="1839" t="s">
        <v>2407</v>
      </c>
      <c r="C1152" s="1839" t="s">
        <v>606</v>
      </c>
      <c r="D1152" s="1839" t="s">
        <v>2408</v>
      </c>
      <c r="E1152" s="1840">
        <v>45420</v>
      </c>
      <c r="F1152" s="1840"/>
      <c r="G1152" s="1839" t="s">
        <v>500</v>
      </c>
      <c r="H1152" s="1839" t="s">
        <v>1065</v>
      </c>
      <c r="I1152" s="1831" t="s">
        <v>1066</v>
      </c>
      <c r="J1152" s="1831"/>
    </row>
    <row r="1153" spans="1:10" ht="15" hidden="1" x14ac:dyDescent="0.35">
      <c r="A1153" s="1831" t="s">
        <v>2409</v>
      </c>
      <c r="B1153" s="1839" t="s">
        <v>2410</v>
      </c>
      <c r="C1153" s="1839" t="s">
        <v>440</v>
      </c>
      <c r="D1153" s="1839" t="s">
        <v>2411</v>
      </c>
      <c r="E1153" s="1840">
        <v>45779</v>
      </c>
      <c r="F1153" s="1840"/>
      <c r="G1153" s="1839" t="s">
        <v>500</v>
      </c>
      <c r="H1153" s="1839" t="s">
        <v>1060</v>
      </c>
      <c r="I1153" s="1831" t="s">
        <v>1061</v>
      </c>
      <c r="J1153" s="1831"/>
    </row>
    <row r="1154" spans="1:10" ht="15" hidden="1" x14ac:dyDescent="0.35">
      <c r="A1154" s="1831" t="s">
        <v>2412</v>
      </c>
      <c r="B1154" s="1839" t="s">
        <v>2413</v>
      </c>
      <c r="C1154" s="1839" t="s">
        <v>578</v>
      </c>
      <c r="D1154" s="1839" t="s">
        <v>2414</v>
      </c>
      <c r="E1154" s="1840">
        <v>44399</v>
      </c>
      <c r="F1154" s="1840"/>
      <c r="G1154" s="1839" t="s">
        <v>500</v>
      </c>
      <c r="H1154" s="1839" t="s">
        <v>1060</v>
      </c>
      <c r="I1154" s="1831" t="s">
        <v>1061</v>
      </c>
      <c r="J1154" s="1831"/>
    </row>
    <row r="1155" spans="1:10" ht="15" hidden="1" x14ac:dyDescent="0.35">
      <c r="A1155" s="1831" t="s">
        <v>2415</v>
      </c>
      <c r="B1155" s="1839" t="s">
        <v>2416</v>
      </c>
      <c r="C1155" s="1839" t="s">
        <v>1072</v>
      </c>
      <c r="D1155" s="1839" t="s">
        <v>2417</v>
      </c>
      <c r="E1155" s="1840">
        <v>43460</v>
      </c>
      <c r="F1155" s="1840"/>
      <c r="G1155" s="1839" t="s">
        <v>500</v>
      </c>
      <c r="H1155" s="1839" t="s">
        <v>1060</v>
      </c>
      <c r="I1155" s="1831" t="s">
        <v>1061</v>
      </c>
      <c r="J1155" s="1831"/>
    </row>
    <row r="1156" spans="1:10" ht="15" hidden="1" x14ac:dyDescent="0.35">
      <c r="A1156" s="1831" t="s">
        <v>2418</v>
      </c>
      <c r="B1156" s="1839" t="s">
        <v>2419</v>
      </c>
      <c r="C1156" s="1839" t="s">
        <v>606</v>
      </c>
      <c r="D1156" s="1839" t="s">
        <v>2420</v>
      </c>
      <c r="E1156" s="1840">
        <v>45420</v>
      </c>
      <c r="F1156" s="1840"/>
      <c r="G1156" s="1839" t="s">
        <v>500</v>
      </c>
      <c r="H1156" s="1839" t="s">
        <v>1065</v>
      </c>
      <c r="I1156" s="1831" t="s">
        <v>1066</v>
      </c>
      <c r="J1156" s="1831"/>
    </row>
    <row r="1157" spans="1:10" ht="15" hidden="1" x14ac:dyDescent="0.35">
      <c r="A1157" s="1831" t="s">
        <v>2421</v>
      </c>
      <c r="B1157" s="1839" t="s">
        <v>2422</v>
      </c>
      <c r="C1157" s="1839" t="s">
        <v>444</v>
      </c>
      <c r="D1157" s="1839" t="s">
        <v>2423</v>
      </c>
      <c r="E1157" s="1840">
        <v>45420</v>
      </c>
      <c r="F1157" s="1840"/>
      <c r="G1157" s="1839" t="s">
        <v>500</v>
      </c>
      <c r="H1157" s="1839" t="s">
        <v>1065</v>
      </c>
      <c r="I1157" s="1831" t="s">
        <v>1066</v>
      </c>
      <c r="J1157" s="1831"/>
    </row>
    <row r="1158" spans="1:10" ht="15" hidden="1" x14ac:dyDescent="0.35">
      <c r="A1158" s="8" t="s">
        <v>2424</v>
      </c>
      <c r="B1158" t="s">
        <v>2425</v>
      </c>
      <c r="C1158" t="s">
        <v>1088</v>
      </c>
      <c r="D1158" t="s">
        <v>2426</v>
      </c>
      <c r="E1158" s="9">
        <v>45783</v>
      </c>
      <c r="F1158" s="9">
        <v>46055</v>
      </c>
      <c r="G1158" t="s">
        <v>494</v>
      </c>
      <c r="H1158" t="s">
        <v>1065</v>
      </c>
      <c r="I1158" t="s">
        <v>1066</v>
      </c>
      <c r="J1158"/>
    </row>
    <row r="1159" spans="1:10" ht="15" hidden="1" x14ac:dyDescent="0.35">
      <c r="A1159" s="8" t="s">
        <v>2427</v>
      </c>
      <c r="B1159" t="s">
        <v>2428</v>
      </c>
      <c r="C1159" t="s">
        <v>438</v>
      </c>
      <c r="D1159" t="s">
        <v>2429</v>
      </c>
      <c r="E1159" s="9">
        <v>45722</v>
      </c>
      <c r="F1159" s="9">
        <v>45839</v>
      </c>
      <c r="G1159" t="s">
        <v>494</v>
      </c>
      <c r="H1159" t="s">
        <v>1065</v>
      </c>
      <c r="I1159" t="s">
        <v>1066</v>
      </c>
      <c r="J1159"/>
    </row>
    <row r="1160" spans="1:10" ht="15" hidden="1" x14ac:dyDescent="0.35">
      <c r="A1160" s="1831" t="s">
        <v>2430</v>
      </c>
      <c r="B1160" s="1839" t="s">
        <v>2431</v>
      </c>
      <c r="C1160" s="1839" t="s">
        <v>420</v>
      </c>
      <c r="D1160" s="1839" t="s">
        <v>2432</v>
      </c>
      <c r="E1160" s="1840">
        <v>46128</v>
      </c>
      <c r="F1160" s="1840"/>
      <c r="G1160" s="1839" t="s">
        <v>500</v>
      </c>
      <c r="H1160" s="1839" t="s">
        <v>1093</v>
      </c>
      <c r="I1160" s="1831" t="s">
        <v>1066</v>
      </c>
      <c r="J1160" s="1831"/>
    </row>
    <row r="1161" spans="1:10" ht="15" hidden="1" x14ac:dyDescent="0.35">
      <c r="A1161" s="1831" t="s">
        <v>2433</v>
      </c>
      <c r="B1161" s="1839" t="s">
        <v>2434</v>
      </c>
      <c r="C1161" s="1839" t="s">
        <v>453</v>
      </c>
      <c r="D1161" s="1839" t="s">
        <v>2435</v>
      </c>
      <c r="E1161" s="1840">
        <v>45779</v>
      </c>
      <c r="F1161" s="1840"/>
      <c r="G1161" s="1839" t="s">
        <v>500</v>
      </c>
      <c r="H1161" s="1839" t="s">
        <v>1060</v>
      </c>
      <c r="I1161" s="1831" t="s">
        <v>1061</v>
      </c>
      <c r="J1161" s="1831"/>
    </row>
    <row r="1162" spans="1:10" ht="15" hidden="1" x14ac:dyDescent="0.35">
      <c r="A1162" s="1831" t="s">
        <v>2436</v>
      </c>
      <c r="B1162" s="1839" t="s">
        <v>2437</v>
      </c>
      <c r="C1162" s="1839" t="s">
        <v>1148</v>
      </c>
      <c r="D1162" s="1839" t="s">
        <v>2438</v>
      </c>
      <c r="E1162" s="1840">
        <v>44417</v>
      </c>
      <c r="F1162" s="1840"/>
      <c r="G1162" s="1839" t="s">
        <v>525</v>
      </c>
      <c r="H1162" s="1839" t="s">
        <v>1060</v>
      </c>
      <c r="I1162" s="1831" t="s">
        <v>1061</v>
      </c>
      <c r="J1162" s="1831"/>
    </row>
    <row r="1163" spans="1:10" ht="15" hidden="1" x14ac:dyDescent="0.35">
      <c r="A1163" s="8" t="s">
        <v>2439</v>
      </c>
      <c r="B1163" t="s">
        <v>2440</v>
      </c>
      <c r="C1163" t="s">
        <v>456</v>
      </c>
      <c r="D1163" t="s">
        <v>2441</v>
      </c>
      <c r="E1163" s="9">
        <v>44768</v>
      </c>
      <c r="F1163" s="9">
        <v>46056</v>
      </c>
      <c r="G1163" t="s">
        <v>494</v>
      </c>
      <c r="H1163" t="s">
        <v>1065</v>
      </c>
      <c r="I1163" t="s">
        <v>1066</v>
      </c>
      <c r="J1163"/>
    </row>
    <row r="1164" spans="1:10" ht="15" hidden="1" x14ac:dyDescent="0.35">
      <c r="A1164" s="1831" t="s">
        <v>2442</v>
      </c>
      <c r="B1164" s="1839" t="s">
        <v>2443</v>
      </c>
      <c r="C1164" s="1839" t="s">
        <v>410</v>
      </c>
      <c r="D1164" s="1839" t="s">
        <v>2444</v>
      </c>
      <c r="E1164" s="1840">
        <v>45377</v>
      </c>
      <c r="F1164" s="1840"/>
      <c r="G1164" s="1839" t="s">
        <v>500</v>
      </c>
      <c r="H1164" s="1839" t="s">
        <v>1060</v>
      </c>
      <c r="I1164" s="1831" t="s">
        <v>1061</v>
      </c>
      <c r="J1164" s="1831"/>
    </row>
    <row r="1165" spans="1:10" ht="15" hidden="1" x14ac:dyDescent="0.35">
      <c r="A1165" s="1831" t="s">
        <v>2445</v>
      </c>
      <c r="B1165" s="1839" t="s">
        <v>728</v>
      </c>
      <c r="C1165" s="1839" t="s">
        <v>416</v>
      </c>
      <c r="D1165" s="1839" t="s">
        <v>2446</v>
      </c>
      <c r="E1165" s="1840">
        <v>46128</v>
      </c>
      <c r="F1165" s="1840"/>
      <c r="G1165" s="1839" t="s">
        <v>500</v>
      </c>
      <c r="H1165" s="1839" t="s">
        <v>1078</v>
      </c>
      <c r="I1165" s="1831" t="s">
        <v>1061</v>
      </c>
      <c r="J1165" s="1831"/>
    </row>
    <row r="1166" spans="1:10" ht="15" hidden="1" x14ac:dyDescent="0.35">
      <c r="A1166" s="1831" t="s">
        <v>2447</v>
      </c>
      <c r="B1166" s="1839" t="s">
        <v>2448</v>
      </c>
      <c r="C1166" s="1839" t="s">
        <v>1155</v>
      </c>
      <c r="D1166" s="1839" t="s">
        <v>2449</v>
      </c>
      <c r="E1166" s="1840">
        <v>45701</v>
      </c>
      <c r="F1166" s="1840"/>
      <c r="G1166" s="1839" t="s">
        <v>500</v>
      </c>
      <c r="H1166" s="1839" t="s">
        <v>1060</v>
      </c>
      <c r="I1166" s="1831" t="s">
        <v>1061</v>
      </c>
      <c r="J1166" s="1831"/>
    </row>
    <row r="1167" spans="1:10" ht="15" hidden="1" x14ac:dyDescent="0.35">
      <c r="A1167" s="1831" t="s">
        <v>2450</v>
      </c>
      <c r="B1167" s="1839" t="s">
        <v>2451</v>
      </c>
      <c r="C1167" s="1839" t="s">
        <v>1088</v>
      </c>
      <c r="D1167" s="1839" t="s">
        <v>2452</v>
      </c>
      <c r="E1167" s="1840">
        <v>45383</v>
      </c>
      <c r="F1167" s="1840"/>
      <c r="G1167" s="1839" t="s">
        <v>500</v>
      </c>
      <c r="H1167" s="1839" t="s">
        <v>1060</v>
      </c>
      <c r="I1167" s="1831" t="s">
        <v>1061</v>
      </c>
      <c r="J1167" s="1831"/>
    </row>
    <row r="1168" spans="1:10" ht="15" hidden="1" x14ac:dyDescent="0.35">
      <c r="A1168" s="1831" t="s">
        <v>2453</v>
      </c>
      <c r="B1168" s="1839" t="s">
        <v>2454</v>
      </c>
      <c r="C1168" s="1839" t="s">
        <v>600</v>
      </c>
      <c r="D1168" s="1839" t="s">
        <v>2455</v>
      </c>
      <c r="E1168" s="1840">
        <v>44399</v>
      </c>
      <c r="F1168" s="1840"/>
      <c r="G1168" s="1839" t="s">
        <v>500</v>
      </c>
      <c r="H1168" s="1839" t="s">
        <v>1065</v>
      </c>
      <c r="I1168" s="1831" t="s">
        <v>1066</v>
      </c>
      <c r="J1168" s="1831"/>
    </row>
    <row r="1169" spans="1:10" ht="15" hidden="1" x14ac:dyDescent="0.35">
      <c r="A1169" s="1831" t="s">
        <v>2456</v>
      </c>
      <c r="B1169" s="1839" t="s">
        <v>2457</v>
      </c>
      <c r="C1169" s="1839" t="s">
        <v>1148</v>
      </c>
      <c r="D1169" s="1839" t="s">
        <v>2458</v>
      </c>
      <c r="E1169" s="1840">
        <v>44239</v>
      </c>
      <c r="F1169" s="1840"/>
      <c r="G1169" s="1839" t="s">
        <v>500</v>
      </c>
      <c r="H1169" s="1839" t="s">
        <v>1060</v>
      </c>
      <c r="I1169" s="1831" t="s">
        <v>1061</v>
      </c>
      <c r="J1169" s="1831"/>
    </row>
    <row r="1170" spans="1:10" ht="15" hidden="1" x14ac:dyDescent="0.35">
      <c r="A1170" s="1831" t="s">
        <v>2459</v>
      </c>
      <c r="B1170" s="1839" t="s">
        <v>2460</v>
      </c>
      <c r="C1170" s="1839" t="s">
        <v>600</v>
      </c>
      <c r="D1170" s="1839" t="s">
        <v>2461</v>
      </c>
      <c r="E1170" s="1840">
        <v>43851</v>
      </c>
      <c r="F1170" s="1840"/>
      <c r="G1170" s="1839" t="s">
        <v>500</v>
      </c>
      <c r="H1170" s="1839" t="s">
        <v>1060</v>
      </c>
      <c r="I1170" s="1831" t="s">
        <v>1061</v>
      </c>
      <c r="J1170" s="1831"/>
    </row>
    <row r="1171" spans="1:10" ht="15" hidden="1" x14ac:dyDescent="0.35">
      <c r="A1171" s="1831" t="s">
        <v>2462</v>
      </c>
      <c r="B1171" s="1839" t="s">
        <v>2463</v>
      </c>
      <c r="C1171" s="1839" t="s">
        <v>1144</v>
      </c>
      <c r="D1171" s="1839" t="s">
        <v>2464</v>
      </c>
      <c r="E1171" s="1840">
        <v>45713</v>
      </c>
      <c r="F1171" s="1840"/>
      <c r="G1171" s="1839" t="s">
        <v>500</v>
      </c>
      <c r="H1171" s="1839" t="s">
        <v>1065</v>
      </c>
      <c r="I1171" s="1831" t="s">
        <v>1066</v>
      </c>
      <c r="J1171" s="1831"/>
    </row>
    <row r="1172" spans="1:10" ht="15" hidden="1" x14ac:dyDescent="0.35">
      <c r="A1172" s="8" t="s">
        <v>2465</v>
      </c>
      <c r="B1172" t="s">
        <v>2466</v>
      </c>
      <c r="C1172" t="s">
        <v>544</v>
      </c>
      <c r="D1172" t="s">
        <v>2467</v>
      </c>
      <c r="E1172" s="9">
        <v>41654</v>
      </c>
      <c r="F1172" s="9">
        <v>46114</v>
      </c>
      <c r="G1172" t="s">
        <v>494</v>
      </c>
      <c r="H1172" t="s">
        <v>1065</v>
      </c>
      <c r="I1172" t="s">
        <v>1066</v>
      </c>
      <c r="J1172"/>
    </row>
    <row r="1173" spans="1:10" ht="15" hidden="1" x14ac:dyDescent="0.35">
      <c r="A1173" s="1831" t="s">
        <v>2468</v>
      </c>
      <c r="B1173" s="1839" t="s">
        <v>2469</v>
      </c>
      <c r="C1173" s="1839" t="s">
        <v>420</v>
      </c>
      <c r="D1173" s="1839" t="s">
        <v>2470</v>
      </c>
      <c r="E1173" s="1840">
        <v>45387</v>
      </c>
      <c r="F1173" s="1840"/>
      <c r="G1173" s="1839" t="s">
        <v>500</v>
      </c>
      <c r="H1173" s="1839" t="s">
        <v>1078</v>
      </c>
      <c r="I1173" s="1831" t="s">
        <v>1061</v>
      </c>
      <c r="J1173" s="1831"/>
    </row>
    <row r="1174" spans="1:10" ht="15" hidden="1" x14ac:dyDescent="0.35">
      <c r="A1174" s="8" t="s">
        <v>2471</v>
      </c>
      <c r="B1174" t="s">
        <v>2472</v>
      </c>
      <c r="C1174" t="s">
        <v>420</v>
      </c>
      <c r="D1174" t="s">
        <v>2473</v>
      </c>
      <c r="E1174" s="9">
        <v>45422</v>
      </c>
      <c r="F1174" s="9">
        <v>46097</v>
      </c>
      <c r="G1174" t="s">
        <v>494</v>
      </c>
      <c r="H1174" t="s">
        <v>1093</v>
      </c>
      <c r="I1174" t="s">
        <v>1066</v>
      </c>
      <c r="J1174"/>
    </row>
    <row r="1175" spans="1:10" ht="15" hidden="1" x14ac:dyDescent="0.35">
      <c r="A1175" s="1831" t="s">
        <v>2474</v>
      </c>
      <c r="B1175" s="1839" t="s">
        <v>2475</v>
      </c>
      <c r="C1175" s="1839" t="s">
        <v>1585</v>
      </c>
      <c r="D1175" s="1839" t="s">
        <v>2476</v>
      </c>
      <c r="E1175" s="1840">
        <v>45887</v>
      </c>
      <c r="F1175" s="1840"/>
      <c r="G1175" s="1839" t="s">
        <v>500</v>
      </c>
      <c r="H1175" s="1839" t="s">
        <v>1060</v>
      </c>
      <c r="I1175" s="1831" t="s">
        <v>1061</v>
      </c>
      <c r="J1175" s="1831"/>
    </row>
    <row r="1176" spans="1:10" ht="15" hidden="1" x14ac:dyDescent="0.35">
      <c r="A1176" s="8" t="s">
        <v>2477</v>
      </c>
      <c r="B1176" t="s">
        <v>2478</v>
      </c>
      <c r="C1176" t="s">
        <v>2479</v>
      </c>
      <c r="D1176" t="s">
        <v>2480</v>
      </c>
      <c r="E1176" s="9">
        <v>45553</v>
      </c>
      <c r="F1176" s="9">
        <v>45932</v>
      </c>
      <c r="G1176" t="s">
        <v>494</v>
      </c>
      <c r="H1176" t="s">
        <v>1060</v>
      </c>
      <c r="I1176" t="s">
        <v>1061</v>
      </c>
      <c r="J1176"/>
    </row>
    <row r="1177" spans="1:10" ht="15" hidden="1" x14ac:dyDescent="0.35">
      <c r="A1177" s="1831" t="s">
        <v>2481</v>
      </c>
      <c r="B1177" s="1839" t="s">
        <v>2482</v>
      </c>
      <c r="C1177" s="1839" t="s">
        <v>578</v>
      </c>
      <c r="D1177" s="1839" t="s">
        <v>2483</v>
      </c>
      <c r="E1177" s="1840">
        <v>44816</v>
      </c>
      <c r="F1177" s="1840"/>
      <c r="G1177" s="1839" t="s">
        <v>500</v>
      </c>
      <c r="H1177" s="1839" t="s">
        <v>1060</v>
      </c>
      <c r="I1177" s="1831" t="s">
        <v>1061</v>
      </c>
      <c r="J1177" s="1831"/>
    </row>
    <row r="1178" spans="1:10" ht="15" hidden="1" x14ac:dyDescent="0.35">
      <c r="A1178" s="8" t="s">
        <v>2484</v>
      </c>
      <c r="B1178" t="s">
        <v>2485</v>
      </c>
      <c r="C1178" t="s">
        <v>439</v>
      </c>
      <c r="D1178" t="s">
        <v>2486</v>
      </c>
      <c r="E1178" s="9">
        <v>45840</v>
      </c>
      <c r="F1178" s="9">
        <v>46121</v>
      </c>
      <c r="G1178" t="s">
        <v>494</v>
      </c>
      <c r="H1178" t="s">
        <v>1065</v>
      </c>
      <c r="I1178" t="s">
        <v>1066</v>
      </c>
      <c r="J1178"/>
    </row>
    <row r="1179" spans="1:10" ht="15" hidden="1" x14ac:dyDescent="0.35">
      <c r="A1179" s="8" t="s">
        <v>2487</v>
      </c>
      <c r="B1179" t="s">
        <v>2488</v>
      </c>
      <c r="C1179" t="s">
        <v>420</v>
      </c>
      <c r="D1179" t="s">
        <v>2489</v>
      </c>
      <c r="E1179" s="9">
        <v>46029</v>
      </c>
      <c r="F1179" s="9">
        <v>46100</v>
      </c>
      <c r="G1179" t="s">
        <v>494</v>
      </c>
      <c r="H1179" t="s">
        <v>1078</v>
      </c>
      <c r="I1179" t="s">
        <v>1061</v>
      </c>
      <c r="J1179"/>
    </row>
    <row r="1180" spans="1:10" ht="15" hidden="1" x14ac:dyDescent="0.35">
      <c r="A1180" s="8" t="s">
        <v>2490</v>
      </c>
      <c r="B1180" t="s">
        <v>2491</v>
      </c>
      <c r="C1180" t="s">
        <v>457</v>
      </c>
      <c r="D1180" t="s">
        <v>2492</v>
      </c>
      <c r="E1180" s="9">
        <v>45713</v>
      </c>
      <c r="F1180" s="9">
        <v>45792</v>
      </c>
      <c r="G1180" t="s">
        <v>494</v>
      </c>
      <c r="H1180" t="s">
        <v>1060</v>
      </c>
      <c r="I1180" t="s">
        <v>1061</v>
      </c>
      <c r="J1180"/>
    </row>
    <row r="1181" spans="1:10" ht="15" hidden="1" x14ac:dyDescent="0.35">
      <c r="A1181" s="1831" t="s">
        <v>2493</v>
      </c>
      <c r="B1181" s="1839" t="s">
        <v>2494</v>
      </c>
      <c r="C1181" s="1839" t="s">
        <v>867</v>
      </c>
      <c r="D1181" s="1839" t="s">
        <v>2495</v>
      </c>
      <c r="E1181" s="1840">
        <v>45566</v>
      </c>
      <c r="F1181" s="1840"/>
      <c r="G1181" s="1839" t="s">
        <v>500</v>
      </c>
      <c r="H1181" s="1839" t="s">
        <v>1060</v>
      </c>
      <c r="I1181" s="1831" t="s">
        <v>1061</v>
      </c>
      <c r="J1181" s="1831"/>
    </row>
    <row r="1182" spans="1:10" ht="15" hidden="1" x14ac:dyDescent="0.35">
      <c r="A1182" s="1831" t="s">
        <v>2496</v>
      </c>
      <c r="B1182" s="1839" t="s">
        <v>2497</v>
      </c>
      <c r="C1182" s="1839" t="s">
        <v>1450</v>
      </c>
      <c r="D1182" s="1839" t="s">
        <v>2498</v>
      </c>
      <c r="E1182" s="1840">
        <v>44963</v>
      </c>
      <c r="F1182" s="1840"/>
      <c r="G1182" s="1839" t="s">
        <v>500</v>
      </c>
      <c r="H1182" s="1839" t="s">
        <v>1065</v>
      </c>
      <c r="I1182" s="1831" t="s">
        <v>1066</v>
      </c>
      <c r="J1182" s="1831"/>
    </row>
    <row r="1183" spans="1:10" ht="15" hidden="1" x14ac:dyDescent="0.35">
      <c r="A1183" s="8" t="s">
        <v>2499</v>
      </c>
      <c r="B1183" t="s">
        <v>2500</v>
      </c>
      <c r="C1183" t="s">
        <v>409</v>
      </c>
      <c r="D1183" t="s">
        <v>2501</v>
      </c>
      <c r="E1183" s="9">
        <v>45568</v>
      </c>
      <c r="F1183" s="9">
        <v>46002</v>
      </c>
      <c r="G1183" t="s">
        <v>494</v>
      </c>
      <c r="H1183" t="s">
        <v>1060</v>
      </c>
      <c r="I1183" t="s">
        <v>1061</v>
      </c>
      <c r="J1183"/>
    </row>
    <row r="1184" spans="1:10" ht="15" hidden="1" x14ac:dyDescent="0.35">
      <c r="A1184" s="1831" t="s">
        <v>2502</v>
      </c>
      <c r="B1184" s="1839" t="s">
        <v>2503</v>
      </c>
      <c r="C1184" s="1839" t="s">
        <v>420</v>
      </c>
      <c r="D1184" s="1839" t="s">
        <v>2504</v>
      </c>
      <c r="E1184" s="1840">
        <v>46121</v>
      </c>
      <c r="F1184" s="1840"/>
      <c r="G1184" s="1839" t="s">
        <v>500</v>
      </c>
      <c r="H1184" s="1839" t="s">
        <v>1078</v>
      </c>
      <c r="I1184" s="1831" t="s">
        <v>1061</v>
      </c>
      <c r="J1184" s="1831"/>
    </row>
    <row r="1185" spans="1:10" ht="15" hidden="1" x14ac:dyDescent="0.35">
      <c r="A1185" s="1831" t="s">
        <v>2505</v>
      </c>
      <c r="B1185" s="1839" t="s">
        <v>2506</v>
      </c>
      <c r="C1185" s="1839" t="s">
        <v>455</v>
      </c>
      <c r="D1185" s="1839" t="s">
        <v>2507</v>
      </c>
      <c r="E1185" s="1840">
        <v>45887</v>
      </c>
      <c r="F1185" s="1840"/>
      <c r="G1185" s="1839" t="s">
        <v>500</v>
      </c>
      <c r="H1185" s="1839" t="s">
        <v>1060</v>
      </c>
      <c r="I1185" s="1831" t="s">
        <v>1061</v>
      </c>
      <c r="J1185" s="1831"/>
    </row>
    <row r="1186" spans="1:10" ht="15" hidden="1" x14ac:dyDescent="0.35">
      <c r="A1186" s="1831" t="s">
        <v>2508</v>
      </c>
      <c r="B1186" s="1839" t="s">
        <v>2509</v>
      </c>
      <c r="C1186" s="1839" t="s">
        <v>591</v>
      </c>
      <c r="D1186" s="1839" t="s">
        <v>2510</v>
      </c>
      <c r="E1186" s="1840">
        <v>45691</v>
      </c>
      <c r="F1186" s="1840"/>
      <c r="G1186" s="1839" t="s">
        <v>500</v>
      </c>
      <c r="H1186" s="1839" t="s">
        <v>1093</v>
      </c>
      <c r="I1186" s="1831" t="s">
        <v>1066</v>
      </c>
      <c r="J1186" s="1831"/>
    </row>
    <row r="1187" spans="1:10" ht="15" hidden="1" x14ac:dyDescent="0.35">
      <c r="A1187" s="8" t="s">
        <v>2511</v>
      </c>
      <c r="B1187" t="s">
        <v>2512</v>
      </c>
      <c r="C1187" t="s">
        <v>420</v>
      </c>
      <c r="D1187" t="s">
        <v>2513</v>
      </c>
      <c r="E1187" s="9">
        <v>45705</v>
      </c>
      <c r="F1187" s="9">
        <v>46093</v>
      </c>
      <c r="G1187" t="s">
        <v>494</v>
      </c>
      <c r="H1187" t="s">
        <v>1078</v>
      </c>
      <c r="I1187" t="s">
        <v>1061</v>
      </c>
      <c r="J1187"/>
    </row>
    <row r="1188" spans="1:10" ht="15" hidden="1" x14ac:dyDescent="0.35">
      <c r="A1188" s="1831" t="s">
        <v>2514</v>
      </c>
      <c r="B1188" s="1839" t="s">
        <v>2515</v>
      </c>
      <c r="C1188" s="1839" t="s">
        <v>415</v>
      </c>
      <c r="D1188" s="1839" t="s">
        <v>2516</v>
      </c>
      <c r="E1188" s="1840">
        <v>46146</v>
      </c>
      <c r="F1188" s="1840"/>
      <c r="G1188" s="1839" t="s">
        <v>500</v>
      </c>
      <c r="H1188" s="1839" t="s">
        <v>1065</v>
      </c>
      <c r="I1188" s="1831" t="s">
        <v>1066</v>
      </c>
      <c r="J1188" s="1831"/>
    </row>
    <row r="1189" spans="1:10" ht="15" hidden="1" x14ac:dyDescent="0.35">
      <c r="A1189" s="8" t="s">
        <v>2517</v>
      </c>
      <c r="B1189" t="s">
        <v>2518</v>
      </c>
      <c r="C1189" t="s">
        <v>1144</v>
      </c>
      <c r="D1189" t="s">
        <v>2519</v>
      </c>
      <c r="E1189" s="9">
        <v>45721</v>
      </c>
      <c r="F1189" s="9">
        <v>46041</v>
      </c>
      <c r="G1189" t="s">
        <v>494</v>
      </c>
      <c r="H1189" t="s">
        <v>1060</v>
      </c>
      <c r="I1189" t="s">
        <v>1061</v>
      </c>
      <c r="J1189"/>
    </row>
    <row r="1190" spans="1:10" ht="15" hidden="1" x14ac:dyDescent="0.35">
      <c r="A1190" s="1831" t="s">
        <v>2520</v>
      </c>
      <c r="B1190" s="1839" t="s">
        <v>2521</v>
      </c>
      <c r="C1190" s="1839" t="s">
        <v>411</v>
      </c>
      <c r="D1190" s="1839" t="s">
        <v>2522</v>
      </c>
      <c r="E1190" s="1840">
        <v>45751</v>
      </c>
      <c r="F1190" s="1840"/>
      <c r="G1190" s="1839" t="s">
        <v>500</v>
      </c>
      <c r="H1190" s="1839" t="s">
        <v>1060</v>
      </c>
      <c r="I1190" s="1831" t="s">
        <v>1061</v>
      </c>
      <c r="J1190" s="1831"/>
    </row>
    <row r="1191" spans="1:10" ht="15" hidden="1" x14ac:dyDescent="0.35">
      <c r="A1191" s="1831" t="s">
        <v>2523</v>
      </c>
      <c r="B1191" s="1839" t="s">
        <v>2524</v>
      </c>
      <c r="C1191" s="1839" t="s">
        <v>420</v>
      </c>
      <c r="D1191" s="1839" t="s">
        <v>2525</v>
      </c>
      <c r="E1191" s="1840">
        <v>46100</v>
      </c>
      <c r="F1191" s="1840"/>
      <c r="G1191" s="1839" t="s">
        <v>500</v>
      </c>
      <c r="H1191" s="1839" t="s">
        <v>1078</v>
      </c>
      <c r="I1191" s="1831" t="s">
        <v>1061</v>
      </c>
      <c r="J1191" s="1831"/>
    </row>
    <row r="1192" spans="1:10" ht="15" hidden="1" x14ac:dyDescent="0.35">
      <c r="A1192" s="1831" t="s">
        <v>2526</v>
      </c>
      <c r="B1192" s="1839" t="s">
        <v>2527</v>
      </c>
      <c r="C1192" s="1839" t="s">
        <v>431</v>
      </c>
      <c r="D1192" s="1839" t="s">
        <v>2528</v>
      </c>
      <c r="E1192" s="1840">
        <v>45701</v>
      </c>
      <c r="F1192" s="1840"/>
      <c r="G1192" s="1839" t="s">
        <v>500</v>
      </c>
      <c r="H1192" s="1839" t="s">
        <v>1060</v>
      </c>
      <c r="I1192" s="1831" t="s">
        <v>1061</v>
      </c>
      <c r="J1192" s="1831"/>
    </row>
    <row r="1193" spans="1:10" ht="15" hidden="1" x14ac:dyDescent="0.35">
      <c r="A1193" s="1831" t="s">
        <v>2529</v>
      </c>
      <c r="B1193" s="1839" t="s">
        <v>2530</v>
      </c>
      <c r="C1193" s="1839" t="s">
        <v>420</v>
      </c>
      <c r="D1193" s="1839" t="s">
        <v>2531</v>
      </c>
      <c r="E1193" s="1840">
        <v>45383</v>
      </c>
      <c r="F1193" s="1840"/>
      <c r="G1193" s="1839" t="s">
        <v>500</v>
      </c>
      <c r="H1193" s="1839" t="s">
        <v>1078</v>
      </c>
      <c r="I1193" s="1831" t="s">
        <v>1061</v>
      </c>
      <c r="J1193" s="1831"/>
    </row>
    <row r="1194" spans="1:10" ht="15" hidden="1" x14ac:dyDescent="0.35">
      <c r="A1194" s="8" t="s">
        <v>2532</v>
      </c>
      <c r="B1194" t="s">
        <v>2533</v>
      </c>
      <c r="C1194" t="s">
        <v>457</v>
      </c>
      <c r="D1194" t="s">
        <v>2534</v>
      </c>
      <c r="E1194" s="9">
        <v>45993</v>
      </c>
      <c r="F1194" s="9">
        <v>46064</v>
      </c>
      <c r="G1194" t="s">
        <v>494</v>
      </c>
      <c r="H1194" t="s">
        <v>1060</v>
      </c>
      <c r="I1194" t="s">
        <v>1061</v>
      </c>
      <c r="J1194"/>
    </row>
    <row r="1195" spans="1:10" ht="15" hidden="1" x14ac:dyDescent="0.35">
      <c r="A1195" s="1831" t="s">
        <v>2535</v>
      </c>
      <c r="B1195" s="1839" t="s">
        <v>2536</v>
      </c>
      <c r="C1195" s="1839" t="s">
        <v>411</v>
      </c>
      <c r="D1195" s="1839" t="s">
        <v>2537</v>
      </c>
      <c r="E1195" s="1840">
        <v>46008</v>
      </c>
      <c r="F1195" s="1840"/>
      <c r="G1195" s="1839" t="s">
        <v>500</v>
      </c>
      <c r="H1195" s="1839" t="s">
        <v>1065</v>
      </c>
      <c r="I1195" s="1831" t="s">
        <v>1066</v>
      </c>
      <c r="J1195" s="1831"/>
    </row>
    <row r="1196" spans="1:10" ht="15" hidden="1" x14ac:dyDescent="0.35">
      <c r="A1196" s="1831" t="s">
        <v>2538</v>
      </c>
      <c r="B1196" s="1839" t="s">
        <v>2539</v>
      </c>
      <c r="C1196" s="1839" t="s">
        <v>420</v>
      </c>
      <c r="D1196" s="1839" t="s">
        <v>2540</v>
      </c>
      <c r="E1196" s="1840">
        <v>45713</v>
      </c>
      <c r="F1196" s="1840"/>
      <c r="G1196" s="1839" t="s">
        <v>500</v>
      </c>
      <c r="H1196" s="1839" t="s">
        <v>1093</v>
      </c>
      <c r="I1196" s="1831" t="s">
        <v>1066</v>
      </c>
      <c r="J1196" s="1831"/>
    </row>
    <row r="1197" spans="1:10" ht="15" hidden="1" x14ac:dyDescent="0.35">
      <c r="A1197" s="1831" t="s">
        <v>2541</v>
      </c>
      <c r="B1197" s="1839" t="s">
        <v>2542</v>
      </c>
      <c r="C1197" s="1839" t="s">
        <v>578</v>
      </c>
      <c r="D1197" s="1839" t="s">
        <v>2543</v>
      </c>
      <c r="E1197" s="1840">
        <v>45721</v>
      </c>
      <c r="F1197" s="1840"/>
      <c r="G1197" s="1839" t="s">
        <v>500</v>
      </c>
      <c r="H1197" s="1839" t="s">
        <v>1060</v>
      </c>
      <c r="I1197" s="1831" t="s">
        <v>1061</v>
      </c>
      <c r="J1197" s="1831"/>
    </row>
    <row r="1198" spans="1:10" ht="15" hidden="1" x14ac:dyDescent="0.35">
      <c r="A1198" s="1831" t="s">
        <v>2544</v>
      </c>
      <c r="B1198" s="1839" t="s">
        <v>2545</v>
      </c>
      <c r="C1198" s="1839" t="s">
        <v>425</v>
      </c>
      <c r="D1198" s="1839" t="s">
        <v>2546</v>
      </c>
      <c r="E1198" s="1840">
        <v>45721</v>
      </c>
      <c r="F1198" s="1840"/>
      <c r="G1198" s="1839" t="s">
        <v>500</v>
      </c>
      <c r="H1198" s="1839" t="s">
        <v>1060</v>
      </c>
      <c r="I1198" s="1831" t="s">
        <v>1061</v>
      </c>
      <c r="J1198" s="1831"/>
    </row>
    <row r="1199" spans="1:10" ht="15" hidden="1" x14ac:dyDescent="0.35">
      <c r="A1199" s="1831" t="s">
        <v>2547</v>
      </c>
      <c r="B1199" s="1839" t="s">
        <v>2548</v>
      </c>
      <c r="C1199" s="1839" t="s">
        <v>2549</v>
      </c>
      <c r="D1199" s="1839" t="s">
        <v>2550</v>
      </c>
      <c r="E1199" s="1840">
        <v>45779</v>
      </c>
      <c r="F1199" s="1840"/>
      <c r="G1199" s="1839" t="s">
        <v>500</v>
      </c>
      <c r="H1199" s="1839" t="s">
        <v>1060</v>
      </c>
      <c r="I1199" s="1831" t="s">
        <v>1061</v>
      </c>
      <c r="J1199" s="1831"/>
    </row>
    <row r="1200" spans="1:10" ht="15" hidden="1" x14ac:dyDescent="0.35">
      <c r="A1200" s="1831" t="s">
        <v>2551</v>
      </c>
      <c r="B1200" s="1839" t="s">
        <v>2552</v>
      </c>
      <c r="C1200" s="1839" t="s">
        <v>1213</v>
      </c>
      <c r="D1200" s="1839" t="s">
        <v>2553</v>
      </c>
      <c r="E1200" s="1840">
        <v>44896</v>
      </c>
      <c r="F1200" s="1840"/>
      <c r="G1200" s="1839" t="s">
        <v>500</v>
      </c>
      <c r="H1200" s="1839" t="s">
        <v>1065</v>
      </c>
      <c r="I1200" s="1831" t="s">
        <v>1066</v>
      </c>
      <c r="J1200" s="1831"/>
    </row>
    <row r="1201" spans="1:10" ht="15" hidden="1" x14ac:dyDescent="0.35">
      <c r="A1201" s="1831" t="s">
        <v>2554</v>
      </c>
      <c r="B1201" s="1839" t="s">
        <v>2555</v>
      </c>
      <c r="C1201" s="1839" t="s">
        <v>420</v>
      </c>
      <c r="D1201" s="1839" t="s">
        <v>2556</v>
      </c>
      <c r="E1201" s="1840">
        <v>45722</v>
      </c>
      <c r="F1201" s="1840"/>
      <c r="G1201" s="1839" t="s">
        <v>500</v>
      </c>
      <c r="H1201" s="1839" t="s">
        <v>1078</v>
      </c>
      <c r="I1201" s="1831" t="s">
        <v>1061</v>
      </c>
      <c r="J1201" s="1831"/>
    </row>
    <row r="1202" spans="1:10" ht="15" hidden="1" x14ac:dyDescent="0.35">
      <c r="A1202" s="1831" t="s">
        <v>2557</v>
      </c>
      <c r="B1202" s="1839" t="s">
        <v>2558</v>
      </c>
      <c r="C1202" s="1839" t="s">
        <v>438</v>
      </c>
      <c r="D1202" s="1839" t="s">
        <v>2559</v>
      </c>
      <c r="E1202" s="1840">
        <v>45729</v>
      </c>
      <c r="F1202" s="1840"/>
      <c r="G1202" s="1839" t="s">
        <v>500</v>
      </c>
      <c r="H1202" s="1839" t="s">
        <v>1065</v>
      </c>
      <c r="I1202" s="1831" t="s">
        <v>1066</v>
      </c>
      <c r="J1202" s="1831"/>
    </row>
    <row r="1203" spans="1:10" ht="15" hidden="1" x14ac:dyDescent="0.35">
      <c r="A1203" s="1831" t="s">
        <v>2560</v>
      </c>
      <c r="B1203" s="1839" t="s">
        <v>2561</v>
      </c>
      <c r="C1203" s="1839" t="s">
        <v>578</v>
      </c>
      <c r="D1203" s="1839" t="s">
        <v>2562</v>
      </c>
      <c r="E1203" s="1840">
        <v>45721</v>
      </c>
      <c r="F1203" s="1840"/>
      <c r="G1203" s="1839" t="s">
        <v>500</v>
      </c>
      <c r="H1203" s="1839" t="s">
        <v>1060</v>
      </c>
      <c r="I1203" s="1831" t="s">
        <v>1061</v>
      </c>
      <c r="J1203" s="1831"/>
    </row>
    <row r="1204" spans="1:10" ht="15" hidden="1" x14ac:dyDescent="0.35">
      <c r="A1204" s="1831" t="s">
        <v>2563</v>
      </c>
      <c r="B1204" s="1839" t="s">
        <v>2564</v>
      </c>
      <c r="C1204" s="1839" t="s">
        <v>578</v>
      </c>
      <c r="D1204" s="1839" t="s">
        <v>2565</v>
      </c>
      <c r="E1204" s="1840">
        <v>45713</v>
      </c>
      <c r="F1204" s="1840"/>
      <c r="G1204" s="1839" t="s">
        <v>525</v>
      </c>
      <c r="H1204" s="1839" t="s">
        <v>1065</v>
      </c>
      <c r="I1204" s="1831" t="s">
        <v>1066</v>
      </c>
      <c r="J1204" s="1831"/>
    </row>
    <row r="1205" spans="1:10" ht="15" hidden="1" x14ac:dyDescent="0.35">
      <c r="A1205" s="8" t="s">
        <v>2566</v>
      </c>
      <c r="B1205" t="s">
        <v>2567</v>
      </c>
      <c r="C1205" t="s">
        <v>1144</v>
      </c>
      <c r="D1205" t="s">
        <v>2568</v>
      </c>
      <c r="E1205" s="9">
        <v>45524</v>
      </c>
      <c r="F1205" s="9">
        <v>45910</v>
      </c>
      <c r="G1205" t="s">
        <v>494</v>
      </c>
      <c r="H1205" t="s">
        <v>1060</v>
      </c>
      <c r="I1205" t="s">
        <v>1061</v>
      </c>
      <c r="J1205"/>
    </row>
    <row r="1206" spans="1:10" ht="15" hidden="1" x14ac:dyDescent="0.35">
      <c r="A1206" s="1831" t="s">
        <v>2569</v>
      </c>
      <c r="B1206" s="1839" t="s">
        <v>2570</v>
      </c>
      <c r="C1206" s="1839" t="s">
        <v>591</v>
      </c>
      <c r="D1206" s="1839" t="s">
        <v>2571</v>
      </c>
      <c r="E1206" s="1840">
        <v>45849</v>
      </c>
      <c r="F1206" s="1840"/>
      <c r="G1206" s="1839" t="s">
        <v>500</v>
      </c>
      <c r="H1206" s="1839" t="s">
        <v>1093</v>
      </c>
      <c r="I1206" s="1831" t="s">
        <v>1066</v>
      </c>
      <c r="J1206" s="1831"/>
    </row>
    <row r="1207" spans="1:10" ht="15" hidden="1" x14ac:dyDescent="0.35">
      <c r="A1207" s="1831" t="s">
        <v>2572</v>
      </c>
      <c r="B1207" s="1839" t="s">
        <v>2573</v>
      </c>
      <c r="C1207" s="1839" t="s">
        <v>451</v>
      </c>
      <c r="D1207" s="1839" t="s">
        <v>2574</v>
      </c>
      <c r="E1207" s="1840">
        <v>45713</v>
      </c>
      <c r="F1207" s="1840"/>
      <c r="G1207" s="1839" t="s">
        <v>500</v>
      </c>
      <c r="H1207" s="1839" t="s">
        <v>1060</v>
      </c>
      <c r="I1207" s="1831" t="s">
        <v>1061</v>
      </c>
      <c r="J1207" s="1831"/>
    </row>
    <row r="1208" spans="1:10" ht="15" hidden="1" x14ac:dyDescent="0.35">
      <c r="A1208" s="8" t="s">
        <v>2575</v>
      </c>
      <c r="B1208" t="s">
        <v>2576</v>
      </c>
      <c r="C1208" t="s">
        <v>420</v>
      </c>
      <c r="D1208" t="s">
        <v>2577</v>
      </c>
      <c r="E1208" s="9">
        <v>45485</v>
      </c>
      <c r="F1208" s="9">
        <v>45950</v>
      </c>
      <c r="G1208" t="s">
        <v>494</v>
      </c>
      <c r="H1208" t="s">
        <v>1093</v>
      </c>
      <c r="I1208" t="s">
        <v>1066</v>
      </c>
      <c r="J1208"/>
    </row>
    <row r="1209" spans="1:10" ht="15" hidden="1" x14ac:dyDescent="0.35">
      <c r="A1209" s="1831" t="s">
        <v>2578</v>
      </c>
      <c r="B1209" s="1839" t="s">
        <v>2579</v>
      </c>
      <c r="C1209" s="1839" t="s">
        <v>410</v>
      </c>
      <c r="D1209" s="1839" t="s">
        <v>2580</v>
      </c>
      <c r="E1209" s="1840">
        <v>45828</v>
      </c>
      <c r="F1209" s="1840"/>
      <c r="G1209" s="1839" t="s">
        <v>500</v>
      </c>
      <c r="H1209" s="1839" t="s">
        <v>1060</v>
      </c>
      <c r="I1209" s="1831" t="s">
        <v>1061</v>
      </c>
      <c r="J1209" s="1831"/>
    </row>
    <row r="1210" spans="1:10" ht="15" hidden="1" x14ac:dyDescent="0.35">
      <c r="A1210" s="1831" t="s">
        <v>2581</v>
      </c>
      <c r="B1210" s="1839" t="s">
        <v>2582</v>
      </c>
      <c r="C1210" s="1839" t="s">
        <v>1144</v>
      </c>
      <c r="D1210" s="1839" t="s">
        <v>2583</v>
      </c>
      <c r="E1210" s="1840">
        <v>45880</v>
      </c>
      <c r="F1210" s="1840"/>
      <c r="G1210" s="1839" t="s">
        <v>500</v>
      </c>
      <c r="H1210" s="1839" t="s">
        <v>1065</v>
      </c>
      <c r="I1210" s="1831" t="s">
        <v>1066</v>
      </c>
      <c r="J1210" s="1831"/>
    </row>
    <row r="1211" spans="1:10" ht="15" hidden="1" x14ac:dyDescent="0.35">
      <c r="A1211" s="1831" t="s">
        <v>2584</v>
      </c>
      <c r="B1211" s="1839" t="s">
        <v>2585</v>
      </c>
      <c r="C1211" s="1839" t="s">
        <v>420</v>
      </c>
      <c r="D1211" s="1839" t="s">
        <v>2586</v>
      </c>
      <c r="E1211" s="1840">
        <v>46099</v>
      </c>
      <c r="F1211" s="1840"/>
      <c r="G1211" s="1839" t="s">
        <v>500</v>
      </c>
      <c r="H1211" s="1839" t="s">
        <v>1078</v>
      </c>
      <c r="I1211" s="1831" t="s">
        <v>1061</v>
      </c>
      <c r="J1211" s="1831"/>
    </row>
    <row r="1212" spans="1:10" ht="15" hidden="1" x14ac:dyDescent="0.35">
      <c r="A1212" s="8" t="s">
        <v>2587</v>
      </c>
      <c r="B1212" t="s">
        <v>2588</v>
      </c>
      <c r="C1212" t="s">
        <v>1144</v>
      </c>
      <c r="D1212" t="s">
        <v>2589</v>
      </c>
      <c r="E1212" s="9">
        <v>45721</v>
      </c>
      <c r="F1212" s="9">
        <v>45950</v>
      </c>
      <c r="G1212" t="s">
        <v>494</v>
      </c>
      <c r="H1212" t="s">
        <v>1065</v>
      </c>
      <c r="I1212" t="s">
        <v>1066</v>
      </c>
      <c r="J1212"/>
    </row>
    <row r="1213" spans="1:10" ht="15" hidden="1" x14ac:dyDescent="0.35">
      <c r="A1213" s="1831" t="s">
        <v>2590</v>
      </c>
      <c r="B1213" s="1839" t="s">
        <v>2591</v>
      </c>
      <c r="C1213" s="1839" t="s">
        <v>416</v>
      </c>
      <c r="D1213" s="1839" t="s">
        <v>2592</v>
      </c>
      <c r="E1213" s="1840">
        <v>46121</v>
      </c>
      <c r="F1213" s="1840"/>
      <c r="G1213" s="1839" t="s">
        <v>500</v>
      </c>
      <c r="H1213" s="1839" t="s">
        <v>1078</v>
      </c>
      <c r="I1213" s="1831" t="s">
        <v>1061</v>
      </c>
      <c r="J1213" s="1831"/>
    </row>
    <row r="1214" spans="1:10" ht="15" hidden="1" x14ac:dyDescent="0.35">
      <c r="A1214" s="1831" t="s">
        <v>2593</v>
      </c>
      <c r="B1214" s="1839" t="s">
        <v>2594</v>
      </c>
      <c r="C1214" s="1839" t="s">
        <v>410</v>
      </c>
      <c r="D1214" s="1839" t="s">
        <v>2595</v>
      </c>
      <c r="E1214" s="1840">
        <v>46121</v>
      </c>
      <c r="F1214" s="1840"/>
      <c r="G1214" s="1839" t="s">
        <v>500</v>
      </c>
      <c r="H1214" s="1839" t="s">
        <v>1060</v>
      </c>
      <c r="I1214" s="1831" t="s">
        <v>1061</v>
      </c>
      <c r="J1214" s="1831"/>
    </row>
    <row r="1215" spans="1:10" ht="15" hidden="1" x14ac:dyDescent="0.35">
      <c r="A1215" s="1831" t="s">
        <v>2596</v>
      </c>
      <c r="B1215" s="1839" t="s">
        <v>2597</v>
      </c>
      <c r="C1215" s="1839" t="s">
        <v>425</v>
      </c>
      <c r="D1215" s="1839" t="s">
        <v>2598</v>
      </c>
      <c r="E1215" s="1840">
        <v>45821</v>
      </c>
      <c r="F1215" s="1840"/>
      <c r="G1215" s="1839" t="s">
        <v>500</v>
      </c>
      <c r="H1215" s="1839" t="s">
        <v>1065</v>
      </c>
      <c r="I1215" s="1831" t="s">
        <v>1066</v>
      </c>
      <c r="J1215" s="1831"/>
    </row>
    <row r="1216" spans="1:10" ht="15" hidden="1" x14ac:dyDescent="0.35">
      <c r="A1216" s="1831" t="s">
        <v>2599</v>
      </c>
      <c r="B1216" s="1839" t="s">
        <v>2600</v>
      </c>
      <c r="C1216" s="1839" t="s">
        <v>443</v>
      </c>
      <c r="D1216" s="1839" t="s">
        <v>2601</v>
      </c>
      <c r="E1216" s="1840">
        <v>45377</v>
      </c>
      <c r="F1216" s="1840"/>
      <c r="G1216" s="1839" t="s">
        <v>500</v>
      </c>
      <c r="H1216" s="1839" t="s">
        <v>1060</v>
      </c>
      <c r="I1216" s="1831" t="s">
        <v>1061</v>
      </c>
      <c r="J1216" s="1831"/>
    </row>
    <row r="1217" spans="1:10" ht="15" hidden="1" x14ac:dyDescent="0.35">
      <c r="A1217" s="1831" t="s">
        <v>2602</v>
      </c>
      <c r="B1217" s="1839" t="s">
        <v>2603</v>
      </c>
      <c r="C1217" s="1839" t="s">
        <v>409</v>
      </c>
      <c r="D1217" s="1839" t="s">
        <v>2604</v>
      </c>
      <c r="E1217" s="1840">
        <v>45854</v>
      </c>
      <c r="F1217" s="1840"/>
      <c r="G1217" s="1839" t="s">
        <v>500</v>
      </c>
      <c r="H1217" s="1839" t="s">
        <v>1060</v>
      </c>
      <c r="I1217" s="1831" t="s">
        <v>1061</v>
      </c>
      <c r="J1217" s="1831"/>
    </row>
    <row r="1218" spans="1:10" ht="15" hidden="1" x14ac:dyDescent="0.35">
      <c r="A1218" s="1831" t="s">
        <v>2605</v>
      </c>
      <c r="B1218" s="1839" t="s">
        <v>2606</v>
      </c>
      <c r="C1218" s="1839" t="s">
        <v>410</v>
      </c>
      <c r="D1218" s="1839" t="s">
        <v>2607</v>
      </c>
      <c r="E1218" s="1840">
        <v>45722</v>
      </c>
      <c r="F1218" s="1840"/>
      <c r="G1218" s="1839" t="s">
        <v>500</v>
      </c>
      <c r="H1218" s="1839" t="s">
        <v>1060</v>
      </c>
      <c r="I1218" s="1831" t="s">
        <v>1061</v>
      </c>
      <c r="J1218" s="1831"/>
    </row>
    <row r="1219" spans="1:10" ht="15" hidden="1" x14ac:dyDescent="0.35">
      <c r="A1219" s="1831" t="s">
        <v>2608</v>
      </c>
      <c r="B1219" s="1839" t="s">
        <v>2609</v>
      </c>
      <c r="C1219" s="1839" t="s">
        <v>410</v>
      </c>
      <c r="D1219" s="1839" t="s">
        <v>2610</v>
      </c>
      <c r="E1219" s="1840">
        <v>45420</v>
      </c>
      <c r="F1219" s="1840"/>
      <c r="G1219" s="1839" t="s">
        <v>500</v>
      </c>
      <c r="H1219" s="1839" t="s">
        <v>1065</v>
      </c>
      <c r="I1219" s="1831" t="s">
        <v>1066</v>
      </c>
      <c r="J1219" s="1831"/>
    </row>
    <row r="1220" spans="1:10" ht="15" hidden="1" x14ac:dyDescent="0.35">
      <c r="A1220" s="8" t="s">
        <v>2611</v>
      </c>
      <c r="B1220" t="s">
        <v>2612</v>
      </c>
      <c r="C1220" t="s">
        <v>2613</v>
      </c>
      <c r="D1220" t="s">
        <v>2614</v>
      </c>
      <c r="E1220" s="9">
        <v>46027</v>
      </c>
      <c r="F1220" s="9">
        <v>46149</v>
      </c>
      <c r="G1220" t="s">
        <v>494</v>
      </c>
      <c r="H1220" t="s">
        <v>1078</v>
      </c>
      <c r="I1220" t="s">
        <v>1061</v>
      </c>
      <c r="J1220"/>
    </row>
    <row r="1221" spans="1:10" ht="15" hidden="1" x14ac:dyDescent="0.35">
      <c r="A1221" s="1831" t="s">
        <v>2615</v>
      </c>
      <c r="B1221" s="1839" t="s">
        <v>2616</v>
      </c>
      <c r="C1221" s="1839" t="s">
        <v>763</v>
      </c>
      <c r="D1221" s="1839" t="s">
        <v>2617</v>
      </c>
      <c r="E1221" s="1840">
        <v>44768</v>
      </c>
      <c r="F1221" s="1840"/>
      <c r="G1221" s="1839" t="s">
        <v>500</v>
      </c>
      <c r="H1221" s="1839" t="s">
        <v>1065</v>
      </c>
      <c r="I1221" s="1831" t="s">
        <v>1066</v>
      </c>
      <c r="J1221" s="1831"/>
    </row>
    <row r="1222" spans="1:10" ht="15" hidden="1" x14ac:dyDescent="0.35">
      <c r="A1222" s="8" t="s">
        <v>2618</v>
      </c>
      <c r="B1222" t="s">
        <v>2619</v>
      </c>
      <c r="C1222" t="s">
        <v>2479</v>
      </c>
      <c r="D1222" t="s">
        <v>2620</v>
      </c>
      <c r="E1222" s="9">
        <v>45553</v>
      </c>
      <c r="F1222" s="9">
        <v>45814</v>
      </c>
      <c r="G1222" t="s">
        <v>494</v>
      </c>
      <c r="H1222" t="s">
        <v>1060</v>
      </c>
      <c r="I1222" t="s">
        <v>1061</v>
      </c>
      <c r="J1222"/>
    </row>
    <row r="1223" spans="1:10" ht="15" hidden="1" x14ac:dyDescent="0.35">
      <c r="A1223" s="1831" t="s">
        <v>2621</v>
      </c>
      <c r="B1223" s="1839" t="s">
        <v>2622</v>
      </c>
      <c r="C1223" s="1839" t="s">
        <v>2623</v>
      </c>
      <c r="D1223" s="1839" t="s">
        <v>2624</v>
      </c>
      <c r="E1223" s="1840">
        <v>44683</v>
      </c>
      <c r="F1223" s="1840"/>
      <c r="G1223" s="1839" t="s">
        <v>500</v>
      </c>
      <c r="H1223" s="1839" t="s">
        <v>1060</v>
      </c>
      <c r="I1223" s="1831" t="s">
        <v>1061</v>
      </c>
      <c r="J1223" s="1831"/>
    </row>
    <row r="1224" spans="1:10" ht="15" hidden="1" x14ac:dyDescent="0.35">
      <c r="A1224" s="1831" t="s">
        <v>2625</v>
      </c>
      <c r="B1224" s="1839" t="s">
        <v>2626</v>
      </c>
      <c r="C1224" s="1839" t="s">
        <v>2627</v>
      </c>
      <c r="D1224" s="1839" t="s">
        <v>2628</v>
      </c>
      <c r="E1224" s="1840">
        <v>45446</v>
      </c>
      <c r="F1224" s="1840"/>
      <c r="G1224" s="1839" t="s">
        <v>500</v>
      </c>
      <c r="H1224" s="1839" t="s">
        <v>1060</v>
      </c>
      <c r="I1224" s="1831" t="s">
        <v>1061</v>
      </c>
      <c r="J1224" s="1831"/>
    </row>
    <row r="1225" spans="1:10" ht="15" hidden="1" x14ac:dyDescent="0.35">
      <c r="A1225" s="1831" t="s">
        <v>2629</v>
      </c>
      <c r="B1225" s="1839" t="s">
        <v>2630</v>
      </c>
      <c r="C1225" s="1839" t="s">
        <v>578</v>
      </c>
      <c r="D1225" s="1839" t="s">
        <v>2631</v>
      </c>
      <c r="E1225" s="1840">
        <v>45131</v>
      </c>
      <c r="F1225" s="1840"/>
      <c r="G1225" s="1839" t="s">
        <v>525</v>
      </c>
      <c r="H1225" s="1839" t="s">
        <v>1060</v>
      </c>
      <c r="I1225" s="1831" t="s">
        <v>1061</v>
      </c>
      <c r="J1225" s="1831"/>
    </row>
    <row r="1226" spans="1:10" ht="15" hidden="1" x14ac:dyDescent="0.35">
      <c r="A1226" s="8" t="s">
        <v>2632</v>
      </c>
      <c r="B1226" t="s">
        <v>2633</v>
      </c>
      <c r="C1226" t="s">
        <v>578</v>
      </c>
      <c r="D1226" t="s">
        <v>2634</v>
      </c>
      <c r="E1226" s="9">
        <v>45614</v>
      </c>
      <c r="F1226" s="9">
        <v>45901</v>
      </c>
      <c r="G1226" t="s">
        <v>494</v>
      </c>
      <c r="H1226" t="s">
        <v>1060</v>
      </c>
      <c r="I1226" t="s">
        <v>1061</v>
      </c>
      <c r="J1226"/>
    </row>
    <row r="1227" spans="1:10" ht="15" hidden="1" x14ac:dyDescent="0.35">
      <c r="A1227" s="8" t="s">
        <v>2635</v>
      </c>
      <c r="B1227" t="s">
        <v>2636</v>
      </c>
      <c r="C1227" t="s">
        <v>1088</v>
      </c>
      <c r="D1227" t="s">
        <v>2637</v>
      </c>
      <c r="E1227" s="9">
        <v>45889</v>
      </c>
      <c r="G1227" t="s">
        <v>634</v>
      </c>
      <c r="H1227" t="s">
        <v>1065</v>
      </c>
      <c r="I1227" t="s">
        <v>1066</v>
      </c>
      <c r="J1227"/>
    </row>
    <row r="1228" spans="1:10" ht="15" hidden="1" x14ac:dyDescent="0.35">
      <c r="A1228" s="1831" t="s">
        <v>2638</v>
      </c>
      <c r="B1228" s="1839" t="s">
        <v>2639</v>
      </c>
      <c r="C1228" s="1839" t="s">
        <v>578</v>
      </c>
      <c r="D1228" s="1839" t="s">
        <v>2640</v>
      </c>
      <c r="E1228" s="1840">
        <v>46064</v>
      </c>
      <c r="F1228" s="1840"/>
      <c r="G1228" s="1839" t="s">
        <v>500</v>
      </c>
      <c r="H1228" s="1839" t="s">
        <v>1060</v>
      </c>
      <c r="I1228" s="1831" t="s">
        <v>1061</v>
      </c>
      <c r="J1228" s="1831"/>
    </row>
    <row r="1229" spans="1:10" ht="15" hidden="1" x14ac:dyDescent="0.35">
      <c r="A1229" s="1831" t="s">
        <v>2641</v>
      </c>
      <c r="B1229" s="1839" t="s">
        <v>2642</v>
      </c>
      <c r="C1229" s="1839" t="s">
        <v>420</v>
      </c>
      <c r="D1229" s="1839" t="s">
        <v>2643</v>
      </c>
      <c r="E1229" s="1840">
        <v>45419</v>
      </c>
      <c r="F1229" s="1840"/>
      <c r="G1229" s="1839" t="s">
        <v>500</v>
      </c>
      <c r="H1229" s="1839" t="s">
        <v>1093</v>
      </c>
      <c r="I1229" s="1831" t="s">
        <v>1066</v>
      </c>
      <c r="J1229" s="1831"/>
    </row>
    <row r="1230" spans="1:10" ht="15" hidden="1" x14ac:dyDescent="0.35">
      <c r="A1230" s="1831" t="s">
        <v>2644</v>
      </c>
      <c r="B1230" s="1839" t="s">
        <v>2645</v>
      </c>
      <c r="C1230" s="1839" t="s">
        <v>444</v>
      </c>
      <c r="D1230" s="1839" t="s">
        <v>2646</v>
      </c>
      <c r="E1230" s="1840">
        <v>44756</v>
      </c>
      <c r="F1230" s="1840"/>
      <c r="G1230" s="1839" t="s">
        <v>500</v>
      </c>
      <c r="H1230" s="1839" t="s">
        <v>1065</v>
      </c>
      <c r="I1230" s="1831" t="s">
        <v>1066</v>
      </c>
      <c r="J1230" s="1831"/>
    </row>
    <row r="1231" spans="1:10" ht="15" hidden="1" x14ac:dyDescent="0.35">
      <c r="A1231" s="1831" t="s">
        <v>2647</v>
      </c>
      <c r="B1231" s="1839" t="s">
        <v>2648</v>
      </c>
      <c r="C1231" s="1839" t="s">
        <v>420</v>
      </c>
      <c r="D1231" s="1839" t="s">
        <v>2649</v>
      </c>
      <c r="E1231" s="1840">
        <v>45390</v>
      </c>
      <c r="F1231" s="1840"/>
      <c r="G1231" s="1839" t="s">
        <v>500</v>
      </c>
      <c r="H1231" s="1839" t="s">
        <v>1078</v>
      </c>
      <c r="I1231" s="1831" t="s">
        <v>1061</v>
      </c>
      <c r="J1231" s="1831"/>
    </row>
    <row r="1232" spans="1:10" ht="15" hidden="1" x14ac:dyDescent="0.35">
      <c r="A1232" s="1831" t="s">
        <v>2650</v>
      </c>
      <c r="B1232" s="1839" t="s">
        <v>2651</v>
      </c>
      <c r="C1232" s="1839" t="s">
        <v>421</v>
      </c>
      <c r="D1232" s="1839" t="s">
        <v>2652</v>
      </c>
      <c r="E1232" s="1840">
        <v>46127</v>
      </c>
      <c r="F1232" s="1840"/>
      <c r="G1232" s="1839" t="s">
        <v>500</v>
      </c>
      <c r="H1232" s="1839" t="s">
        <v>1060</v>
      </c>
      <c r="I1232" s="1831" t="s">
        <v>1061</v>
      </c>
      <c r="J1232" s="1831"/>
    </row>
    <row r="1233" spans="1:10" ht="15" hidden="1" x14ac:dyDescent="0.35">
      <c r="A1233" s="1831" t="s">
        <v>2653</v>
      </c>
      <c r="B1233" s="1839" t="s">
        <v>2654</v>
      </c>
      <c r="C1233" s="1839" t="s">
        <v>425</v>
      </c>
      <c r="D1233" s="1839" t="s">
        <v>2655</v>
      </c>
      <c r="E1233" s="1840">
        <v>45722</v>
      </c>
      <c r="F1233" s="1840"/>
      <c r="G1233" s="1839" t="s">
        <v>500</v>
      </c>
      <c r="H1233" s="1839" t="s">
        <v>1065</v>
      </c>
      <c r="I1233" s="1831" t="s">
        <v>1066</v>
      </c>
      <c r="J1233" s="1831"/>
    </row>
    <row r="1234" spans="1:10" ht="15" hidden="1" x14ac:dyDescent="0.35">
      <c r="A1234" s="1831" t="s">
        <v>2656</v>
      </c>
      <c r="B1234" s="1839" t="s">
        <v>2657</v>
      </c>
      <c r="C1234" s="1839" t="s">
        <v>421</v>
      </c>
      <c r="D1234" s="1839" t="s">
        <v>2658</v>
      </c>
      <c r="E1234" s="1840">
        <v>45485</v>
      </c>
      <c r="F1234" s="1840"/>
      <c r="G1234" s="1839" t="s">
        <v>500</v>
      </c>
      <c r="H1234" s="1839" t="s">
        <v>1060</v>
      </c>
      <c r="I1234" s="1831" t="s">
        <v>1061</v>
      </c>
      <c r="J1234" s="1831"/>
    </row>
    <row r="1235" spans="1:10" ht="15" hidden="1" x14ac:dyDescent="0.35">
      <c r="A1235" s="1831" t="s">
        <v>2659</v>
      </c>
      <c r="B1235" s="1839" t="s">
        <v>2660</v>
      </c>
      <c r="C1235" s="1839" t="s">
        <v>1088</v>
      </c>
      <c r="D1235" s="1839" t="s">
        <v>2661</v>
      </c>
      <c r="E1235" s="1840">
        <v>45419</v>
      </c>
      <c r="F1235" s="1840"/>
      <c r="G1235" s="1839" t="s">
        <v>500</v>
      </c>
      <c r="H1235" s="1839" t="s">
        <v>1065</v>
      </c>
      <c r="I1235" s="1831" t="s">
        <v>1066</v>
      </c>
      <c r="J1235" s="1831"/>
    </row>
    <row r="1236" spans="1:10" ht="15" hidden="1" x14ac:dyDescent="0.35">
      <c r="A1236" s="8" t="s">
        <v>2662</v>
      </c>
      <c r="B1236" t="s">
        <v>2663</v>
      </c>
      <c r="C1236" t="s">
        <v>1291</v>
      </c>
      <c r="D1236" t="s">
        <v>2664</v>
      </c>
      <c r="E1236" s="9">
        <v>45721</v>
      </c>
      <c r="F1236" s="9">
        <v>45791</v>
      </c>
      <c r="G1236" t="s">
        <v>494</v>
      </c>
      <c r="H1236" t="s">
        <v>1060</v>
      </c>
      <c r="I1236" t="s">
        <v>1061</v>
      </c>
      <c r="J1236"/>
    </row>
    <row r="1237" spans="1:10" ht="15" hidden="1" x14ac:dyDescent="0.35">
      <c r="A1237" s="1831" t="s">
        <v>2665</v>
      </c>
      <c r="B1237" s="1839" t="s">
        <v>2666</v>
      </c>
      <c r="C1237" s="1839" t="s">
        <v>440</v>
      </c>
      <c r="D1237" s="1839" t="s">
        <v>2667</v>
      </c>
      <c r="E1237" s="1840">
        <v>45750</v>
      </c>
      <c r="F1237" s="1840"/>
      <c r="G1237" s="1839" t="s">
        <v>500</v>
      </c>
      <c r="H1237" s="1839" t="s">
        <v>1060</v>
      </c>
      <c r="I1237" s="1831" t="s">
        <v>1061</v>
      </c>
      <c r="J1237" s="1831"/>
    </row>
    <row r="1238" spans="1:10" ht="15" hidden="1" x14ac:dyDescent="0.35">
      <c r="A1238" s="8" t="s">
        <v>2668</v>
      </c>
      <c r="B1238" t="s">
        <v>2669</v>
      </c>
      <c r="C1238" t="s">
        <v>457</v>
      </c>
      <c r="D1238" t="s">
        <v>2670</v>
      </c>
      <c r="E1238" s="9">
        <v>45551</v>
      </c>
      <c r="F1238" s="9">
        <v>45965</v>
      </c>
      <c r="G1238" t="s">
        <v>494</v>
      </c>
      <c r="H1238" t="s">
        <v>1060</v>
      </c>
      <c r="I1238" t="s">
        <v>1061</v>
      </c>
      <c r="J1238"/>
    </row>
    <row r="1239" spans="1:10" ht="15" hidden="1" x14ac:dyDescent="0.35">
      <c r="A1239" s="8" t="s">
        <v>2671</v>
      </c>
      <c r="B1239" t="s">
        <v>2672</v>
      </c>
      <c r="C1239" t="s">
        <v>420</v>
      </c>
      <c r="D1239" t="s">
        <v>2673</v>
      </c>
      <c r="E1239" s="9">
        <v>45544</v>
      </c>
      <c r="F1239" s="9">
        <v>45791</v>
      </c>
      <c r="G1239" t="s">
        <v>494</v>
      </c>
      <c r="H1239" t="s">
        <v>1078</v>
      </c>
      <c r="I1239" t="s">
        <v>1061</v>
      </c>
      <c r="J1239"/>
    </row>
    <row r="1240" spans="1:10" ht="15" hidden="1" x14ac:dyDescent="0.35">
      <c r="A1240" s="1831" t="s">
        <v>2674</v>
      </c>
      <c r="B1240" s="1839" t="s">
        <v>2675</v>
      </c>
      <c r="C1240" s="1839" t="s">
        <v>420</v>
      </c>
      <c r="D1240" s="1839" t="s">
        <v>2676</v>
      </c>
      <c r="E1240" s="1840">
        <v>45427</v>
      </c>
      <c r="F1240" s="1840"/>
      <c r="G1240" s="1839" t="s">
        <v>500</v>
      </c>
      <c r="H1240" s="1839" t="s">
        <v>1093</v>
      </c>
      <c r="I1240" s="1831" t="s">
        <v>1066</v>
      </c>
      <c r="J1240" s="1831"/>
    </row>
    <row r="1241" spans="1:10" ht="15" hidden="1" x14ac:dyDescent="0.35">
      <c r="A1241" s="8" t="s">
        <v>2677</v>
      </c>
      <c r="B1241" t="s">
        <v>2678</v>
      </c>
      <c r="C1241" t="s">
        <v>420</v>
      </c>
      <c r="D1241" t="s">
        <v>2679</v>
      </c>
      <c r="E1241" s="9">
        <v>45721</v>
      </c>
      <c r="F1241" s="9">
        <v>46086</v>
      </c>
      <c r="G1241" t="s">
        <v>494</v>
      </c>
      <c r="H1241" t="s">
        <v>1078</v>
      </c>
      <c r="I1241" t="s">
        <v>1061</v>
      </c>
      <c r="J1241"/>
    </row>
    <row r="1242" spans="1:10" ht="15" hidden="1" x14ac:dyDescent="0.35">
      <c r="A1242" s="8" t="s">
        <v>2680</v>
      </c>
      <c r="B1242" t="s">
        <v>2681</v>
      </c>
      <c r="C1242" t="s">
        <v>1677</v>
      </c>
      <c r="D1242" t="s">
        <v>2682</v>
      </c>
      <c r="E1242" s="9">
        <v>45707</v>
      </c>
      <c r="F1242" s="9">
        <v>45964</v>
      </c>
      <c r="G1242" t="s">
        <v>494</v>
      </c>
      <c r="H1242" t="s">
        <v>1065</v>
      </c>
      <c r="I1242" t="s">
        <v>1066</v>
      </c>
      <c r="J1242"/>
    </row>
    <row r="1243" spans="1:10" ht="15" hidden="1" x14ac:dyDescent="0.35">
      <c r="A1243" s="8" t="s">
        <v>2683</v>
      </c>
      <c r="B1243" t="s">
        <v>2684</v>
      </c>
      <c r="C1243" t="s">
        <v>606</v>
      </c>
      <c r="D1243" t="s">
        <v>2685</v>
      </c>
      <c r="E1243" s="9">
        <v>45707</v>
      </c>
      <c r="F1243" s="9">
        <v>45932</v>
      </c>
      <c r="G1243" t="s">
        <v>494</v>
      </c>
      <c r="H1243" t="s">
        <v>1065</v>
      </c>
      <c r="I1243" t="s">
        <v>1066</v>
      </c>
      <c r="J1243"/>
    </row>
    <row r="1244" spans="1:10" ht="15" hidden="1" x14ac:dyDescent="0.35">
      <c r="A1244" s="1831" t="s">
        <v>2686</v>
      </c>
      <c r="B1244" s="1839" t="s">
        <v>2687</v>
      </c>
      <c r="C1244" s="1839" t="s">
        <v>420</v>
      </c>
      <c r="D1244" s="1839" t="s">
        <v>2688</v>
      </c>
      <c r="E1244" s="1840">
        <v>45376</v>
      </c>
      <c r="F1244" s="1840"/>
      <c r="G1244" s="1839" t="s">
        <v>500</v>
      </c>
      <c r="H1244" s="1839" t="s">
        <v>1078</v>
      </c>
      <c r="I1244" s="1831" t="s">
        <v>1061</v>
      </c>
      <c r="J1244" s="1831"/>
    </row>
    <row r="1245" spans="1:10" ht="15" hidden="1" x14ac:dyDescent="0.35">
      <c r="A1245" s="8" t="s">
        <v>2689</v>
      </c>
      <c r="B1245" t="s">
        <v>2690</v>
      </c>
      <c r="C1245" t="s">
        <v>420</v>
      </c>
      <c r="D1245" t="s">
        <v>2691</v>
      </c>
      <c r="E1245" s="9">
        <v>45383</v>
      </c>
      <c r="F1245" s="9">
        <v>45847</v>
      </c>
      <c r="G1245" t="s">
        <v>494</v>
      </c>
      <c r="H1245" t="s">
        <v>1093</v>
      </c>
      <c r="I1245" t="s">
        <v>1066</v>
      </c>
      <c r="J1245"/>
    </row>
    <row r="1246" spans="1:10" ht="15" hidden="1" x14ac:dyDescent="0.35">
      <c r="A1246" s="1831" t="s">
        <v>2692</v>
      </c>
      <c r="B1246" s="1839" t="s">
        <v>2693</v>
      </c>
      <c r="C1246" s="1839" t="s">
        <v>2008</v>
      </c>
      <c r="D1246" s="1839" t="s">
        <v>2694</v>
      </c>
      <c r="E1246" s="1840">
        <v>45446</v>
      </c>
      <c r="F1246" s="1840"/>
      <c r="G1246" s="1839" t="s">
        <v>500</v>
      </c>
      <c r="H1246" s="1839" t="s">
        <v>1065</v>
      </c>
      <c r="I1246" s="1831" t="s">
        <v>1066</v>
      </c>
      <c r="J1246" s="1831"/>
    </row>
    <row r="1247" spans="1:10" ht="15" hidden="1" x14ac:dyDescent="0.35">
      <c r="A1247" s="1831" t="s">
        <v>2695</v>
      </c>
      <c r="B1247" s="1839" t="s">
        <v>2696</v>
      </c>
      <c r="C1247" s="1839" t="s">
        <v>433</v>
      </c>
      <c r="D1247" s="1839" t="s">
        <v>2697</v>
      </c>
      <c r="E1247" s="1840">
        <v>45993</v>
      </c>
      <c r="F1247" s="1840"/>
      <c r="G1247" s="1839" t="s">
        <v>500</v>
      </c>
      <c r="H1247" s="1839" t="s">
        <v>1093</v>
      </c>
      <c r="I1247" s="1831" t="s">
        <v>1066</v>
      </c>
      <c r="J1247" s="1831"/>
    </row>
    <row r="1248" spans="1:10" ht="15" hidden="1" x14ac:dyDescent="0.35">
      <c r="A1248" s="1831" t="s">
        <v>2698</v>
      </c>
      <c r="B1248" s="1839" t="s">
        <v>2699</v>
      </c>
      <c r="C1248" s="1839" t="s">
        <v>416</v>
      </c>
      <c r="D1248" s="1839" t="s">
        <v>2700</v>
      </c>
      <c r="E1248" s="1840">
        <v>45722</v>
      </c>
      <c r="F1248" s="1840"/>
      <c r="G1248" s="1839" t="s">
        <v>500</v>
      </c>
      <c r="H1248" s="1839" t="s">
        <v>1093</v>
      </c>
      <c r="I1248" s="1831" t="s">
        <v>1066</v>
      </c>
      <c r="J1248" s="1831"/>
    </row>
    <row r="1249" spans="1:10" ht="15" hidden="1" x14ac:dyDescent="0.35">
      <c r="A1249" s="8" t="s">
        <v>2701</v>
      </c>
      <c r="B1249" t="s">
        <v>2702</v>
      </c>
      <c r="C1249" t="s">
        <v>433</v>
      </c>
      <c r="D1249" t="s">
        <v>2703</v>
      </c>
      <c r="E1249" s="9">
        <v>45701</v>
      </c>
      <c r="F1249" s="9">
        <v>46041</v>
      </c>
      <c r="G1249" t="s">
        <v>494</v>
      </c>
      <c r="H1249" t="s">
        <v>1078</v>
      </c>
      <c r="I1249" t="s">
        <v>1061</v>
      </c>
      <c r="J1249"/>
    </row>
    <row r="1250" spans="1:10" ht="15" hidden="1" x14ac:dyDescent="0.35">
      <c r="A1250" s="1831" t="s">
        <v>2704</v>
      </c>
      <c r="B1250" s="1839" t="s">
        <v>2705</v>
      </c>
      <c r="C1250" s="1839" t="s">
        <v>433</v>
      </c>
      <c r="D1250" s="1839" t="s">
        <v>2706</v>
      </c>
      <c r="E1250" s="1840">
        <v>46128</v>
      </c>
      <c r="F1250" s="1840"/>
      <c r="G1250" s="1839" t="s">
        <v>500</v>
      </c>
      <c r="H1250" s="1839" t="s">
        <v>1093</v>
      </c>
      <c r="I1250" s="1831" t="s">
        <v>1066</v>
      </c>
      <c r="J1250" s="1831"/>
    </row>
    <row r="1251" spans="1:10" ht="15" hidden="1" x14ac:dyDescent="0.35">
      <c r="A1251" s="1831" t="s">
        <v>2707</v>
      </c>
      <c r="B1251" s="1839" t="s">
        <v>2708</v>
      </c>
      <c r="C1251" s="1839" t="s">
        <v>410</v>
      </c>
      <c r="D1251" s="1839" t="s">
        <v>2709</v>
      </c>
      <c r="E1251" s="1840">
        <v>45691</v>
      </c>
      <c r="F1251" s="1840"/>
      <c r="G1251" s="1839" t="s">
        <v>500</v>
      </c>
      <c r="H1251" s="1839" t="s">
        <v>1065</v>
      </c>
      <c r="I1251" s="1831" t="s">
        <v>1066</v>
      </c>
      <c r="J1251" s="1831"/>
    </row>
    <row r="1252" spans="1:10" ht="15" hidden="1" x14ac:dyDescent="0.35">
      <c r="A1252" s="1831" t="s">
        <v>2710</v>
      </c>
      <c r="B1252" s="1839" t="s">
        <v>2711</v>
      </c>
      <c r="C1252" s="1839" t="s">
        <v>438</v>
      </c>
      <c r="D1252" s="1839" t="s">
        <v>2712</v>
      </c>
      <c r="E1252" s="1840">
        <v>45721</v>
      </c>
      <c r="F1252" s="1840"/>
      <c r="G1252" s="1839" t="s">
        <v>500</v>
      </c>
      <c r="H1252" s="1839" t="s">
        <v>1060</v>
      </c>
      <c r="I1252" s="1831" t="s">
        <v>1061</v>
      </c>
      <c r="J1252" s="1831"/>
    </row>
    <row r="1253" spans="1:10" ht="15" hidden="1" x14ac:dyDescent="0.35">
      <c r="A1253" s="8" t="s">
        <v>2713</v>
      </c>
      <c r="B1253" t="s">
        <v>2714</v>
      </c>
      <c r="C1253" t="s">
        <v>1144</v>
      </c>
      <c r="D1253" t="s">
        <v>2715</v>
      </c>
      <c r="E1253" s="9">
        <v>45461</v>
      </c>
      <c r="F1253" s="9">
        <v>45796</v>
      </c>
      <c r="G1253" t="s">
        <v>494</v>
      </c>
      <c r="H1253" t="s">
        <v>1060</v>
      </c>
      <c r="I1253" t="s">
        <v>1061</v>
      </c>
      <c r="J1253"/>
    </row>
    <row r="1254" spans="1:10" ht="15" hidden="1" x14ac:dyDescent="0.35">
      <c r="A1254" s="1831" t="s">
        <v>2716</v>
      </c>
      <c r="B1254" s="1839" t="s">
        <v>2717</v>
      </c>
      <c r="C1254" s="1839" t="s">
        <v>1072</v>
      </c>
      <c r="D1254" s="1839" t="s">
        <v>2718</v>
      </c>
      <c r="E1254" s="1840">
        <v>44908</v>
      </c>
      <c r="F1254" s="1840"/>
      <c r="G1254" s="1839" t="s">
        <v>500</v>
      </c>
      <c r="H1254" s="1839" t="s">
        <v>1060</v>
      </c>
      <c r="I1254" s="1831" t="s">
        <v>1061</v>
      </c>
      <c r="J1254" s="1831"/>
    </row>
    <row r="1255" spans="1:10" ht="15" hidden="1" x14ac:dyDescent="0.35">
      <c r="A1255" s="1831" t="s">
        <v>2719</v>
      </c>
      <c r="B1255" s="1839" t="s">
        <v>2720</v>
      </c>
      <c r="C1255" s="1839" t="s">
        <v>439</v>
      </c>
      <c r="D1255" s="1839" t="s">
        <v>2721</v>
      </c>
      <c r="E1255" s="1840">
        <v>46162</v>
      </c>
      <c r="F1255" s="1840"/>
      <c r="G1255" s="1839" t="s">
        <v>500</v>
      </c>
      <c r="H1255" s="1839" t="s">
        <v>1065</v>
      </c>
      <c r="I1255" s="1831" t="s">
        <v>1066</v>
      </c>
      <c r="J1255" s="1831"/>
    </row>
    <row r="1256" spans="1:10" ht="15" hidden="1" x14ac:dyDescent="0.35">
      <c r="A1256" s="1831" t="s">
        <v>2722</v>
      </c>
      <c r="B1256" s="1839" t="s">
        <v>2723</v>
      </c>
      <c r="C1256" s="1839" t="s">
        <v>433</v>
      </c>
      <c r="D1256" s="1839" t="s">
        <v>2724</v>
      </c>
      <c r="E1256" s="1840">
        <v>45887</v>
      </c>
      <c r="F1256" s="1840"/>
      <c r="G1256" s="1839" t="s">
        <v>500</v>
      </c>
      <c r="H1256" s="1839" t="s">
        <v>1078</v>
      </c>
      <c r="I1256" s="1831" t="s">
        <v>1061</v>
      </c>
      <c r="J1256" s="1831"/>
    </row>
    <row r="1257" spans="1:10" ht="15" hidden="1" x14ac:dyDescent="0.35">
      <c r="A1257" s="8" t="s">
        <v>2725</v>
      </c>
      <c r="B1257" t="s">
        <v>2726</v>
      </c>
      <c r="C1257" t="s">
        <v>1144</v>
      </c>
      <c r="D1257" t="s">
        <v>2727</v>
      </c>
      <c r="E1257" s="9">
        <v>45721</v>
      </c>
      <c r="F1257" s="9">
        <v>45874</v>
      </c>
      <c r="G1257" t="s">
        <v>494</v>
      </c>
      <c r="H1257" t="s">
        <v>1065</v>
      </c>
      <c r="I1257" t="s">
        <v>1066</v>
      </c>
      <c r="J1257"/>
    </row>
    <row r="1258" spans="1:10" ht="15" hidden="1" x14ac:dyDescent="0.35">
      <c r="A1258" s="1831" t="s">
        <v>2728</v>
      </c>
      <c r="B1258" s="1839" t="s">
        <v>2729</v>
      </c>
      <c r="C1258" s="1839" t="s">
        <v>1088</v>
      </c>
      <c r="D1258" s="1839" t="s">
        <v>2730</v>
      </c>
      <c r="E1258" s="1840">
        <v>45419</v>
      </c>
      <c r="F1258" s="1840"/>
      <c r="G1258" s="1839" t="s">
        <v>500</v>
      </c>
      <c r="H1258" s="1839" t="s">
        <v>1065</v>
      </c>
      <c r="I1258" s="1831" t="s">
        <v>1066</v>
      </c>
      <c r="J1258" s="1831"/>
    </row>
    <row r="1259" spans="1:10" ht="15" hidden="1" x14ac:dyDescent="0.35">
      <c r="A1259" s="1831" t="s">
        <v>2731</v>
      </c>
      <c r="B1259" s="1839" t="s">
        <v>2732</v>
      </c>
      <c r="C1259" s="1839" t="s">
        <v>432</v>
      </c>
      <c r="D1259" s="1839" t="s">
        <v>2733</v>
      </c>
      <c r="E1259" s="1840">
        <v>45702</v>
      </c>
      <c r="F1259" s="1840"/>
      <c r="G1259" s="1839" t="s">
        <v>500</v>
      </c>
      <c r="H1259" s="1839" t="s">
        <v>1060</v>
      </c>
      <c r="I1259" s="1831" t="s">
        <v>1061</v>
      </c>
      <c r="J1259" s="1831"/>
    </row>
    <row r="1260" spans="1:10" ht="15" hidden="1" x14ac:dyDescent="0.35">
      <c r="A1260" s="1831" t="s">
        <v>2734</v>
      </c>
      <c r="B1260" s="1839" t="s">
        <v>2735</v>
      </c>
      <c r="C1260" s="1839" t="s">
        <v>420</v>
      </c>
      <c r="D1260" s="1839" t="s">
        <v>2736</v>
      </c>
      <c r="E1260" s="1840">
        <v>46127</v>
      </c>
      <c r="F1260" s="1840"/>
      <c r="G1260" s="1839" t="s">
        <v>500</v>
      </c>
      <c r="H1260" s="1839" t="s">
        <v>1093</v>
      </c>
      <c r="I1260" s="1831" t="s">
        <v>1066</v>
      </c>
      <c r="J1260" s="1831"/>
    </row>
    <row r="1261" spans="1:10" ht="15" hidden="1" x14ac:dyDescent="0.35">
      <c r="A1261" s="8" t="s">
        <v>2737</v>
      </c>
      <c r="B1261" t="s">
        <v>2738</v>
      </c>
      <c r="C1261" t="s">
        <v>420</v>
      </c>
      <c r="D1261" t="s">
        <v>2739</v>
      </c>
      <c r="E1261" s="9">
        <v>45419</v>
      </c>
      <c r="F1261" s="9">
        <v>45813</v>
      </c>
      <c r="G1261" t="s">
        <v>494</v>
      </c>
      <c r="H1261" t="s">
        <v>1093</v>
      </c>
      <c r="I1261" t="s">
        <v>1066</v>
      </c>
      <c r="J1261"/>
    </row>
    <row r="1262" spans="1:10" ht="15" hidden="1" x14ac:dyDescent="0.35">
      <c r="A1262" s="1831" t="s">
        <v>2740</v>
      </c>
      <c r="B1262" s="1839" t="s">
        <v>2741</v>
      </c>
      <c r="C1262" s="1839" t="s">
        <v>420</v>
      </c>
      <c r="D1262" s="1839" t="s">
        <v>2742</v>
      </c>
      <c r="E1262" s="1840">
        <v>45993</v>
      </c>
      <c r="F1262" s="1840"/>
      <c r="G1262" s="1839" t="s">
        <v>500</v>
      </c>
      <c r="H1262" s="1839" t="s">
        <v>1093</v>
      </c>
      <c r="I1262" s="1831" t="s">
        <v>1066</v>
      </c>
      <c r="J1262" s="1831"/>
    </row>
    <row r="1263" spans="1:10" ht="15" hidden="1" x14ac:dyDescent="0.35">
      <c r="A1263" s="1831" t="s">
        <v>2743</v>
      </c>
      <c r="B1263" s="1839" t="s">
        <v>2744</v>
      </c>
      <c r="C1263" s="1839" t="s">
        <v>413</v>
      </c>
      <c r="D1263" s="1839" t="s">
        <v>2745</v>
      </c>
      <c r="E1263" s="1840">
        <v>46027</v>
      </c>
      <c r="F1263" s="1840"/>
      <c r="G1263" s="1839" t="s">
        <v>500</v>
      </c>
      <c r="H1263" s="1839" t="s">
        <v>1065</v>
      </c>
      <c r="I1263" s="1831" t="s">
        <v>1066</v>
      </c>
      <c r="J1263" s="1831"/>
    </row>
    <row r="1264" spans="1:10" ht="15" hidden="1" x14ac:dyDescent="0.35">
      <c r="A1264" s="1831" t="s">
        <v>2746</v>
      </c>
      <c r="B1264" s="1839" t="s">
        <v>2747</v>
      </c>
      <c r="C1264" s="1839" t="s">
        <v>1125</v>
      </c>
      <c r="D1264" s="1839" t="s">
        <v>2748</v>
      </c>
      <c r="E1264" s="1840">
        <v>44399</v>
      </c>
      <c r="F1264" s="1840"/>
      <c r="G1264" s="1839" t="s">
        <v>500</v>
      </c>
      <c r="H1264" s="1839" t="s">
        <v>1065</v>
      </c>
      <c r="I1264" s="1831" t="s">
        <v>1066</v>
      </c>
      <c r="J1264" s="1831"/>
    </row>
    <row r="1265" spans="1:10" ht="15" hidden="1" x14ac:dyDescent="0.35">
      <c r="A1265" s="1831" t="s">
        <v>2749</v>
      </c>
      <c r="B1265" s="1839" t="s">
        <v>2750</v>
      </c>
      <c r="C1265" s="1839" t="s">
        <v>2751</v>
      </c>
      <c r="D1265" s="1839" t="s">
        <v>2752</v>
      </c>
      <c r="E1265" s="1840">
        <v>45632</v>
      </c>
      <c r="F1265" s="1840"/>
      <c r="G1265" s="1839" t="s">
        <v>525</v>
      </c>
      <c r="H1265" s="1839" t="s">
        <v>1060</v>
      </c>
      <c r="I1265" s="1831" t="s">
        <v>1061</v>
      </c>
      <c r="J1265" s="1831"/>
    </row>
    <row r="1266" spans="1:10" ht="15" hidden="1" x14ac:dyDescent="0.35">
      <c r="A1266" s="8" t="s">
        <v>2753</v>
      </c>
      <c r="B1266" t="s">
        <v>2754</v>
      </c>
      <c r="C1266" t="s">
        <v>1144</v>
      </c>
      <c r="D1266" t="s">
        <v>2755</v>
      </c>
      <c r="E1266" s="9">
        <v>45721</v>
      </c>
      <c r="F1266" s="9">
        <v>45824</v>
      </c>
      <c r="G1266" t="s">
        <v>494</v>
      </c>
      <c r="H1266" t="s">
        <v>1065</v>
      </c>
      <c r="I1266" t="s">
        <v>1066</v>
      </c>
      <c r="J1266"/>
    </row>
    <row r="1267" spans="1:10" ht="15" hidden="1" x14ac:dyDescent="0.35">
      <c r="A1267" s="8" t="s">
        <v>2756</v>
      </c>
      <c r="B1267" t="s">
        <v>2757</v>
      </c>
      <c r="C1267" t="s">
        <v>420</v>
      </c>
      <c r="D1267" t="s">
        <v>2758</v>
      </c>
      <c r="E1267" s="9">
        <v>45573</v>
      </c>
      <c r="F1267" s="9">
        <v>45874</v>
      </c>
      <c r="G1267" t="s">
        <v>494</v>
      </c>
      <c r="H1267" t="s">
        <v>1078</v>
      </c>
      <c r="I1267" t="s">
        <v>1061</v>
      </c>
      <c r="J1267"/>
    </row>
    <row r="1268" spans="1:10" ht="15" hidden="1" x14ac:dyDescent="0.35">
      <c r="A1268" s="1831" t="s">
        <v>2759</v>
      </c>
      <c r="B1268" s="1839" t="s">
        <v>2760</v>
      </c>
      <c r="C1268" s="1839" t="s">
        <v>441</v>
      </c>
      <c r="D1268" s="1839" t="s">
        <v>2761</v>
      </c>
      <c r="E1268" s="1840">
        <v>45446</v>
      </c>
      <c r="F1268" s="1840"/>
      <c r="G1268" s="1839" t="s">
        <v>500</v>
      </c>
      <c r="H1268" s="1839" t="s">
        <v>1093</v>
      </c>
      <c r="I1268" s="1831" t="s">
        <v>1066</v>
      </c>
      <c r="J1268" s="1831"/>
    </row>
    <row r="1269" spans="1:10" ht="15" hidden="1" x14ac:dyDescent="0.35">
      <c r="A1269" s="1831" t="s">
        <v>2762</v>
      </c>
      <c r="B1269" s="1839" t="s">
        <v>2763</v>
      </c>
      <c r="C1269" s="1839" t="s">
        <v>1144</v>
      </c>
      <c r="D1269" s="1839" t="s">
        <v>2764</v>
      </c>
      <c r="E1269" s="1840">
        <v>45890</v>
      </c>
      <c r="F1269" s="1840"/>
      <c r="G1269" s="1839" t="s">
        <v>500</v>
      </c>
      <c r="H1269" s="1839" t="s">
        <v>1060</v>
      </c>
      <c r="I1269" s="1831" t="s">
        <v>1061</v>
      </c>
      <c r="J1269" s="1831"/>
    </row>
    <row r="1270" spans="1:10" ht="15" hidden="1" x14ac:dyDescent="0.35">
      <c r="A1270" s="8" t="s">
        <v>2765</v>
      </c>
      <c r="B1270" t="s">
        <v>2766</v>
      </c>
      <c r="C1270" t="s">
        <v>874</v>
      </c>
      <c r="D1270" t="s">
        <v>2767</v>
      </c>
      <c r="E1270" s="9">
        <v>45818</v>
      </c>
      <c r="F1270" s="9">
        <v>45999</v>
      </c>
      <c r="G1270" t="s">
        <v>494</v>
      </c>
      <c r="H1270" t="s">
        <v>1065</v>
      </c>
      <c r="I1270" t="s">
        <v>1066</v>
      </c>
      <c r="J1270"/>
    </row>
    <row r="1271" spans="1:10" ht="15" hidden="1" x14ac:dyDescent="0.35">
      <c r="A1271" s="8" t="s">
        <v>2768</v>
      </c>
      <c r="B1271" t="s">
        <v>2769</v>
      </c>
      <c r="C1271" t="s">
        <v>455</v>
      </c>
      <c r="D1271" t="s">
        <v>2770</v>
      </c>
      <c r="E1271" s="9">
        <v>45828</v>
      </c>
      <c r="F1271" s="9">
        <v>46146</v>
      </c>
      <c r="G1271" t="s">
        <v>494</v>
      </c>
      <c r="H1271" t="s">
        <v>1065</v>
      </c>
      <c r="I1271" t="s">
        <v>1066</v>
      </c>
      <c r="J1271"/>
    </row>
    <row r="1272" spans="1:10" ht="15" hidden="1" x14ac:dyDescent="0.35">
      <c r="A1272" s="1831" t="s">
        <v>2771</v>
      </c>
      <c r="B1272" s="1839" t="s">
        <v>2772</v>
      </c>
      <c r="C1272" s="1839" t="s">
        <v>544</v>
      </c>
      <c r="D1272" s="1839" t="s">
        <v>2773</v>
      </c>
      <c r="E1272" s="1840">
        <v>44726</v>
      </c>
      <c r="F1272" s="1840"/>
      <c r="G1272" s="1839" t="s">
        <v>500</v>
      </c>
      <c r="H1272" s="1839" t="s">
        <v>1065</v>
      </c>
      <c r="I1272" s="1831" t="s">
        <v>1066</v>
      </c>
      <c r="J1272" s="1831"/>
    </row>
    <row r="1273" spans="1:10" ht="15" hidden="1" x14ac:dyDescent="0.35">
      <c r="A1273" s="1831" t="s">
        <v>2774</v>
      </c>
      <c r="B1273" s="1839" t="s">
        <v>2775</v>
      </c>
      <c r="C1273" s="1839" t="s">
        <v>2008</v>
      </c>
      <c r="D1273" s="1839" t="s">
        <v>2776</v>
      </c>
      <c r="E1273" s="1840">
        <v>45799</v>
      </c>
      <c r="F1273" s="1840"/>
      <c r="G1273" s="1839" t="s">
        <v>500</v>
      </c>
      <c r="H1273" s="1839" t="s">
        <v>1065</v>
      </c>
      <c r="I1273" s="1831" t="s">
        <v>1066</v>
      </c>
      <c r="J1273" s="1831"/>
    </row>
    <row r="1274" spans="1:10" ht="15" hidden="1" x14ac:dyDescent="0.35">
      <c r="A1274" s="1831" t="s">
        <v>2777</v>
      </c>
      <c r="B1274" s="1839" t="s">
        <v>2778</v>
      </c>
      <c r="C1274" s="1839" t="s">
        <v>1088</v>
      </c>
      <c r="D1274" s="1839" t="s">
        <v>2779</v>
      </c>
      <c r="E1274" s="1840">
        <v>46094</v>
      </c>
      <c r="F1274" s="1840"/>
      <c r="G1274" s="1839" t="s">
        <v>500</v>
      </c>
      <c r="H1274" s="1839" t="s">
        <v>1060</v>
      </c>
      <c r="I1274" s="1831" t="s">
        <v>1061</v>
      </c>
      <c r="J1274" s="1831"/>
    </row>
    <row r="1275" spans="1:10" ht="15" hidden="1" x14ac:dyDescent="0.35">
      <c r="A1275" s="1831" t="s">
        <v>2780</v>
      </c>
      <c r="B1275" s="1839" t="s">
        <v>2781</v>
      </c>
      <c r="C1275" s="1839" t="s">
        <v>420</v>
      </c>
      <c r="D1275" s="1839" t="s">
        <v>2782</v>
      </c>
      <c r="E1275" s="1840">
        <v>46084</v>
      </c>
      <c r="F1275" s="1840"/>
      <c r="G1275" s="1839" t="s">
        <v>500</v>
      </c>
      <c r="H1275" s="1839" t="s">
        <v>1093</v>
      </c>
      <c r="I1275" s="1831" t="s">
        <v>1066</v>
      </c>
      <c r="J1275" s="1831"/>
    </row>
    <row r="1276" spans="1:10" ht="15" hidden="1" x14ac:dyDescent="0.35">
      <c r="A1276" s="1831" t="s">
        <v>2783</v>
      </c>
      <c r="B1276" s="1839" t="s">
        <v>2784</v>
      </c>
      <c r="C1276" s="1839" t="s">
        <v>763</v>
      </c>
      <c r="D1276" s="1839" t="s">
        <v>2785</v>
      </c>
      <c r="E1276" s="1840">
        <v>43851</v>
      </c>
      <c r="F1276" s="1840"/>
      <c r="G1276" s="1839" t="s">
        <v>500</v>
      </c>
      <c r="H1276" s="1839" t="s">
        <v>1060</v>
      </c>
      <c r="I1276" s="1831" t="s">
        <v>1061</v>
      </c>
      <c r="J1276" s="1831"/>
    </row>
    <row r="1277" spans="1:10" ht="15" hidden="1" x14ac:dyDescent="0.35">
      <c r="A1277" s="1831" t="s">
        <v>2786</v>
      </c>
      <c r="B1277" s="1839" t="s">
        <v>2787</v>
      </c>
      <c r="C1277" s="1839" t="s">
        <v>1144</v>
      </c>
      <c r="D1277" s="1839" t="s">
        <v>2788</v>
      </c>
      <c r="E1277" s="1840">
        <v>46094</v>
      </c>
      <c r="F1277" s="1840"/>
      <c r="G1277" s="1839" t="s">
        <v>500</v>
      </c>
      <c r="H1277" s="1839" t="s">
        <v>1060</v>
      </c>
      <c r="I1277" s="1831" t="s">
        <v>1061</v>
      </c>
      <c r="J1277" s="1831"/>
    </row>
    <row r="1278" spans="1:10" ht="15" hidden="1" x14ac:dyDescent="0.35">
      <c r="A1278" s="1831" t="s">
        <v>2789</v>
      </c>
      <c r="B1278" s="1839" t="s">
        <v>2790</v>
      </c>
      <c r="C1278" s="1839" t="s">
        <v>442</v>
      </c>
      <c r="D1278" s="1839" t="s">
        <v>2791</v>
      </c>
      <c r="E1278" s="1840">
        <v>45919</v>
      </c>
      <c r="F1278" s="1840"/>
      <c r="G1278" s="1839" t="s">
        <v>500</v>
      </c>
      <c r="H1278" s="1839" t="s">
        <v>1065</v>
      </c>
      <c r="I1278" s="1831" t="s">
        <v>1066</v>
      </c>
      <c r="J1278" s="1831"/>
    </row>
    <row r="1279" spans="1:10" ht="15" hidden="1" x14ac:dyDescent="0.35">
      <c r="A1279" s="1831" t="s">
        <v>2792</v>
      </c>
      <c r="B1279" s="1839" t="s">
        <v>2793</v>
      </c>
      <c r="C1279" s="1839" t="s">
        <v>420</v>
      </c>
      <c r="D1279" s="1839" t="s">
        <v>2794</v>
      </c>
      <c r="E1279" s="1840">
        <v>45600</v>
      </c>
      <c r="F1279" s="1840"/>
      <c r="G1279" s="1839" t="s">
        <v>500</v>
      </c>
      <c r="H1279" s="1839" t="s">
        <v>1093</v>
      </c>
      <c r="I1279" s="1831" t="s">
        <v>1066</v>
      </c>
      <c r="J1279" s="1831"/>
    </row>
    <row r="1280" spans="1:10" ht="15" hidden="1" x14ac:dyDescent="0.35">
      <c r="A1280" s="8" t="s">
        <v>2795</v>
      </c>
      <c r="B1280" t="s">
        <v>2796</v>
      </c>
      <c r="C1280" t="s">
        <v>420</v>
      </c>
      <c r="D1280" t="s">
        <v>2797</v>
      </c>
      <c r="E1280" s="9">
        <v>45642</v>
      </c>
      <c r="F1280" s="9">
        <v>45791</v>
      </c>
      <c r="G1280" t="s">
        <v>494</v>
      </c>
      <c r="H1280" t="s">
        <v>1078</v>
      </c>
      <c r="I1280" t="s">
        <v>1061</v>
      </c>
      <c r="J1280"/>
    </row>
    <row r="1281" spans="1:10" ht="15" hidden="1" x14ac:dyDescent="0.35">
      <c r="A1281" s="1831" t="s">
        <v>2798</v>
      </c>
      <c r="B1281" s="1839" t="s">
        <v>2799</v>
      </c>
      <c r="C1281" s="1839" t="s">
        <v>1144</v>
      </c>
      <c r="D1281" s="1839" t="s">
        <v>2800</v>
      </c>
      <c r="E1281" s="1840">
        <v>45890</v>
      </c>
      <c r="F1281" s="1840"/>
      <c r="G1281" s="1839" t="s">
        <v>500</v>
      </c>
      <c r="H1281" s="1839" t="s">
        <v>1060</v>
      </c>
      <c r="I1281" s="1831" t="s">
        <v>1061</v>
      </c>
      <c r="J1281" s="1831"/>
    </row>
    <row r="1282" spans="1:10" ht="15" hidden="1" x14ac:dyDescent="0.35">
      <c r="A1282" s="1831" t="s">
        <v>2801</v>
      </c>
      <c r="B1282" s="1839" t="s">
        <v>2802</v>
      </c>
      <c r="C1282" s="1839" t="s">
        <v>1088</v>
      </c>
      <c r="D1282" s="1839" t="s">
        <v>2803</v>
      </c>
      <c r="E1282" s="1840">
        <v>46118</v>
      </c>
      <c r="F1282" s="1840"/>
      <c r="G1282" s="1839" t="s">
        <v>500</v>
      </c>
      <c r="H1282" s="1839" t="s">
        <v>1060</v>
      </c>
      <c r="I1282" s="1831" t="s">
        <v>1061</v>
      </c>
      <c r="J1282" s="1831"/>
    </row>
    <row r="1283" spans="1:10" ht="15" hidden="1" x14ac:dyDescent="0.35">
      <c r="A1283" s="1831" t="s">
        <v>2804</v>
      </c>
      <c r="B1283" s="1839" t="s">
        <v>2805</v>
      </c>
      <c r="C1283" s="1839" t="s">
        <v>420</v>
      </c>
      <c r="D1283" s="1839" t="s">
        <v>2806</v>
      </c>
      <c r="E1283" s="1840">
        <v>45779</v>
      </c>
      <c r="F1283" s="1840"/>
      <c r="G1283" s="1839" t="s">
        <v>500</v>
      </c>
      <c r="H1283" s="1839" t="s">
        <v>1093</v>
      </c>
      <c r="I1283" s="1831" t="s">
        <v>1066</v>
      </c>
      <c r="J1283" s="1831"/>
    </row>
    <row r="1284" spans="1:10" ht="15" hidden="1" x14ac:dyDescent="0.35">
      <c r="A1284" s="8" t="s">
        <v>2807</v>
      </c>
      <c r="B1284" t="s">
        <v>2808</v>
      </c>
      <c r="C1284" t="s">
        <v>420</v>
      </c>
      <c r="D1284" t="s">
        <v>2809</v>
      </c>
      <c r="E1284" s="9">
        <v>45713</v>
      </c>
      <c r="F1284" s="9">
        <v>45828</v>
      </c>
      <c r="G1284" t="s">
        <v>494</v>
      </c>
      <c r="H1284" t="s">
        <v>1078</v>
      </c>
      <c r="I1284" t="s">
        <v>1061</v>
      </c>
      <c r="J1284"/>
    </row>
    <row r="1285" spans="1:10" ht="15" hidden="1" x14ac:dyDescent="0.35">
      <c r="A1285" s="1831" t="s">
        <v>2810</v>
      </c>
      <c r="B1285" s="1839" t="s">
        <v>2811</v>
      </c>
      <c r="C1285" s="1839" t="s">
        <v>1088</v>
      </c>
      <c r="D1285" s="1839" t="s">
        <v>2812</v>
      </c>
      <c r="E1285" s="1840">
        <v>45691</v>
      </c>
      <c r="F1285" s="1840"/>
      <c r="G1285" s="1839" t="s">
        <v>500</v>
      </c>
      <c r="H1285" s="1839" t="s">
        <v>1065</v>
      </c>
      <c r="I1285" s="1831" t="s">
        <v>1066</v>
      </c>
      <c r="J1285" s="1831"/>
    </row>
    <row r="1286" spans="1:10" ht="15" x14ac:dyDescent="0.35">
      <c r="A1286" s="1831" t="s">
        <v>2813</v>
      </c>
      <c r="B1286" s="1839" t="s">
        <v>2814</v>
      </c>
      <c r="C1286" s="1839" t="s">
        <v>1144</v>
      </c>
      <c r="D1286" s="1839" t="s">
        <v>2815</v>
      </c>
      <c r="E1286" s="1840">
        <v>46008</v>
      </c>
      <c r="F1286" s="1840"/>
      <c r="G1286" s="1839" t="s">
        <v>500</v>
      </c>
      <c r="H1286" s="1839" t="s">
        <v>1060</v>
      </c>
      <c r="I1286" s="1831" t="s">
        <v>1061</v>
      </c>
      <c r="J1286" s="1831"/>
    </row>
    <row r="1287" spans="1:10" ht="15" hidden="1" x14ac:dyDescent="0.35">
      <c r="A1287" s="8" t="s">
        <v>2816</v>
      </c>
      <c r="B1287" t="s">
        <v>2817</v>
      </c>
      <c r="C1287" t="s">
        <v>416</v>
      </c>
      <c r="D1287" t="s">
        <v>2818</v>
      </c>
      <c r="E1287" s="9">
        <v>45433</v>
      </c>
      <c r="F1287" s="9">
        <v>45812</v>
      </c>
      <c r="G1287" t="s">
        <v>494</v>
      </c>
      <c r="H1287" t="s">
        <v>1093</v>
      </c>
      <c r="I1287" t="s">
        <v>1066</v>
      </c>
      <c r="J1287"/>
    </row>
    <row r="1288" spans="1:10" ht="15" hidden="1" x14ac:dyDescent="0.35">
      <c r="A1288" s="1831" t="s">
        <v>2819</v>
      </c>
      <c r="B1288" s="1839" t="s">
        <v>2820</v>
      </c>
      <c r="C1288" s="1839" t="s">
        <v>578</v>
      </c>
      <c r="D1288" s="1839" t="s">
        <v>2821</v>
      </c>
      <c r="E1288" s="1840">
        <v>45446</v>
      </c>
      <c r="F1288" s="1840"/>
      <c r="G1288" s="1839" t="s">
        <v>500</v>
      </c>
      <c r="H1288" s="1839" t="s">
        <v>1065</v>
      </c>
      <c r="I1288" s="1831" t="s">
        <v>1066</v>
      </c>
      <c r="J1288" s="1831"/>
    </row>
    <row r="1289" spans="1:10" ht="15" hidden="1" x14ac:dyDescent="0.35">
      <c r="A1289" s="1831" t="s">
        <v>2822</v>
      </c>
      <c r="B1289" s="1839" t="s">
        <v>2823</v>
      </c>
      <c r="C1289" s="1839" t="s">
        <v>1213</v>
      </c>
      <c r="D1289" s="1839" t="s">
        <v>2824</v>
      </c>
      <c r="E1289" s="1840">
        <v>45231</v>
      </c>
      <c r="F1289" s="1840"/>
      <c r="G1289" s="1839" t="s">
        <v>500</v>
      </c>
      <c r="H1289" s="1839" t="s">
        <v>1065</v>
      </c>
      <c r="I1289" s="1831" t="s">
        <v>1066</v>
      </c>
      <c r="J1289" s="1831"/>
    </row>
    <row r="1290" spans="1:10" ht="15" hidden="1" x14ac:dyDescent="0.35">
      <c r="A1290" s="1831" t="s">
        <v>2825</v>
      </c>
      <c r="B1290" s="1839" t="s">
        <v>2826</v>
      </c>
      <c r="C1290" s="1839" t="s">
        <v>433</v>
      </c>
      <c r="D1290" s="1839" t="s">
        <v>2827</v>
      </c>
      <c r="E1290" s="1840">
        <v>46101</v>
      </c>
      <c r="F1290" s="1840"/>
      <c r="G1290" s="1839" t="s">
        <v>500</v>
      </c>
      <c r="H1290" s="1839" t="s">
        <v>1078</v>
      </c>
      <c r="I1290" s="1831" t="s">
        <v>1061</v>
      </c>
      <c r="J1290" s="1831"/>
    </row>
    <row r="1291" spans="1:10" ht="15" hidden="1" x14ac:dyDescent="0.35">
      <c r="A1291" s="1831" t="s">
        <v>2828</v>
      </c>
      <c r="B1291" s="1839" t="s">
        <v>2829</v>
      </c>
      <c r="C1291" s="1839" t="s">
        <v>1148</v>
      </c>
      <c r="D1291" s="1839" t="s">
        <v>2830</v>
      </c>
      <c r="E1291" s="1840">
        <v>44690</v>
      </c>
      <c r="F1291" s="1840"/>
      <c r="G1291" s="1839" t="s">
        <v>500</v>
      </c>
      <c r="H1291" s="1839" t="s">
        <v>1065</v>
      </c>
      <c r="I1291" s="1831" t="s">
        <v>1066</v>
      </c>
      <c r="J1291" s="1831"/>
    </row>
    <row r="1292" spans="1:10" ht="15" hidden="1" x14ac:dyDescent="0.35">
      <c r="A1292" s="1831" t="s">
        <v>2831</v>
      </c>
      <c r="B1292" s="1839" t="s">
        <v>2832</v>
      </c>
      <c r="C1292" s="1839" t="s">
        <v>410</v>
      </c>
      <c r="D1292" s="1839" t="s">
        <v>2833</v>
      </c>
      <c r="E1292" s="1840">
        <v>45779</v>
      </c>
      <c r="F1292" s="1840"/>
      <c r="G1292" s="1839" t="s">
        <v>500</v>
      </c>
      <c r="H1292" s="1839" t="s">
        <v>1060</v>
      </c>
      <c r="I1292" s="1831" t="s">
        <v>1061</v>
      </c>
      <c r="J1292" s="1831"/>
    </row>
    <row r="1293" spans="1:10" ht="15" hidden="1" x14ac:dyDescent="0.35">
      <c r="A1293" s="1831" t="s">
        <v>2834</v>
      </c>
      <c r="B1293" s="1839" t="s">
        <v>2835</v>
      </c>
      <c r="C1293" s="1839" t="s">
        <v>606</v>
      </c>
      <c r="D1293" s="1839" t="s">
        <v>2836</v>
      </c>
      <c r="E1293" s="1840">
        <v>45889</v>
      </c>
      <c r="F1293" s="1840"/>
      <c r="G1293" s="1839" t="s">
        <v>500</v>
      </c>
      <c r="H1293" s="1839" t="s">
        <v>1060</v>
      </c>
      <c r="I1293" s="1831" t="s">
        <v>1061</v>
      </c>
      <c r="J1293" s="1831"/>
    </row>
    <row r="1294" spans="1:10" ht="15" hidden="1" x14ac:dyDescent="0.35">
      <c r="A1294" s="1831" t="s">
        <v>2837</v>
      </c>
      <c r="B1294" s="1839" t="s">
        <v>2838</v>
      </c>
      <c r="C1294" s="1839" t="s">
        <v>1440</v>
      </c>
      <c r="D1294" s="1839" t="s">
        <v>2839</v>
      </c>
      <c r="E1294" s="1840">
        <v>45377</v>
      </c>
      <c r="F1294" s="1840"/>
      <c r="G1294" s="1839" t="s">
        <v>500</v>
      </c>
      <c r="H1294" s="1839" t="s">
        <v>1065</v>
      </c>
      <c r="I1294" s="1831" t="s">
        <v>1066</v>
      </c>
      <c r="J1294" s="1831"/>
    </row>
    <row r="1295" spans="1:10" ht="15" hidden="1" x14ac:dyDescent="0.35">
      <c r="A1295" s="1831" t="s">
        <v>2840</v>
      </c>
      <c r="B1295" s="1839" t="s">
        <v>2841</v>
      </c>
      <c r="C1295" s="1839" t="s">
        <v>420</v>
      </c>
      <c r="D1295" s="1839" t="s">
        <v>2842</v>
      </c>
      <c r="E1295" s="1840">
        <v>46100</v>
      </c>
      <c r="F1295" s="1840"/>
      <c r="G1295" s="1839" t="s">
        <v>500</v>
      </c>
      <c r="H1295" s="1839" t="s">
        <v>1078</v>
      </c>
      <c r="I1295" s="1831" t="s">
        <v>1061</v>
      </c>
      <c r="J1295" s="1831"/>
    </row>
    <row r="1296" spans="1:10" ht="15" hidden="1" x14ac:dyDescent="0.35">
      <c r="A1296" s="1831" t="s">
        <v>2843</v>
      </c>
      <c r="B1296" s="1839" t="s">
        <v>2844</v>
      </c>
      <c r="C1296" s="1839" t="s">
        <v>420</v>
      </c>
      <c r="D1296" s="1839" t="s">
        <v>2845</v>
      </c>
      <c r="E1296" s="1840">
        <v>46157</v>
      </c>
      <c r="F1296" s="1840"/>
      <c r="G1296" s="1839" t="s">
        <v>500</v>
      </c>
      <c r="H1296" s="1839" t="s">
        <v>1093</v>
      </c>
      <c r="I1296" s="1831" t="s">
        <v>1066</v>
      </c>
      <c r="J1296" s="1831"/>
    </row>
    <row r="1297" spans="1:10" ht="15" hidden="1" x14ac:dyDescent="0.35">
      <c r="A1297" s="1831" t="s">
        <v>2846</v>
      </c>
      <c r="B1297" s="1839" t="s">
        <v>2847</v>
      </c>
      <c r="C1297" s="1839" t="s">
        <v>1291</v>
      </c>
      <c r="D1297" s="1839" t="s">
        <v>2848</v>
      </c>
      <c r="E1297" s="1840">
        <v>45629</v>
      </c>
      <c r="F1297" s="1840"/>
      <c r="G1297" s="1839" t="s">
        <v>500</v>
      </c>
      <c r="H1297" s="1839" t="s">
        <v>1060</v>
      </c>
      <c r="I1297" s="1831" t="s">
        <v>1061</v>
      </c>
      <c r="J1297" s="1831"/>
    </row>
    <row r="1298" spans="1:10" ht="15" hidden="1" x14ac:dyDescent="0.35">
      <c r="A1298" s="1831" t="s">
        <v>2849</v>
      </c>
      <c r="B1298" s="1839" t="s">
        <v>2850</v>
      </c>
      <c r="C1298" s="1839" t="s">
        <v>1144</v>
      </c>
      <c r="D1298" s="1839" t="s">
        <v>2851</v>
      </c>
      <c r="E1298" s="1840">
        <v>45713</v>
      </c>
      <c r="F1298" s="1840"/>
      <c r="G1298" s="1839" t="s">
        <v>500</v>
      </c>
      <c r="H1298" s="1839" t="s">
        <v>1060</v>
      </c>
      <c r="I1298" s="1831" t="s">
        <v>1061</v>
      </c>
      <c r="J1298" s="1831"/>
    </row>
    <row r="1299" spans="1:10" ht="15" hidden="1" x14ac:dyDescent="0.35">
      <c r="A1299" s="8" t="s">
        <v>2852</v>
      </c>
      <c r="B1299" t="s">
        <v>2853</v>
      </c>
      <c r="C1299" t="s">
        <v>1144</v>
      </c>
      <c r="D1299" t="s">
        <v>2854</v>
      </c>
      <c r="E1299" s="9">
        <v>45721</v>
      </c>
      <c r="F1299" s="9">
        <v>45825</v>
      </c>
      <c r="G1299" t="s">
        <v>494</v>
      </c>
      <c r="H1299" t="s">
        <v>1060</v>
      </c>
      <c r="I1299" t="s">
        <v>1061</v>
      </c>
      <c r="J1299"/>
    </row>
    <row r="1300" spans="1:10" ht="15" hidden="1" x14ac:dyDescent="0.35">
      <c r="A1300" s="1831" t="s">
        <v>2855</v>
      </c>
      <c r="B1300" s="1839" t="s">
        <v>2856</v>
      </c>
      <c r="C1300" s="1839" t="s">
        <v>424</v>
      </c>
      <c r="D1300" s="1839" t="s">
        <v>2857</v>
      </c>
      <c r="E1300" s="1840">
        <v>45779</v>
      </c>
      <c r="F1300" s="1840"/>
      <c r="G1300" s="1839" t="s">
        <v>500</v>
      </c>
      <c r="H1300" s="1839" t="s">
        <v>1065</v>
      </c>
      <c r="I1300" s="1831" t="s">
        <v>1066</v>
      </c>
      <c r="J1300" s="1831"/>
    </row>
    <row r="1301" spans="1:10" ht="15" hidden="1" x14ac:dyDescent="0.35">
      <c r="A1301" s="1831" t="s">
        <v>2858</v>
      </c>
      <c r="B1301" s="1839" t="s">
        <v>2859</v>
      </c>
      <c r="C1301" s="1839" t="s">
        <v>1148</v>
      </c>
      <c r="D1301" s="1839" t="s">
        <v>2860</v>
      </c>
      <c r="E1301" s="1840">
        <v>44399</v>
      </c>
      <c r="F1301" s="1840"/>
      <c r="G1301" s="1839" t="s">
        <v>500</v>
      </c>
      <c r="H1301" s="1839" t="s">
        <v>1060</v>
      </c>
      <c r="I1301" s="1831" t="s">
        <v>1061</v>
      </c>
      <c r="J1301" s="1831"/>
    </row>
    <row r="1302" spans="1:10" ht="15" hidden="1" x14ac:dyDescent="0.35">
      <c r="A1302" s="8" t="s">
        <v>2861</v>
      </c>
      <c r="B1302" t="s">
        <v>2862</v>
      </c>
      <c r="C1302" t="s">
        <v>420</v>
      </c>
      <c r="D1302" t="s">
        <v>2863</v>
      </c>
      <c r="E1302" s="9">
        <v>46000</v>
      </c>
      <c r="F1302" s="9">
        <v>46098</v>
      </c>
      <c r="G1302" t="s">
        <v>494</v>
      </c>
      <c r="H1302" t="s">
        <v>1078</v>
      </c>
      <c r="I1302" t="s">
        <v>1061</v>
      </c>
      <c r="J1302"/>
    </row>
    <row r="1303" spans="1:10" ht="15" hidden="1" x14ac:dyDescent="0.35">
      <c r="A1303" s="8" t="s">
        <v>2864</v>
      </c>
      <c r="B1303" t="s">
        <v>2865</v>
      </c>
      <c r="C1303" t="s">
        <v>1088</v>
      </c>
      <c r="D1303" t="s">
        <v>2866</v>
      </c>
      <c r="E1303" s="9">
        <v>45890</v>
      </c>
      <c r="F1303" s="9">
        <v>46063</v>
      </c>
      <c r="G1303" t="s">
        <v>494</v>
      </c>
      <c r="H1303" t="s">
        <v>1060</v>
      </c>
      <c r="I1303" t="s">
        <v>1061</v>
      </c>
      <c r="J1303"/>
    </row>
    <row r="1304" spans="1:10" ht="15" hidden="1" x14ac:dyDescent="0.35">
      <c r="A1304" s="1831" t="s">
        <v>2867</v>
      </c>
      <c r="B1304" s="1839" t="s">
        <v>2868</v>
      </c>
      <c r="C1304" s="1839" t="s">
        <v>578</v>
      </c>
      <c r="D1304" s="1839" t="s">
        <v>2869</v>
      </c>
      <c r="E1304" s="1840">
        <v>45524</v>
      </c>
      <c r="F1304" s="1840"/>
      <c r="G1304" s="1839" t="s">
        <v>525</v>
      </c>
      <c r="H1304" s="1839" t="s">
        <v>1060</v>
      </c>
      <c r="I1304" s="1831" t="s">
        <v>1061</v>
      </c>
      <c r="J1304" s="1831"/>
    </row>
    <row r="1305" spans="1:10" ht="15" hidden="1" x14ac:dyDescent="0.35">
      <c r="A1305" s="1831" t="s">
        <v>2870</v>
      </c>
      <c r="B1305" s="1839" t="s">
        <v>2871</v>
      </c>
      <c r="C1305" s="1839" t="s">
        <v>625</v>
      </c>
      <c r="D1305" s="1839" t="s">
        <v>2872</v>
      </c>
      <c r="E1305" s="1840">
        <v>45779</v>
      </c>
      <c r="F1305" s="1840"/>
      <c r="G1305" s="1839" t="s">
        <v>500</v>
      </c>
      <c r="H1305" s="1839" t="s">
        <v>1060</v>
      </c>
      <c r="I1305" s="1831" t="s">
        <v>1061</v>
      </c>
      <c r="J1305" s="1831"/>
    </row>
    <row r="1306" spans="1:10" ht="15" hidden="1" x14ac:dyDescent="0.35">
      <c r="A1306" s="1831" t="s">
        <v>2873</v>
      </c>
      <c r="B1306" s="1839" t="s">
        <v>2874</v>
      </c>
      <c r="C1306" s="1839" t="s">
        <v>420</v>
      </c>
      <c r="D1306" s="1839" t="s">
        <v>2875</v>
      </c>
      <c r="E1306" s="1840">
        <v>45419</v>
      </c>
      <c r="F1306" s="1840"/>
      <c r="G1306" s="1839" t="s">
        <v>500</v>
      </c>
      <c r="H1306" s="1839" t="s">
        <v>1093</v>
      </c>
      <c r="I1306" s="1831" t="s">
        <v>1066</v>
      </c>
      <c r="J1306" s="1831"/>
    </row>
    <row r="1307" spans="1:10" ht="15" hidden="1" x14ac:dyDescent="0.35">
      <c r="A1307" s="1831" t="s">
        <v>2876</v>
      </c>
      <c r="B1307" s="1839" t="s">
        <v>2877</v>
      </c>
      <c r="C1307" s="1839" t="s">
        <v>1088</v>
      </c>
      <c r="D1307" s="1839" t="s">
        <v>2878</v>
      </c>
      <c r="E1307" s="1840">
        <v>45692</v>
      </c>
      <c r="F1307" s="1840"/>
      <c r="G1307" s="1839" t="s">
        <v>525</v>
      </c>
      <c r="H1307" s="1839" t="s">
        <v>1065</v>
      </c>
      <c r="I1307" s="1831" t="s">
        <v>1066</v>
      </c>
      <c r="J1307" s="1831"/>
    </row>
    <row r="1308" spans="1:10" ht="15" hidden="1" x14ac:dyDescent="0.35">
      <c r="A1308" s="1831" t="s">
        <v>2879</v>
      </c>
      <c r="B1308" s="1839" t="s">
        <v>2880</v>
      </c>
      <c r="C1308" s="1839" t="s">
        <v>409</v>
      </c>
      <c r="D1308" s="1839" t="s">
        <v>2881</v>
      </c>
      <c r="E1308" s="1840">
        <v>46127</v>
      </c>
      <c r="F1308" s="1840"/>
      <c r="G1308" s="1839" t="s">
        <v>500</v>
      </c>
      <c r="H1308" s="1839" t="s">
        <v>1065</v>
      </c>
      <c r="I1308" s="1831" t="s">
        <v>1066</v>
      </c>
      <c r="J1308" s="1831"/>
    </row>
    <row r="1309" spans="1:10" ht="15" hidden="1" x14ac:dyDescent="0.35">
      <c r="A1309" s="1831" t="s">
        <v>2882</v>
      </c>
      <c r="B1309" s="1839" t="s">
        <v>2883</v>
      </c>
      <c r="C1309" s="1839" t="s">
        <v>1931</v>
      </c>
      <c r="D1309" s="1839" t="s">
        <v>2884</v>
      </c>
      <c r="E1309" s="1840">
        <v>45419</v>
      </c>
      <c r="F1309" s="1840"/>
      <c r="G1309" s="1839" t="s">
        <v>500</v>
      </c>
      <c r="H1309" s="1839" t="s">
        <v>1078</v>
      </c>
      <c r="I1309" s="1831" t="s">
        <v>1061</v>
      </c>
      <c r="J1309" s="1831"/>
    </row>
    <row r="1310" spans="1:10" ht="15" hidden="1" x14ac:dyDescent="0.35">
      <c r="A1310" s="1831" t="s">
        <v>2885</v>
      </c>
      <c r="B1310" s="1839" t="s">
        <v>2886</v>
      </c>
      <c r="C1310" s="1839" t="s">
        <v>544</v>
      </c>
      <c r="D1310" s="1839" t="s">
        <v>2887</v>
      </c>
      <c r="E1310" s="1840">
        <v>41249</v>
      </c>
      <c r="F1310" s="1840"/>
      <c r="G1310" s="1839" t="s">
        <v>500</v>
      </c>
      <c r="H1310" s="1839" t="s">
        <v>1060</v>
      </c>
      <c r="I1310" s="1831" t="s">
        <v>1061</v>
      </c>
      <c r="J1310" s="1831"/>
    </row>
    <row r="1311" spans="1:10" ht="15" hidden="1" x14ac:dyDescent="0.35">
      <c r="A1311" s="1831" t="s">
        <v>2888</v>
      </c>
      <c r="B1311" s="1839" t="s">
        <v>2889</v>
      </c>
      <c r="C1311" s="1839" t="s">
        <v>544</v>
      </c>
      <c r="D1311" s="1839" t="s">
        <v>2890</v>
      </c>
      <c r="E1311" s="1840">
        <v>42858</v>
      </c>
      <c r="F1311" s="1840"/>
      <c r="G1311" s="1839" t="s">
        <v>500</v>
      </c>
      <c r="H1311" s="1839" t="s">
        <v>1065</v>
      </c>
      <c r="I1311" s="1831" t="s">
        <v>1066</v>
      </c>
      <c r="J1311" s="1831"/>
    </row>
    <row r="1312" spans="1:10" ht="15" hidden="1" x14ac:dyDescent="0.35">
      <c r="A1312" s="1831" t="s">
        <v>2891</v>
      </c>
      <c r="B1312" s="1839" t="s">
        <v>2892</v>
      </c>
      <c r="C1312" s="1839" t="s">
        <v>436</v>
      </c>
      <c r="D1312" s="1839" t="s">
        <v>2893</v>
      </c>
      <c r="E1312" s="1840">
        <v>45419</v>
      </c>
      <c r="F1312" s="1840"/>
      <c r="G1312" s="1839" t="s">
        <v>500</v>
      </c>
      <c r="H1312" s="1839" t="s">
        <v>1093</v>
      </c>
      <c r="I1312" s="1831" t="s">
        <v>1066</v>
      </c>
      <c r="J1312" s="1831"/>
    </row>
    <row r="1313" spans="1:10" ht="15" hidden="1" x14ac:dyDescent="0.35">
      <c r="A1313" s="8" t="s">
        <v>2894</v>
      </c>
      <c r="B1313" t="s">
        <v>2895</v>
      </c>
      <c r="C1313" t="s">
        <v>578</v>
      </c>
      <c r="D1313" t="s">
        <v>2896</v>
      </c>
      <c r="E1313" s="9">
        <v>45902</v>
      </c>
      <c r="F1313" s="9">
        <v>46037</v>
      </c>
      <c r="G1313" t="s">
        <v>494</v>
      </c>
      <c r="H1313" t="s">
        <v>1060</v>
      </c>
      <c r="I1313" t="s">
        <v>1061</v>
      </c>
      <c r="J1313"/>
    </row>
    <row r="1314" spans="1:10" ht="15" hidden="1" x14ac:dyDescent="0.35">
      <c r="A1314" s="1831" t="s">
        <v>2897</v>
      </c>
      <c r="B1314" s="1839" t="s">
        <v>2898</v>
      </c>
      <c r="C1314" s="1839" t="s">
        <v>420</v>
      </c>
      <c r="D1314" s="1839" t="s">
        <v>2899</v>
      </c>
      <c r="E1314" s="1840">
        <v>45713</v>
      </c>
      <c r="F1314" s="1840"/>
      <c r="G1314" s="1839" t="s">
        <v>525</v>
      </c>
      <c r="H1314" s="1839" t="s">
        <v>1078</v>
      </c>
      <c r="I1314" s="1831" t="s">
        <v>1061</v>
      </c>
      <c r="J1314" s="1831"/>
    </row>
    <row r="1315" spans="1:10" ht="15" hidden="1" x14ac:dyDescent="0.35">
      <c r="A1315" s="8" t="s">
        <v>2900</v>
      </c>
      <c r="B1315" t="s">
        <v>2901</v>
      </c>
      <c r="C1315" t="s">
        <v>443</v>
      </c>
      <c r="D1315" t="s">
        <v>2902</v>
      </c>
      <c r="E1315" s="9">
        <v>45712</v>
      </c>
      <c r="F1315" s="9">
        <v>45855</v>
      </c>
      <c r="G1315" t="s">
        <v>494</v>
      </c>
      <c r="H1315" t="s">
        <v>1060</v>
      </c>
      <c r="I1315" t="s">
        <v>1061</v>
      </c>
      <c r="J1315"/>
    </row>
    <row r="1316" spans="1:10" ht="15" hidden="1" x14ac:dyDescent="0.35">
      <c r="A1316" s="1831" t="s">
        <v>2903</v>
      </c>
      <c r="B1316" s="1839" t="s">
        <v>2904</v>
      </c>
      <c r="C1316" s="1839" t="s">
        <v>1876</v>
      </c>
      <c r="D1316" s="1839" t="s">
        <v>2905</v>
      </c>
      <c r="E1316" s="1840">
        <v>45771</v>
      </c>
      <c r="F1316" s="1840"/>
      <c r="G1316" s="1839" t="s">
        <v>500</v>
      </c>
      <c r="H1316" s="1839" t="s">
        <v>1060</v>
      </c>
      <c r="I1316" s="1831" t="s">
        <v>1061</v>
      </c>
      <c r="J1316" s="1831"/>
    </row>
    <row r="1317" spans="1:10" ht="15" hidden="1" x14ac:dyDescent="0.35">
      <c r="A1317" s="1831" t="s">
        <v>2906</v>
      </c>
      <c r="B1317" s="1839" t="s">
        <v>2907</v>
      </c>
      <c r="C1317" s="1839" t="s">
        <v>872</v>
      </c>
      <c r="D1317" s="1839" t="s">
        <v>2908</v>
      </c>
      <c r="E1317" s="1840">
        <v>45376</v>
      </c>
      <c r="F1317" s="1840"/>
      <c r="G1317" s="1839" t="s">
        <v>500</v>
      </c>
      <c r="H1317" s="1839" t="s">
        <v>1060</v>
      </c>
      <c r="I1317" s="1831" t="s">
        <v>1061</v>
      </c>
      <c r="J1317" s="1831"/>
    </row>
    <row r="1318" spans="1:10" ht="15" hidden="1" x14ac:dyDescent="0.35">
      <c r="A1318" s="1831" t="s">
        <v>2909</v>
      </c>
      <c r="B1318" s="1839" t="s">
        <v>2910</v>
      </c>
      <c r="C1318" s="1839" t="s">
        <v>1148</v>
      </c>
      <c r="D1318" s="1839" t="s">
        <v>2911</v>
      </c>
      <c r="E1318" s="1840">
        <v>45422</v>
      </c>
      <c r="F1318" s="1840"/>
      <c r="G1318" s="1839" t="s">
        <v>500</v>
      </c>
      <c r="H1318" s="1839" t="s">
        <v>1060</v>
      </c>
      <c r="I1318" s="1831" t="s">
        <v>1061</v>
      </c>
      <c r="J1318" s="1831"/>
    </row>
    <row r="1319" spans="1:10" ht="15" hidden="1" x14ac:dyDescent="0.35">
      <c r="A1319" s="8" t="s">
        <v>2912</v>
      </c>
      <c r="B1319" t="s">
        <v>2913</v>
      </c>
      <c r="C1319" t="s">
        <v>455</v>
      </c>
      <c r="D1319" t="s">
        <v>2914</v>
      </c>
      <c r="E1319" s="9">
        <v>45821</v>
      </c>
      <c r="F1319" s="9">
        <v>46056</v>
      </c>
      <c r="G1319" t="s">
        <v>494</v>
      </c>
      <c r="H1319" t="s">
        <v>1060</v>
      </c>
      <c r="I1319" t="s">
        <v>1061</v>
      </c>
      <c r="J1319"/>
    </row>
    <row r="1320" spans="1:10" ht="15" hidden="1" x14ac:dyDescent="0.35">
      <c r="A1320" s="1831" t="s">
        <v>2915</v>
      </c>
      <c r="B1320" s="1839" t="s">
        <v>2916</v>
      </c>
      <c r="C1320" s="1839" t="s">
        <v>2917</v>
      </c>
      <c r="D1320" s="1839" t="s">
        <v>2918</v>
      </c>
      <c r="E1320" s="1840">
        <v>44399</v>
      </c>
      <c r="F1320" s="1840"/>
      <c r="G1320" s="1839" t="s">
        <v>500</v>
      </c>
      <c r="H1320" s="1839" t="s">
        <v>1065</v>
      </c>
      <c r="I1320" s="1831" t="s">
        <v>1066</v>
      </c>
      <c r="J1320" s="1831"/>
    </row>
    <row r="1321" spans="1:10" ht="15" hidden="1" x14ac:dyDescent="0.35">
      <c r="A1321" s="1831" t="s">
        <v>2919</v>
      </c>
      <c r="B1321" s="1839" t="s">
        <v>2920</v>
      </c>
      <c r="C1321" s="1839" t="s">
        <v>2921</v>
      </c>
      <c r="D1321" s="1839" t="s">
        <v>2922</v>
      </c>
      <c r="E1321" s="1840">
        <v>44399</v>
      </c>
      <c r="F1321" s="1840"/>
      <c r="G1321" s="1839" t="s">
        <v>500</v>
      </c>
      <c r="H1321" s="1839" t="s">
        <v>1065</v>
      </c>
      <c r="I1321" s="1831" t="s">
        <v>1066</v>
      </c>
      <c r="J1321" s="1831"/>
    </row>
    <row r="1322" spans="1:10" ht="15" hidden="1" x14ac:dyDescent="0.35">
      <c r="A1322" s="1831" t="s">
        <v>2923</v>
      </c>
      <c r="B1322" s="1839" t="s">
        <v>2924</v>
      </c>
      <c r="C1322" s="1839" t="s">
        <v>439</v>
      </c>
      <c r="D1322" s="1839" t="s">
        <v>2925</v>
      </c>
      <c r="E1322" s="1840">
        <v>46104</v>
      </c>
      <c r="F1322" s="1840"/>
      <c r="G1322" s="1839" t="s">
        <v>500</v>
      </c>
      <c r="H1322" s="1839" t="s">
        <v>1060</v>
      </c>
      <c r="I1322" s="1831" t="s">
        <v>1061</v>
      </c>
      <c r="J1322" s="1831"/>
    </row>
    <row r="1323" spans="1:10" ht="15" hidden="1" x14ac:dyDescent="0.35">
      <c r="A1323" s="1831" t="s">
        <v>2926</v>
      </c>
      <c r="B1323" s="1839" t="s">
        <v>2927</v>
      </c>
      <c r="C1323" s="1839" t="s">
        <v>410</v>
      </c>
      <c r="D1323" s="1839" t="s">
        <v>2928</v>
      </c>
      <c r="E1323" s="1840">
        <v>45420</v>
      </c>
      <c r="F1323" s="1840"/>
      <c r="G1323" s="1839" t="s">
        <v>500</v>
      </c>
      <c r="H1323" s="1839" t="s">
        <v>1065</v>
      </c>
      <c r="I1323" s="1831" t="s">
        <v>1066</v>
      </c>
      <c r="J1323" s="1831"/>
    </row>
    <row r="1324" spans="1:10" ht="15" hidden="1" x14ac:dyDescent="0.35">
      <c r="A1324" s="1831" t="s">
        <v>2929</v>
      </c>
      <c r="B1324" s="1839" t="s">
        <v>2930</v>
      </c>
      <c r="C1324" s="1839" t="s">
        <v>1263</v>
      </c>
      <c r="D1324" s="1839" t="s">
        <v>2931</v>
      </c>
      <c r="E1324" s="1840">
        <v>45376</v>
      </c>
      <c r="F1324" s="1840"/>
      <c r="G1324" s="1839" t="s">
        <v>500</v>
      </c>
      <c r="H1324" s="1839" t="s">
        <v>1078</v>
      </c>
      <c r="I1324" s="1831" t="s">
        <v>1061</v>
      </c>
      <c r="J1324" s="1831"/>
    </row>
    <row r="1325" spans="1:10" ht="15" hidden="1" x14ac:dyDescent="0.35">
      <c r="A1325" s="1831" t="s">
        <v>2932</v>
      </c>
      <c r="B1325" s="1839" t="s">
        <v>2933</v>
      </c>
      <c r="C1325" s="1839" t="s">
        <v>456</v>
      </c>
      <c r="D1325" s="1839" t="s">
        <v>2934</v>
      </c>
      <c r="E1325" s="1840">
        <v>43851</v>
      </c>
      <c r="F1325" s="1840"/>
      <c r="G1325" s="1839" t="s">
        <v>525</v>
      </c>
      <c r="H1325" s="1839" t="s">
        <v>1060</v>
      </c>
      <c r="I1325" s="1831" t="s">
        <v>1061</v>
      </c>
      <c r="J1325" s="1831"/>
    </row>
    <row r="1326" spans="1:10" ht="15" hidden="1" x14ac:dyDescent="0.35">
      <c r="A1326" s="1831" t="s">
        <v>2935</v>
      </c>
      <c r="B1326" s="1839" t="s">
        <v>2936</v>
      </c>
      <c r="C1326" s="1839" t="s">
        <v>439</v>
      </c>
      <c r="D1326" s="1839" t="s">
        <v>2937</v>
      </c>
      <c r="E1326" s="1840">
        <v>46134</v>
      </c>
      <c r="F1326" s="1840"/>
      <c r="G1326" s="1839" t="s">
        <v>500</v>
      </c>
      <c r="H1326" s="1839" t="s">
        <v>1060</v>
      </c>
      <c r="I1326" s="1831" t="s">
        <v>1061</v>
      </c>
      <c r="J1326" s="1831"/>
    </row>
    <row r="1327" spans="1:10" ht="15" hidden="1" x14ac:dyDescent="0.35">
      <c r="A1327" s="1831" t="s">
        <v>2938</v>
      </c>
      <c r="B1327" s="1839" t="s">
        <v>2939</v>
      </c>
      <c r="C1327" s="1839" t="s">
        <v>1148</v>
      </c>
      <c r="D1327" s="1839" t="s">
        <v>2940</v>
      </c>
      <c r="E1327" s="1840">
        <v>45419</v>
      </c>
      <c r="F1327" s="1840"/>
      <c r="G1327" s="1839" t="s">
        <v>500</v>
      </c>
      <c r="H1327" s="1839" t="s">
        <v>1065</v>
      </c>
      <c r="I1327" s="1831" t="s">
        <v>1066</v>
      </c>
      <c r="J1327" s="1831"/>
    </row>
    <row r="1328" spans="1:10" ht="15" hidden="1" x14ac:dyDescent="0.35">
      <c r="A1328" s="1831" t="s">
        <v>2941</v>
      </c>
      <c r="B1328" s="1839" t="s">
        <v>2942</v>
      </c>
      <c r="C1328" s="1839" t="s">
        <v>1088</v>
      </c>
      <c r="D1328" s="1839" t="s">
        <v>2943</v>
      </c>
      <c r="E1328" s="1840">
        <v>45421</v>
      </c>
      <c r="F1328" s="1840"/>
      <c r="G1328" s="1839" t="s">
        <v>500</v>
      </c>
      <c r="H1328" s="1839" t="s">
        <v>1065</v>
      </c>
      <c r="I1328" s="1831" t="s">
        <v>1066</v>
      </c>
      <c r="J1328" s="1831"/>
    </row>
    <row r="1329" spans="1:10" ht="15" hidden="1" x14ac:dyDescent="0.35">
      <c r="A1329" s="8" t="s">
        <v>2944</v>
      </c>
      <c r="B1329" t="s">
        <v>2945</v>
      </c>
      <c r="C1329" t="s">
        <v>420</v>
      </c>
      <c r="D1329" t="s">
        <v>2946</v>
      </c>
      <c r="E1329" s="9">
        <v>45419</v>
      </c>
      <c r="G1329" t="s">
        <v>634</v>
      </c>
      <c r="H1329" t="s">
        <v>1093</v>
      </c>
      <c r="I1329" t="s">
        <v>1066</v>
      </c>
      <c r="J1329"/>
    </row>
    <row r="1330" spans="1:10" ht="15" hidden="1" x14ac:dyDescent="0.35">
      <c r="A1330" s="1831" t="s">
        <v>2947</v>
      </c>
      <c r="B1330" s="1839" t="s">
        <v>2948</v>
      </c>
      <c r="C1330" s="1839" t="s">
        <v>416</v>
      </c>
      <c r="D1330" s="1839" t="s">
        <v>2949</v>
      </c>
      <c r="E1330" s="1840">
        <v>45419</v>
      </c>
      <c r="F1330" s="1840"/>
      <c r="G1330" s="1839" t="s">
        <v>500</v>
      </c>
      <c r="H1330" s="1839" t="s">
        <v>1093</v>
      </c>
      <c r="I1330" s="1831" t="s">
        <v>1066</v>
      </c>
      <c r="J1330" s="1831"/>
    </row>
    <row r="1331" spans="1:10" ht="15" hidden="1" x14ac:dyDescent="0.35">
      <c r="A1331" s="1831" t="s">
        <v>2950</v>
      </c>
      <c r="B1331" s="1839" t="s">
        <v>2951</v>
      </c>
      <c r="C1331" s="1839" t="s">
        <v>456</v>
      </c>
      <c r="D1331" s="1839" t="s">
        <v>2952</v>
      </c>
      <c r="E1331" s="1840">
        <v>44732</v>
      </c>
      <c r="F1331" s="1840"/>
      <c r="G1331" s="1839" t="s">
        <v>500</v>
      </c>
      <c r="H1331" s="1839" t="s">
        <v>1060</v>
      </c>
      <c r="I1331" s="1831" t="s">
        <v>1061</v>
      </c>
      <c r="J1331" s="1831"/>
    </row>
    <row r="1332" spans="1:10" ht="15" hidden="1" x14ac:dyDescent="0.35">
      <c r="A1332" s="8" t="s">
        <v>2953</v>
      </c>
      <c r="B1332" t="s">
        <v>2954</v>
      </c>
      <c r="C1332" t="s">
        <v>606</v>
      </c>
      <c r="D1332" t="s">
        <v>2955</v>
      </c>
      <c r="E1332" s="9">
        <v>45708</v>
      </c>
      <c r="F1332" s="9">
        <v>45932</v>
      </c>
      <c r="G1332" t="s">
        <v>494</v>
      </c>
      <c r="H1332" t="s">
        <v>1065</v>
      </c>
      <c r="I1332" t="s">
        <v>1066</v>
      </c>
      <c r="J1332"/>
    </row>
    <row r="1333" spans="1:10" ht="15" hidden="1" x14ac:dyDescent="0.35">
      <c r="A1333" s="1831" t="s">
        <v>2956</v>
      </c>
      <c r="B1333" s="1839" t="s">
        <v>2957</v>
      </c>
      <c r="C1333" s="1839" t="s">
        <v>410</v>
      </c>
      <c r="D1333" s="1839" t="s">
        <v>2958</v>
      </c>
      <c r="E1333" s="1840">
        <v>45721</v>
      </c>
      <c r="F1333" s="1840"/>
      <c r="G1333" s="1839" t="s">
        <v>500</v>
      </c>
      <c r="H1333" s="1839" t="s">
        <v>1060</v>
      </c>
      <c r="I1333" s="1831" t="s">
        <v>1061</v>
      </c>
      <c r="J1333" s="1831"/>
    </row>
    <row r="1334" spans="1:10" ht="15" hidden="1" x14ac:dyDescent="0.35">
      <c r="A1334" s="1831" t="s">
        <v>2959</v>
      </c>
      <c r="B1334" s="1839" t="s">
        <v>2960</v>
      </c>
      <c r="C1334" s="1839" t="s">
        <v>2961</v>
      </c>
      <c r="D1334" s="1839" t="s">
        <v>2962</v>
      </c>
      <c r="E1334" s="1840">
        <v>44768</v>
      </c>
      <c r="F1334" s="1840"/>
      <c r="G1334" s="1839" t="s">
        <v>500</v>
      </c>
      <c r="H1334" s="1839" t="s">
        <v>1065</v>
      </c>
      <c r="I1334" s="1831" t="s">
        <v>1066</v>
      </c>
      <c r="J1334" s="1831"/>
    </row>
    <row r="1335" spans="1:10" ht="15" hidden="1" x14ac:dyDescent="0.35">
      <c r="A1335" s="8" t="s">
        <v>2963</v>
      </c>
      <c r="B1335" t="s">
        <v>2964</v>
      </c>
      <c r="C1335" t="s">
        <v>416</v>
      </c>
      <c r="D1335" t="s">
        <v>2965</v>
      </c>
      <c r="E1335" s="9">
        <v>45887</v>
      </c>
      <c r="G1335" t="s">
        <v>634</v>
      </c>
      <c r="H1335" t="s">
        <v>1078</v>
      </c>
      <c r="I1335" t="s">
        <v>1061</v>
      </c>
      <c r="J1335"/>
    </row>
    <row r="1336" spans="1:10" ht="15" hidden="1" x14ac:dyDescent="0.35">
      <c r="A1336" s="1831" t="s">
        <v>2966</v>
      </c>
      <c r="B1336" s="1839" t="s">
        <v>2967</v>
      </c>
      <c r="C1336" s="1839" t="s">
        <v>433</v>
      </c>
      <c r="D1336" s="1839" t="s">
        <v>2968</v>
      </c>
      <c r="E1336" s="1840">
        <v>46100</v>
      </c>
      <c r="F1336" s="1840"/>
      <c r="G1336" s="1839" t="s">
        <v>500</v>
      </c>
      <c r="H1336" s="1839" t="s">
        <v>1093</v>
      </c>
      <c r="I1336" s="1831" t="s">
        <v>1066</v>
      </c>
      <c r="J1336" s="1831"/>
    </row>
    <row r="1337" spans="1:10" ht="15" hidden="1" x14ac:dyDescent="0.35">
      <c r="A1337" s="1831" t="s">
        <v>2969</v>
      </c>
      <c r="B1337" s="1839" t="s">
        <v>2970</v>
      </c>
      <c r="C1337" s="1839" t="s">
        <v>1088</v>
      </c>
      <c r="D1337" s="1839" t="s">
        <v>2971</v>
      </c>
      <c r="E1337" s="1840">
        <v>45707</v>
      </c>
      <c r="F1337" s="1840"/>
      <c r="G1337" s="1839" t="s">
        <v>500</v>
      </c>
      <c r="H1337" s="1839" t="s">
        <v>1060</v>
      </c>
      <c r="I1337" s="1831" t="s">
        <v>1061</v>
      </c>
      <c r="J1337" s="1831"/>
    </row>
    <row r="1338" spans="1:10" ht="15" hidden="1" x14ac:dyDescent="0.35">
      <c r="A1338" s="1831" t="s">
        <v>2972</v>
      </c>
      <c r="B1338" s="1839" t="s">
        <v>2973</v>
      </c>
      <c r="C1338" s="1839" t="s">
        <v>1088</v>
      </c>
      <c r="D1338" s="1839" t="s">
        <v>2974</v>
      </c>
      <c r="E1338" s="1840">
        <v>45419</v>
      </c>
      <c r="F1338" s="1840"/>
      <c r="G1338" s="1839" t="s">
        <v>500</v>
      </c>
      <c r="H1338" s="1839" t="s">
        <v>1065</v>
      </c>
      <c r="I1338" s="1831" t="s">
        <v>1066</v>
      </c>
      <c r="J1338" s="1831"/>
    </row>
    <row r="1339" spans="1:10" ht="15" hidden="1" x14ac:dyDescent="0.35">
      <c r="A1339" s="1831" t="s">
        <v>2975</v>
      </c>
      <c r="B1339" s="1839" t="s">
        <v>2976</v>
      </c>
      <c r="C1339" s="1839" t="s">
        <v>606</v>
      </c>
      <c r="D1339" s="1839" t="s">
        <v>2977</v>
      </c>
      <c r="E1339" s="1840">
        <v>45707</v>
      </c>
      <c r="F1339" s="1840"/>
      <c r="G1339" s="1839" t="s">
        <v>500</v>
      </c>
      <c r="H1339" s="1839" t="s">
        <v>1060</v>
      </c>
      <c r="I1339" s="1831" t="s">
        <v>1061</v>
      </c>
      <c r="J1339" s="1831"/>
    </row>
    <row r="1340" spans="1:10" ht="15" hidden="1" x14ac:dyDescent="0.35">
      <c r="A1340" s="8" t="s">
        <v>2978</v>
      </c>
      <c r="B1340" t="s">
        <v>2979</v>
      </c>
      <c r="C1340" t="s">
        <v>410</v>
      </c>
      <c r="D1340" t="s">
        <v>2980</v>
      </c>
      <c r="E1340" s="9">
        <v>45491</v>
      </c>
      <c r="F1340" s="9">
        <v>45784</v>
      </c>
      <c r="G1340" t="s">
        <v>494</v>
      </c>
      <c r="H1340" t="s">
        <v>1065</v>
      </c>
      <c r="I1340" t="s">
        <v>1066</v>
      </c>
      <c r="J1340"/>
    </row>
    <row r="1341" spans="1:10" ht="15" hidden="1" x14ac:dyDescent="0.35">
      <c r="A1341" s="8" t="s">
        <v>2981</v>
      </c>
      <c r="B1341" t="s">
        <v>2982</v>
      </c>
      <c r="C1341" t="s">
        <v>410</v>
      </c>
      <c r="D1341" t="s">
        <v>2983</v>
      </c>
      <c r="E1341" s="9">
        <v>45721</v>
      </c>
      <c r="F1341" s="9">
        <v>45890</v>
      </c>
      <c r="G1341" t="s">
        <v>494</v>
      </c>
      <c r="H1341" t="s">
        <v>1060</v>
      </c>
      <c r="I1341" t="s">
        <v>1061</v>
      </c>
      <c r="J1341"/>
    </row>
    <row r="1342" spans="1:10" ht="15" hidden="1" x14ac:dyDescent="0.35">
      <c r="A1342" s="1831" t="s">
        <v>2984</v>
      </c>
      <c r="B1342" s="1839" t="s">
        <v>2985</v>
      </c>
      <c r="C1342" s="1839" t="s">
        <v>421</v>
      </c>
      <c r="D1342" s="1839" t="s">
        <v>2986</v>
      </c>
      <c r="E1342" s="1840">
        <v>45713</v>
      </c>
      <c r="F1342" s="1840"/>
      <c r="G1342" s="1839" t="s">
        <v>500</v>
      </c>
      <c r="H1342" s="1839" t="s">
        <v>1060</v>
      </c>
      <c r="I1342" s="1831" t="s">
        <v>1061</v>
      </c>
      <c r="J1342" s="1831"/>
    </row>
    <row r="1343" spans="1:10" ht="15" hidden="1" x14ac:dyDescent="0.35">
      <c r="A1343" s="1831" t="s">
        <v>2987</v>
      </c>
      <c r="B1343" s="1839" t="s">
        <v>2988</v>
      </c>
      <c r="C1343" s="1839" t="s">
        <v>2961</v>
      </c>
      <c r="D1343" s="1839" t="s">
        <v>2989</v>
      </c>
      <c r="E1343" s="1840">
        <v>44824</v>
      </c>
      <c r="F1343" s="1840"/>
      <c r="G1343" s="1839" t="s">
        <v>500</v>
      </c>
      <c r="H1343" s="1839" t="s">
        <v>1060</v>
      </c>
      <c r="I1343" s="1831" t="s">
        <v>1061</v>
      </c>
      <c r="J1343" s="1831"/>
    </row>
    <row r="1344" spans="1:10" ht="15" hidden="1" x14ac:dyDescent="0.35">
      <c r="A1344" s="1831" t="s">
        <v>2990</v>
      </c>
      <c r="B1344" s="1839" t="s">
        <v>2991</v>
      </c>
      <c r="C1344" s="1839" t="s">
        <v>440</v>
      </c>
      <c r="D1344" s="1839" t="s">
        <v>2992</v>
      </c>
      <c r="E1344" s="1840">
        <v>45426</v>
      </c>
      <c r="F1344" s="1840"/>
      <c r="G1344" s="1839" t="s">
        <v>500</v>
      </c>
      <c r="H1344" s="1839" t="s">
        <v>1065</v>
      </c>
      <c r="I1344" s="1831" t="s">
        <v>1066</v>
      </c>
      <c r="J1344" s="1831"/>
    </row>
    <row r="1345" spans="1:10" ht="15" hidden="1" x14ac:dyDescent="0.35">
      <c r="A1345" s="1831" t="s">
        <v>2993</v>
      </c>
      <c r="B1345" s="1839" t="s">
        <v>2994</v>
      </c>
      <c r="C1345" s="1839" t="s">
        <v>872</v>
      </c>
      <c r="D1345" s="1839" t="s">
        <v>2995</v>
      </c>
      <c r="E1345" s="1840">
        <v>45979</v>
      </c>
      <c r="F1345" s="1840"/>
      <c r="G1345" s="1839" t="s">
        <v>500</v>
      </c>
      <c r="H1345" s="1839" t="s">
        <v>1060</v>
      </c>
      <c r="I1345" s="1831" t="s">
        <v>1061</v>
      </c>
      <c r="J1345" s="1831"/>
    </row>
    <row r="1346" spans="1:10" ht="15" hidden="1" x14ac:dyDescent="0.35">
      <c r="A1346" s="1831" t="s">
        <v>2996</v>
      </c>
      <c r="B1346" s="1839" t="s">
        <v>2997</v>
      </c>
      <c r="C1346" s="1839" t="s">
        <v>1088</v>
      </c>
      <c r="D1346" s="1839" t="s">
        <v>2998</v>
      </c>
      <c r="E1346" s="1840">
        <v>45730</v>
      </c>
      <c r="F1346" s="1840"/>
      <c r="G1346" s="1839" t="s">
        <v>500</v>
      </c>
      <c r="H1346" s="1839" t="s">
        <v>1060</v>
      </c>
      <c r="I1346" s="1831" t="s">
        <v>1061</v>
      </c>
      <c r="J1346" s="1831"/>
    </row>
    <row r="1347" spans="1:10" ht="15" hidden="1" x14ac:dyDescent="0.35">
      <c r="A1347" s="1831" t="s">
        <v>2999</v>
      </c>
      <c r="B1347" s="1839" t="s">
        <v>3000</v>
      </c>
      <c r="C1347" s="1839" t="s">
        <v>544</v>
      </c>
      <c r="D1347" s="1839" t="s">
        <v>3001</v>
      </c>
      <c r="E1347" s="1840">
        <v>46084</v>
      </c>
      <c r="F1347" s="1840"/>
      <c r="G1347" s="1839" t="s">
        <v>500</v>
      </c>
      <c r="H1347" s="1839" t="s">
        <v>1065</v>
      </c>
      <c r="I1347" s="1831" t="s">
        <v>1066</v>
      </c>
      <c r="J1347" s="1831"/>
    </row>
    <row r="1348" spans="1:10" ht="15" hidden="1" x14ac:dyDescent="0.35">
      <c r="A1348" s="1831" t="s">
        <v>3002</v>
      </c>
      <c r="B1348" s="1839" t="s">
        <v>3003</v>
      </c>
      <c r="C1348" s="1839" t="s">
        <v>420</v>
      </c>
      <c r="D1348" s="1839" t="s">
        <v>3004</v>
      </c>
      <c r="E1348" s="1840">
        <v>45701</v>
      </c>
      <c r="F1348" s="1840"/>
      <c r="G1348" s="1839" t="s">
        <v>500</v>
      </c>
      <c r="H1348" s="1839" t="s">
        <v>1078</v>
      </c>
      <c r="I1348" s="1831" t="s">
        <v>1061</v>
      </c>
      <c r="J1348" s="1831"/>
    </row>
    <row r="1349" spans="1:10" ht="15" hidden="1" x14ac:dyDescent="0.35">
      <c r="A1349" s="8" t="s">
        <v>3005</v>
      </c>
      <c r="B1349" t="s">
        <v>3006</v>
      </c>
      <c r="C1349" t="s">
        <v>439</v>
      </c>
      <c r="D1349" t="s">
        <v>3007</v>
      </c>
      <c r="E1349" s="9">
        <v>45849</v>
      </c>
      <c r="F1349" s="9">
        <v>45918</v>
      </c>
      <c r="G1349" t="s">
        <v>494</v>
      </c>
      <c r="H1349" t="s">
        <v>1065</v>
      </c>
      <c r="I1349" t="s">
        <v>1066</v>
      </c>
      <c r="J1349"/>
    </row>
    <row r="1350" spans="1:10" ht="15" hidden="1" x14ac:dyDescent="0.35">
      <c r="A1350" s="8" t="s">
        <v>3008</v>
      </c>
      <c r="B1350" t="s">
        <v>3009</v>
      </c>
      <c r="C1350" t="s">
        <v>443</v>
      </c>
      <c r="D1350" t="s">
        <v>3010</v>
      </c>
      <c r="E1350" s="9">
        <v>45849</v>
      </c>
      <c r="F1350" s="9">
        <v>45996</v>
      </c>
      <c r="G1350" t="s">
        <v>494</v>
      </c>
      <c r="H1350" t="s">
        <v>1060</v>
      </c>
      <c r="I1350" t="s">
        <v>1061</v>
      </c>
      <c r="J1350"/>
    </row>
    <row r="1351" spans="1:10" ht="15" hidden="1" x14ac:dyDescent="0.35">
      <c r="A1351" s="1831" t="s">
        <v>3011</v>
      </c>
      <c r="B1351" s="1839" t="s">
        <v>3012</v>
      </c>
      <c r="C1351" s="1839" t="s">
        <v>410</v>
      </c>
      <c r="D1351" s="1839" t="s">
        <v>3013</v>
      </c>
      <c r="E1351" s="1840">
        <v>45707</v>
      </c>
      <c r="F1351" s="1840"/>
      <c r="G1351" s="1839" t="s">
        <v>500</v>
      </c>
      <c r="H1351" s="1839" t="s">
        <v>1060</v>
      </c>
      <c r="I1351" s="1831" t="s">
        <v>1061</v>
      </c>
      <c r="J1351" s="1831"/>
    </row>
    <row r="1352" spans="1:10" ht="15" hidden="1" x14ac:dyDescent="0.35">
      <c r="A1352" s="8" t="s">
        <v>3014</v>
      </c>
      <c r="B1352" t="s">
        <v>3015</v>
      </c>
      <c r="C1352" t="s">
        <v>1072</v>
      </c>
      <c r="D1352" t="s">
        <v>3016</v>
      </c>
      <c r="E1352" s="9">
        <v>45132</v>
      </c>
      <c r="F1352" s="9">
        <v>46072</v>
      </c>
      <c r="G1352" t="s">
        <v>494</v>
      </c>
      <c r="H1352" t="s">
        <v>1065</v>
      </c>
      <c r="I1352" t="s">
        <v>1066</v>
      </c>
      <c r="J1352"/>
    </row>
    <row r="1353" spans="1:10" ht="15" hidden="1" x14ac:dyDescent="0.35">
      <c r="A1353" s="1831" t="s">
        <v>3017</v>
      </c>
      <c r="B1353" s="1839" t="s">
        <v>3018</v>
      </c>
      <c r="C1353" s="1839" t="s">
        <v>444</v>
      </c>
      <c r="D1353" s="1839" t="s">
        <v>3019</v>
      </c>
      <c r="E1353" s="1840">
        <v>44768</v>
      </c>
      <c r="F1353" s="1840"/>
      <c r="G1353" s="1839" t="s">
        <v>500</v>
      </c>
      <c r="H1353" s="1839" t="s">
        <v>1060</v>
      </c>
      <c r="I1353" s="1831" t="s">
        <v>1061</v>
      </c>
      <c r="J1353" s="1831"/>
    </row>
    <row r="1354" spans="1:10" ht="15" hidden="1" x14ac:dyDescent="0.35">
      <c r="A1354" s="8" t="s">
        <v>3020</v>
      </c>
      <c r="B1354" t="s">
        <v>3021</v>
      </c>
      <c r="C1354" t="s">
        <v>420</v>
      </c>
      <c r="D1354" t="s">
        <v>3022</v>
      </c>
      <c r="E1354" s="9">
        <v>45377</v>
      </c>
      <c r="F1354" s="9">
        <v>45826</v>
      </c>
      <c r="G1354" t="s">
        <v>494</v>
      </c>
      <c r="H1354" t="s">
        <v>1078</v>
      </c>
      <c r="I1354" t="s">
        <v>1061</v>
      </c>
      <c r="J1354"/>
    </row>
    <row r="1355" spans="1:10" ht="15" hidden="1" x14ac:dyDescent="0.35">
      <c r="A1355" s="8" t="s">
        <v>3023</v>
      </c>
      <c r="B1355" t="s">
        <v>3024</v>
      </c>
      <c r="C1355" t="s">
        <v>420</v>
      </c>
      <c r="D1355" t="s">
        <v>3025</v>
      </c>
      <c r="E1355" s="9">
        <v>45691</v>
      </c>
      <c r="F1355" s="9">
        <v>45876</v>
      </c>
      <c r="G1355" t="s">
        <v>494</v>
      </c>
      <c r="H1355" t="s">
        <v>1093</v>
      </c>
      <c r="I1355" t="s">
        <v>1066</v>
      </c>
      <c r="J1355"/>
    </row>
    <row r="1356" spans="1:10" ht="15" hidden="1" x14ac:dyDescent="0.35">
      <c r="A1356" s="1831" t="s">
        <v>3026</v>
      </c>
      <c r="B1356" s="1839" t="s">
        <v>3027</v>
      </c>
      <c r="C1356" s="1839" t="s">
        <v>416</v>
      </c>
      <c r="D1356" s="1839" t="s">
        <v>3028</v>
      </c>
      <c r="E1356" s="1840">
        <v>45870</v>
      </c>
      <c r="F1356" s="1840"/>
      <c r="G1356" s="1839" t="s">
        <v>500</v>
      </c>
      <c r="H1356" s="1839" t="s">
        <v>1078</v>
      </c>
      <c r="I1356" s="1831" t="s">
        <v>1061</v>
      </c>
      <c r="J1356" s="1831"/>
    </row>
    <row r="1357" spans="1:10" ht="15" hidden="1" x14ac:dyDescent="0.35">
      <c r="A1357" s="1831" t="s">
        <v>3029</v>
      </c>
      <c r="B1357" s="1839" t="s">
        <v>3030</v>
      </c>
      <c r="C1357" s="1839" t="s">
        <v>420</v>
      </c>
      <c r="D1357" s="1839" t="s">
        <v>3031</v>
      </c>
      <c r="E1357" s="1840">
        <v>45386</v>
      </c>
      <c r="F1357" s="1840"/>
      <c r="G1357" s="1839" t="s">
        <v>500</v>
      </c>
      <c r="H1357" s="1839" t="s">
        <v>1078</v>
      </c>
      <c r="I1357" s="1831" t="s">
        <v>1061</v>
      </c>
      <c r="J1357" s="1831"/>
    </row>
    <row r="1358" spans="1:10" ht="15" hidden="1" x14ac:dyDescent="0.35">
      <c r="A1358" s="1831" t="s">
        <v>3032</v>
      </c>
      <c r="B1358" s="1839" t="s">
        <v>3033</v>
      </c>
      <c r="C1358" s="1839" t="s">
        <v>411</v>
      </c>
      <c r="D1358" s="1839" t="s">
        <v>3034</v>
      </c>
      <c r="E1358" s="1840">
        <v>45706</v>
      </c>
      <c r="F1358" s="1840"/>
      <c r="G1358" s="1839" t="s">
        <v>500</v>
      </c>
      <c r="H1358" s="1839" t="s">
        <v>1060</v>
      </c>
      <c r="I1358" s="1831" t="s">
        <v>1061</v>
      </c>
      <c r="J1358" s="1831"/>
    </row>
    <row r="1359" spans="1:10" ht="15" hidden="1" x14ac:dyDescent="0.35">
      <c r="A1359" s="8" t="s">
        <v>3035</v>
      </c>
      <c r="B1359" t="s">
        <v>3036</v>
      </c>
      <c r="C1359" t="s">
        <v>1848</v>
      </c>
      <c r="D1359" t="s">
        <v>3037</v>
      </c>
      <c r="E1359" s="9">
        <v>45566</v>
      </c>
      <c r="F1359" s="9">
        <v>45881</v>
      </c>
      <c r="G1359" t="s">
        <v>494</v>
      </c>
      <c r="H1359" t="s">
        <v>1065</v>
      </c>
      <c r="I1359" t="s">
        <v>1066</v>
      </c>
      <c r="J1359"/>
    </row>
    <row r="1360" spans="1:10" ht="15" hidden="1" x14ac:dyDescent="0.35">
      <c r="A1360" s="1831" t="s">
        <v>3038</v>
      </c>
      <c r="B1360" s="1839" t="s">
        <v>3039</v>
      </c>
      <c r="C1360" s="1839" t="s">
        <v>436</v>
      </c>
      <c r="D1360" s="1839" t="s">
        <v>3040</v>
      </c>
      <c r="E1360" s="1840">
        <v>45421</v>
      </c>
      <c r="F1360" s="1840"/>
      <c r="G1360" s="1839" t="s">
        <v>500</v>
      </c>
      <c r="H1360" s="1839" t="s">
        <v>1093</v>
      </c>
      <c r="I1360" s="1831" t="s">
        <v>1066</v>
      </c>
      <c r="J1360" s="1831"/>
    </row>
    <row r="1361" spans="1:10" ht="15" hidden="1" x14ac:dyDescent="0.35">
      <c r="A1361" s="1831" t="s">
        <v>3041</v>
      </c>
      <c r="B1361" s="1839" t="s">
        <v>3042</v>
      </c>
      <c r="C1361" s="1839" t="s">
        <v>578</v>
      </c>
      <c r="D1361" s="1839" t="s">
        <v>3043</v>
      </c>
      <c r="E1361" s="1840">
        <v>45741</v>
      </c>
      <c r="F1361" s="1840"/>
      <c r="G1361" s="1839" t="s">
        <v>500</v>
      </c>
      <c r="H1361" s="1839" t="s">
        <v>1065</v>
      </c>
      <c r="I1361" s="1831" t="s">
        <v>1066</v>
      </c>
      <c r="J1361" s="1831"/>
    </row>
    <row r="1362" spans="1:10" ht="15" hidden="1" x14ac:dyDescent="0.35">
      <c r="A1362" s="1831" t="s">
        <v>3044</v>
      </c>
      <c r="B1362" s="1839" t="s">
        <v>3045</v>
      </c>
      <c r="C1362" s="1839" t="s">
        <v>455</v>
      </c>
      <c r="D1362" s="1839" t="s">
        <v>3046</v>
      </c>
      <c r="E1362" s="1840">
        <v>45938</v>
      </c>
      <c r="F1362" s="1840"/>
      <c r="G1362" s="1839" t="s">
        <v>3047</v>
      </c>
      <c r="H1362" s="1839" t="s">
        <v>1060</v>
      </c>
      <c r="I1362" s="1831" t="s">
        <v>1061</v>
      </c>
      <c r="J1362" s="1831"/>
    </row>
    <row r="1363" spans="1:10" ht="15" hidden="1" x14ac:dyDescent="0.35">
      <c r="A1363" s="8" t="s">
        <v>3048</v>
      </c>
      <c r="B1363" t="s">
        <v>3049</v>
      </c>
      <c r="C1363" t="s">
        <v>1144</v>
      </c>
      <c r="D1363" t="s">
        <v>3050</v>
      </c>
      <c r="E1363" s="9">
        <v>45721</v>
      </c>
      <c r="F1363" s="9">
        <v>45901</v>
      </c>
      <c r="G1363" t="s">
        <v>494</v>
      </c>
      <c r="H1363" t="s">
        <v>1060</v>
      </c>
      <c r="I1363" t="s">
        <v>1061</v>
      </c>
      <c r="J1363"/>
    </row>
    <row r="1364" spans="1:10" ht="15" hidden="1" x14ac:dyDescent="0.35">
      <c r="A1364" s="1831" t="s">
        <v>3051</v>
      </c>
      <c r="B1364" s="1839" t="s">
        <v>3052</v>
      </c>
      <c r="C1364" s="1839" t="s">
        <v>578</v>
      </c>
      <c r="D1364" s="1839" t="s">
        <v>3053</v>
      </c>
      <c r="E1364" s="1840">
        <v>45721</v>
      </c>
      <c r="F1364" s="1840"/>
      <c r="G1364" s="1839" t="s">
        <v>525</v>
      </c>
      <c r="H1364" s="1839" t="s">
        <v>1060</v>
      </c>
      <c r="I1364" s="1831" t="s">
        <v>1061</v>
      </c>
      <c r="J1364" s="1831"/>
    </row>
    <row r="1365" spans="1:10" ht="15" hidden="1" x14ac:dyDescent="0.35">
      <c r="A1365" s="1831" t="s">
        <v>3054</v>
      </c>
      <c r="B1365" s="1839" t="s">
        <v>3055</v>
      </c>
      <c r="C1365" s="1839" t="s">
        <v>1144</v>
      </c>
      <c r="D1365" s="1839" t="s">
        <v>3056</v>
      </c>
      <c r="E1365" s="1840">
        <v>45722</v>
      </c>
      <c r="F1365" s="1840"/>
      <c r="G1365" s="1839" t="s">
        <v>500</v>
      </c>
      <c r="H1365" s="1839" t="s">
        <v>1060</v>
      </c>
      <c r="I1365" s="1831" t="s">
        <v>1061</v>
      </c>
      <c r="J1365" s="1831"/>
    </row>
    <row r="1366" spans="1:10" ht="15" hidden="1" x14ac:dyDescent="0.35">
      <c r="A1366" s="1831" t="s">
        <v>3057</v>
      </c>
      <c r="B1366" s="1839" t="s">
        <v>3058</v>
      </c>
      <c r="C1366" s="1839" t="s">
        <v>420</v>
      </c>
      <c r="D1366" s="1839" t="s">
        <v>3059</v>
      </c>
      <c r="E1366" s="1840">
        <v>45821</v>
      </c>
      <c r="F1366" s="1840"/>
      <c r="G1366" s="1839" t="s">
        <v>500</v>
      </c>
      <c r="H1366" s="1839" t="s">
        <v>1078</v>
      </c>
      <c r="I1366" s="1831" t="s">
        <v>1061</v>
      </c>
      <c r="J1366" s="1831"/>
    </row>
    <row r="1367" spans="1:10" ht="15" hidden="1" x14ac:dyDescent="0.35">
      <c r="A1367" s="1831" t="s">
        <v>3060</v>
      </c>
      <c r="B1367" s="1839" t="s">
        <v>3061</v>
      </c>
      <c r="C1367" s="1839" t="s">
        <v>443</v>
      </c>
      <c r="D1367" s="1839" t="s">
        <v>3062</v>
      </c>
      <c r="E1367" s="1840">
        <v>45873</v>
      </c>
      <c r="F1367" s="1840"/>
      <c r="G1367" s="1839" t="s">
        <v>500</v>
      </c>
      <c r="H1367" s="1839" t="s">
        <v>1060</v>
      </c>
      <c r="I1367" s="1831" t="s">
        <v>1061</v>
      </c>
      <c r="J1367" s="1831"/>
    </row>
    <row r="1368" spans="1:10" ht="15" hidden="1" x14ac:dyDescent="0.35">
      <c r="A1368" s="8" t="s">
        <v>3063</v>
      </c>
      <c r="B1368" t="s">
        <v>3064</v>
      </c>
      <c r="C1368" t="s">
        <v>413</v>
      </c>
      <c r="D1368" t="s">
        <v>3065</v>
      </c>
      <c r="E1368" s="9">
        <v>45813</v>
      </c>
      <c r="F1368" s="9">
        <v>46042</v>
      </c>
      <c r="G1368" t="s">
        <v>494</v>
      </c>
      <c r="H1368" t="s">
        <v>1060</v>
      </c>
      <c r="I1368" t="s">
        <v>1061</v>
      </c>
      <c r="J1368"/>
    </row>
    <row r="1369" spans="1:10" ht="15" hidden="1" x14ac:dyDescent="0.35">
      <c r="A1369" s="1831" t="s">
        <v>3066</v>
      </c>
      <c r="B1369" s="1839" t="s">
        <v>3067</v>
      </c>
      <c r="C1369" s="1839" t="s">
        <v>420</v>
      </c>
      <c r="D1369" s="1839" t="s">
        <v>3068</v>
      </c>
      <c r="E1369" s="1840">
        <v>46087</v>
      </c>
      <c r="F1369" s="1840"/>
      <c r="G1369" s="1839" t="s">
        <v>500</v>
      </c>
      <c r="H1369" s="1839" t="s">
        <v>1093</v>
      </c>
      <c r="I1369" s="1831" t="s">
        <v>1066</v>
      </c>
      <c r="J1369" s="1831"/>
    </row>
    <row r="1370" spans="1:10" ht="15" hidden="1" x14ac:dyDescent="0.35">
      <c r="A1370" s="1831" t="s">
        <v>3069</v>
      </c>
      <c r="B1370" s="1839" t="s">
        <v>3070</v>
      </c>
      <c r="C1370" s="1839" t="s">
        <v>420</v>
      </c>
      <c r="D1370" s="1839" t="s">
        <v>3071</v>
      </c>
      <c r="E1370" s="1840">
        <v>46008</v>
      </c>
      <c r="F1370" s="1840"/>
      <c r="G1370" s="1839" t="s">
        <v>500</v>
      </c>
      <c r="H1370" s="1839" t="s">
        <v>1093</v>
      </c>
      <c r="I1370" s="1831" t="s">
        <v>1066</v>
      </c>
      <c r="J1370" s="1831"/>
    </row>
    <row r="1371" spans="1:10" ht="15" hidden="1" x14ac:dyDescent="0.35">
      <c r="A1371" s="1831" t="s">
        <v>3072</v>
      </c>
      <c r="B1371" s="1839" t="s">
        <v>3073</v>
      </c>
      <c r="C1371" s="1839" t="s">
        <v>1144</v>
      </c>
      <c r="D1371" s="1839" t="s">
        <v>3074</v>
      </c>
      <c r="E1371" s="1840">
        <v>45733</v>
      </c>
      <c r="F1371" s="1840"/>
      <c r="G1371" s="1839" t="s">
        <v>500</v>
      </c>
      <c r="H1371" s="1839" t="s">
        <v>1065</v>
      </c>
      <c r="I1371" s="1831" t="s">
        <v>1066</v>
      </c>
      <c r="J1371" s="1831"/>
    </row>
    <row r="1372" spans="1:10" ht="15" hidden="1" x14ac:dyDescent="0.35">
      <c r="A1372" s="1831" t="s">
        <v>3075</v>
      </c>
      <c r="B1372" s="1839" t="s">
        <v>3076</v>
      </c>
      <c r="C1372" s="1839" t="s">
        <v>1072</v>
      </c>
      <c r="D1372" s="1839" t="s">
        <v>3077</v>
      </c>
      <c r="E1372" s="1840">
        <v>45735</v>
      </c>
      <c r="F1372" s="1840"/>
      <c r="G1372" s="1839" t="s">
        <v>500</v>
      </c>
      <c r="H1372" s="1839" t="s">
        <v>1065</v>
      </c>
      <c r="I1372" s="1831" t="s">
        <v>1066</v>
      </c>
      <c r="J1372" s="1831"/>
    </row>
    <row r="1373" spans="1:10" ht="15" hidden="1" x14ac:dyDescent="0.35">
      <c r="A1373" s="1831" t="s">
        <v>3078</v>
      </c>
      <c r="B1373" s="1839" t="s">
        <v>3079</v>
      </c>
      <c r="C1373" s="1839" t="s">
        <v>441</v>
      </c>
      <c r="D1373" s="1839" t="s">
        <v>3080</v>
      </c>
      <c r="E1373" s="1840">
        <v>45572</v>
      </c>
      <c r="F1373" s="1840"/>
      <c r="G1373" s="1839" t="s">
        <v>525</v>
      </c>
      <c r="H1373" s="1839" t="s">
        <v>1078</v>
      </c>
      <c r="I1373" s="1831" t="s">
        <v>1061</v>
      </c>
      <c r="J1373" s="1831"/>
    </row>
    <row r="1374" spans="1:10" ht="15" hidden="1" x14ac:dyDescent="0.35">
      <c r="A1374" s="1831" t="s">
        <v>3081</v>
      </c>
      <c r="B1374" s="1839" t="s">
        <v>3082</v>
      </c>
      <c r="C1374" s="1839" t="s">
        <v>591</v>
      </c>
      <c r="D1374" s="1839" t="s">
        <v>3083</v>
      </c>
      <c r="E1374" s="1840">
        <v>45964</v>
      </c>
      <c r="F1374" s="1840"/>
      <c r="G1374" s="1839" t="s">
        <v>500</v>
      </c>
      <c r="H1374" s="1839" t="s">
        <v>1078</v>
      </c>
      <c r="I1374" s="1831" t="s">
        <v>1061</v>
      </c>
      <c r="J1374" s="1831"/>
    </row>
    <row r="1375" spans="1:10" ht="15" hidden="1" x14ac:dyDescent="0.35">
      <c r="A1375" s="8" t="s">
        <v>3084</v>
      </c>
      <c r="B1375" t="s">
        <v>3085</v>
      </c>
      <c r="C1375" t="s">
        <v>420</v>
      </c>
      <c r="D1375" t="s">
        <v>3086</v>
      </c>
      <c r="E1375" s="9">
        <v>45846</v>
      </c>
      <c r="F1375" s="9">
        <v>46065</v>
      </c>
      <c r="G1375" t="s">
        <v>494</v>
      </c>
      <c r="H1375" t="s">
        <v>1093</v>
      </c>
      <c r="I1375" t="s">
        <v>1066</v>
      </c>
      <c r="J1375"/>
    </row>
    <row r="1376" spans="1:10" ht="15" hidden="1" x14ac:dyDescent="0.35">
      <c r="A1376" s="1831" t="s">
        <v>3087</v>
      </c>
      <c r="B1376" s="1839" t="s">
        <v>3088</v>
      </c>
      <c r="C1376" s="1839" t="s">
        <v>443</v>
      </c>
      <c r="D1376" s="1839" t="s">
        <v>3089</v>
      </c>
      <c r="E1376" s="1840">
        <v>45446</v>
      </c>
      <c r="F1376" s="1840"/>
      <c r="G1376" s="1839" t="s">
        <v>500</v>
      </c>
      <c r="H1376" s="1839" t="s">
        <v>1065</v>
      </c>
      <c r="I1376" s="1831" t="s">
        <v>1066</v>
      </c>
      <c r="J1376" s="1831"/>
    </row>
    <row r="1377" spans="1:10" ht="15" hidden="1" x14ac:dyDescent="0.35">
      <c r="A1377" s="8" t="s">
        <v>3090</v>
      </c>
      <c r="B1377" t="s">
        <v>3091</v>
      </c>
      <c r="C1377" t="s">
        <v>456</v>
      </c>
      <c r="D1377" t="s">
        <v>3092</v>
      </c>
      <c r="E1377" s="9">
        <v>45847</v>
      </c>
      <c r="F1377" s="9">
        <v>46059</v>
      </c>
      <c r="G1377" t="s">
        <v>494</v>
      </c>
      <c r="H1377" t="s">
        <v>1065</v>
      </c>
      <c r="I1377" t="s">
        <v>1066</v>
      </c>
      <c r="J1377"/>
    </row>
    <row r="1378" spans="1:10" ht="15" hidden="1" x14ac:dyDescent="0.35">
      <c r="A1378" s="1831" t="s">
        <v>3093</v>
      </c>
      <c r="B1378" s="1839" t="s">
        <v>3094</v>
      </c>
      <c r="C1378" s="1839" t="s">
        <v>1088</v>
      </c>
      <c r="D1378" s="1839" t="s">
        <v>3095</v>
      </c>
      <c r="E1378" s="1840">
        <v>46129</v>
      </c>
      <c r="F1378" s="1840"/>
      <c r="G1378" s="1839" t="s">
        <v>500</v>
      </c>
      <c r="H1378" s="1839" t="s">
        <v>1060</v>
      </c>
      <c r="I1378" s="1831" t="s">
        <v>1061</v>
      </c>
      <c r="J1378" s="1831"/>
    </row>
    <row r="1379" spans="1:10" ht="15" hidden="1" x14ac:dyDescent="0.35">
      <c r="A1379" s="8" t="s">
        <v>3096</v>
      </c>
      <c r="B1379" t="s">
        <v>3097</v>
      </c>
      <c r="C1379" t="s">
        <v>420</v>
      </c>
      <c r="D1379" t="s">
        <v>3098</v>
      </c>
      <c r="E1379" s="9">
        <v>45541</v>
      </c>
      <c r="F1379" s="9">
        <v>45831</v>
      </c>
      <c r="G1379" t="s">
        <v>494</v>
      </c>
      <c r="H1379" t="s">
        <v>1078</v>
      </c>
      <c r="I1379" t="s">
        <v>1061</v>
      </c>
      <c r="J1379"/>
    </row>
    <row r="1380" spans="1:10" ht="15" hidden="1" x14ac:dyDescent="0.35">
      <c r="A1380" s="1831" t="s">
        <v>3099</v>
      </c>
      <c r="B1380" s="1839" t="s">
        <v>3100</v>
      </c>
      <c r="C1380" s="1839" t="s">
        <v>420</v>
      </c>
      <c r="D1380" s="1839" t="s">
        <v>3101</v>
      </c>
      <c r="E1380" s="1840">
        <v>45419</v>
      </c>
      <c r="F1380" s="1840"/>
      <c r="G1380" s="1839" t="s">
        <v>500</v>
      </c>
      <c r="H1380" s="1839" t="s">
        <v>1093</v>
      </c>
      <c r="I1380" s="1831" t="s">
        <v>1066</v>
      </c>
      <c r="J1380" s="1831"/>
    </row>
    <row r="1381" spans="1:10" ht="15" hidden="1" x14ac:dyDescent="0.35">
      <c r="A1381" s="8" t="s">
        <v>3102</v>
      </c>
      <c r="B1381" t="s">
        <v>3103</v>
      </c>
      <c r="C1381" t="s">
        <v>420</v>
      </c>
      <c r="D1381" t="s">
        <v>3104</v>
      </c>
      <c r="E1381" s="9">
        <v>45993</v>
      </c>
      <c r="F1381" s="9">
        <v>46101</v>
      </c>
      <c r="G1381" t="s">
        <v>494</v>
      </c>
      <c r="H1381" t="s">
        <v>1078</v>
      </c>
      <c r="I1381" t="s">
        <v>1061</v>
      </c>
      <c r="J1381"/>
    </row>
    <row r="1382" spans="1:10" ht="15" hidden="1" x14ac:dyDescent="0.35">
      <c r="A1382" s="1831" t="s">
        <v>3105</v>
      </c>
      <c r="B1382" s="1839" t="s">
        <v>3106</v>
      </c>
      <c r="C1382" s="1839" t="s">
        <v>420</v>
      </c>
      <c r="D1382" s="1839" t="s">
        <v>3107</v>
      </c>
      <c r="E1382" s="1840">
        <v>46059</v>
      </c>
      <c r="F1382" s="1840"/>
      <c r="G1382" s="1839" t="s">
        <v>500</v>
      </c>
      <c r="H1382" s="1839" t="s">
        <v>1093</v>
      </c>
      <c r="I1382" s="1831" t="s">
        <v>1066</v>
      </c>
      <c r="J1382" s="1831"/>
    </row>
    <row r="1383" spans="1:10" ht="15" hidden="1" x14ac:dyDescent="0.35">
      <c r="A1383" s="1831" t="s">
        <v>3108</v>
      </c>
      <c r="B1383" s="1839" t="s">
        <v>3109</v>
      </c>
      <c r="C1383" s="1839" t="s">
        <v>413</v>
      </c>
      <c r="D1383" s="1839" t="s">
        <v>3110</v>
      </c>
      <c r="E1383" s="1840">
        <v>45852</v>
      </c>
      <c r="F1383" s="1840"/>
      <c r="G1383" s="1839" t="s">
        <v>500</v>
      </c>
      <c r="H1383" s="1839" t="s">
        <v>1065</v>
      </c>
      <c r="I1383" s="1831" t="s">
        <v>1066</v>
      </c>
      <c r="J1383" s="1831"/>
    </row>
    <row r="1384" spans="1:10" ht="15" hidden="1" x14ac:dyDescent="0.35">
      <c r="A1384" s="8" t="s">
        <v>3111</v>
      </c>
      <c r="B1384" t="s">
        <v>3112</v>
      </c>
      <c r="C1384" t="s">
        <v>420</v>
      </c>
      <c r="D1384" t="s">
        <v>3113</v>
      </c>
      <c r="E1384" s="9">
        <v>45642</v>
      </c>
      <c r="G1384" t="s">
        <v>634</v>
      </c>
      <c r="H1384" t="s">
        <v>1078</v>
      </c>
      <c r="I1384" t="s">
        <v>1061</v>
      </c>
      <c r="J1384"/>
    </row>
    <row r="1385" spans="1:10" ht="15" hidden="1" x14ac:dyDescent="0.35">
      <c r="A1385" s="8" t="s">
        <v>3114</v>
      </c>
      <c r="B1385" t="s">
        <v>3115</v>
      </c>
      <c r="C1385" t="s">
        <v>420</v>
      </c>
      <c r="D1385" t="s">
        <v>3116</v>
      </c>
      <c r="E1385" s="9">
        <v>45419</v>
      </c>
      <c r="F1385" s="9">
        <v>46119</v>
      </c>
      <c r="G1385" t="s">
        <v>494</v>
      </c>
      <c r="H1385" t="s">
        <v>1093</v>
      </c>
      <c r="I1385" t="s">
        <v>1066</v>
      </c>
      <c r="J1385"/>
    </row>
    <row r="1386" spans="1:10" ht="15" hidden="1" x14ac:dyDescent="0.35">
      <c r="A1386" s="8" t="s">
        <v>3117</v>
      </c>
      <c r="B1386" t="s">
        <v>3118</v>
      </c>
      <c r="C1386" t="s">
        <v>420</v>
      </c>
      <c r="D1386" t="s">
        <v>3119</v>
      </c>
      <c r="E1386" s="9">
        <v>45701</v>
      </c>
      <c r="F1386" s="9">
        <v>46034</v>
      </c>
      <c r="G1386" t="s">
        <v>494</v>
      </c>
      <c r="H1386" t="s">
        <v>1078</v>
      </c>
      <c r="I1386" t="s">
        <v>1061</v>
      </c>
      <c r="J1386"/>
    </row>
    <row r="1387" spans="1:10" ht="15" hidden="1" x14ac:dyDescent="0.35">
      <c r="A1387" s="8" t="s">
        <v>3120</v>
      </c>
      <c r="B1387" t="s">
        <v>3121</v>
      </c>
      <c r="C1387" t="s">
        <v>1848</v>
      </c>
      <c r="D1387" t="s">
        <v>3122</v>
      </c>
      <c r="E1387" s="9">
        <v>45541</v>
      </c>
      <c r="F1387" s="9">
        <v>45870</v>
      </c>
      <c r="G1387" t="s">
        <v>494</v>
      </c>
      <c r="H1387" t="s">
        <v>1060</v>
      </c>
      <c r="I1387" t="s">
        <v>1061</v>
      </c>
      <c r="J1387"/>
    </row>
    <row r="1388" spans="1:10" ht="15" hidden="1" x14ac:dyDescent="0.35">
      <c r="A1388" s="1831" t="s">
        <v>3123</v>
      </c>
      <c r="B1388" s="1839" t="s">
        <v>3124</v>
      </c>
      <c r="C1388" s="1839" t="s">
        <v>1440</v>
      </c>
      <c r="D1388" s="1839" t="s">
        <v>3125</v>
      </c>
      <c r="E1388" s="1840">
        <v>45446</v>
      </c>
      <c r="F1388" s="1840"/>
      <c r="G1388" s="1839" t="s">
        <v>500</v>
      </c>
      <c r="H1388" s="1839" t="s">
        <v>1065</v>
      </c>
      <c r="I1388" s="1831" t="s">
        <v>1066</v>
      </c>
      <c r="J1388" s="1831"/>
    </row>
    <row r="1389" spans="1:10" ht="15" hidden="1" x14ac:dyDescent="0.35">
      <c r="A1389" s="1831" t="s">
        <v>3126</v>
      </c>
      <c r="B1389" s="1839" t="s">
        <v>3127</v>
      </c>
      <c r="C1389" s="1839" t="s">
        <v>2008</v>
      </c>
      <c r="D1389" s="1839" t="s">
        <v>3128</v>
      </c>
      <c r="E1389" s="1840">
        <v>45446</v>
      </c>
      <c r="F1389" s="1840"/>
      <c r="G1389" s="1839" t="s">
        <v>500</v>
      </c>
      <c r="H1389" s="1839" t="s">
        <v>1060</v>
      </c>
      <c r="I1389" s="1831" t="s">
        <v>1061</v>
      </c>
      <c r="J1389" s="1831"/>
    </row>
    <row r="1390" spans="1:10" ht="15" hidden="1" x14ac:dyDescent="0.35">
      <c r="A1390" s="1831" t="s">
        <v>3129</v>
      </c>
      <c r="B1390" s="1839" t="s">
        <v>3130</v>
      </c>
      <c r="C1390" s="1839" t="s">
        <v>2751</v>
      </c>
      <c r="D1390" s="1839" t="s">
        <v>3131</v>
      </c>
      <c r="E1390" s="1840">
        <v>45376</v>
      </c>
      <c r="F1390" s="1840"/>
      <c r="G1390" s="1839" t="s">
        <v>500</v>
      </c>
      <c r="H1390" s="1839" t="s">
        <v>1060</v>
      </c>
      <c r="I1390" s="1831" t="s">
        <v>1061</v>
      </c>
      <c r="J1390" s="1831"/>
    </row>
    <row r="1391" spans="1:10" ht="15" hidden="1" x14ac:dyDescent="0.35">
      <c r="A1391" s="8" t="s">
        <v>3132</v>
      </c>
      <c r="B1391" t="s">
        <v>3133</v>
      </c>
      <c r="C1391" t="s">
        <v>1144</v>
      </c>
      <c r="D1391" t="s">
        <v>3134</v>
      </c>
      <c r="E1391" s="9">
        <v>45735</v>
      </c>
      <c r="F1391" s="9">
        <v>45824</v>
      </c>
      <c r="G1391" t="s">
        <v>494</v>
      </c>
      <c r="H1391" t="s">
        <v>1065</v>
      </c>
      <c r="I1391" t="s">
        <v>1066</v>
      </c>
      <c r="J1391"/>
    </row>
    <row r="1392" spans="1:10" ht="15" hidden="1" x14ac:dyDescent="0.35">
      <c r="A1392" s="1831" t="s">
        <v>3135</v>
      </c>
      <c r="B1392" s="1839" t="s">
        <v>3136</v>
      </c>
      <c r="C1392" s="1839" t="s">
        <v>420</v>
      </c>
      <c r="D1392" s="1839" t="s">
        <v>3137</v>
      </c>
      <c r="E1392" s="1840">
        <v>45419</v>
      </c>
      <c r="F1392" s="1840"/>
      <c r="G1392" s="1839" t="s">
        <v>500</v>
      </c>
      <c r="H1392" s="1839" t="s">
        <v>1093</v>
      </c>
      <c r="I1392" s="1831" t="s">
        <v>1066</v>
      </c>
      <c r="J1392" s="1831"/>
    </row>
    <row r="1393" spans="1:10" ht="15" hidden="1" x14ac:dyDescent="0.35">
      <c r="A1393" s="1831" t="s">
        <v>3138</v>
      </c>
      <c r="B1393" s="1839" t="s">
        <v>3139</v>
      </c>
      <c r="C1393" s="1839" t="s">
        <v>420</v>
      </c>
      <c r="D1393" s="1839" t="s">
        <v>3140</v>
      </c>
      <c r="E1393" s="1840">
        <v>45839</v>
      </c>
      <c r="F1393" s="1840"/>
      <c r="G1393" s="1839" t="s">
        <v>500</v>
      </c>
      <c r="H1393" s="1839" t="s">
        <v>1093</v>
      </c>
      <c r="I1393" s="1831" t="s">
        <v>1066</v>
      </c>
      <c r="J1393" s="1831"/>
    </row>
    <row r="1394" spans="1:10" ht="15" hidden="1" x14ac:dyDescent="0.35">
      <c r="A1394" s="8" t="s">
        <v>3141</v>
      </c>
      <c r="B1394" t="s">
        <v>3142</v>
      </c>
      <c r="C1394" t="s">
        <v>410</v>
      </c>
      <c r="D1394" t="s">
        <v>3143</v>
      </c>
      <c r="E1394" s="9">
        <v>45614</v>
      </c>
      <c r="F1394" s="9">
        <v>45793</v>
      </c>
      <c r="G1394" t="s">
        <v>494</v>
      </c>
      <c r="H1394" t="s">
        <v>1060</v>
      </c>
      <c r="I1394" t="s">
        <v>1061</v>
      </c>
      <c r="J1394"/>
    </row>
    <row r="1395" spans="1:10" ht="15" hidden="1" x14ac:dyDescent="0.35">
      <c r="A1395" s="1831" t="s">
        <v>3144</v>
      </c>
      <c r="B1395" s="1839" t="s">
        <v>3145</v>
      </c>
      <c r="C1395" s="1839" t="s">
        <v>1144</v>
      </c>
      <c r="D1395" s="1839" t="s">
        <v>3146</v>
      </c>
      <c r="E1395" s="1840">
        <v>45728</v>
      </c>
      <c r="F1395" s="1840"/>
      <c r="G1395" s="1839" t="s">
        <v>500</v>
      </c>
      <c r="H1395" s="1839" t="s">
        <v>1060</v>
      </c>
      <c r="I1395" s="1831" t="s">
        <v>1061</v>
      </c>
      <c r="J1395" s="1831"/>
    </row>
    <row r="1396" spans="1:10" ht="15" hidden="1" x14ac:dyDescent="0.35">
      <c r="A1396" s="1831" t="s">
        <v>3147</v>
      </c>
      <c r="B1396" s="1839" t="s">
        <v>3148</v>
      </c>
      <c r="C1396" s="1839" t="s">
        <v>591</v>
      </c>
      <c r="D1396" s="1839" t="s">
        <v>3149</v>
      </c>
      <c r="E1396" s="1840">
        <v>45845</v>
      </c>
      <c r="F1396" s="1840"/>
      <c r="G1396" s="1839" t="s">
        <v>500</v>
      </c>
      <c r="H1396" s="1839" t="s">
        <v>1093</v>
      </c>
      <c r="I1396" s="1831" t="s">
        <v>1066</v>
      </c>
      <c r="J1396" s="1831"/>
    </row>
    <row r="1397" spans="1:10" ht="15" hidden="1" x14ac:dyDescent="0.35">
      <c r="A1397" s="1831" t="s">
        <v>3150</v>
      </c>
      <c r="B1397" s="1839" t="s">
        <v>3151</v>
      </c>
      <c r="C1397" s="1839" t="s">
        <v>456</v>
      </c>
      <c r="D1397" s="1839" t="s">
        <v>3152</v>
      </c>
      <c r="E1397" s="1840">
        <v>43851</v>
      </c>
      <c r="F1397" s="1840"/>
      <c r="G1397" s="1839" t="s">
        <v>500</v>
      </c>
      <c r="H1397" s="1839" t="s">
        <v>1060</v>
      </c>
      <c r="I1397" s="1831" t="s">
        <v>1061</v>
      </c>
      <c r="J1397" s="1831"/>
    </row>
    <row r="1398" spans="1:10" ht="15" hidden="1" x14ac:dyDescent="0.35">
      <c r="A1398" s="8" t="s">
        <v>3153</v>
      </c>
      <c r="B1398" t="s">
        <v>3154</v>
      </c>
      <c r="C1398" t="s">
        <v>410</v>
      </c>
      <c r="D1398" t="s">
        <v>3155</v>
      </c>
      <c r="E1398" s="9">
        <v>45713</v>
      </c>
      <c r="F1398" s="9">
        <v>46094</v>
      </c>
      <c r="G1398" t="s">
        <v>494</v>
      </c>
      <c r="H1398" t="s">
        <v>1060</v>
      </c>
      <c r="I1398" t="s">
        <v>1061</v>
      </c>
      <c r="J1398"/>
    </row>
    <row r="1399" spans="1:10" ht="15" hidden="1" x14ac:dyDescent="0.35">
      <c r="A1399" s="1831" t="s">
        <v>3156</v>
      </c>
      <c r="B1399" s="1839" t="s">
        <v>3157</v>
      </c>
      <c r="C1399" s="1839" t="s">
        <v>1088</v>
      </c>
      <c r="D1399" s="1839" t="s">
        <v>3158</v>
      </c>
      <c r="E1399" s="1840">
        <v>45485</v>
      </c>
      <c r="F1399" s="1840"/>
      <c r="G1399" s="1839" t="s">
        <v>525</v>
      </c>
      <c r="H1399" s="1839" t="s">
        <v>1065</v>
      </c>
      <c r="I1399" s="1831" t="s">
        <v>1066</v>
      </c>
      <c r="J1399" s="1831"/>
    </row>
    <row r="1400" spans="1:10" ht="15" hidden="1" x14ac:dyDescent="0.35">
      <c r="A1400" s="1831" t="s">
        <v>3159</v>
      </c>
      <c r="B1400" s="1839" t="s">
        <v>3160</v>
      </c>
      <c r="C1400" s="1839" t="s">
        <v>420</v>
      </c>
      <c r="D1400" s="1839" t="s">
        <v>3161</v>
      </c>
      <c r="E1400" s="1840">
        <v>46127</v>
      </c>
      <c r="F1400" s="1840"/>
      <c r="G1400" s="1839" t="s">
        <v>500</v>
      </c>
      <c r="H1400" s="1839" t="s">
        <v>1078</v>
      </c>
      <c r="I1400" s="1831" t="s">
        <v>1061</v>
      </c>
      <c r="J1400" s="1831"/>
    </row>
    <row r="1401" spans="1:10" ht="15" hidden="1" x14ac:dyDescent="0.35">
      <c r="A1401" s="1831" t="s">
        <v>3162</v>
      </c>
      <c r="B1401" s="1839" t="s">
        <v>3163</v>
      </c>
      <c r="C1401" s="1839" t="s">
        <v>410</v>
      </c>
      <c r="D1401" s="1839" t="s">
        <v>3164</v>
      </c>
      <c r="E1401" s="1840">
        <v>45390</v>
      </c>
      <c r="F1401" s="1840"/>
      <c r="G1401" s="1839" t="s">
        <v>500</v>
      </c>
      <c r="H1401" s="1839" t="s">
        <v>1060</v>
      </c>
      <c r="I1401" s="1831" t="s">
        <v>1061</v>
      </c>
      <c r="J1401" s="1831"/>
    </row>
    <row r="1402" spans="1:10" ht="15" hidden="1" x14ac:dyDescent="0.35">
      <c r="A1402" s="1831" t="s">
        <v>3165</v>
      </c>
      <c r="B1402" s="1839" t="s">
        <v>3166</v>
      </c>
      <c r="C1402" s="1839" t="s">
        <v>413</v>
      </c>
      <c r="D1402" s="1839" t="s">
        <v>3167</v>
      </c>
      <c r="E1402" s="1840">
        <v>45566</v>
      </c>
      <c r="F1402" s="1840"/>
      <c r="G1402" s="1839" t="s">
        <v>500</v>
      </c>
      <c r="H1402" s="1839" t="s">
        <v>1065</v>
      </c>
      <c r="I1402" s="1831" t="s">
        <v>1066</v>
      </c>
      <c r="J1402" s="1831"/>
    </row>
    <row r="1403" spans="1:10" ht="15" hidden="1" x14ac:dyDescent="0.35">
      <c r="A1403" s="8" t="s">
        <v>3168</v>
      </c>
      <c r="B1403" t="s">
        <v>3169</v>
      </c>
      <c r="C1403" t="s">
        <v>443</v>
      </c>
      <c r="D1403" t="s">
        <v>3170</v>
      </c>
      <c r="E1403" s="9">
        <v>45873</v>
      </c>
      <c r="F1403" s="9">
        <v>45996</v>
      </c>
      <c r="G1403" t="s">
        <v>494</v>
      </c>
      <c r="H1403" t="s">
        <v>1060</v>
      </c>
      <c r="I1403" t="s">
        <v>1061</v>
      </c>
      <c r="J1403"/>
    </row>
    <row r="1404" spans="1:10" ht="15" hidden="1" x14ac:dyDescent="0.35">
      <c r="A1404" s="1831" t="s">
        <v>3171</v>
      </c>
      <c r="B1404" s="1839" t="s">
        <v>3172</v>
      </c>
      <c r="C1404" s="1839" t="s">
        <v>600</v>
      </c>
      <c r="D1404" s="1839" t="s">
        <v>3173</v>
      </c>
      <c r="E1404" s="1840">
        <v>45019</v>
      </c>
      <c r="F1404" s="1840"/>
      <c r="G1404" s="1839" t="s">
        <v>500</v>
      </c>
      <c r="H1404" s="1839" t="s">
        <v>1060</v>
      </c>
      <c r="I1404" s="1831" t="s">
        <v>1061</v>
      </c>
      <c r="J1404" s="1831"/>
    </row>
    <row r="1405" spans="1:10" ht="15" hidden="1" x14ac:dyDescent="0.35">
      <c r="A1405" s="1831" t="s">
        <v>3174</v>
      </c>
      <c r="B1405" s="1839" t="s">
        <v>3175</v>
      </c>
      <c r="C1405" s="1839" t="s">
        <v>421</v>
      </c>
      <c r="D1405" s="1839" t="s">
        <v>3176</v>
      </c>
      <c r="E1405" s="1840">
        <v>45446</v>
      </c>
      <c r="F1405" s="1840"/>
      <c r="G1405" s="1839" t="s">
        <v>500</v>
      </c>
      <c r="H1405" s="1839" t="s">
        <v>1065</v>
      </c>
      <c r="I1405" s="1831" t="s">
        <v>1066</v>
      </c>
      <c r="J1405" s="1831"/>
    </row>
    <row r="1406" spans="1:10" ht="15" hidden="1" x14ac:dyDescent="0.35">
      <c r="A1406" s="8" t="s">
        <v>3177</v>
      </c>
      <c r="B1406" t="s">
        <v>3178</v>
      </c>
      <c r="C1406" t="s">
        <v>409</v>
      </c>
      <c r="D1406" t="s">
        <v>3179</v>
      </c>
      <c r="E1406" s="9">
        <v>45994</v>
      </c>
      <c r="F1406" s="9">
        <v>46127</v>
      </c>
      <c r="G1406" t="s">
        <v>494</v>
      </c>
      <c r="H1406" t="s">
        <v>1060</v>
      </c>
      <c r="I1406" t="s">
        <v>1061</v>
      </c>
      <c r="J1406"/>
    </row>
    <row r="1407" spans="1:10" ht="15" hidden="1" x14ac:dyDescent="0.35">
      <c r="A1407" s="1831" t="s">
        <v>3180</v>
      </c>
      <c r="B1407" s="1839" t="s">
        <v>3181</v>
      </c>
      <c r="C1407" s="1839" t="s">
        <v>436</v>
      </c>
      <c r="D1407" s="1839" t="s">
        <v>3182</v>
      </c>
      <c r="E1407" s="1840">
        <v>45377</v>
      </c>
      <c r="F1407" s="1840"/>
      <c r="G1407" s="1839" t="s">
        <v>500</v>
      </c>
      <c r="H1407" s="1839" t="s">
        <v>1078</v>
      </c>
      <c r="I1407" s="1831" t="s">
        <v>1061</v>
      </c>
      <c r="J1407" s="1831"/>
    </row>
    <row r="1408" spans="1:10" ht="15" hidden="1" x14ac:dyDescent="0.35">
      <c r="A1408" s="1831" t="s">
        <v>3183</v>
      </c>
      <c r="B1408" s="1839" t="s">
        <v>3184</v>
      </c>
      <c r="C1408" s="1839" t="s">
        <v>606</v>
      </c>
      <c r="D1408" s="1839" t="s">
        <v>3185</v>
      </c>
      <c r="E1408" s="1840">
        <v>45420</v>
      </c>
      <c r="F1408" s="1840"/>
      <c r="G1408" s="1839" t="s">
        <v>500</v>
      </c>
      <c r="H1408" s="1839" t="s">
        <v>1065</v>
      </c>
      <c r="I1408" s="1831" t="s">
        <v>1066</v>
      </c>
      <c r="J1408" s="1831"/>
    </row>
    <row r="1409" spans="1:10" ht="15" hidden="1" x14ac:dyDescent="0.35">
      <c r="A1409" s="1831" t="s">
        <v>3186</v>
      </c>
      <c r="B1409" s="1839" t="s">
        <v>3187</v>
      </c>
      <c r="C1409" s="1839" t="s">
        <v>443</v>
      </c>
      <c r="D1409" s="1839" t="s">
        <v>3188</v>
      </c>
      <c r="E1409" s="1840">
        <v>45707</v>
      </c>
      <c r="F1409" s="1840"/>
      <c r="G1409" s="1839" t="s">
        <v>500</v>
      </c>
      <c r="H1409" s="1839" t="s">
        <v>1060</v>
      </c>
      <c r="I1409" s="1831" t="s">
        <v>1061</v>
      </c>
      <c r="J1409" s="1831"/>
    </row>
    <row r="1410" spans="1:10" ht="15" hidden="1" x14ac:dyDescent="0.35">
      <c r="A1410" s="1831" t="s">
        <v>3189</v>
      </c>
      <c r="B1410" s="1839" t="s">
        <v>3190</v>
      </c>
      <c r="C1410" s="1839" t="s">
        <v>451</v>
      </c>
      <c r="D1410" s="1839" t="s">
        <v>3191</v>
      </c>
      <c r="E1410" s="1840">
        <v>45377</v>
      </c>
      <c r="F1410" s="1840"/>
      <c r="G1410" s="1839" t="s">
        <v>500</v>
      </c>
      <c r="H1410" s="1839" t="s">
        <v>1060</v>
      </c>
      <c r="I1410" s="1831" t="s">
        <v>1061</v>
      </c>
      <c r="J1410" s="1831"/>
    </row>
    <row r="1411" spans="1:10" ht="15" hidden="1" x14ac:dyDescent="0.35">
      <c r="A1411" s="8" t="s">
        <v>3192</v>
      </c>
      <c r="B1411" t="s">
        <v>3193</v>
      </c>
      <c r="C1411" t="s">
        <v>420</v>
      </c>
      <c r="D1411" t="s">
        <v>3194</v>
      </c>
      <c r="E1411" s="9">
        <v>45713</v>
      </c>
      <c r="F1411" s="9">
        <v>45951</v>
      </c>
      <c r="G1411" t="s">
        <v>494</v>
      </c>
      <c r="H1411" t="s">
        <v>1078</v>
      </c>
      <c r="I1411" t="s">
        <v>1061</v>
      </c>
      <c r="J1411"/>
    </row>
    <row r="1412" spans="1:10" ht="15" hidden="1" x14ac:dyDescent="0.35">
      <c r="A1412" s="8" t="s">
        <v>3195</v>
      </c>
      <c r="B1412" t="s">
        <v>3196</v>
      </c>
      <c r="C1412" t="s">
        <v>439</v>
      </c>
      <c r="D1412" t="s">
        <v>3197</v>
      </c>
      <c r="E1412" s="9">
        <v>46031</v>
      </c>
      <c r="F1412" s="9">
        <v>46120</v>
      </c>
      <c r="G1412" t="s">
        <v>494</v>
      </c>
      <c r="H1412" t="s">
        <v>1060</v>
      </c>
      <c r="I1412" t="s">
        <v>1061</v>
      </c>
      <c r="J1412"/>
    </row>
    <row r="1413" spans="1:10" ht="15" hidden="1" x14ac:dyDescent="0.35">
      <c r="A1413" s="8" t="s">
        <v>3198</v>
      </c>
      <c r="B1413" t="s">
        <v>3199</v>
      </c>
      <c r="C1413" t="s">
        <v>436</v>
      </c>
      <c r="D1413" t="s">
        <v>3200</v>
      </c>
      <c r="E1413" s="9">
        <v>45721</v>
      </c>
      <c r="F1413" s="9">
        <v>46114</v>
      </c>
      <c r="G1413" t="s">
        <v>494</v>
      </c>
      <c r="H1413" t="s">
        <v>1078</v>
      </c>
      <c r="I1413" t="s">
        <v>1061</v>
      </c>
      <c r="J1413"/>
    </row>
    <row r="1414" spans="1:10" ht="15" hidden="1" x14ac:dyDescent="0.35">
      <c r="A1414" s="1831" t="s">
        <v>3201</v>
      </c>
      <c r="B1414" s="1839" t="s">
        <v>3202</v>
      </c>
      <c r="C1414" s="1839" t="s">
        <v>1144</v>
      </c>
      <c r="D1414" s="1839" t="s">
        <v>3203</v>
      </c>
      <c r="E1414" s="1840">
        <v>46064</v>
      </c>
      <c r="F1414" s="1840"/>
      <c r="G1414" s="1839" t="s">
        <v>500</v>
      </c>
      <c r="H1414" s="1839" t="s">
        <v>1065</v>
      </c>
      <c r="I1414" s="1831" t="s">
        <v>1066</v>
      </c>
      <c r="J1414" s="1831"/>
    </row>
    <row r="1415" spans="1:10" ht="15" hidden="1" x14ac:dyDescent="0.35">
      <c r="A1415" s="1831" t="s">
        <v>3204</v>
      </c>
      <c r="B1415" s="1839" t="s">
        <v>3205</v>
      </c>
      <c r="C1415" s="1839" t="s">
        <v>420</v>
      </c>
      <c r="D1415" s="1839" t="s">
        <v>3206</v>
      </c>
      <c r="E1415" s="1840">
        <v>45902</v>
      </c>
      <c r="F1415" s="1840"/>
      <c r="G1415" s="1839" t="s">
        <v>500</v>
      </c>
      <c r="H1415" s="1839" t="s">
        <v>1093</v>
      </c>
      <c r="I1415" s="1831" t="s">
        <v>1066</v>
      </c>
      <c r="J1415" s="1831"/>
    </row>
    <row r="1416" spans="1:10" ht="15" hidden="1" x14ac:dyDescent="0.35">
      <c r="A1416" s="1831" t="s">
        <v>3207</v>
      </c>
      <c r="B1416" s="1839" t="s">
        <v>3208</v>
      </c>
      <c r="C1416" s="1839" t="s">
        <v>409</v>
      </c>
      <c r="D1416" s="1839" t="s">
        <v>3209</v>
      </c>
      <c r="E1416" s="1840">
        <v>45722</v>
      </c>
      <c r="F1416" s="1840"/>
      <c r="G1416" s="1839" t="s">
        <v>500</v>
      </c>
      <c r="H1416" s="1839" t="s">
        <v>1065</v>
      </c>
      <c r="I1416" s="1831" t="s">
        <v>1066</v>
      </c>
      <c r="J1416" s="1831"/>
    </row>
    <row r="1417" spans="1:10" ht="15" hidden="1" x14ac:dyDescent="0.35">
      <c r="A1417" s="8" t="s">
        <v>3210</v>
      </c>
      <c r="B1417" t="s">
        <v>3211</v>
      </c>
      <c r="C1417" t="s">
        <v>420</v>
      </c>
      <c r="D1417" t="s">
        <v>3212</v>
      </c>
      <c r="E1417" s="9">
        <v>45833</v>
      </c>
      <c r="F1417" s="9">
        <v>46029</v>
      </c>
      <c r="G1417" t="s">
        <v>494</v>
      </c>
      <c r="H1417" t="s">
        <v>1078</v>
      </c>
      <c r="I1417" t="s">
        <v>1061</v>
      </c>
      <c r="J1417"/>
    </row>
    <row r="1418" spans="1:10" ht="15" hidden="1" x14ac:dyDescent="0.35">
      <c r="A1418" s="8" t="s">
        <v>3213</v>
      </c>
      <c r="B1418" t="s">
        <v>3214</v>
      </c>
      <c r="C1418" t="s">
        <v>420</v>
      </c>
      <c r="D1418" t="s">
        <v>3215</v>
      </c>
      <c r="E1418" s="9">
        <v>45826</v>
      </c>
      <c r="F1418" s="9">
        <v>46002</v>
      </c>
      <c r="G1418" t="s">
        <v>494</v>
      </c>
      <c r="H1418" t="s">
        <v>1078</v>
      </c>
      <c r="I1418" t="s">
        <v>1061</v>
      </c>
      <c r="J1418"/>
    </row>
    <row r="1419" spans="1:10" ht="15" hidden="1" x14ac:dyDescent="0.35">
      <c r="A1419" s="1831" t="s">
        <v>3216</v>
      </c>
      <c r="B1419" s="1839" t="s">
        <v>3217</v>
      </c>
      <c r="C1419" s="1839" t="s">
        <v>411</v>
      </c>
      <c r="D1419" s="1839" t="s">
        <v>3218</v>
      </c>
      <c r="E1419" s="1840">
        <v>46008</v>
      </c>
      <c r="F1419" s="1840"/>
      <c r="G1419" s="1839" t="s">
        <v>500</v>
      </c>
      <c r="H1419" s="1839" t="s">
        <v>1065</v>
      </c>
      <c r="I1419" s="1831" t="s">
        <v>1066</v>
      </c>
      <c r="J1419" s="1831"/>
    </row>
    <row r="1420" spans="1:10" ht="15" hidden="1" x14ac:dyDescent="0.35">
      <c r="A1420" s="1831" t="s">
        <v>3219</v>
      </c>
      <c r="B1420" s="1839" t="s">
        <v>3220</v>
      </c>
      <c r="C1420" s="1839" t="s">
        <v>1263</v>
      </c>
      <c r="D1420" s="1839" t="s">
        <v>3221</v>
      </c>
      <c r="E1420" s="1840">
        <v>45419</v>
      </c>
      <c r="F1420" s="1840"/>
      <c r="G1420" s="1839" t="s">
        <v>500</v>
      </c>
      <c r="H1420" s="1839" t="s">
        <v>1093</v>
      </c>
      <c r="I1420" s="1831" t="s">
        <v>1066</v>
      </c>
      <c r="J1420" s="1831"/>
    </row>
    <row r="1421" spans="1:10" ht="15" hidden="1" x14ac:dyDescent="0.35">
      <c r="A1421" s="1831" t="s">
        <v>3222</v>
      </c>
      <c r="B1421" s="1839" t="s">
        <v>3223</v>
      </c>
      <c r="C1421" s="1839" t="s">
        <v>420</v>
      </c>
      <c r="D1421" s="1839" t="s">
        <v>3224</v>
      </c>
      <c r="E1421" s="1840">
        <v>45420</v>
      </c>
      <c r="F1421" s="1840"/>
      <c r="G1421" s="1839" t="s">
        <v>500</v>
      </c>
      <c r="H1421" s="1839" t="s">
        <v>1093</v>
      </c>
      <c r="I1421" s="1831" t="s">
        <v>1066</v>
      </c>
      <c r="J1421" s="1831"/>
    </row>
    <row r="1422" spans="1:10" ht="15" hidden="1" x14ac:dyDescent="0.35">
      <c r="A1422" s="8" t="s">
        <v>3225</v>
      </c>
      <c r="B1422" t="s">
        <v>3226</v>
      </c>
      <c r="C1422" t="s">
        <v>457</v>
      </c>
      <c r="D1422" t="s">
        <v>3227</v>
      </c>
      <c r="E1422" s="9">
        <v>45810</v>
      </c>
      <c r="F1422" s="9">
        <v>45824</v>
      </c>
      <c r="G1422" t="s">
        <v>494</v>
      </c>
      <c r="H1422" t="s">
        <v>1065</v>
      </c>
      <c r="I1422" t="s">
        <v>1066</v>
      </c>
      <c r="J1422"/>
    </row>
    <row r="1423" spans="1:10" ht="15" hidden="1" x14ac:dyDescent="0.35">
      <c r="A1423" s="8" t="s">
        <v>3228</v>
      </c>
      <c r="B1423" t="s">
        <v>3229</v>
      </c>
      <c r="C1423" t="s">
        <v>437</v>
      </c>
      <c r="D1423" t="s">
        <v>3230</v>
      </c>
      <c r="E1423" s="9">
        <v>45600</v>
      </c>
      <c r="F1423" s="9">
        <v>45848</v>
      </c>
      <c r="G1423" t="s">
        <v>494</v>
      </c>
      <c r="H1423" t="s">
        <v>1060</v>
      </c>
      <c r="I1423" t="s">
        <v>1061</v>
      </c>
      <c r="J1423"/>
    </row>
    <row r="1424" spans="1:10" ht="15" hidden="1" x14ac:dyDescent="0.35">
      <c r="A1424" s="1831" t="s">
        <v>3231</v>
      </c>
      <c r="B1424" s="1839" t="s">
        <v>3232</v>
      </c>
      <c r="C1424" s="1839" t="s">
        <v>439</v>
      </c>
      <c r="D1424" s="1839" t="s">
        <v>3233</v>
      </c>
      <c r="E1424" s="1840">
        <v>46001</v>
      </c>
      <c r="F1424" s="1840"/>
      <c r="G1424" s="1839" t="s">
        <v>500</v>
      </c>
      <c r="H1424" s="1839" t="s">
        <v>1060</v>
      </c>
      <c r="I1424" s="1831" t="s">
        <v>1061</v>
      </c>
      <c r="J1424" s="1831"/>
    </row>
    <row r="1425" spans="1:10" ht="15" hidden="1" x14ac:dyDescent="0.35">
      <c r="A1425" s="8" t="s">
        <v>3234</v>
      </c>
      <c r="B1425" t="s">
        <v>3235</v>
      </c>
      <c r="C1425" t="s">
        <v>1088</v>
      </c>
      <c r="D1425" t="s">
        <v>3236</v>
      </c>
      <c r="E1425" s="9">
        <v>45707</v>
      </c>
      <c r="F1425" s="9">
        <v>45779</v>
      </c>
      <c r="G1425" t="s">
        <v>494</v>
      </c>
      <c r="H1425" t="s">
        <v>1065</v>
      </c>
      <c r="I1425" t="s">
        <v>1066</v>
      </c>
      <c r="J1425"/>
    </row>
    <row r="1426" spans="1:10" ht="15" hidden="1" x14ac:dyDescent="0.35">
      <c r="A1426" s="8" t="s">
        <v>3237</v>
      </c>
      <c r="B1426" t="s">
        <v>3238</v>
      </c>
      <c r="C1426" t="s">
        <v>446</v>
      </c>
      <c r="D1426" t="s">
        <v>3239</v>
      </c>
      <c r="E1426" s="9">
        <v>45722</v>
      </c>
      <c r="F1426" s="9">
        <v>46087</v>
      </c>
      <c r="G1426" t="s">
        <v>494</v>
      </c>
      <c r="H1426" t="s">
        <v>1060</v>
      </c>
      <c r="I1426" t="s">
        <v>1061</v>
      </c>
      <c r="J1426"/>
    </row>
    <row r="1427" spans="1:10" ht="15" hidden="1" x14ac:dyDescent="0.35">
      <c r="A1427" s="1831" t="s">
        <v>3240</v>
      </c>
      <c r="B1427" s="1839" t="s">
        <v>3241</v>
      </c>
      <c r="C1427" s="1839" t="s">
        <v>443</v>
      </c>
      <c r="D1427" s="1839" t="s">
        <v>3242</v>
      </c>
      <c r="E1427" s="1840">
        <v>45706</v>
      </c>
      <c r="F1427" s="1840"/>
      <c r="G1427" s="1839" t="s">
        <v>500</v>
      </c>
      <c r="H1427" s="1839" t="s">
        <v>1060</v>
      </c>
      <c r="I1427" s="1831" t="s">
        <v>1061</v>
      </c>
      <c r="J1427" s="1831"/>
    </row>
    <row r="1428" spans="1:10" ht="15" hidden="1" x14ac:dyDescent="0.35">
      <c r="A1428" s="1831" t="s">
        <v>3243</v>
      </c>
      <c r="B1428" s="1839" t="s">
        <v>3244</v>
      </c>
      <c r="C1428" s="1839" t="s">
        <v>1088</v>
      </c>
      <c r="D1428" s="1839" t="s">
        <v>3245</v>
      </c>
      <c r="E1428" s="1840">
        <v>45383</v>
      </c>
      <c r="F1428" s="1840"/>
      <c r="G1428" s="1839" t="s">
        <v>500</v>
      </c>
      <c r="H1428" s="1839" t="s">
        <v>1060</v>
      </c>
      <c r="I1428" s="1831" t="s">
        <v>1061</v>
      </c>
      <c r="J1428" s="1831"/>
    </row>
    <row r="1429" spans="1:10" ht="15" hidden="1" x14ac:dyDescent="0.35">
      <c r="A1429" s="8" t="s">
        <v>3246</v>
      </c>
      <c r="B1429" t="s">
        <v>3247</v>
      </c>
      <c r="C1429" t="s">
        <v>1144</v>
      </c>
      <c r="D1429" t="s">
        <v>3248</v>
      </c>
      <c r="E1429" s="9">
        <v>45701</v>
      </c>
      <c r="F1429" s="9">
        <v>45968</v>
      </c>
      <c r="G1429" t="s">
        <v>494</v>
      </c>
      <c r="H1429" t="s">
        <v>1060</v>
      </c>
      <c r="I1429" t="s">
        <v>1061</v>
      </c>
      <c r="J1429"/>
    </row>
    <row r="1430" spans="1:10" ht="15" hidden="1" x14ac:dyDescent="0.35">
      <c r="A1430" s="1831" t="s">
        <v>3249</v>
      </c>
      <c r="B1430" s="1839" t="s">
        <v>3250</v>
      </c>
      <c r="C1430" s="1839" t="s">
        <v>1088</v>
      </c>
      <c r="D1430" s="1839" t="s">
        <v>3251</v>
      </c>
      <c r="E1430" s="1840">
        <v>45856</v>
      </c>
      <c r="F1430" s="1840"/>
      <c r="G1430" s="1839" t="s">
        <v>500</v>
      </c>
      <c r="H1430" s="1839" t="s">
        <v>1065</v>
      </c>
      <c r="I1430" s="1831" t="s">
        <v>1066</v>
      </c>
      <c r="J1430" s="1831"/>
    </row>
    <row r="1431" spans="1:10" ht="15" hidden="1" x14ac:dyDescent="0.35">
      <c r="A1431" s="1831" t="s">
        <v>3252</v>
      </c>
      <c r="B1431" s="1839" t="s">
        <v>3253</v>
      </c>
      <c r="C1431" s="1839" t="s">
        <v>420</v>
      </c>
      <c r="D1431" s="1839" t="s">
        <v>3254</v>
      </c>
      <c r="E1431" s="1840">
        <v>45701</v>
      </c>
      <c r="F1431" s="1840"/>
      <c r="G1431" s="1839" t="s">
        <v>500</v>
      </c>
      <c r="H1431" s="1839" t="s">
        <v>1078</v>
      </c>
      <c r="I1431" s="1831" t="s">
        <v>1061</v>
      </c>
      <c r="J1431" s="1831"/>
    </row>
    <row r="1432" spans="1:10" ht="15" hidden="1" x14ac:dyDescent="0.35">
      <c r="A1432" s="1831" t="s">
        <v>3255</v>
      </c>
      <c r="B1432" s="1839" t="s">
        <v>3256</v>
      </c>
      <c r="C1432" s="1839" t="s">
        <v>1144</v>
      </c>
      <c r="D1432" s="1839" t="s">
        <v>3257</v>
      </c>
      <c r="E1432" s="1840">
        <v>45721</v>
      </c>
      <c r="F1432" s="1840"/>
      <c r="G1432" s="1839" t="s">
        <v>500</v>
      </c>
      <c r="H1432" s="1839" t="s">
        <v>1060</v>
      </c>
      <c r="I1432" s="1831" t="s">
        <v>1061</v>
      </c>
      <c r="J1432" s="1831"/>
    </row>
    <row r="1433" spans="1:10" ht="15" hidden="1" x14ac:dyDescent="0.35">
      <c r="A1433" s="8" t="s">
        <v>3258</v>
      </c>
      <c r="B1433" t="s">
        <v>3259</v>
      </c>
      <c r="C1433" t="s">
        <v>578</v>
      </c>
      <c r="D1433" t="s">
        <v>3260</v>
      </c>
      <c r="E1433" s="9">
        <v>45461</v>
      </c>
      <c r="F1433" s="9">
        <v>46009</v>
      </c>
      <c r="G1433" t="s">
        <v>494</v>
      </c>
      <c r="H1433" t="s">
        <v>1065</v>
      </c>
      <c r="I1433" t="s">
        <v>1066</v>
      </c>
      <c r="J1433"/>
    </row>
    <row r="1434" spans="1:10" ht="15" hidden="1" x14ac:dyDescent="0.35">
      <c r="A1434" s="1831" t="s">
        <v>3261</v>
      </c>
      <c r="B1434" s="1839" t="s">
        <v>3262</v>
      </c>
      <c r="C1434" s="1839" t="s">
        <v>763</v>
      </c>
      <c r="D1434" s="1839" t="s">
        <v>3263</v>
      </c>
      <c r="E1434" s="1840">
        <v>45148</v>
      </c>
      <c r="F1434" s="1840"/>
      <c r="G1434" s="1839" t="s">
        <v>500</v>
      </c>
      <c r="H1434" s="1839" t="s">
        <v>1065</v>
      </c>
      <c r="I1434" s="1831" t="s">
        <v>1066</v>
      </c>
      <c r="J1434" s="1831"/>
    </row>
    <row r="1435" spans="1:10" ht="15" hidden="1" x14ac:dyDescent="0.35">
      <c r="A1435" s="1831" t="s">
        <v>3264</v>
      </c>
      <c r="B1435" s="1839" t="s">
        <v>3265</v>
      </c>
      <c r="C1435" s="1839" t="s">
        <v>420</v>
      </c>
      <c r="D1435" s="1839" t="s">
        <v>3266</v>
      </c>
      <c r="E1435" s="1840">
        <v>45419</v>
      </c>
      <c r="F1435" s="1840"/>
      <c r="G1435" s="1839" t="s">
        <v>500</v>
      </c>
      <c r="H1435" s="1839" t="s">
        <v>1093</v>
      </c>
      <c r="I1435" s="1831" t="s">
        <v>1066</v>
      </c>
      <c r="J1435" s="1831"/>
    </row>
    <row r="1436" spans="1:10" ht="15" hidden="1" x14ac:dyDescent="0.35">
      <c r="A1436" s="1831" t="s">
        <v>3267</v>
      </c>
      <c r="B1436" s="1839" t="s">
        <v>3268</v>
      </c>
      <c r="C1436" s="1839" t="s">
        <v>411</v>
      </c>
      <c r="D1436" s="1839" t="s">
        <v>3269</v>
      </c>
      <c r="E1436" s="1840">
        <v>45721</v>
      </c>
      <c r="F1436" s="1840"/>
      <c r="G1436" s="1839" t="s">
        <v>500</v>
      </c>
      <c r="H1436" s="1839" t="s">
        <v>1060</v>
      </c>
      <c r="I1436" s="1831" t="s">
        <v>1061</v>
      </c>
      <c r="J1436" s="1831"/>
    </row>
    <row r="1437" spans="1:10" ht="15" hidden="1" x14ac:dyDescent="0.35">
      <c r="A1437" s="1831" t="s">
        <v>3270</v>
      </c>
      <c r="B1437" s="1839" t="s">
        <v>3271</v>
      </c>
      <c r="C1437" s="1839" t="s">
        <v>1088</v>
      </c>
      <c r="D1437" s="1839" t="s">
        <v>3272</v>
      </c>
      <c r="E1437" s="1840">
        <v>45377</v>
      </c>
      <c r="F1437" s="1840"/>
      <c r="G1437" s="1839" t="s">
        <v>500</v>
      </c>
      <c r="H1437" s="1839" t="s">
        <v>1060</v>
      </c>
      <c r="I1437" s="1831" t="s">
        <v>1061</v>
      </c>
      <c r="J1437" s="1831"/>
    </row>
    <row r="1438" spans="1:10" ht="15" hidden="1" x14ac:dyDescent="0.35">
      <c r="A1438" s="8" t="s">
        <v>3273</v>
      </c>
      <c r="B1438" t="s">
        <v>3274</v>
      </c>
      <c r="C1438" t="s">
        <v>1450</v>
      </c>
      <c r="D1438" t="s">
        <v>3275</v>
      </c>
      <c r="E1438" s="9">
        <v>45642</v>
      </c>
      <c r="F1438" s="9">
        <v>45876</v>
      </c>
      <c r="G1438" t="s">
        <v>494</v>
      </c>
      <c r="H1438" t="s">
        <v>1065</v>
      </c>
      <c r="I1438" t="s">
        <v>1066</v>
      </c>
      <c r="J1438"/>
    </row>
    <row r="1439" spans="1:10" ht="15" hidden="1" x14ac:dyDescent="0.35">
      <c r="A1439" s="8" t="s">
        <v>3276</v>
      </c>
      <c r="B1439" t="s">
        <v>3277</v>
      </c>
      <c r="C1439" t="s">
        <v>1088</v>
      </c>
      <c r="D1439" t="s">
        <v>3278</v>
      </c>
      <c r="E1439" s="9">
        <v>45707</v>
      </c>
      <c r="F1439" s="9">
        <v>45999</v>
      </c>
      <c r="G1439" t="s">
        <v>494</v>
      </c>
      <c r="H1439" t="s">
        <v>1065</v>
      </c>
      <c r="I1439" t="s">
        <v>1066</v>
      </c>
      <c r="J1439"/>
    </row>
    <row r="1440" spans="1:10" ht="15" hidden="1" x14ac:dyDescent="0.35">
      <c r="A1440" s="1831" t="s">
        <v>3279</v>
      </c>
      <c r="B1440" s="1839" t="s">
        <v>3280</v>
      </c>
      <c r="C1440" s="1839" t="s">
        <v>1834</v>
      </c>
      <c r="D1440" s="1839" t="s">
        <v>3281</v>
      </c>
      <c r="E1440" s="1840">
        <v>45756</v>
      </c>
      <c r="F1440" s="1840"/>
      <c r="G1440" s="1839" t="s">
        <v>500</v>
      </c>
      <c r="H1440" s="1839" t="s">
        <v>1065</v>
      </c>
      <c r="I1440" s="1831" t="s">
        <v>1066</v>
      </c>
      <c r="J1440" s="1831"/>
    </row>
    <row r="1441" spans="1:10" ht="15" hidden="1" x14ac:dyDescent="0.35">
      <c r="A1441" s="1831" t="s">
        <v>3282</v>
      </c>
      <c r="B1441" s="1839" t="s">
        <v>3283</v>
      </c>
      <c r="C1441" s="1839" t="s">
        <v>1088</v>
      </c>
      <c r="D1441" s="1839" t="s">
        <v>3284</v>
      </c>
      <c r="E1441" s="1840">
        <v>46084</v>
      </c>
      <c r="F1441" s="1840"/>
      <c r="G1441" s="1839" t="s">
        <v>500</v>
      </c>
      <c r="H1441" s="1839" t="s">
        <v>1060</v>
      </c>
      <c r="I1441" s="1831" t="s">
        <v>1061</v>
      </c>
      <c r="J1441" s="1831"/>
    </row>
    <row r="1442" spans="1:10" ht="15" hidden="1" x14ac:dyDescent="0.35">
      <c r="A1442" s="1831" t="s">
        <v>3285</v>
      </c>
      <c r="B1442" s="1839" t="s">
        <v>3286</v>
      </c>
      <c r="C1442" s="1839" t="s">
        <v>2008</v>
      </c>
      <c r="D1442" s="1839" t="s">
        <v>3287</v>
      </c>
      <c r="E1442" s="1840">
        <v>45156</v>
      </c>
      <c r="F1442" s="1840"/>
      <c r="G1442" s="1839" t="s">
        <v>500</v>
      </c>
      <c r="H1442" s="1839" t="s">
        <v>1060</v>
      </c>
      <c r="I1442" s="1831" t="s">
        <v>1061</v>
      </c>
      <c r="J1442" s="1831"/>
    </row>
    <row r="1443" spans="1:10" ht="15" hidden="1" x14ac:dyDescent="0.35">
      <c r="A1443" s="1831" t="s">
        <v>3288</v>
      </c>
      <c r="B1443" s="1839" t="s">
        <v>3289</v>
      </c>
      <c r="C1443" s="1839" t="s">
        <v>1144</v>
      </c>
      <c r="D1443" s="1839" t="s">
        <v>3290</v>
      </c>
      <c r="E1443" s="1840">
        <v>45642</v>
      </c>
      <c r="F1443" s="1840"/>
      <c r="G1443" s="1839" t="s">
        <v>500</v>
      </c>
      <c r="H1443" s="1839" t="s">
        <v>1060</v>
      </c>
      <c r="I1443" s="1831" t="s">
        <v>1061</v>
      </c>
      <c r="J1443" s="1831"/>
    </row>
    <row r="1444" spans="1:10" ht="15" hidden="1" x14ac:dyDescent="0.35">
      <c r="A1444" s="1831" t="s">
        <v>3291</v>
      </c>
      <c r="B1444" s="1839" t="s">
        <v>3292</v>
      </c>
      <c r="C1444" s="1839" t="s">
        <v>1088</v>
      </c>
      <c r="D1444" s="1839" t="s">
        <v>3293</v>
      </c>
      <c r="E1444" s="1840">
        <v>46099</v>
      </c>
      <c r="F1444" s="1840"/>
      <c r="G1444" s="1839" t="s">
        <v>500</v>
      </c>
      <c r="H1444" s="1839" t="s">
        <v>1065</v>
      </c>
      <c r="I1444" s="1831" t="s">
        <v>1066</v>
      </c>
      <c r="J1444" s="1831"/>
    </row>
    <row r="1445" spans="1:10" ht="15" hidden="1" x14ac:dyDescent="0.35">
      <c r="A1445" s="8" t="s">
        <v>3294</v>
      </c>
      <c r="B1445" t="s">
        <v>3295</v>
      </c>
      <c r="C1445" t="s">
        <v>1088</v>
      </c>
      <c r="D1445" t="s">
        <v>3296</v>
      </c>
      <c r="E1445" s="9">
        <v>45419</v>
      </c>
      <c r="F1445" s="9">
        <v>45999</v>
      </c>
      <c r="G1445" t="s">
        <v>494</v>
      </c>
      <c r="H1445" t="s">
        <v>1065</v>
      </c>
      <c r="I1445" t="s">
        <v>1066</v>
      </c>
      <c r="J1445"/>
    </row>
    <row r="1446" spans="1:10" ht="15" hidden="1" x14ac:dyDescent="0.35">
      <c r="A1446" s="1831" t="s">
        <v>3297</v>
      </c>
      <c r="B1446" s="1839" t="s">
        <v>3298</v>
      </c>
      <c r="C1446" s="1839" t="s">
        <v>420</v>
      </c>
      <c r="D1446" s="1839" t="s">
        <v>3299</v>
      </c>
      <c r="E1446" s="1840">
        <v>45713</v>
      </c>
      <c r="F1446" s="1840"/>
      <c r="G1446" s="1839" t="s">
        <v>500</v>
      </c>
      <c r="H1446" s="1839" t="s">
        <v>1093</v>
      </c>
      <c r="I1446" s="1831" t="s">
        <v>1066</v>
      </c>
      <c r="J1446" s="1831"/>
    </row>
    <row r="1447" spans="1:10" ht="15" hidden="1" x14ac:dyDescent="0.35">
      <c r="A1447" s="1831" t="s">
        <v>3300</v>
      </c>
      <c r="B1447" s="1839" t="s">
        <v>3301</v>
      </c>
      <c r="C1447" s="1839" t="s">
        <v>420</v>
      </c>
      <c r="D1447" s="1839" t="s">
        <v>3302</v>
      </c>
      <c r="E1447" s="1840">
        <v>45810</v>
      </c>
      <c r="F1447" s="1840"/>
      <c r="G1447" s="1839" t="s">
        <v>500</v>
      </c>
      <c r="H1447" s="1839" t="s">
        <v>1093</v>
      </c>
      <c r="I1447" s="1831" t="s">
        <v>1066</v>
      </c>
      <c r="J1447" s="1831"/>
    </row>
    <row r="1448" spans="1:10" ht="15" hidden="1" x14ac:dyDescent="0.35">
      <c r="A1448" s="1831" t="s">
        <v>3303</v>
      </c>
      <c r="B1448" s="1839" t="s">
        <v>3304</v>
      </c>
      <c r="C1448" s="1839" t="s">
        <v>1072</v>
      </c>
      <c r="D1448" s="1839" t="s">
        <v>3305</v>
      </c>
      <c r="E1448" s="1840">
        <v>44397</v>
      </c>
      <c r="F1448" s="1840"/>
      <c r="G1448" s="1839" t="s">
        <v>500</v>
      </c>
      <c r="H1448" s="1839" t="s">
        <v>1065</v>
      </c>
      <c r="I1448" s="1831" t="s">
        <v>1066</v>
      </c>
      <c r="J1448" s="1831"/>
    </row>
    <row r="1449" spans="1:10" ht="15" hidden="1" x14ac:dyDescent="0.35">
      <c r="A1449" s="1831" t="s">
        <v>3306</v>
      </c>
      <c r="B1449" s="1839" t="s">
        <v>3307</v>
      </c>
      <c r="C1449" s="1839" t="s">
        <v>420</v>
      </c>
      <c r="D1449" s="1839" t="s">
        <v>3308</v>
      </c>
      <c r="E1449" s="1840">
        <v>45383</v>
      </c>
      <c r="F1449" s="1840"/>
      <c r="G1449" s="1839" t="s">
        <v>500</v>
      </c>
      <c r="H1449" s="1839" t="s">
        <v>1078</v>
      </c>
      <c r="I1449" s="1831" t="s">
        <v>1061</v>
      </c>
      <c r="J1449" s="1831"/>
    </row>
    <row r="1450" spans="1:10" ht="15" hidden="1" x14ac:dyDescent="0.35">
      <c r="A1450" s="1831" t="s">
        <v>3309</v>
      </c>
      <c r="B1450" s="1839" t="s">
        <v>3310</v>
      </c>
      <c r="C1450" s="1839" t="s">
        <v>420</v>
      </c>
      <c r="D1450" s="1839" t="s">
        <v>3311</v>
      </c>
      <c r="E1450" s="1840">
        <v>45419</v>
      </c>
      <c r="F1450" s="1840"/>
      <c r="G1450" s="1839" t="s">
        <v>500</v>
      </c>
      <c r="H1450" s="1839" t="s">
        <v>1093</v>
      </c>
      <c r="I1450" s="1831" t="s">
        <v>1066</v>
      </c>
      <c r="J1450" s="1831"/>
    </row>
    <row r="1451" spans="1:10" ht="15" hidden="1" x14ac:dyDescent="0.35">
      <c r="A1451" s="1831" t="s">
        <v>3312</v>
      </c>
      <c r="B1451" s="1839" t="s">
        <v>3313</v>
      </c>
      <c r="C1451" s="1839" t="s">
        <v>420</v>
      </c>
      <c r="D1451" s="1839" t="s">
        <v>3314</v>
      </c>
      <c r="E1451" s="1840">
        <v>45383</v>
      </c>
      <c r="F1451" s="1840"/>
      <c r="G1451" s="1839" t="s">
        <v>500</v>
      </c>
      <c r="H1451" s="1839" t="s">
        <v>1078</v>
      </c>
      <c r="I1451" s="1831" t="s">
        <v>1061</v>
      </c>
      <c r="J1451" s="1831"/>
    </row>
    <row r="1452" spans="1:10" ht="15" hidden="1" x14ac:dyDescent="0.35">
      <c r="A1452" s="8" t="s">
        <v>3315</v>
      </c>
      <c r="B1452" t="s">
        <v>3316</v>
      </c>
      <c r="C1452" t="s">
        <v>420</v>
      </c>
      <c r="D1452" t="s">
        <v>3317</v>
      </c>
      <c r="E1452" s="9">
        <v>45377</v>
      </c>
      <c r="F1452" s="9">
        <v>45779</v>
      </c>
      <c r="G1452" t="s">
        <v>494</v>
      </c>
      <c r="H1452" t="s">
        <v>1078</v>
      </c>
      <c r="I1452" t="s">
        <v>1061</v>
      </c>
      <c r="J1452"/>
    </row>
    <row r="1453" spans="1:10" ht="15" hidden="1" x14ac:dyDescent="0.35">
      <c r="A1453" s="1831" t="s">
        <v>3318</v>
      </c>
      <c r="B1453" s="1839" t="s">
        <v>3319</v>
      </c>
      <c r="C1453" s="1839" t="s">
        <v>420</v>
      </c>
      <c r="D1453" s="1839" t="s">
        <v>3320</v>
      </c>
      <c r="E1453" s="1840">
        <v>45383</v>
      </c>
      <c r="F1453" s="1840"/>
      <c r="G1453" s="1839" t="s">
        <v>500</v>
      </c>
      <c r="H1453" s="1839" t="s">
        <v>1078</v>
      </c>
      <c r="I1453" s="1831" t="s">
        <v>1061</v>
      </c>
      <c r="J1453" s="1831"/>
    </row>
    <row r="1454" spans="1:10" ht="15" hidden="1" x14ac:dyDescent="0.35">
      <c r="A1454" s="1831" t="s">
        <v>3321</v>
      </c>
      <c r="B1454" s="1839" t="s">
        <v>3322</v>
      </c>
      <c r="C1454" s="1839" t="s">
        <v>3323</v>
      </c>
      <c r="D1454" s="1839" t="s">
        <v>3324</v>
      </c>
      <c r="E1454" s="1840">
        <v>44319</v>
      </c>
      <c r="F1454" s="1840"/>
      <c r="G1454" s="1839" t="s">
        <v>500</v>
      </c>
      <c r="H1454" s="1839" t="s">
        <v>1060</v>
      </c>
      <c r="I1454" s="1831" t="s">
        <v>1061</v>
      </c>
      <c r="J1454" s="1831"/>
    </row>
    <row r="1455" spans="1:10" ht="15" hidden="1" x14ac:dyDescent="0.35">
      <c r="A1455" s="8" t="s">
        <v>3325</v>
      </c>
      <c r="B1455" t="s">
        <v>3326</v>
      </c>
      <c r="C1455" t="s">
        <v>2365</v>
      </c>
      <c r="D1455" t="s">
        <v>3327</v>
      </c>
      <c r="E1455" s="9">
        <v>44397</v>
      </c>
      <c r="F1455" s="9">
        <v>45951</v>
      </c>
      <c r="G1455" t="s">
        <v>494</v>
      </c>
      <c r="H1455" t="s">
        <v>1065</v>
      </c>
      <c r="I1455" t="s">
        <v>1066</v>
      </c>
      <c r="J1455"/>
    </row>
    <row r="1456" spans="1:10" ht="15" hidden="1" x14ac:dyDescent="0.35">
      <c r="A1456" s="8" t="s">
        <v>3328</v>
      </c>
      <c r="B1456" t="s">
        <v>3329</v>
      </c>
      <c r="C1456" t="s">
        <v>606</v>
      </c>
      <c r="D1456" t="s">
        <v>3330</v>
      </c>
      <c r="E1456" s="9">
        <v>45828</v>
      </c>
      <c r="F1456" s="9">
        <v>46097</v>
      </c>
      <c r="G1456" t="s">
        <v>494</v>
      </c>
      <c r="H1456" t="s">
        <v>1060</v>
      </c>
      <c r="I1456" t="s">
        <v>1061</v>
      </c>
      <c r="J1456"/>
    </row>
    <row r="1457" spans="1:10" ht="15" hidden="1" x14ac:dyDescent="0.35">
      <c r="A1457" s="8" t="s">
        <v>3331</v>
      </c>
      <c r="B1457" t="s">
        <v>3332</v>
      </c>
      <c r="C1457" t="s">
        <v>606</v>
      </c>
      <c r="D1457" t="s">
        <v>3333</v>
      </c>
      <c r="E1457" s="9">
        <v>45712</v>
      </c>
      <c r="F1457" s="9">
        <v>45951</v>
      </c>
      <c r="G1457" t="s">
        <v>494</v>
      </c>
      <c r="H1457" t="s">
        <v>1060</v>
      </c>
      <c r="I1457" t="s">
        <v>1061</v>
      </c>
      <c r="J1457"/>
    </row>
    <row r="1458" spans="1:10" ht="15" hidden="1" x14ac:dyDescent="0.35">
      <c r="A1458" s="8" t="s">
        <v>3334</v>
      </c>
      <c r="B1458" t="s">
        <v>3335</v>
      </c>
      <c r="C1458" t="s">
        <v>1144</v>
      </c>
      <c r="D1458" t="s">
        <v>3336</v>
      </c>
      <c r="E1458" s="9">
        <v>45730</v>
      </c>
      <c r="F1458" s="9">
        <v>45909</v>
      </c>
      <c r="G1458" t="s">
        <v>494</v>
      </c>
      <c r="H1458" t="s">
        <v>1065</v>
      </c>
      <c r="I1458" t="s">
        <v>1066</v>
      </c>
      <c r="J1458"/>
    </row>
    <row r="1459" spans="1:10" ht="15" hidden="1" x14ac:dyDescent="0.35">
      <c r="A1459" s="1831" t="s">
        <v>3337</v>
      </c>
      <c r="B1459" s="1839" t="s">
        <v>3338</v>
      </c>
      <c r="C1459" s="1839" t="s">
        <v>420</v>
      </c>
      <c r="D1459" s="1839" t="s">
        <v>3339</v>
      </c>
      <c r="E1459" s="1840">
        <v>45491</v>
      </c>
      <c r="F1459" s="1840"/>
      <c r="G1459" s="1839" t="s">
        <v>500</v>
      </c>
      <c r="H1459" s="1839" t="s">
        <v>1078</v>
      </c>
      <c r="I1459" s="1831" t="s">
        <v>1061</v>
      </c>
      <c r="J1459" s="1831"/>
    </row>
    <row r="1460" spans="1:10" ht="15" hidden="1" x14ac:dyDescent="0.35">
      <c r="A1460" s="1831" t="s">
        <v>3340</v>
      </c>
      <c r="B1460" s="1839" t="s">
        <v>3341</v>
      </c>
      <c r="C1460" s="1839" t="s">
        <v>410</v>
      </c>
      <c r="D1460" s="1839" t="s">
        <v>3342</v>
      </c>
      <c r="E1460" s="1840">
        <v>45712</v>
      </c>
      <c r="F1460" s="1840"/>
      <c r="G1460" s="1839" t="s">
        <v>500</v>
      </c>
      <c r="H1460" s="1839" t="s">
        <v>1060</v>
      </c>
      <c r="I1460" s="1831" t="s">
        <v>1061</v>
      </c>
      <c r="J1460" s="1831"/>
    </row>
    <row r="1461" spans="1:10" ht="15" hidden="1" x14ac:dyDescent="0.35">
      <c r="A1461" s="1831" t="s">
        <v>3343</v>
      </c>
      <c r="B1461" s="1839" t="s">
        <v>3344</v>
      </c>
      <c r="C1461" s="1839" t="s">
        <v>420</v>
      </c>
      <c r="D1461" s="1839" t="s">
        <v>3345</v>
      </c>
      <c r="E1461" s="1840">
        <v>45425</v>
      </c>
      <c r="F1461" s="1840"/>
      <c r="G1461" s="1839" t="s">
        <v>500</v>
      </c>
      <c r="H1461" s="1839" t="s">
        <v>1093</v>
      </c>
      <c r="I1461" s="1831" t="s">
        <v>1066</v>
      </c>
      <c r="J1461" s="1831"/>
    </row>
    <row r="1462" spans="1:10" ht="15" hidden="1" x14ac:dyDescent="0.35">
      <c r="A1462" s="8" t="s">
        <v>3346</v>
      </c>
      <c r="B1462" t="s">
        <v>3347</v>
      </c>
      <c r="C1462" t="s">
        <v>420</v>
      </c>
      <c r="D1462" t="s">
        <v>3348</v>
      </c>
      <c r="E1462" s="9">
        <v>45755</v>
      </c>
      <c r="F1462" s="9">
        <v>46059</v>
      </c>
      <c r="G1462" t="s">
        <v>494</v>
      </c>
      <c r="H1462" t="s">
        <v>1078</v>
      </c>
      <c r="I1462" t="s">
        <v>1061</v>
      </c>
      <c r="J1462"/>
    </row>
    <row r="1463" spans="1:10" ht="15" hidden="1" x14ac:dyDescent="0.35">
      <c r="A1463" s="8" t="s">
        <v>3349</v>
      </c>
      <c r="B1463" t="s">
        <v>3350</v>
      </c>
      <c r="C1463" t="s">
        <v>420</v>
      </c>
      <c r="D1463" t="s">
        <v>3351</v>
      </c>
      <c r="E1463" s="9">
        <v>45881</v>
      </c>
      <c r="G1463" t="s">
        <v>634</v>
      </c>
      <c r="H1463" t="s">
        <v>1093</v>
      </c>
      <c r="I1463" t="s">
        <v>1066</v>
      </c>
      <c r="J1463"/>
    </row>
    <row r="1464" spans="1:10" ht="15" hidden="1" x14ac:dyDescent="0.35">
      <c r="A1464" s="1831" t="s">
        <v>3352</v>
      </c>
      <c r="B1464" s="1839" t="s">
        <v>3353</v>
      </c>
      <c r="C1464" s="1839" t="s">
        <v>420</v>
      </c>
      <c r="D1464" s="1839" t="s">
        <v>3354</v>
      </c>
      <c r="E1464" s="1840">
        <v>45705</v>
      </c>
      <c r="F1464" s="1840"/>
      <c r="G1464" s="1839" t="s">
        <v>500</v>
      </c>
      <c r="H1464" s="1839" t="s">
        <v>1078</v>
      </c>
      <c r="I1464" s="1831" t="s">
        <v>1061</v>
      </c>
      <c r="J1464" s="1831"/>
    </row>
    <row r="1465" spans="1:10" ht="15" hidden="1" x14ac:dyDescent="0.35">
      <c r="A1465" s="1831" t="s">
        <v>3355</v>
      </c>
      <c r="B1465" s="1839" t="s">
        <v>3356</v>
      </c>
      <c r="C1465" s="1839" t="s">
        <v>420</v>
      </c>
      <c r="D1465" s="1839" t="s">
        <v>3357</v>
      </c>
      <c r="E1465" s="1840">
        <v>45376</v>
      </c>
      <c r="F1465" s="1840"/>
      <c r="G1465" s="1839" t="s">
        <v>500</v>
      </c>
      <c r="H1465" s="1839" t="s">
        <v>1078</v>
      </c>
      <c r="I1465" s="1831" t="s">
        <v>1061</v>
      </c>
      <c r="J1465" s="1831"/>
    </row>
    <row r="1466" spans="1:10" ht="15" hidden="1" x14ac:dyDescent="0.35">
      <c r="A1466" s="8" t="s">
        <v>3358</v>
      </c>
      <c r="B1466" t="s">
        <v>3359</v>
      </c>
      <c r="C1466" t="s">
        <v>420</v>
      </c>
      <c r="D1466" t="s">
        <v>3360</v>
      </c>
      <c r="E1466" s="9">
        <v>45712</v>
      </c>
      <c r="F1466" s="9">
        <v>45840</v>
      </c>
      <c r="G1466" t="s">
        <v>494</v>
      </c>
      <c r="H1466" t="s">
        <v>1078</v>
      </c>
      <c r="I1466" t="s">
        <v>1061</v>
      </c>
      <c r="J1466"/>
    </row>
    <row r="1467" spans="1:10" ht="15" hidden="1" x14ac:dyDescent="0.35">
      <c r="A1467" s="8" t="s">
        <v>3361</v>
      </c>
      <c r="B1467" t="s">
        <v>3362</v>
      </c>
      <c r="C1467" t="s">
        <v>420</v>
      </c>
      <c r="D1467" t="s">
        <v>3363</v>
      </c>
      <c r="E1467" s="9">
        <v>45419</v>
      </c>
      <c r="F1467" s="9">
        <v>45814</v>
      </c>
      <c r="G1467" t="s">
        <v>494</v>
      </c>
      <c r="H1467" t="s">
        <v>1093</v>
      </c>
      <c r="I1467" t="s">
        <v>1066</v>
      </c>
      <c r="J1467"/>
    </row>
    <row r="1468" spans="1:10" ht="15" hidden="1" x14ac:dyDescent="0.35">
      <c r="A1468" s="1831" t="s">
        <v>3364</v>
      </c>
      <c r="B1468" s="1839" t="s">
        <v>3365</v>
      </c>
      <c r="C1468" s="1839" t="s">
        <v>1263</v>
      </c>
      <c r="D1468" s="1839" t="s">
        <v>3366</v>
      </c>
      <c r="E1468" s="1840">
        <v>45419</v>
      </c>
      <c r="F1468" s="1840"/>
      <c r="G1468" s="1839" t="s">
        <v>500</v>
      </c>
      <c r="H1468" s="1839" t="s">
        <v>1093</v>
      </c>
      <c r="I1468" s="1831" t="s">
        <v>1066</v>
      </c>
      <c r="J1468" s="1831"/>
    </row>
    <row r="1469" spans="1:10" ht="15" hidden="1" x14ac:dyDescent="0.35">
      <c r="A1469" s="1831" t="s">
        <v>3367</v>
      </c>
      <c r="B1469" s="1839" t="s">
        <v>3368</v>
      </c>
      <c r="C1469" s="1839" t="s">
        <v>1088</v>
      </c>
      <c r="D1469" s="1839" t="s">
        <v>3369</v>
      </c>
      <c r="E1469" s="1840">
        <v>45702</v>
      </c>
      <c r="F1469" s="1840"/>
      <c r="G1469" s="1839" t="s">
        <v>500</v>
      </c>
      <c r="H1469" s="1839" t="s">
        <v>1060</v>
      </c>
      <c r="I1469" s="1831" t="s">
        <v>1061</v>
      </c>
      <c r="J1469" s="1831"/>
    </row>
    <row r="1470" spans="1:10" ht="15" hidden="1" x14ac:dyDescent="0.35">
      <c r="A1470" s="8" t="s">
        <v>3370</v>
      </c>
      <c r="B1470" t="s">
        <v>3371</v>
      </c>
      <c r="C1470" t="s">
        <v>420</v>
      </c>
      <c r="D1470" t="s">
        <v>3372</v>
      </c>
      <c r="E1470" s="9">
        <v>45707</v>
      </c>
      <c r="F1470" s="9">
        <v>45737</v>
      </c>
      <c r="G1470" t="s">
        <v>494</v>
      </c>
      <c r="H1470" t="s">
        <v>1078</v>
      </c>
      <c r="I1470" t="s">
        <v>1061</v>
      </c>
      <c r="J1470"/>
    </row>
    <row r="1471" spans="1:10" ht="15" hidden="1" x14ac:dyDescent="0.35">
      <c r="A1471" s="8" t="s">
        <v>3373</v>
      </c>
      <c r="B1471" t="s">
        <v>3374</v>
      </c>
      <c r="C1471" t="s">
        <v>443</v>
      </c>
      <c r="D1471" t="s">
        <v>3375</v>
      </c>
      <c r="E1471" s="9">
        <v>45708</v>
      </c>
      <c r="F1471" s="9">
        <v>45825</v>
      </c>
      <c r="G1471" t="s">
        <v>494</v>
      </c>
      <c r="H1471" t="s">
        <v>1060</v>
      </c>
      <c r="I1471" t="s">
        <v>1061</v>
      </c>
      <c r="J1471"/>
    </row>
    <row r="1472" spans="1:10" ht="15" hidden="1" x14ac:dyDescent="0.35">
      <c r="A1472" s="8" t="s">
        <v>3376</v>
      </c>
      <c r="B1472" t="s">
        <v>3377</v>
      </c>
      <c r="C1472" t="s">
        <v>419</v>
      </c>
      <c r="D1472" t="s">
        <v>3378</v>
      </c>
      <c r="E1472" s="9">
        <v>45873</v>
      </c>
      <c r="F1472" s="9">
        <v>45962</v>
      </c>
      <c r="G1472" t="s">
        <v>494</v>
      </c>
      <c r="H1472" t="s">
        <v>1060</v>
      </c>
      <c r="I1472" t="s">
        <v>1061</v>
      </c>
      <c r="J1472"/>
    </row>
    <row r="1473" spans="1:10" ht="15" hidden="1" x14ac:dyDescent="0.35">
      <c r="A1473" s="8" t="s">
        <v>3379</v>
      </c>
      <c r="B1473" t="s">
        <v>3380</v>
      </c>
      <c r="C1473" t="s">
        <v>439</v>
      </c>
      <c r="D1473" t="s">
        <v>3381</v>
      </c>
      <c r="E1473" s="9">
        <v>45456</v>
      </c>
      <c r="F1473" s="9">
        <v>45982</v>
      </c>
      <c r="G1473" t="s">
        <v>494</v>
      </c>
      <c r="H1473" t="s">
        <v>1065</v>
      </c>
      <c r="I1473" t="s">
        <v>1066</v>
      </c>
      <c r="J1473"/>
    </row>
    <row r="1474" spans="1:10" ht="15" hidden="1" x14ac:dyDescent="0.35">
      <c r="A1474" s="8" t="s">
        <v>3382</v>
      </c>
      <c r="B1474" t="s">
        <v>3383</v>
      </c>
      <c r="C1474" t="s">
        <v>423</v>
      </c>
      <c r="D1474" t="s">
        <v>3384</v>
      </c>
      <c r="E1474" s="9">
        <v>45707</v>
      </c>
      <c r="F1474" s="9">
        <v>46090</v>
      </c>
      <c r="G1474" t="s">
        <v>494</v>
      </c>
      <c r="H1474" t="s">
        <v>1065</v>
      </c>
      <c r="I1474" t="s">
        <v>1066</v>
      </c>
      <c r="J1474"/>
    </row>
    <row r="1475" spans="1:10" ht="15" hidden="1" x14ac:dyDescent="0.35">
      <c r="A1475" s="8" t="s">
        <v>3385</v>
      </c>
      <c r="B1475" t="s">
        <v>3386</v>
      </c>
      <c r="C1475" t="s">
        <v>591</v>
      </c>
      <c r="D1475" t="s">
        <v>3387</v>
      </c>
      <c r="E1475" s="9">
        <v>45708</v>
      </c>
      <c r="F1475" s="9">
        <v>45799</v>
      </c>
      <c r="G1475" t="s">
        <v>494</v>
      </c>
      <c r="H1475" t="s">
        <v>1078</v>
      </c>
      <c r="I1475" t="s">
        <v>1061</v>
      </c>
      <c r="J1475"/>
    </row>
    <row r="1476" spans="1:10" ht="15" hidden="1" x14ac:dyDescent="0.35">
      <c r="A1476" s="8" t="s">
        <v>3388</v>
      </c>
      <c r="B1476" t="s">
        <v>3389</v>
      </c>
      <c r="C1476" t="s">
        <v>411</v>
      </c>
      <c r="D1476" t="s">
        <v>3390</v>
      </c>
      <c r="E1476" s="9">
        <v>46066</v>
      </c>
      <c r="F1476" s="9">
        <v>46090</v>
      </c>
      <c r="G1476" t="s">
        <v>494</v>
      </c>
      <c r="H1476" t="s">
        <v>1060</v>
      </c>
      <c r="I1476" t="s">
        <v>1061</v>
      </c>
      <c r="J1476"/>
    </row>
    <row r="1477" spans="1:10" ht="15" hidden="1" x14ac:dyDescent="0.35">
      <c r="A1477" s="1831" t="s">
        <v>3391</v>
      </c>
      <c r="B1477" s="1839" t="s">
        <v>3392</v>
      </c>
      <c r="C1477" s="1839" t="s">
        <v>578</v>
      </c>
      <c r="D1477" s="1839" t="s">
        <v>3393</v>
      </c>
      <c r="E1477" s="1840">
        <v>45156</v>
      </c>
      <c r="F1477" s="1840"/>
      <c r="G1477" s="1839" t="s">
        <v>500</v>
      </c>
      <c r="H1477" s="1839" t="s">
        <v>1065</v>
      </c>
      <c r="I1477" s="1831" t="s">
        <v>1066</v>
      </c>
      <c r="J1477" s="1831"/>
    </row>
    <row r="1478" spans="1:10" ht="15" hidden="1" x14ac:dyDescent="0.35">
      <c r="A1478" s="8" t="s">
        <v>3394</v>
      </c>
      <c r="B1478" t="s">
        <v>3395</v>
      </c>
      <c r="C1478" t="s">
        <v>439</v>
      </c>
      <c r="D1478" t="s">
        <v>3396</v>
      </c>
      <c r="E1478" s="9">
        <v>45761</v>
      </c>
      <c r="F1478" s="9">
        <v>45819</v>
      </c>
      <c r="G1478" t="s">
        <v>494</v>
      </c>
      <c r="H1478" t="s">
        <v>1065</v>
      </c>
      <c r="I1478" t="s">
        <v>1066</v>
      </c>
      <c r="J1478"/>
    </row>
    <row r="1479" spans="1:10" ht="15" hidden="1" x14ac:dyDescent="0.35">
      <c r="A1479" s="8" t="s">
        <v>3397</v>
      </c>
      <c r="B1479" t="s">
        <v>3398</v>
      </c>
      <c r="C1479" t="s">
        <v>441</v>
      </c>
      <c r="D1479" t="s">
        <v>3399</v>
      </c>
      <c r="E1479" s="9">
        <v>45701</v>
      </c>
      <c r="F1479" s="9">
        <v>46041</v>
      </c>
      <c r="G1479" t="s">
        <v>494</v>
      </c>
      <c r="H1479" t="s">
        <v>1078</v>
      </c>
      <c r="I1479" t="s">
        <v>1061</v>
      </c>
      <c r="J1479"/>
    </row>
    <row r="1480" spans="1:10" ht="15" hidden="1" x14ac:dyDescent="0.35">
      <c r="A1480" s="1831" t="s">
        <v>3400</v>
      </c>
      <c r="B1480" s="1839" t="s">
        <v>3401</v>
      </c>
      <c r="C1480" s="1839" t="s">
        <v>410</v>
      </c>
      <c r="D1480" s="1839" t="s">
        <v>3402</v>
      </c>
      <c r="E1480" s="1840">
        <v>45993</v>
      </c>
      <c r="F1480" s="1840"/>
      <c r="G1480" s="1839" t="s">
        <v>500</v>
      </c>
      <c r="H1480" s="1839" t="s">
        <v>1065</v>
      </c>
      <c r="I1480" s="1831" t="s">
        <v>1066</v>
      </c>
      <c r="J1480" s="1831"/>
    </row>
    <row r="1481" spans="1:10" ht="15" hidden="1" x14ac:dyDescent="0.35">
      <c r="A1481" s="1831" t="s">
        <v>3403</v>
      </c>
      <c r="B1481" s="1839" t="s">
        <v>3404</v>
      </c>
      <c r="C1481" s="1839" t="s">
        <v>544</v>
      </c>
      <c r="D1481" s="1839" t="s">
        <v>3405</v>
      </c>
      <c r="E1481" s="1840">
        <v>44399</v>
      </c>
      <c r="F1481" s="1840"/>
      <c r="G1481" s="1839" t="s">
        <v>500</v>
      </c>
      <c r="H1481" s="1839" t="s">
        <v>1065</v>
      </c>
      <c r="I1481" s="1831" t="s">
        <v>1066</v>
      </c>
      <c r="J1481" s="1831"/>
    </row>
    <row r="1482" spans="1:10" ht="15" hidden="1" x14ac:dyDescent="0.35">
      <c r="A1482" s="1831" t="s">
        <v>3406</v>
      </c>
      <c r="B1482" s="1839" t="s">
        <v>3407</v>
      </c>
      <c r="C1482" s="1839" t="s">
        <v>1144</v>
      </c>
      <c r="D1482" s="1839" t="s">
        <v>3408</v>
      </c>
      <c r="E1482" s="1840">
        <v>45735</v>
      </c>
      <c r="F1482" s="1840"/>
      <c r="G1482" s="1839" t="s">
        <v>500</v>
      </c>
      <c r="H1482" s="1839" t="s">
        <v>1060</v>
      </c>
      <c r="I1482" s="1831" t="s">
        <v>1061</v>
      </c>
      <c r="J1482" s="1831"/>
    </row>
    <row r="1483" spans="1:10" ht="15" hidden="1" x14ac:dyDescent="0.35">
      <c r="A1483" s="1831" t="s">
        <v>3409</v>
      </c>
      <c r="B1483" s="1839" t="s">
        <v>3410</v>
      </c>
      <c r="C1483" s="1839" t="s">
        <v>1088</v>
      </c>
      <c r="D1483" s="1839" t="s">
        <v>3411</v>
      </c>
      <c r="E1483" s="1840">
        <v>45883</v>
      </c>
      <c r="F1483" s="1840"/>
      <c r="G1483" s="1839" t="s">
        <v>3047</v>
      </c>
      <c r="H1483" s="1839" t="s">
        <v>1060</v>
      </c>
      <c r="I1483" s="1831" t="s">
        <v>1061</v>
      </c>
      <c r="J1483" s="1831"/>
    </row>
    <row r="1484" spans="1:10" ht="15" hidden="1" x14ac:dyDescent="0.35">
      <c r="A1484" s="1831" t="s">
        <v>3412</v>
      </c>
      <c r="B1484" s="1839" t="s">
        <v>3413</v>
      </c>
      <c r="C1484" s="1839" t="s">
        <v>437</v>
      </c>
      <c r="D1484" s="1839" t="s">
        <v>3414</v>
      </c>
      <c r="E1484" s="1840">
        <v>44239</v>
      </c>
      <c r="F1484" s="1840"/>
      <c r="G1484" s="1839" t="s">
        <v>500</v>
      </c>
      <c r="H1484" s="1839" t="s">
        <v>1065</v>
      </c>
      <c r="I1484" s="1831" t="s">
        <v>1066</v>
      </c>
      <c r="J1484" s="1831"/>
    </row>
    <row r="1485" spans="1:10" ht="15" hidden="1" x14ac:dyDescent="0.35">
      <c r="A1485" s="8" t="s">
        <v>3415</v>
      </c>
      <c r="B1485" t="s">
        <v>3416</v>
      </c>
      <c r="C1485" t="s">
        <v>1144</v>
      </c>
      <c r="D1485" t="s">
        <v>3417</v>
      </c>
      <c r="E1485" s="9">
        <v>45721</v>
      </c>
      <c r="F1485" s="9">
        <v>46063</v>
      </c>
      <c r="G1485" t="s">
        <v>494</v>
      </c>
      <c r="H1485" t="s">
        <v>1060</v>
      </c>
      <c r="I1485" t="s">
        <v>1061</v>
      </c>
      <c r="J1485"/>
    </row>
    <row r="1486" spans="1:10" ht="15" hidden="1" x14ac:dyDescent="0.35">
      <c r="A1486" s="1831" t="s">
        <v>3418</v>
      </c>
      <c r="B1486" s="1839" t="s">
        <v>3419</v>
      </c>
      <c r="C1486" s="1839" t="s">
        <v>416</v>
      </c>
      <c r="D1486" s="1839" t="s">
        <v>3420</v>
      </c>
      <c r="E1486" s="1840">
        <v>46147</v>
      </c>
      <c r="F1486" s="1840"/>
      <c r="G1486" s="1839" t="s">
        <v>500</v>
      </c>
      <c r="H1486" s="1839" t="s">
        <v>1078</v>
      </c>
      <c r="I1486" s="1831" t="s">
        <v>1061</v>
      </c>
      <c r="J1486" s="1831"/>
    </row>
    <row r="1487" spans="1:10" ht="15" hidden="1" x14ac:dyDescent="0.35">
      <c r="A1487" s="1831" t="s">
        <v>3421</v>
      </c>
      <c r="B1487" s="1839" t="s">
        <v>3422</v>
      </c>
      <c r="C1487" s="1839" t="s">
        <v>1084</v>
      </c>
      <c r="D1487" s="1839" t="s">
        <v>3423</v>
      </c>
      <c r="E1487" s="1840">
        <v>45421</v>
      </c>
      <c r="F1487" s="1840"/>
      <c r="G1487" s="1839" t="s">
        <v>500</v>
      </c>
      <c r="H1487" s="1839" t="s">
        <v>1065</v>
      </c>
      <c r="I1487" s="1831" t="s">
        <v>1066</v>
      </c>
      <c r="J1487" s="1831"/>
    </row>
    <row r="1488" spans="1:10" ht="15" hidden="1" x14ac:dyDescent="0.35">
      <c r="A1488" s="8" t="s">
        <v>3424</v>
      </c>
      <c r="B1488" t="s">
        <v>3425</v>
      </c>
      <c r="C1488" t="s">
        <v>420</v>
      </c>
      <c r="D1488" t="s">
        <v>3426</v>
      </c>
      <c r="E1488" s="9">
        <v>45887</v>
      </c>
      <c r="F1488" s="9">
        <v>46090</v>
      </c>
      <c r="G1488" t="s">
        <v>494</v>
      </c>
      <c r="H1488" t="s">
        <v>1093</v>
      </c>
      <c r="I1488" t="s">
        <v>1066</v>
      </c>
      <c r="J1488"/>
    </row>
    <row r="1489" spans="1:10" ht="15" hidden="1" x14ac:dyDescent="0.35">
      <c r="A1489" s="1831" t="s">
        <v>3427</v>
      </c>
      <c r="B1489" s="1839" t="s">
        <v>3428</v>
      </c>
      <c r="C1489" s="1839" t="s">
        <v>410</v>
      </c>
      <c r="D1489" s="1839" t="s">
        <v>3429</v>
      </c>
      <c r="E1489" s="1840">
        <v>45712</v>
      </c>
      <c r="F1489" s="1840"/>
      <c r="G1489" s="1839" t="s">
        <v>500</v>
      </c>
      <c r="H1489" s="1839" t="s">
        <v>1060</v>
      </c>
      <c r="I1489" s="1831" t="s">
        <v>1061</v>
      </c>
      <c r="J1489" s="1831"/>
    </row>
    <row r="1490" spans="1:10" ht="15" hidden="1" x14ac:dyDescent="0.35">
      <c r="A1490" s="1831" t="s">
        <v>3430</v>
      </c>
      <c r="B1490" s="1839" t="s">
        <v>3431</v>
      </c>
      <c r="C1490" s="1839" t="s">
        <v>440</v>
      </c>
      <c r="D1490" s="1839" t="s">
        <v>3432</v>
      </c>
      <c r="E1490" s="1840">
        <v>46118</v>
      </c>
      <c r="F1490" s="1840"/>
      <c r="G1490" s="1839" t="s">
        <v>500</v>
      </c>
      <c r="H1490" s="1839" t="s">
        <v>1060</v>
      </c>
      <c r="I1490" s="1831" t="s">
        <v>1061</v>
      </c>
      <c r="J1490" s="1831"/>
    </row>
    <row r="1491" spans="1:10" ht="15" hidden="1" x14ac:dyDescent="0.35">
      <c r="A1491" s="8" t="s">
        <v>3433</v>
      </c>
      <c r="B1491" t="s">
        <v>3434</v>
      </c>
      <c r="C1491" t="s">
        <v>420</v>
      </c>
      <c r="D1491" t="s">
        <v>3435</v>
      </c>
      <c r="E1491" s="9">
        <v>45377</v>
      </c>
      <c r="G1491" t="s">
        <v>634</v>
      </c>
      <c r="H1491" t="s">
        <v>1078</v>
      </c>
      <c r="I1491" t="s">
        <v>1061</v>
      </c>
      <c r="J1491"/>
    </row>
    <row r="1492" spans="1:10" ht="15" hidden="1" x14ac:dyDescent="0.35">
      <c r="A1492" s="8" t="s">
        <v>3436</v>
      </c>
      <c r="B1492" t="s">
        <v>3437</v>
      </c>
      <c r="C1492" t="s">
        <v>420</v>
      </c>
      <c r="D1492" t="s">
        <v>3438</v>
      </c>
      <c r="E1492" s="9">
        <v>45628</v>
      </c>
      <c r="F1492" s="9">
        <v>45814</v>
      </c>
      <c r="G1492" t="s">
        <v>494</v>
      </c>
      <c r="H1492" t="s">
        <v>1093</v>
      </c>
      <c r="I1492" t="s">
        <v>1066</v>
      </c>
      <c r="J1492"/>
    </row>
    <row r="1493" spans="1:10" ht="15" hidden="1" x14ac:dyDescent="0.35">
      <c r="A1493" s="1831" t="s">
        <v>3439</v>
      </c>
      <c r="B1493" s="1839" t="s">
        <v>3440</v>
      </c>
      <c r="C1493" s="1839" t="s">
        <v>544</v>
      </c>
      <c r="D1493" s="1839" t="s">
        <v>3441</v>
      </c>
      <c r="E1493" s="1840">
        <v>45131</v>
      </c>
      <c r="F1493" s="1840"/>
      <c r="G1493" s="1839" t="s">
        <v>500</v>
      </c>
      <c r="H1493" s="1839" t="s">
        <v>1060</v>
      </c>
      <c r="I1493" s="1831" t="s">
        <v>1061</v>
      </c>
      <c r="J1493" s="1831"/>
    </row>
    <row r="1494" spans="1:10" ht="15" hidden="1" x14ac:dyDescent="0.35">
      <c r="A1494" s="1831" t="s">
        <v>3442</v>
      </c>
      <c r="B1494" s="1839" t="s">
        <v>3443</v>
      </c>
      <c r="C1494" s="1839" t="s">
        <v>441</v>
      </c>
      <c r="D1494" s="1839" t="s">
        <v>3444</v>
      </c>
      <c r="E1494" s="1840">
        <v>46128</v>
      </c>
      <c r="F1494" s="1840"/>
      <c r="G1494" s="1839" t="s">
        <v>500</v>
      </c>
      <c r="H1494" s="1839" t="s">
        <v>1093</v>
      </c>
      <c r="I1494" s="1831" t="s">
        <v>1066</v>
      </c>
      <c r="J1494" s="1831"/>
    </row>
    <row r="1495" spans="1:10" ht="15" hidden="1" x14ac:dyDescent="0.35">
      <c r="A1495" s="1831" t="s">
        <v>3445</v>
      </c>
      <c r="B1495" s="1839" t="s">
        <v>3446</v>
      </c>
      <c r="C1495" s="1839" t="s">
        <v>441</v>
      </c>
      <c r="D1495" s="1839" t="s">
        <v>3447</v>
      </c>
      <c r="E1495" s="1840">
        <v>45729</v>
      </c>
      <c r="F1495" s="1840"/>
      <c r="G1495" s="1839" t="s">
        <v>500</v>
      </c>
      <c r="H1495" s="1839" t="s">
        <v>1093</v>
      </c>
      <c r="I1495" s="1831" t="s">
        <v>1066</v>
      </c>
      <c r="J1495" s="1831"/>
    </row>
    <row r="1496" spans="1:10" ht="15" hidden="1" x14ac:dyDescent="0.35">
      <c r="A1496" s="1831" t="s">
        <v>3448</v>
      </c>
      <c r="B1496" s="1839" t="s">
        <v>3449</v>
      </c>
      <c r="C1496" s="1839" t="s">
        <v>1450</v>
      </c>
      <c r="D1496" s="1839" t="s">
        <v>3450</v>
      </c>
      <c r="E1496" s="1840">
        <v>45889</v>
      </c>
      <c r="F1496" s="1840"/>
      <c r="G1496" s="1839" t="s">
        <v>500</v>
      </c>
      <c r="H1496" s="1839" t="s">
        <v>1060</v>
      </c>
      <c r="I1496" s="1831" t="s">
        <v>1061</v>
      </c>
      <c r="J1496" s="1831"/>
    </row>
    <row r="1497" spans="1:10" ht="15" hidden="1" x14ac:dyDescent="0.35">
      <c r="A1497" s="8" t="s">
        <v>3451</v>
      </c>
      <c r="B1497" t="s">
        <v>3452</v>
      </c>
      <c r="C1497" t="s">
        <v>606</v>
      </c>
      <c r="D1497" t="s">
        <v>3453</v>
      </c>
      <c r="E1497" s="9">
        <v>45853</v>
      </c>
      <c r="F1497" s="9">
        <v>46098</v>
      </c>
      <c r="G1497" t="s">
        <v>494</v>
      </c>
      <c r="H1497" t="s">
        <v>1060</v>
      </c>
      <c r="I1497" t="s">
        <v>1061</v>
      </c>
      <c r="J1497"/>
    </row>
    <row r="1498" spans="1:10" ht="15" hidden="1" x14ac:dyDescent="0.35">
      <c r="A1498" s="1831" t="s">
        <v>3454</v>
      </c>
      <c r="B1498" s="1839" t="s">
        <v>3455</v>
      </c>
      <c r="C1498" s="1839" t="s">
        <v>796</v>
      </c>
      <c r="D1498" s="1839" t="s">
        <v>3456</v>
      </c>
      <c r="E1498" s="1840">
        <v>45755</v>
      </c>
      <c r="F1498" s="1840"/>
      <c r="G1498" s="1839" t="s">
        <v>500</v>
      </c>
      <c r="H1498" s="1839" t="s">
        <v>1078</v>
      </c>
      <c r="I1498" s="1831" t="s">
        <v>1061</v>
      </c>
      <c r="J1498" s="1831"/>
    </row>
    <row r="1499" spans="1:10" ht="15" hidden="1" x14ac:dyDescent="0.35">
      <c r="A1499" s="1831" t="s">
        <v>3457</v>
      </c>
      <c r="B1499" s="1839" t="s">
        <v>3458</v>
      </c>
      <c r="C1499" s="1839" t="s">
        <v>1968</v>
      </c>
      <c r="D1499" s="1839" t="s">
        <v>3459</v>
      </c>
      <c r="E1499" s="1840">
        <v>46008</v>
      </c>
      <c r="F1499" s="1840"/>
      <c r="G1499" s="1839" t="s">
        <v>500</v>
      </c>
      <c r="H1499" s="1839" t="s">
        <v>1060</v>
      </c>
      <c r="I1499" s="1831" t="s">
        <v>1061</v>
      </c>
      <c r="J1499" s="1831"/>
    </row>
    <row r="1500" spans="1:10" ht="15" hidden="1" x14ac:dyDescent="0.35">
      <c r="A1500" s="1831" t="s">
        <v>3460</v>
      </c>
      <c r="B1500" s="1839" t="s">
        <v>3461</v>
      </c>
      <c r="C1500" s="1839" t="s">
        <v>410</v>
      </c>
      <c r="D1500" s="1839" t="s">
        <v>3462</v>
      </c>
      <c r="E1500" s="1840">
        <v>45853</v>
      </c>
      <c r="F1500" s="1840"/>
      <c r="G1500" s="1839" t="s">
        <v>500</v>
      </c>
      <c r="H1500" s="1839" t="s">
        <v>1065</v>
      </c>
      <c r="I1500" s="1831" t="s">
        <v>1066</v>
      </c>
      <c r="J1500" s="1831"/>
    </row>
    <row r="1501" spans="1:10" ht="15" hidden="1" x14ac:dyDescent="0.35">
      <c r="A1501" s="1831" t="s">
        <v>3463</v>
      </c>
      <c r="B1501" s="1839" t="s">
        <v>3464</v>
      </c>
      <c r="C1501" s="1839" t="s">
        <v>411</v>
      </c>
      <c r="D1501" s="1839" t="s">
        <v>3465</v>
      </c>
      <c r="E1501" s="1840">
        <v>46066</v>
      </c>
      <c r="F1501" s="1840"/>
      <c r="G1501" s="1839" t="s">
        <v>500</v>
      </c>
      <c r="H1501" s="1839" t="s">
        <v>1065</v>
      </c>
      <c r="I1501" s="1831" t="s">
        <v>1066</v>
      </c>
      <c r="J1501" s="1831"/>
    </row>
    <row r="1502" spans="1:10" ht="15" hidden="1" x14ac:dyDescent="0.35">
      <c r="A1502" s="1831" t="s">
        <v>3466</v>
      </c>
      <c r="B1502" s="1839" t="s">
        <v>3467</v>
      </c>
      <c r="C1502" s="1839" t="s">
        <v>420</v>
      </c>
      <c r="D1502" s="1839" t="s">
        <v>3468</v>
      </c>
      <c r="E1502" s="1840">
        <v>45377</v>
      </c>
      <c r="F1502" s="1840"/>
      <c r="G1502" s="1839" t="s">
        <v>500</v>
      </c>
      <c r="H1502" s="1839" t="s">
        <v>1078</v>
      </c>
      <c r="I1502" s="1831" t="s">
        <v>1061</v>
      </c>
      <c r="J1502" s="1831"/>
    </row>
    <row r="1503" spans="1:10" ht="15" hidden="1" x14ac:dyDescent="0.35">
      <c r="A1503" s="1831" t="s">
        <v>3469</v>
      </c>
      <c r="B1503" s="1839" t="s">
        <v>3470</v>
      </c>
      <c r="C1503" s="1839" t="s">
        <v>445</v>
      </c>
      <c r="D1503" s="1839" t="s">
        <v>3471</v>
      </c>
      <c r="E1503" s="1840">
        <v>45820</v>
      </c>
      <c r="F1503" s="1840"/>
      <c r="G1503" s="1839" t="s">
        <v>500</v>
      </c>
      <c r="H1503" s="1839" t="s">
        <v>1065</v>
      </c>
      <c r="I1503" s="1831" t="s">
        <v>1066</v>
      </c>
      <c r="J1503" s="1831"/>
    </row>
    <row r="1504" spans="1:10" ht="15" hidden="1" x14ac:dyDescent="0.35">
      <c r="A1504" s="8" t="s">
        <v>3472</v>
      </c>
      <c r="B1504" t="s">
        <v>3473</v>
      </c>
      <c r="C1504" t="s">
        <v>455</v>
      </c>
      <c r="D1504" t="s">
        <v>3474</v>
      </c>
      <c r="E1504" s="9">
        <v>45713</v>
      </c>
      <c r="F1504" s="9">
        <v>45812</v>
      </c>
      <c r="G1504" t="s">
        <v>494</v>
      </c>
      <c r="H1504" t="s">
        <v>1065</v>
      </c>
      <c r="I1504" t="s">
        <v>1066</v>
      </c>
      <c r="J1504"/>
    </row>
    <row r="1505" spans="1:10" ht="15" hidden="1" x14ac:dyDescent="0.35">
      <c r="A1505" s="1831" t="s">
        <v>3475</v>
      </c>
      <c r="B1505" s="1839" t="s">
        <v>3476</v>
      </c>
      <c r="C1505" s="1839" t="s">
        <v>1148</v>
      </c>
      <c r="D1505" s="1839" t="s">
        <v>3477</v>
      </c>
      <c r="E1505" s="1840">
        <v>45419</v>
      </c>
      <c r="F1505" s="1840"/>
      <c r="G1505" s="1839" t="s">
        <v>500</v>
      </c>
      <c r="H1505" s="1839" t="s">
        <v>1065</v>
      </c>
      <c r="I1505" s="1831" t="s">
        <v>1066</v>
      </c>
      <c r="J1505" s="1831"/>
    </row>
    <row r="1506" spans="1:10" ht="15" hidden="1" x14ac:dyDescent="0.35">
      <c r="A1506" s="1831" t="s">
        <v>3478</v>
      </c>
      <c r="B1506" s="1839" t="s">
        <v>3479</v>
      </c>
      <c r="C1506" s="1839" t="s">
        <v>410</v>
      </c>
      <c r="D1506" s="1839" t="s">
        <v>3480</v>
      </c>
      <c r="E1506" s="1840">
        <v>45420</v>
      </c>
      <c r="F1506" s="1840"/>
      <c r="G1506" s="1839" t="s">
        <v>500</v>
      </c>
      <c r="H1506" s="1839" t="s">
        <v>1065</v>
      </c>
      <c r="I1506" s="1831" t="s">
        <v>1066</v>
      </c>
      <c r="J1506" s="1831"/>
    </row>
    <row r="1507" spans="1:10" ht="15" hidden="1" x14ac:dyDescent="0.35">
      <c r="A1507" s="8" t="s">
        <v>3481</v>
      </c>
      <c r="B1507" t="s">
        <v>3482</v>
      </c>
      <c r="C1507" t="s">
        <v>606</v>
      </c>
      <c r="D1507" t="s">
        <v>3483</v>
      </c>
      <c r="E1507" s="9">
        <v>45707</v>
      </c>
      <c r="F1507" s="9">
        <v>45750</v>
      </c>
      <c r="G1507" t="s">
        <v>494</v>
      </c>
      <c r="H1507" t="s">
        <v>1065</v>
      </c>
      <c r="I1507" t="s">
        <v>1066</v>
      </c>
      <c r="J1507"/>
    </row>
    <row r="1508" spans="1:10" ht="15" hidden="1" x14ac:dyDescent="0.35">
      <c r="A1508" s="1831" t="s">
        <v>3484</v>
      </c>
      <c r="B1508" s="1839" t="s">
        <v>3485</v>
      </c>
      <c r="C1508" s="1839" t="s">
        <v>420</v>
      </c>
      <c r="D1508" s="1839" t="s">
        <v>3486</v>
      </c>
      <c r="E1508" s="1840">
        <v>45433</v>
      </c>
      <c r="F1508" s="1840"/>
      <c r="G1508" s="1839" t="s">
        <v>500</v>
      </c>
      <c r="H1508" s="1839" t="s">
        <v>1093</v>
      </c>
      <c r="I1508" s="1831" t="s">
        <v>1066</v>
      </c>
      <c r="J1508" s="1831"/>
    </row>
    <row r="1509" spans="1:10" ht="15" hidden="1" x14ac:dyDescent="0.35">
      <c r="A1509" s="1831" t="s">
        <v>3487</v>
      </c>
      <c r="B1509" s="1839" t="s">
        <v>3488</v>
      </c>
      <c r="C1509" s="1839" t="s">
        <v>455</v>
      </c>
      <c r="D1509" s="1839" t="s">
        <v>3489</v>
      </c>
      <c r="E1509" s="1840">
        <v>46100</v>
      </c>
      <c r="F1509" s="1840"/>
      <c r="G1509" s="1839" t="s">
        <v>500</v>
      </c>
      <c r="H1509" s="1839" t="s">
        <v>1065</v>
      </c>
      <c r="I1509" s="1831" t="s">
        <v>1066</v>
      </c>
      <c r="J1509" s="1831"/>
    </row>
    <row r="1510" spans="1:10" ht="15" hidden="1" x14ac:dyDescent="0.35">
      <c r="A1510" s="1831" t="s">
        <v>3490</v>
      </c>
      <c r="B1510" s="1839" t="s">
        <v>3491</v>
      </c>
      <c r="C1510" s="1839" t="s">
        <v>1144</v>
      </c>
      <c r="D1510" s="1839" t="s">
        <v>3492</v>
      </c>
      <c r="E1510" s="1840">
        <v>45726</v>
      </c>
      <c r="F1510" s="1840"/>
      <c r="G1510" s="1839" t="s">
        <v>500</v>
      </c>
      <c r="H1510" s="1839" t="s">
        <v>1060</v>
      </c>
      <c r="I1510" s="1831" t="s">
        <v>1061</v>
      </c>
      <c r="J1510" s="1831"/>
    </row>
    <row r="1511" spans="1:10" ht="15" hidden="1" x14ac:dyDescent="0.35">
      <c r="A1511" s="1831" t="s">
        <v>3493</v>
      </c>
      <c r="B1511" s="1839" t="s">
        <v>3494</v>
      </c>
      <c r="C1511" s="1839" t="s">
        <v>3495</v>
      </c>
      <c r="D1511" s="1839" t="s">
        <v>3496</v>
      </c>
      <c r="E1511" s="1840">
        <v>43851</v>
      </c>
      <c r="F1511" s="1840"/>
      <c r="G1511" s="1839" t="s">
        <v>500</v>
      </c>
      <c r="H1511" s="1839" t="s">
        <v>1060</v>
      </c>
      <c r="I1511" s="1831" t="s">
        <v>1061</v>
      </c>
      <c r="J1511" s="1831"/>
    </row>
    <row r="1512" spans="1:10" ht="15" hidden="1" x14ac:dyDescent="0.35">
      <c r="A1512" s="1831" t="s">
        <v>3497</v>
      </c>
      <c r="B1512" s="1839" t="s">
        <v>3498</v>
      </c>
      <c r="C1512" s="1839" t="s">
        <v>420</v>
      </c>
      <c r="D1512" s="1839" t="s">
        <v>3499</v>
      </c>
      <c r="E1512" s="1840">
        <v>45377</v>
      </c>
      <c r="F1512" s="1840"/>
      <c r="G1512" s="1839" t="s">
        <v>500</v>
      </c>
      <c r="H1512" s="1839" t="s">
        <v>1078</v>
      </c>
      <c r="I1512" s="1831" t="s">
        <v>1061</v>
      </c>
      <c r="J1512" s="1831"/>
    </row>
    <row r="1513" spans="1:10" ht="15" hidden="1" x14ac:dyDescent="0.35">
      <c r="A1513" s="8" t="s">
        <v>3500</v>
      </c>
      <c r="B1513" t="s">
        <v>3501</v>
      </c>
      <c r="C1513" t="s">
        <v>420</v>
      </c>
      <c r="D1513" t="s">
        <v>3502</v>
      </c>
      <c r="E1513" s="9">
        <v>45419</v>
      </c>
      <c r="F1513" s="9">
        <v>45814</v>
      </c>
      <c r="G1513" t="s">
        <v>494</v>
      </c>
      <c r="H1513" t="s">
        <v>1093</v>
      </c>
      <c r="I1513" t="s">
        <v>1066</v>
      </c>
      <c r="J1513"/>
    </row>
    <row r="1514" spans="1:10" ht="15" hidden="1" x14ac:dyDescent="0.35">
      <c r="A1514" s="1831" t="s">
        <v>3503</v>
      </c>
      <c r="B1514" s="1839" t="s">
        <v>3504</v>
      </c>
      <c r="C1514" s="1839" t="s">
        <v>416</v>
      </c>
      <c r="D1514" s="1839" t="s">
        <v>3505</v>
      </c>
      <c r="E1514" s="1840">
        <v>45433</v>
      </c>
      <c r="F1514" s="1840"/>
      <c r="G1514" s="1839" t="s">
        <v>500</v>
      </c>
      <c r="H1514" s="1839" t="s">
        <v>1093</v>
      </c>
      <c r="I1514" s="1831" t="s">
        <v>1066</v>
      </c>
      <c r="J1514" s="1831"/>
    </row>
    <row r="1515" spans="1:10" ht="15" hidden="1" x14ac:dyDescent="0.35">
      <c r="A1515" s="8" t="s">
        <v>3506</v>
      </c>
      <c r="B1515" t="s">
        <v>3507</v>
      </c>
      <c r="C1515" t="s">
        <v>763</v>
      </c>
      <c r="D1515" t="s">
        <v>3508</v>
      </c>
      <c r="E1515" s="9">
        <v>45887</v>
      </c>
      <c r="G1515" t="s">
        <v>634</v>
      </c>
      <c r="H1515" t="s">
        <v>1060</v>
      </c>
      <c r="I1515" t="s">
        <v>1061</v>
      </c>
      <c r="J1515"/>
    </row>
    <row r="1516" spans="1:10" ht="15" hidden="1" x14ac:dyDescent="0.35">
      <c r="A1516" s="1831" t="s">
        <v>3509</v>
      </c>
      <c r="B1516" s="1839" t="s">
        <v>3510</v>
      </c>
      <c r="C1516" s="1839" t="s">
        <v>578</v>
      </c>
      <c r="D1516" s="1839" t="s">
        <v>3511</v>
      </c>
      <c r="E1516" s="1840">
        <v>45551</v>
      </c>
      <c r="F1516" s="1840"/>
      <c r="G1516" s="1839" t="s">
        <v>525</v>
      </c>
      <c r="H1516" s="1839" t="s">
        <v>1065</v>
      </c>
      <c r="I1516" s="1831" t="s">
        <v>1066</v>
      </c>
      <c r="J1516" s="1831"/>
    </row>
    <row r="1517" spans="1:10" ht="15" hidden="1" x14ac:dyDescent="0.35">
      <c r="A1517" s="8" t="s">
        <v>3512</v>
      </c>
      <c r="B1517" t="s">
        <v>3513</v>
      </c>
      <c r="C1517" t="s">
        <v>420</v>
      </c>
      <c r="D1517" t="s">
        <v>3514</v>
      </c>
      <c r="E1517" s="9">
        <v>45708</v>
      </c>
      <c r="F1517" s="9">
        <v>45854</v>
      </c>
      <c r="G1517" t="s">
        <v>494</v>
      </c>
      <c r="H1517" t="s">
        <v>1093</v>
      </c>
      <c r="I1517" t="s">
        <v>1066</v>
      </c>
      <c r="J1517"/>
    </row>
    <row r="1518" spans="1:10" ht="15" hidden="1" x14ac:dyDescent="0.35">
      <c r="A1518" s="8" t="s">
        <v>3515</v>
      </c>
      <c r="B1518" t="s">
        <v>3516</v>
      </c>
      <c r="C1518" t="s">
        <v>440</v>
      </c>
      <c r="D1518" t="s">
        <v>3517</v>
      </c>
      <c r="E1518" s="9">
        <v>45712</v>
      </c>
      <c r="F1518" s="9">
        <v>46000</v>
      </c>
      <c r="G1518" t="s">
        <v>494</v>
      </c>
      <c r="H1518" t="s">
        <v>1060</v>
      </c>
      <c r="I1518" t="s">
        <v>1061</v>
      </c>
      <c r="J1518"/>
    </row>
    <row r="1519" spans="1:10" ht="15" hidden="1" x14ac:dyDescent="0.35">
      <c r="A1519" s="1831" t="s">
        <v>3518</v>
      </c>
      <c r="B1519" s="1839" t="s">
        <v>3519</v>
      </c>
      <c r="C1519" s="1839" t="s">
        <v>433</v>
      </c>
      <c r="D1519" s="1839" t="s">
        <v>3520</v>
      </c>
      <c r="E1519" s="1840">
        <v>46128</v>
      </c>
      <c r="F1519" s="1840"/>
      <c r="G1519" s="1839" t="s">
        <v>500</v>
      </c>
      <c r="H1519" s="1839" t="s">
        <v>1093</v>
      </c>
      <c r="I1519" s="1831" t="s">
        <v>1066</v>
      </c>
      <c r="J1519" s="1831"/>
    </row>
    <row r="1520" spans="1:10" ht="15" hidden="1" x14ac:dyDescent="0.35">
      <c r="A1520" s="1831" t="s">
        <v>3521</v>
      </c>
      <c r="B1520" s="1839" t="s">
        <v>3522</v>
      </c>
      <c r="C1520" s="1839" t="s">
        <v>1144</v>
      </c>
      <c r="D1520" s="1839" t="s">
        <v>3523</v>
      </c>
      <c r="E1520" s="1840">
        <v>45840</v>
      </c>
      <c r="F1520" s="1840"/>
      <c r="G1520" s="1839" t="s">
        <v>500</v>
      </c>
      <c r="H1520" s="1839" t="s">
        <v>1065</v>
      </c>
      <c r="I1520" s="1831" t="s">
        <v>1066</v>
      </c>
      <c r="J1520" s="1831"/>
    </row>
    <row r="1521" spans="1:10" ht="15" hidden="1" x14ac:dyDescent="0.35">
      <c r="A1521" s="1831" t="s">
        <v>3524</v>
      </c>
      <c r="B1521" s="1839" t="s">
        <v>3525</v>
      </c>
      <c r="C1521" s="1839" t="s">
        <v>410</v>
      </c>
      <c r="D1521" s="1839" t="s">
        <v>3526</v>
      </c>
      <c r="E1521" s="1840">
        <v>45420</v>
      </c>
      <c r="F1521" s="1840"/>
      <c r="G1521" s="1839" t="s">
        <v>500</v>
      </c>
      <c r="H1521" s="1839" t="s">
        <v>1065</v>
      </c>
      <c r="I1521" s="1831" t="s">
        <v>1066</v>
      </c>
      <c r="J1521" s="1831"/>
    </row>
    <row r="1522" spans="1:10" ht="15" hidden="1" x14ac:dyDescent="0.35">
      <c r="A1522" s="8" t="s">
        <v>3527</v>
      </c>
      <c r="B1522" t="s">
        <v>3528</v>
      </c>
      <c r="C1522" t="s">
        <v>415</v>
      </c>
      <c r="D1522" t="s">
        <v>3529</v>
      </c>
      <c r="E1522" s="9">
        <v>45722</v>
      </c>
      <c r="F1522" s="9">
        <v>46041</v>
      </c>
      <c r="G1522" t="s">
        <v>494</v>
      </c>
      <c r="H1522" t="s">
        <v>1065</v>
      </c>
      <c r="I1522" t="s">
        <v>1066</v>
      </c>
      <c r="J1522"/>
    </row>
    <row r="1523" spans="1:10" ht="15" x14ac:dyDescent="0.35">
      <c r="A1523" s="1831" t="s">
        <v>3530</v>
      </c>
      <c r="B1523" s="1839" t="s">
        <v>3531</v>
      </c>
      <c r="C1523" s="1839" t="s">
        <v>3532</v>
      </c>
      <c r="D1523" s="1839" t="s">
        <v>3533</v>
      </c>
      <c r="E1523" s="1840">
        <v>45131</v>
      </c>
      <c r="F1523" s="1840"/>
      <c r="G1523" s="1839" t="s">
        <v>500</v>
      </c>
      <c r="H1523" s="1839" t="s">
        <v>1065</v>
      </c>
      <c r="I1523" s="1831" t="s">
        <v>1066</v>
      </c>
      <c r="J1523" s="1831"/>
    </row>
    <row r="1524" spans="1:10" ht="15" hidden="1" x14ac:dyDescent="0.35">
      <c r="A1524" s="8" t="s">
        <v>3534</v>
      </c>
      <c r="B1524" t="s">
        <v>3535</v>
      </c>
      <c r="C1524" t="s">
        <v>410</v>
      </c>
      <c r="D1524" t="s">
        <v>3536</v>
      </c>
      <c r="E1524" s="9">
        <v>45421</v>
      </c>
      <c r="G1524" t="s">
        <v>634</v>
      </c>
      <c r="H1524" t="s">
        <v>1065</v>
      </c>
      <c r="I1524" t="s">
        <v>1066</v>
      </c>
      <c r="J1524"/>
    </row>
    <row r="1525" spans="1:10" ht="15" hidden="1" x14ac:dyDescent="0.35">
      <c r="A1525" s="1831" t="s">
        <v>3537</v>
      </c>
      <c r="B1525" s="1839" t="s">
        <v>3538</v>
      </c>
      <c r="C1525" s="1839" t="s">
        <v>441</v>
      </c>
      <c r="D1525" s="1839" t="s">
        <v>3539</v>
      </c>
      <c r="E1525" s="1840">
        <v>45488</v>
      </c>
      <c r="F1525" s="1840"/>
      <c r="G1525" s="1839" t="s">
        <v>500</v>
      </c>
      <c r="H1525" s="1839" t="s">
        <v>1093</v>
      </c>
      <c r="I1525" s="1831" t="s">
        <v>1066</v>
      </c>
      <c r="J1525" s="1831"/>
    </row>
    <row r="1526" spans="1:10" ht="15" hidden="1" x14ac:dyDescent="0.35">
      <c r="A1526" s="1831" t="s">
        <v>3540</v>
      </c>
      <c r="B1526" s="1839" t="s">
        <v>3541</v>
      </c>
      <c r="C1526" s="1839" t="s">
        <v>1088</v>
      </c>
      <c r="D1526" s="1839" t="s">
        <v>3542</v>
      </c>
      <c r="E1526" s="1840">
        <v>45488</v>
      </c>
      <c r="F1526" s="1840"/>
      <c r="G1526" s="1839" t="s">
        <v>500</v>
      </c>
      <c r="H1526" s="1839" t="s">
        <v>1065</v>
      </c>
      <c r="I1526" s="1831" t="s">
        <v>1066</v>
      </c>
      <c r="J1526" s="1831"/>
    </row>
    <row r="1527" spans="1:10" ht="15" hidden="1" x14ac:dyDescent="0.35">
      <c r="A1527" s="1831" t="s">
        <v>3543</v>
      </c>
      <c r="B1527" s="1839" t="s">
        <v>3544</v>
      </c>
      <c r="C1527" s="1839" t="s">
        <v>420</v>
      </c>
      <c r="D1527" s="1839" t="s">
        <v>3545</v>
      </c>
      <c r="E1527" s="1840">
        <v>45419</v>
      </c>
      <c r="F1527" s="1840"/>
      <c r="G1527" s="1839" t="s">
        <v>500</v>
      </c>
      <c r="H1527" s="1839" t="s">
        <v>1093</v>
      </c>
      <c r="I1527" s="1831" t="s">
        <v>1066</v>
      </c>
      <c r="J1527" s="1831"/>
    </row>
    <row r="1528" spans="1:10" ht="15" hidden="1" x14ac:dyDescent="0.35">
      <c r="A1528" s="1831" t="s">
        <v>3546</v>
      </c>
      <c r="B1528" s="1839" t="s">
        <v>3547</v>
      </c>
      <c r="C1528" s="1839" t="s">
        <v>1229</v>
      </c>
      <c r="D1528" s="1839" t="s">
        <v>3548</v>
      </c>
      <c r="E1528" s="1840">
        <v>45950</v>
      </c>
      <c r="F1528" s="1840"/>
      <c r="G1528" s="1839" t="s">
        <v>500</v>
      </c>
      <c r="H1528" s="1839" t="s">
        <v>1065</v>
      </c>
      <c r="I1528" s="1831" t="s">
        <v>1066</v>
      </c>
      <c r="J1528" s="1831"/>
    </row>
    <row r="1529" spans="1:10" ht="15" hidden="1" x14ac:dyDescent="0.35">
      <c r="A1529" s="8" t="s">
        <v>3549</v>
      </c>
      <c r="B1529" t="s">
        <v>3550</v>
      </c>
      <c r="C1529" t="s">
        <v>456</v>
      </c>
      <c r="D1529" t="s">
        <v>3551</v>
      </c>
      <c r="E1529" s="9">
        <v>45713</v>
      </c>
      <c r="F1529" s="9">
        <v>45950</v>
      </c>
      <c r="G1529" t="s">
        <v>494</v>
      </c>
      <c r="H1529" t="s">
        <v>1065</v>
      </c>
      <c r="I1529" t="s">
        <v>1066</v>
      </c>
      <c r="J1529"/>
    </row>
    <row r="1530" spans="1:10" ht="15" hidden="1" x14ac:dyDescent="0.35">
      <c r="A1530" s="8" t="s">
        <v>3552</v>
      </c>
      <c r="B1530" t="s">
        <v>3553</v>
      </c>
      <c r="C1530" t="s">
        <v>420</v>
      </c>
      <c r="D1530" t="s">
        <v>3554</v>
      </c>
      <c r="E1530" s="9">
        <v>45721</v>
      </c>
      <c r="F1530" s="9">
        <v>45728</v>
      </c>
      <c r="G1530" t="s">
        <v>494</v>
      </c>
      <c r="H1530" t="s">
        <v>1093</v>
      </c>
      <c r="I1530" t="s">
        <v>1066</v>
      </c>
      <c r="J1530"/>
    </row>
    <row r="1531" spans="1:10" ht="15" hidden="1" x14ac:dyDescent="0.35">
      <c r="A1531" s="8" t="s">
        <v>3555</v>
      </c>
      <c r="B1531" t="s">
        <v>3556</v>
      </c>
      <c r="C1531" t="s">
        <v>420</v>
      </c>
      <c r="D1531" t="s">
        <v>3557</v>
      </c>
      <c r="E1531" s="9">
        <v>45456</v>
      </c>
      <c r="F1531" s="9">
        <v>45870</v>
      </c>
      <c r="G1531" t="s">
        <v>494</v>
      </c>
      <c r="H1531" t="s">
        <v>1093</v>
      </c>
      <c r="I1531" t="s">
        <v>1066</v>
      </c>
      <c r="J1531"/>
    </row>
    <row r="1532" spans="1:10" ht="15" hidden="1" x14ac:dyDescent="0.35">
      <c r="A1532" s="1831" t="s">
        <v>3558</v>
      </c>
      <c r="B1532" s="1839" t="s">
        <v>3559</v>
      </c>
      <c r="C1532" s="1839" t="s">
        <v>1876</v>
      </c>
      <c r="D1532" s="1839" t="s">
        <v>3560</v>
      </c>
      <c r="E1532" s="1840">
        <v>45825</v>
      </c>
      <c r="F1532" s="1840"/>
      <c r="G1532" s="1839" t="s">
        <v>500</v>
      </c>
      <c r="H1532" s="1839" t="s">
        <v>1060</v>
      </c>
      <c r="I1532" s="1831" t="s">
        <v>1061</v>
      </c>
      <c r="J1532" s="1831"/>
    </row>
    <row r="1533" spans="1:10" ht="15" hidden="1" x14ac:dyDescent="0.35">
      <c r="A1533" s="1831" t="s">
        <v>3561</v>
      </c>
      <c r="B1533" s="1839" t="s">
        <v>3562</v>
      </c>
      <c r="C1533" s="1839" t="s">
        <v>1144</v>
      </c>
      <c r="D1533" s="1839" t="s">
        <v>3563</v>
      </c>
      <c r="E1533" s="1840">
        <v>45722</v>
      </c>
      <c r="F1533" s="1840"/>
      <c r="G1533" s="1839" t="s">
        <v>500</v>
      </c>
      <c r="H1533" s="1839" t="s">
        <v>1060</v>
      </c>
      <c r="I1533" s="1831" t="s">
        <v>1061</v>
      </c>
      <c r="J1533" s="1831"/>
    </row>
    <row r="1534" spans="1:10" ht="15" hidden="1" x14ac:dyDescent="0.35">
      <c r="A1534" s="1831" t="s">
        <v>3564</v>
      </c>
      <c r="B1534" s="1839" t="s">
        <v>3565</v>
      </c>
      <c r="C1534" s="1839" t="s">
        <v>1088</v>
      </c>
      <c r="D1534" s="1839" t="s">
        <v>3566</v>
      </c>
      <c r="E1534" s="1840">
        <v>45642</v>
      </c>
      <c r="F1534" s="1840"/>
      <c r="G1534" s="1839" t="s">
        <v>500</v>
      </c>
      <c r="H1534" s="1839" t="s">
        <v>1060</v>
      </c>
      <c r="I1534" s="1831" t="s">
        <v>1061</v>
      </c>
      <c r="J1534" s="1831"/>
    </row>
    <row r="1535" spans="1:10" ht="15" hidden="1" x14ac:dyDescent="0.35">
      <c r="A1535" s="1831" t="s">
        <v>3567</v>
      </c>
      <c r="B1535" s="1839" t="s">
        <v>3568</v>
      </c>
      <c r="C1535" s="1839" t="s">
        <v>409</v>
      </c>
      <c r="D1535" s="1839" t="s">
        <v>3569</v>
      </c>
      <c r="E1535" s="1840">
        <v>46029</v>
      </c>
      <c r="F1535" s="1840"/>
      <c r="G1535" s="1839" t="s">
        <v>500</v>
      </c>
      <c r="H1535" s="1839" t="s">
        <v>1060</v>
      </c>
      <c r="I1535" s="1831" t="s">
        <v>1061</v>
      </c>
      <c r="J1535" s="1831"/>
    </row>
    <row r="1536" spans="1:10" ht="15" hidden="1" x14ac:dyDescent="0.35">
      <c r="A1536" s="1831" t="s">
        <v>3570</v>
      </c>
      <c r="B1536" s="1839" t="s">
        <v>3571</v>
      </c>
      <c r="C1536" s="1839" t="s">
        <v>443</v>
      </c>
      <c r="D1536" s="1839" t="s">
        <v>3572</v>
      </c>
      <c r="E1536" s="1840">
        <v>45377</v>
      </c>
      <c r="F1536" s="1840"/>
      <c r="G1536" s="1839" t="s">
        <v>500</v>
      </c>
      <c r="H1536" s="1839" t="s">
        <v>1060</v>
      </c>
      <c r="I1536" s="1831" t="s">
        <v>1061</v>
      </c>
      <c r="J1536" s="1831"/>
    </row>
    <row r="1537" spans="1:10" ht="15" hidden="1" x14ac:dyDescent="0.35">
      <c r="A1537" s="1831" t="s">
        <v>3573</v>
      </c>
      <c r="B1537" s="1839" t="s">
        <v>3574</v>
      </c>
      <c r="C1537" s="1839" t="s">
        <v>421</v>
      </c>
      <c r="D1537" s="1839" t="s">
        <v>3575</v>
      </c>
      <c r="E1537" s="1840">
        <v>45698</v>
      </c>
      <c r="F1537" s="1840"/>
      <c r="G1537" s="1839" t="s">
        <v>500</v>
      </c>
      <c r="H1537" s="1839" t="s">
        <v>1060</v>
      </c>
      <c r="I1537" s="1831" t="s">
        <v>1061</v>
      </c>
      <c r="J1537" s="1831"/>
    </row>
    <row r="1538" spans="1:10" ht="15" x14ac:dyDescent="0.35">
      <c r="A1538" s="1831" t="s">
        <v>3576</v>
      </c>
      <c r="B1538" s="1839" t="s">
        <v>3577</v>
      </c>
      <c r="C1538" s="1839" t="s">
        <v>544</v>
      </c>
      <c r="D1538" s="1839" t="s">
        <v>3578</v>
      </c>
      <c r="E1538" s="1840">
        <v>43502</v>
      </c>
      <c r="F1538" s="1840"/>
      <c r="G1538" s="1839" t="s">
        <v>500</v>
      </c>
      <c r="H1538" s="1839" t="s">
        <v>1065</v>
      </c>
      <c r="I1538" s="1831" t="s">
        <v>1066</v>
      </c>
      <c r="J1538" s="1831"/>
    </row>
    <row r="1539" spans="1:10" ht="15" x14ac:dyDescent="0.35">
      <c r="A1539" s="1831" t="s">
        <v>3579</v>
      </c>
      <c r="B1539" s="1839" t="s">
        <v>3580</v>
      </c>
      <c r="C1539" s="1839" t="s">
        <v>455</v>
      </c>
      <c r="D1539" s="1839" t="s">
        <v>3581</v>
      </c>
      <c r="E1539" s="1840">
        <v>46008</v>
      </c>
      <c r="F1539" s="1840"/>
      <c r="G1539" s="1839" t="s">
        <v>500</v>
      </c>
      <c r="H1539" s="1839" t="s">
        <v>1065</v>
      </c>
      <c r="I1539" s="1831" t="s">
        <v>1066</v>
      </c>
      <c r="J1539" s="1831"/>
    </row>
    <row r="1540" spans="1:10" ht="15" x14ac:dyDescent="0.35">
      <c r="A1540" s="1831" t="s">
        <v>3582</v>
      </c>
      <c r="B1540" s="1839" t="s">
        <v>3583</v>
      </c>
      <c r="C1540" s="1839" t="s">
        <v>527</v>
      </c>
      <c r="D1540" s="1839" t="s">
        <v>3584</v>
      </c>
      <c r="E1540" s="1840">
        <v>45849</v>
      </c>
      <c r="F1540" s="1840"/>
      <c r="G1540" s="1839" t="s">
        <v>500</v>
      </c>
      <c r="H1540" s="1839" t="s">
        <v>1065</v>
      </c>
      <c r="I1540" s="1831" t="s">
        <v>1066</v>
      </c>
      <c r="J1540" s="1831"/>
    </row>
    <row r="1541" spans="1:10" ht="15" x14ac:dyDescent="0.35">
      <c r="A1541" s="1831" t="s">
        <v>3585</v>
      </c>
      <c r="B1541" s="1839" t="s">
        <v>3586</v>
      </c>
      <c r="C1541" s="1839" t="s">
        <v>578</v>
      </c>
      <c r="D1541" s="1839" t="s">
        <v>3587</v>
      </c>
      <c r="E1541" s="1840">
        <v>45364</v>
      </c>
      <c r="F1541" s="1840"/>
      <c r="G1541" s="1839" t="s">
        <v>500</v>
      </c>
      <c r="H1541" s="1839" t="s">
        <v>1065</v>
      </c>
      <c r="I1541" s="1831" t="s">
        <v>1066</v>
      </c>
      <c r="J1541" s="1831"/>
    </row>
    <row r="1542" spans="1:10" ht="15" x14ac:dyDescent="0.35">
      <c r="A1542" s="1831" t="s">
        <v>3588</v>
      </c>
      <c r="B1542" s="1839" t="s">
        <v>3589</v>
      </c>
      <c r="C1542" s="1839" t="s">
        <v>1144</v>
      </c>
      <c r="D1542" s="1839" t="s">
        <v>3590</v>
      </c>
      <c r="E1542" s="1840">
        <v>45726</v>
      </c>
      <c r="F1542" s="1840"/>
      <c r="G1542" s="1839" t="s">
        <v>500</v>
      </c>
      <c r="H1542" s="1839" t="s">
        <v>1060</v>
      </c>
      <c r="I1542" s="1831" t="s">
        <v>1061</v>
      </c>
      <c r="J1542" s="1831"/>
    </row>
    <row r="1543" spans="1:10" ht="15" hidden="1" x14ac:dyDescent="0.35">
      <c r="A1543" s="1831" t="s">
        <v>3591</v>
      </c>
      <c r="B1543" s="1839" t="s">
        <v>3592</v>
      </c>
      <c r="C1543" s="1839" t="s">
        <v>420</v>
      </c>
      <c r="D1543" s="1839" t="s">
        <v>3593</v>
      </c>
      <c r="E1543" s="1840">
        <v>45376</v>
      </c>
      <c r="F1543" s="1840"/>
      <c r="G1543" s="1839" t="s">
        <v>500</v>
      </c>
      <c r="H1543" s="1839" t="s">
        <v>1078</v>
      </c>
      <c r="I1543" s="1831" t="s">
        <v>1061</v>
      </c>
      <c r="J1543" s="1831"/>
    </row>
    <row r="1544" spans="1:10" ht="15" hidden="1" x14ac:dyDescent="0.35">
      <c r="A1544" s="1831" t="s">
        <v>3594</v>
      </c>
      <c r="B1544" s="1839" t="s">
        <v>3595</v>
      </c>
      <c r="C1544" s="1839" t="s">
        <v>420</v>
      </c>
      <c r="D1544" s="1839" t="s">
        <v>3596</v>
      </c>
      <c r="E1544" s="1840">
        <v>45821</v>
      </c>
      <c r="F1544" s="1840"/>
      <c r="G1544" s="1839" t="s">
        <v>500</v>
      </c>
      <c r="H1544" s="1839" t="s">
        <v>1093</v>
      </c>
      <c r="I1544" s="1831" t="s">
        <v>1066</v>
      </c>
      <c r="J1544" s="1831"/>
    </row>
    <row r="1545" spans="1:10" ht="15" hidden="1" x14ac:dyDescent="0.35">
      <c r="A1545" s="1831" t="s">
        <v>3597</v>
      </c>
      <c r="B1545" s="1839" t="s">
        <v>3598</v>
      </c>
      <c r="C1545" s="1839" t="s">
        <v>420</v>
      </c>
      <c r="D1545" s="1839" t="s">
        <v>3599</v>
      </c>
      <c r="E1545" s="1840">
        <v>45833</v>
      </c>
      <c r="F1545" s="1840"/>
      <c r="G1545" s="1839" t="s">
        <v>500</v>
      </c>
      <c r="H1545" s="1839" t="s">
        <v>1078</v>
      </c>
      <c r="I1545" s="1831" t="s">
        <v>1061</v>
      </c>
      <c r="J1545" s="1831"/>
    </row>
    <row r="1546" spans="1:10" ht="15" hidden="1" x14ac:dyDescent="0.35">
      <c r="A1546" s="8" t="s">
        <v>3600</v>
      </c>
      <c r="B1546" t="s">
        <v>3601</v>
      </c>
      <c r="C1546" t="s">
        <v>413</v>
      </c>
      <c r="D1546" t="s">
        <v>3602</v>
      </c>
      <c r="E1546" s="9">
        <v>45979</v>
      </c>
      <c r="F1546" s="9">
        <v>46066</v>
      </c>
      <c r="G1546" t="s">
        <v>494</v>
      </c>
      <c r="H1546" t="s">
        <v>1065</v>
      </c>
      <c r="I1546" t="s">
        <v>1066</v>
      </c>
      <c r="J1546"/>
    </row>
    <row r="1547" spans="1:10" ht="15" hidden="1" x14ac:dyDescent="0.35">
      <c r="A1547" s="8" t="s">
        <v>3603</v>
      </c>
      <c r="B1547" t="s">
        <v>3604</v>
      </c>
      <c r="C1547" t="s">
        <v>420</v>
      </c>
      <c r="D1547" t="s">
        <v>3605</v>
      </c>
      <c r="E1547" s="9">
        <v>45419</v>
      </c>
      <c r="G1547" t="s">
        <v>634</v>
      </c>
      <c r="H1547" t="s">
        <v>1093</v>
      </c>
      <c r="I1547" t="s">
        <v>1066</v>
      </c>
      <c r="J1547"/>
    </row>
    <row r="1548" spans="1:10" ht="15" hidden="1" x14ac:dyDescent="0.35">
      <c r="A1548" s="1831" t="s">
        <v>3606</v>
      </c>
      <c r="B1548" s="1839" t="s">
        <v>3607</v>
      </c>
      <c r="C1548" s="1839" t="s">
        <v>420</v>
      </c>
      <c r="D1548" s="1839" t="s">
        <v>3608</v>
      </c>
      <c r="E1548" s="1840">
        <v>45419</v>
      </c>
      <c r="F1548" s="1840"/>
      <c r="G1548" s="1839" t="s">
        <v>500</v>
      </c>
      <c r="H1548" s="1839" t="s">
        <v>1093</v>
      </c>
      <c r="I1548" s="1831" t="s">
        <v>1066</v>
      </c>
      <c r="J1548" s="1831"/>
    </row>
    <row r="1549" spans="1:10" ht="15" hidden="1" x14ac:dyDescent="0.35">
      <c r="A1549" s="1831" t="s">
        <v>3609</v>
      </c>
      <c r="B1549" s="1839" t="s">
        <v>3610</v>
      </c>
      <c r="C1549" s="1839" t="s">
        <v>420</v>
      </c>
      <c r="D1549" s="1839" t="s">
        <v>3611</v>
      </c>
      <c r="E1549" s="1840">
        <v>45426</v>
      </c>
      <c r="F1549" s="1840"/>
      <c r="G1549" s="1839" t="s">
        <v>500</v>
      </c>
      <c r="H1549" s="1839" t="s">
        <v>1093</v>
      </c>
      <c r="I1549" s="1831" t="s">
        <v>1066</v>
      </c>
      <c r="J1549" s="1831"/>
    </row>
    <row r="1550" spans="1:10" ht="15" hidden="1" x14ac:dyDescent="0.35">
      <c r="A1550" s="8" t="s">
        <v>3612</v>
      </c>
      <c r="B1550" t="s">
        <v>3613</v>
      </c>
      <c r="C1550" t="s">
        <v>420</v>
      </c>
      <c r="D1550" t="s">
        <v>3614</v>
      </c>
      <c r="E1550" s="9">
        <v>45828</v>
      </c>
      <c r="F1550" s="9">
        <v>46003</v>
      </c>
      <c r="G1550" t="s">
        <v>494</v>
      </c>
      <c r="H1550" t="s">
        <v>1078</v>
      </c>
      <c r="I1550" t="s">
        <v>1061</v>
      </c>
      <c r="J1550"/>
    </row>
    <row r="1551" spans="1:10" ht="15" hidden="1" x14ac:dyDescent="0.35">
      <c r="A1551" s="8" t="s">
        <v>3615</v>
      </c>
      <c r="B1551" t="s">
        <v>3616</v>
      </c>
      <c r="C1551" t="s">
        <v>420</v>
      </c>
      <c r="D1551" t="s">
        <v>3617</v>
      </c>
      <c r="E1551" s="9">
        <v>45831</v>
      </c>
      <c r="F1551" s="9">
        <v>46003</v>
      </c>
      <c r="G1551" t="s">
        <v>494</v>
      </c>
      <c r="H1551" t="s">
        <v>1078</v>
      </c>
      <c r="I1551" t="s">
        <v>1061</v>
      </c>
      <c r="J1551"/>
    </row>
    <row r="1552" spans="1:10" ht="15" hidden="1" x14ac:dyDescent="0.35">
      <c r="A1552" s="1831" t="s">
        <v>3618</v>
      </c>
      <c r="B1552" s="1839" t="s">
        <v>3619</v>
      </c>
      <c r="C1552" s="1839" t="s">
        <v>420</v>
      </c>
      <c r="D1552" s="1839" t="s">
        <v>3620</v>
      </c>
      <c r="E1552" s="1840">
        <v>45419</v>
      </c>
      <c r="F1552" s="1840"/>
      <c r="G1552" s="1839" t="s">
        <v>500</v>
      </c>
      <c r="H1552" s="1839" t="s">
        <v>1093</v>
      </c>
      <c r="I1552" s="1831" t="s">
        <v>1066</v>
      </c>
      <c r="J1552" s="1831"/>
    </row>
    <row r="1553" spans="1:10" ht="15" hidden="1" x14ac:dyDescent="0.35">
      <c r="A1553" s="1831" t="s">
        <v>3621</v>
      </c>
      <c r="B1553" s="1839" t="s">
        <v>3622</v>
      </c>
      <c r="C1553" s="1839" t="s">
        <v>420</v>
      </c>
      <c r="D1553" s="1839" t="s">
        <v>3623</v>
      </c>
      <c r="E1553" s="1840">
        <v>46001</v>
      </c>
      <c r="F1553" s="1840"/>
      <c r="G1553" s="1839" t="s">
        <v>500</v>
      </c>
      <c r="H1553" s="1839" t="s">
        <v>1078</v>
      </c>
      <c r="I1553" s="1831" t="s">
        <v>1061</v>
      </c>
      <c r="J1553" s="1831"/>
    </row>
    <row r="1554" spans="1:10" ht="15" hidden="1" x14ac:dyDescent="0.35">
      <c r="A1554" s="1831" t="s">
        <v>3624</v>
      </c>
      <c r="B1554" s="1839" t="s">
        <v>3625</v>
      </c>
      <c r="C1554" s="1839" t="s">
        <v>1677</v>
      </c>
      <c r="D1554" s="1839" t="s">
        <v>3626</v>
      </c>
      <c r="E1554" s="1840">
        <v>45706</v>
      </c>
      <c r="F1554" s="1840"/>
      <c r="G1554" s="1839" t="s">
        <v>500</v>
      </c>
      <c r="H1554" s="1839" t="s">
        <v>1060</v>
      </c>
      <c r="I1554" s="1831" t="s">
        <v>1061</v>
      </c>
      <c r="J1554" s="1831"/>
    </row>
    <row r="1555" spans="1:10" ht="15" hidden="1" x14ac:dyDescent="0.35">
      <c r="A1555" s="1831" t="s">
        <v>3627</v>
      </c>
      <c r="B1555" s="1839" t="s">
        <v>3628</v>
      </c>
      <c r="C1555" s="1839" t="s">
        <v>454</v>
      </c>
      <c r="D1555" s="1839" t="s">
        <v>3629</v>
      </c>
      <c r="E1555" s="1840">
        <v>42205</v>
      </c>
      <c r="F1555" s="1840"/>
      <c r="G1555" s="1839" t="s">
        <v>500</v>
      </c>
      <c r="H1555" s="1839" t="s">
        <v>1060</v>
      </c>
      <c r="I1555" s="1831" t="s">
        <v>1061</v>
      </c>
      <c r="J1555" s="1831"/>
    </row>
    <row r="1556" spans="1:10" ht="15" hidden="1" x14ac:dyDescent="0.35">
      <c r="A1556" s="1831" t="s">
        <v>3630</v>
      </c>
      <c r="B1556" s="1839" t="s">
        <v>3631</v>
      </c>
      <c r="C1556" s="1839" t="s">
        <v>420</v>
      </c>
      <c r="D1556" s="1839" t="s">
        <v>3632</v>
      </c>
      <c r="E1556" s="1840">
        <v>46157</v>
      </c>
      <c r="F1556" s="1840"/>
      <c r="G1556" s="1839" t="s">
        <v>500</v>
      </c>
      <c r="H1556" s="1839" t="s">
        <v>1093</v>
      </c>
      <c r="I1556" s="1831" t="s">
        <v>1066</v>
      </c>
      <c r="J1556" s="1831"/>
    </row>
    <row r="1557" spans="1:10" ht="15" hidden="1" x14ac:dyDescent="0.35">
      <c r="A1557" s="1831" t="s">
        <v>3633</v>
      </c>
      <c r="B1557" s="1839" t="s">
        <v>3634</v>
      </c>
      <c r="C1557" s="1839" t="s">
        <v>420</v>
      </c>
      <c r="D1557" s="1839" t="s">
        <v>3635</v>
      </c>
      <c r="E1557" s="1840">
        <v>45377</v>
      </c>
      <c r="F1557" s="1840"/>
      <c r="G1557" s="1839" t="s">
        <v>500</v>
      </c>
      <c r="H1557" s="1839" t="s">
        <v>1078</v>
      </c>
      <c r="I1557" s="1831" t="s">
        <v>1061</v>
      </c>
      <c r="J1557" s="1831"/>
    </row>
    <row r="1558" spans="1:10" ht="15" hidden="1" x14ac:dyDescent="0.35">
      <c r="A1558" s="1831" t="s">
        <v>3636</v>
      </c>
      <c r="B1558" s="1839" t="s">
        <v>3637</v>
      </c>
      <c r="C1558" s="1839" t="s">
        <v>420</v>
      </c>
      <c r="D1558" s="1839" t="s">
        <v>3638</v>
      </c>
      <c r="E1558" s="1840">
        <v>45386</v>
      </c>
      <c r="F1558" s="1840"/>
      <c r="G1558" s="1839" t="s">
        <v>500</v>
      </c>
      <c r="H1558" s="1839" t="s">
        <v>1078</v>
      </c>
      <c r="I1558" s="1831" t="s">
        <v>1061</v>
      </c>
      <c r="J1558" s="1831"/>
    </row>
    <row r="1559" spans="1:10" ht="15" hidden="1" x14ac:dyDescent="0.35">
      <c r="A1559" s="1831" t="s">
        <v>3639</v>
      </c>
      <c r="B1559" s="1839" t="s">
        <v>3640</v>
      </c>
      <c r="C1559" s="1839" t="s">
        <v>420</v>
      </c>
      <c r="D1559" s="1839" t="s">
        <v>3641</v>
      </c>
      <c r="E1559" s="1840">
        <v>45419</v>
      </c>
      <c r="F1559" s="1840"/>
      <c r="G1559" s="1839" t="s">
        <v>500</v>
      </c>
      <c r="H1559" s="1839" t="s">
        <v>1093</v>
      </c>
      <c r="I1559" s="1831" t="s">
        <v>1066</v>
      </c>
      <c r="J1559" s="1831"/>
    </row>
    <row r="1560" spans="1:10" ht="15" hidden="1" x14ac:dyDescent="0.35">
      <c r="A1560" s="1831" t="s">
        <v>3642</v>
      </c>
      <c r="B1560" s="1839" t="s">
        <v>3643</v>
      </c>
      <c r="C1560" s="1839" t="s">
        <v>443</v>
      </c>
      <c r="D1560" s="1839" t="s">
        <v>3644</v>
      </c>
      <c r="E1560" s="1840">
        <v>45421</v>
      </c>
      <c r="F1560" s="1840"/>
      <c r="G1560" s="1839" t="s">
        <v>500</v>
      </c>
      <c r="H1560" s="1839" t="s">
        <v>1065</v>
      </c>
      <c r="I1560" s="1831" t="s">
        <v>1066</v>
      </c>
      <c r="J1560" s="1831"/>
    </row>
    <row r="1561" spans="1:10" ht="15" hidden="1" x14ac:dyDescent="0.35">
      <c r="A1561" s="8" t="s">
        <v>3645</v>
      </c>
      <c r="B1561" t="s">
        <v>3646</v>
      </c>
      <c r="C1561" t="s">
        <v>1511</v>
      </c>
      <c r="D1561" t="s">
        <v>3647</v>
      </c>
      <c r="E1561" s="9">
        <v>44907</v>
      </c>
      <c r="F1561" s="9">
        <v>45982</v>
      </c>
      <c r="G1561" t="s">
        <v>494</v>
      </c>
      <c r="H1561" t="s">
        <v>1060</v>
      </c>
      <c r="I1561" t="s">
        <v>1061</v>
      </c>
      <c r="J1561"/>
    </row>
    <row r="1562" spans="1:10" ht="15" hidden="1" x14ac:dyDescent="0.35">
      <c r="A1562" s="8" t="s">
        <v>3648</v>
      </c>
      <c r="B1562" t="s">
        <v>3649</v>
      </c>
      <c r="C1562" t="s">
        <v>420</v>
      </c>
      <c r="D1562" t="s">
        <v>3650</v>
      </c>
      <c r="E1562" s="9">
        <v>45421</v>
      </c>
      <c r="F1562" s="9">
        <v>45814</v>
      </c>
      <c r="G1562" t="s">
        <v>494</v>
      </c>
      <c r="H1562" t="s">
        <v>1093</v>
      </c>
      <c r="I1562" t="s">
        <v>1066</v>
      </c>
      <c r="J1562"/>
    </row>
    <row r="1563" spans="1:10" ht="15" hidden="1" x14ac:dyDescent="0.35">
      <c r="A1563" s="1831" t="s">
        <v>3651</v>
      </c>
      <c r="B1563" s="1839" t="s">
        <v>3652</v>
      </c>
      <c r="C1563" s="1839" t="s">
        <v>420</v>
      </c>
      <c r="D1563" s="1839" t="s">
        <v>3653</v>
      </c>
      <c r="E1563" s="1840">
        <v>45377</v>
      </c>
      <c r="F1563" s="1840"/>
      <c r="G1563" s="1839" t="s">
        <v>500</v>
      </c>
      <c r="H1563" s="1839" t="s">
        <v>1078</v>
      </c>
      <c r="I1563" s="1831" t="s">
        <v>1061</v>
      </c>
      <c r="J1563" s="1831"/>
    </row>
    <row r="1564" spans="1:10" ht="15" hidden="1" x14ac:dyDescent="0.35">
      <c r="A1564" s="1831" t="s">
        <v>3654</v>
      </c>
      <c r="B1564" s="1839" t="s">
        <v>3655</v>
      </c>
      <c r="C1564" s="1839" t="s">
        <v>1144</v>
      </c>
      <c r="D1564" s="1839" t="s">
        <v>3656</v>
      </c>
      <c r="E1564" s="1840">
        <v>45446</v>
      </c>
      <c r="F1564" s="1840"/>
      <c r="G1564" s="1839" t="s">
        <v>500</v>
      </c>
      <c r="H1564" s="1839" t="s">
        <v>1065</v>
      </c>
      <c r="I1564" s="1831" t="s">
        <v>1066</v>
      </c>
      <c r="J1564" s="1831"/>
    </row>
    <row r="1565" spans="1:10" ht="15" hidden="1" x14ac:dyDescent="0.35">
      <c r="A1565" s="1831" t="s">
        <v>3657</v>
      </c>
      <c r="B1565" s="1839" t="s">
        <v>3658</v>
      </c>
      <c r="C1565" s="1839" t="s">
        <v>1144</v>
      </c>
      <c r="D1565" s="1839" t="s">
        <v>3659</v>
      </c>
      <c r="E1565" s="1840">
        <v>45110</v>
      </c>
      <c r="F1565" s="1840"/>
      <c r="G1565" s="1839" t="s">
        <v>500</v>
      </c>
      <c r="H1565" s="1839" t="s">
        <v>1065</v>
      </c>
      <c r="I1565" s="1831" t="s">
        <v>1066</v>
      </c>
      <c r="J1565" s="1831"/>
    </row>
    <row r="1566" spans="1:10" ht="15" hidden="1" x14ac:dyDescent="0.35">
      <c r="A1566" s="1831" t="s">
        <v>3660</v>
      </c>
      <c r="B1566" s="1839" t="s">
        <v>3661</v>
      </c>
      <c r="C1566" s="1839" t="s">
        <v>620</v>
      </c>
      <c r="D1566" s="1839" t="s">
        <v>3662</v>
      </c>
      <c r="E1566" s="1840">
        <v>45121</v>
      </c>
      <c r="F1566" s="1840"/>
      <c r="G1566" s="1839" t="s">
        <v>525</v>
      </c>
      <c r="H1566" s="1839" t="s">
        <v>1065</v>
      </c>
      <c r="I1566" s="1831" t="s">
        <v>1066</v>
      </c>
      <c r="J1566" s="1831"/>
    </row>
    <row r="1567" spans="1:10" ht="15" hidden="1" x14ac:dyDescent="0.35">
      <c r="A1567" s="1831" t="s">
        <v>3663</v>
      </c>
      <c r="B1567" s="1839" t="s">
        <v>3664</v>
      </c>
      <c r="C1567" s="1839" t="s">
        <v>578</v>
      </c>
      <c r="D1567" s="1839" t="s">
        <v>3665</v>
      </c>
      <c r="E1567" s="1840">
        <v>44210</v>
      </c>
      <c r="F1567" s="1840"/>
      <c r="G1567" s="1839" t="s">
        <v>500</v>
      </c>
      <c r="H1567" s="1839" t="s">
        <v>1065</v>
      </c>
      <c r="I1567" s="1831" t="s">
        <v>1066</v>
      </c>
      <c r="J1567" s="1831"/>
    </row>
    <row r="1568" spans="1:10" ht="15" hidden="1" x14ac:dyDescent="0.35">
      <c r="A1568" s="8" t="s">
        <v>3666</v>
      </c>
      <c r="B1568" t="s">
        <v>3667</v>
      </c>
      <c r="C1568" t="s">
        <v>437</v>
      </c>
      <c r="D1568" t="s">
        <v>3668</v>
      </c>
      <c r="E1568" s="9">
        <v>45701</v>
      </c>
      <c r="F1568" s="9">
        <v>45874</v>
      </c>
      <c r="G1568" t="s">
        <v>494</v>
      </c>
      <c r="H1568" t="s">
        <v>1060</v>
      </c>
      <c r="I1568" t="s">
        <v>1061</v>
      </c>
      <c r="J1568"/>
    </row>
    <row r="1569" spans="1:10" ht="15" hidden="1" x14ac:dyDescent="0.35">
      <c r="A1569" s="1831" t="s">
        <v>3669</v>
      </c>
      <c r="B1569" s="1839" t="s">
        <v>3670</v>
      </c>
      <c r="C1569" s="1839" t="s">
        <v>578</v>
      </c>
      <c r="D1569" s="1839" t="s">
        <v>3671</v>
      </c>
      <c r="E1569" s="1840">
        <v>44963</v>
      </c>
      <c r="F1569" s="1840"/>
      <c r="G1569" s="1839" t="s">
        <v>500</v>
      </c>
      <c r="H1569" s="1839" t="s">
        <v>1060</v>
      </c>
      <c r="I1569" s="1831" t="s">
        <v>1061</v>
      </c>
      <c r="J1569" s="1831"/>
    </row>
    <row r="1570" spans="1:10" ht="15" hidden="1" x14ac:dyDescent="0.35">
      <c r="A1570" s="1831" t="s">
        <v>3672</v>
      </c>
      <c r="B1570" s="1839" t="s">
        <v>3673</v>
      </c>
      <c r="C1570" s="1839" t="s">
        <v>433</v>
      </c>
      <c r="D1570" s="1839" t="s">
        <v>3674</v>
      </c>
      <c r="E1570" s="1840">
        <v>45993</v>
      </c>
      <c r="F1570" s="1840"/>
      <c r="G1570" s="1839" t="s">
        <v>500</v>
      </c>
      <c r="H1570" s="1839" t="s">
        <v>1093</v>
      </c>
      <c r="I1570" s="1831" t="s">
        <v>1066</v>
      </c>
      <c r="J1570" s="1831"/>
    </row>
    <row r="1571" spans="1:10" ht="15" hidden="1" x14ac:dyDescent="0.35">
      <c r="A1571" s="1831" t="s">
        <v>3675</v>
      </c>
      <c r="B1571" s="1839" t="s">
        <v>3676</v>
      </c>
      <c r="C1571" s="1839" t="s">
        <v>578</v>
      </c>
      <c r="D1571" s="1839" t="s">
        <v>3677</v>
      </c>
      <c r="E1571" s="1840">
        <v>45691</v>
      </c>
      <c r="F1571" s="1840"/>
      <c r="G1571" s="1839" t="s">
        <v>500</v>
      </c>
      <c r="H1571" s="1839" t="s">
        <v>1065</v>
      </c>
      <c r="I1571" s="1831" t="s">
        <v>1066</v>
      </c>
      <c r="J1571" s="1831"/>
    </row>
    <row r="1572" spans="1:10" ht="15" hidden="1" x14ac:dyDescent="0.35">
      <c r="A1572" s="1831" t="s">
        <v>3678</v>
      </c>
      <c r="B1572" s="1839" t="s">
        <v>3679</v>
      </c>
      <c r="C1572" s="1839" t="s">
        <v>433</v>
      </c>
      <c r="D1572" s="1839" t="s">
        <v>3680</v>
      </c>
      <c r="E1572" s="1840">
        <v>46087</v>
      </c>
      <c r="F1572" s="1840"/>
      <c r="G1572" s="1839" t="s">
        <v>500</v>
      </c>
      <c r="H1572" s="1839" t="s">
        <v>1078</v>
      </c>
      <c r="I1572" s="1831" t="s">
        <v>1061</v>
      </c>
      <c r="J1572" s="1831"/>
    </row>
    <row r="1573" spans="1:10" ht="15" hidden="1" x14ac:dyDescent="0.35">
      <c r="A1573" s="1831" t="s">
        <v>3681</v>
      </c>
      <c r="B1573" s="1839" t="s">
        <v>3682</v>
      </c>
      <c r="C1573" s="1839" t="s">
        <v>433</v>
      </c>
      <c r="D1573" s="1839" t="s">
        <v>3683</v>
      </c>
      <c r="E1573" s="1840">
        <v>46100</v>
      </c>
      <c r="F1573" s="1840"/>
      <c r="G1573" s="1839" t="s">
        <v>500</v>
      </c>
      <c r="H1573" s="1839" t="s">
        <v>1093</v>
      </c>
      <c r="I1573" s="1831" t="s">
        <v>1066</v>
      </c>
      <c r="J1573" s="1831"/>
    </row>
    <row r="1574" spans="1:10" ht="15" hidden="1" x14ac:dyDescent="0.35">
      <c r="A1574" s="8" t="s">
        <v>3684</v>
      </c>
      <c r="B1574" t="s">
        <v>3685</v>
      </c>
      <c r="C1574" t="s">
        <v>420</v>
      </c>
      <c r="D1574" t="s">
        <v>3686</v>
      </c>
      <c r="E1574" s="9">
        <v>45446</v>
      </c>
      <c r="F1574" s="9">
        <v>45870</v>
      </c>
      <c r="G1574" t="s">
        <v>494</v>
      </c>
      <c r="H1574" t="s">
        <v>1093</v>
      </c>
      <c r="I1574" t="s">
        <v>1066</v>
      </c>
      <c r="J1574"/>
    </row>
    <row r="1575" spans="1:10" ht="15" hidden="1" x14ac:dyDescent="0.35">
      <c r="A1575" s="1831" t="s">
        <v>3687</v>
      </c>
      <c r="B1575" s="1839" t="s">
        <v>3688</v>
      </c>
      <c r="C1575" s="1839" t="s">
        <v>591</v>
      </c>
      <c r="D1575" s="1839" t="s">
        <v>3689</v>
      </c>
      <c r="E1575" s="1840">
        <v>45566</v>
      </c>
      <c r="F1575" s="1840"/>
      <c r="G1575" s="1839" t="s">
        <v>500</v>
      </c>
      <c r="H1575" s="1839" t="s">
        <v>1093</v>
      </c>
      <c r="I1575" s="1831" t="s">
        <v>1066</v>
      </c>
      <c r="J1575" s="1831"/>
    </row>
    <row r="1576" spans="1:10" ht="15" hidden="1" x14ac:dyDescent="0.35">
      <c r="A1576" s="8" t="s">
        <v>3690</v>
      </c>
      <c r="B1576" t="s">
        <v>3691</v>
      </c>
      <c r="C1576" t="s">
        <v>411</v>
      </c>
      <c r="D1576" t="s">
        <v>3692</v>
      </c>
      <c r="E1576" s="9">
        <v>45782</v>
      </c>
      <c r="F1576" s="9">
        <v>45790</v>
      </c>
      <c r="G1576" t="s">
        <v>494</v>
      </c>
      <c r="H1576" t="s">
        <v>1065</v>
      </c>
      <c r="I1576" t="s">
        <v>1066</v>
      </c>
      <c r="J1576"/>
    </row>
    <row r="1577" spans="1:10" ht="15" hidden="1" x14ac:dyDescent="0.35">
      <c r="A1577" s="1831" t="s">
        <v>3693</v>
      </c>
      <c r="B1577" s="1839" t="s">
        <v>3694</v>
      </c>
      <c r="C1577" s="1839" t="s">
        <v>439</v>
      </c>
      <c r="D1577" s="1839" t="s">
        <v>3695</v>
      </c>
      <c r="E1577" s="1840">
        <v>46150</v>
      </c>
      <c r="F1577" s="1840"/>
      <c r="G1577" s="1839" t="s">
        <v>500</v>
      </c>
      <c r="H1577" s="1839" t="s">
        <v>1065</v>
      </c>
      <c r="I1577" s="1831" t="s">
        <v>1066</v>
      </c>
      <c r="J1577" s="1831"/>
    </row>
    <row r="1578" spans="1:10" ht="15" hidden="1" x14ac:dyDescent="0.35">
      <c r="A1578" s="1831" t="s">
        <v>3696</v>
      </c>
      <c r="B1578" s="1839" t="s">
        <v>3697</v>
      </c>
      <c r="C1578" s="1839" t="s">
        <v>578</v>
      </c>
      <c r="D1578" s="1839" t="s">
        <v>3698</v>
      </c>
      <c r="E1578" s="1840">
        <v>45695</v>
      </c>
      <c r="F1578" s="1840"/>
      <c r="G1578" s="1839" t="s">
        <v>500</v>
      </c>
      <c r="H1578" s="1839" t="s">
        <v>1065</v>
      </c>
      <c r="I1578" s="1831" t="s">
        <v>1066</v>
      </c>
      <c r="J1578" s="1831"/>
    </row>
    <row r="1579" spans="1:10" ht="15" hidden="1" x14ac:dyDescent="0.35">
      <c r="A1579" s="8" t="s">
        <v>3699</v>
      </c>
      <c r="B1579" t="s">
        <v>3700</v>
      </c>
      <c r="C1579" t="s">
        <v>1155</v>
      </c>
      <c r="D1579" t="s">
        <v>3701</v>
      </c>
      <c r="E1579" s="9">
        <v>45757</v>
      </c>
      <c r="F1579" s="9">
        <v>46101</v>
      </c>
      <c r="G1579" t="s">
        <v>494</v>
      </c>
      <c r="H1579" t="s">
        <v>1065</v>
      </c>
      <c r="I1579" t="s">
        <v>1066</v>
      </c>
      <c r="J1579"/>
    </row>
    <row r="1580" spans="1:10" ht="15" hidden="1" x14ac:dyDescent="0.35">
      <c r="A1580" s="1831" t="s">
        <v>3702</v>
      </c>
      <c r="B1580" s="1839" t="s">
        <v>3703</v>
      </c>
      <c r="C1580" s="1839" t="s">
        <v>1088</v>
      </c>
      <c r="D1580" s="1839" t="s">
        <v>3704</v>
      </c>
      <c r="E1580" s="1840">
        <v>45701</v>
      </c>
      <c r="F1580" s="1840"/>
      <c r="G1580" s="1839" t="s">
        <v>500</v>
      </c>
      <c r="H1580" s="1839" t="s">
        <v>1060</v>
      </c>
      <c r="I1580" s="1831" t="s">
        <v>1061</v>
      </c>
      <c r="J1580" s="1831"/>
    </row>
    <row r="1581" spans="1:10" ht="15" hidden="1" x14ac:dyDescent="0.35">
      <c r="A1581" s="1831" t="s">
        <v>3705</v>
      </c>
      <c r="B1581" s="1839" t="s">
        <v>3706</v>
      </c>
      <c r="C1581" s="1839" t="s">
        <v>1144</v>
      </c>
      <c r="D1581" s="1839" t="s">
        <v>3707</v>
      </c>
      <c r="E1581" s="1840">
        <v>45701</v>
      </c>
      <c r="F1581" s="1840"/>
      <c r="G1581" s="1839" t="s">
        <v>500</v>
      </c>
      <c r="H1581" s="1839" t="s">
        <v>1060</v>
      </c>
      <c r="I1581" s="1831" t="s">
        <v>1061</v>
      </c>
      <c r="J1581" s="1831"/>
    </row>
    <row r="1582" spans="1:10" ht="15" hidden="1" x14ac:dyDescent="0.35">
      <c r="A1582" s="1831" t="s">
        <v>3708</v>
      </c>
      <c r="B1582" s="1839" t="s">
        <v>3709</v>
      </c>
      <c r="C1582" s="1839" t="s">
        <v>1144</v>
      </c>
      <c r="D1582" s="1839" t="s">
        <v>3710</v>
      </c>
      <c r="E1582" s="1840">
        <v>45722</v>
      </c>
      <c r="F1582" s="1840"/>
      <c r="G1582" s="1839" t="s">
        <v>500</v>
      </c>
      <c r="H1582" s="1839" t="s">
        <v>1060</v>
      </c>
      <c r="I1582" s="1831" t="s">
        <v>1061</v>
      </c>
      <c r="J1582" s="1831"/>
    </row>
    <row r="1583" spans="1:10" ht="15" hidden="1" x14ac:dyDescent="0.35">
      <c r="A1583" s="8" t="s">
        <v>3711</v>
      </c>
      <c r="B1583" t="s">
        <v>3712</v>
      </c>
      <c r="C1583" t="s">
        <v>606</v>
      </c>
      <c r="D1583" t="s">
        <v>3713</v>
      </c>
      <c r="E1583" s="9">
        <v>45701</v>
      </c>
      <c r="F1583" s="9">
        <v>45846</v>
      </c>
      <c r="G1583" t="s">
        <v>494</v>
      </c>
      <c r="H1583" t="s">
        <v>1060</v>
      </c>
      <c r="I1583" t="s">
        <v>1061</v>
      </c>
      <c r="J1583"/>
    </row>
    <row r="1584" spans="1:10" ht="15" hidden="1" x14ac:dyDescent="0.35">
      <c r="A1584" s="8" t="s">
        <v>3714</v>
      </c>
      <c r="B1584" t="s">
        <v>3715</v>
      </c>
      <c r="C1584" t="s">
        <v>410</v>
      </c>
      <c r="D1584" t="s">
        <v>3716</v>
      </c>
      <c r="E1584" s="9">
        <v>45707</v>
      </c>
      <c r="F1584" s="9">
        <v>45729</v>
      </c>
      <c r="G1584" t="s">
        <v>494</v>
      </c>
      <c r="H1584" t="s">
        <v>1065</v>
      </c>
      <c r="I1584" t="s">
        <v>1066</v>
      </c>
      <c r="J1584"/>
    </row>
    <row r="1585" spans="1:10" ht="15" hidden="1" x14ac:dyDescent="0.35">
      <c r="A1585" s="1831" t="s">
        <v>3717</v>
      </c>
      <c r="B1585" s="1839" t="s">
        <v>3718</v>
      </c>
      <c r="C1585" s="1839" t="s">
        <v>420</v>
      </c>
      <c r="D1585" s="1839" t="s">
        <v>3719</v>
      </c>
      <c r="E1585" s="1840">
        <v>46162</v>
      </c>
      <c r="F1585" s="1840"/>
      <c r="G1585" s="1839" t="s">
        <v>500</v>
      </c>
      <c r="H1585" s="1839" t="s">
        <v>1078</v>
      </c>
      <c r="I1585" s="1831" t="s">
        <v>1061</v>
      </c>
      <c r="J1585" s="1831"/>
    </row>
    <row r="1586" spans="1:10" ht="15" hidden="1" x14ac:dyDescent="0.35">
      <c r="A1586" s="8" t="s">
        <v>3720</v>
      </c>
      <c r="B1586" t="s">
        <v>3721</v>
      </c>
      <c r="C1586" t="s">
        <v>420</v>
      </c>
      <c r="D1586" t="s">
        <v>3722</v>
      </c>
      <c r="E1586" s="9">
        <v>45551</v>
      </c>
      <c r="F1586" s="9">
        <v>45828</v>
      </c>
      <c r="G1586" t="s">
        <v>494</v>
      </c>
      <c r="H1586" t="s">
        <v>1078</v>
      </c>
      <c r="I1586" t="s">
        <v>1061</v>
      </c>
      <c r="J1586"/>
    </row>
    <row r="1587" spans="1:10" ht="15" hidden="1" x14ac:dyDescent="0.35">
      <c r="A1587" s="1831" t="s">
        <v>3723</v>
      </c>
      <c r="B1587" s="1839" t="s">
        <v>3724</v>
      </c>
      <c r="C1587" s="1839" t="s">
        <v>419</v>
      </c>
      <c r="D1587" s="1839" t="s">
        <v>3725</v>
      </c>
      <c r="E1587" s="1840">
        <v>45793</v>
      </c>
      <c r="F1587" s="1840"/>
      <c r="G1587" s="1839" t="s">
        <v>500</v>
      </c>
      <c r="H1587" s="1839" t="s">
        <v>1065</v>
      </c>
      <c r="I1587" s="1831" t="s">
        <v>1066</v>
      </c>
      <c r="J1587" s="1831"/>
    </row>
    <row r="1588" spans="1:10" ht="15" hidden="1" x14ac:dyDescent="0.35">
      <c r="A1588" s="8" t="s">
        <v>3726</v>
      </c>
      <c r="B1588" t="s">
        <v>3727</v>
      </c>
      <c r="C1588" t="s">
        <v>420</v>
      </c>
      <c r="D1588" t="s">
        <v>3728</v>
      </c>
      <c r="E1588" s="9">
        <v>45713</v>
      </c>
      <c r="F1588" s="9">
        <v>45951</v>
      </c>
      <c r="G1588" t="s">
        <v>494</v>
      </c>
      <c r="H1588" t="s">
        <v>1078</v>
      </c>
      <c r="I1588" t="s">
        <v>1061</v>
      </c>
      <c r="J1588"/>
    </row>
    <row r="1589" spans="1:10" ht="15" hidden="1" x14ac:dyDescent="0.35">
      <c r="A1589" s="1831" t="s">
        <v>3729</v>
      </c>
      <c r="B1589" s="1839" t="s">
        <v>3730</v>
      </c>
      <c r="C1589" s="1839" t="s">
        <v>410</v>
      </c>
      <c r="D1589" s="1839" t="s">
        <v>3731</v>
      </c>
      <c r="E1589" s="1840">
        <v>45707</v>
      </c>
      <c r="F1589" s="1840"/>
      <c r="G1589" s="1839" t="s">
        <v>525</v>
      </c>
      <c r="H1589" s="1839" t="s">
        <v>1065</v>
      </c>
      <c r="I1589" s="1831" t="s">
        <v>1066</v>
      </c>
      <c r="J1589" s="1831"/>
    </row>
    <row r="1590" spans="1:10" ht="15" hidden="1" x14ac:dyDescent="0.35">
      <c r="A1590" s="1831" t="s">
        <v>3732</v>
      </c>
      <c r="B1590" s="1839" t="s">
        <v>3733</v>
      </c>
      <c r="C1590" s="1839" t="s">
        <v>2751</v>
      </c>
      <c r="D1590" s="1839" t="s">
        <v>3734</v>
      </c>
      <c r="E1590" s="1840">
        <v>45426</v>
      </c>
      <c r="F1590" s="1840"/>
      <c r="G1590" s="1839" t="s">
        <v>500</v>
      </c>
      <c r="H1590" s="1839" t="s">
        <v>1065</v>
      </c>
      <c r="I1590" s="1831" t="s">
        <v>1066</v>
      </c>
      <c r="J1590" s="1831"/>
    </row>
    <row r="1591" spans="1:10" ht="15" hidden="1" x14ac:dyDescent="0.35">
      <c r="A1591" s="8" t="s">
        <v>3735</v>
      </c>
      <c r="B1591" t="s">
        <v>3736</v>
      </c>
      <c r="C1591" t="s">
        <v>445</v>
      </c>
      <c r="D1591" t="s">
        <v>3737</v>
      </c>
      <c r="E1591" s="9">
        <v>45750</v>
      </c>
      <c r="F1591" s="9">
        <v>46129</v>
      </c>
      <c r="G1591" t="s">
        <v>494</v>
      </c>
      <c r="H1591" t="s">
        <v>1065</v>
      </c>
      <c r="I1591" t="s">
        <v>1066</v>
      </c>
      <c r="J1591"/>
    </row>
    <row r="1592" spans="1:10" ht="15" hidden="1" x14ac:dyDescent="0.35">
      <c r="A1592" s="8" t="s">
        <v>3738</v>
      </c>
      <c r="B1592" t="s">
        <v>3739</v>
      </c>
      <c r="C1592" t="s">
        <v>606</v>
      </c>
      <c r="D1592" t="s">
        <v>3740</v>
      </c>
      <c r="E1592" s="9">
        <v>45722</v>
      </c>
      <c r="G1592" t="s">
        <v>634</v>
      </c>
      <c r="H1592" t="s">
        <v>1060</v>
      </c>
      <c r="I1592" t="s">
        <v>1061</v>
      </c>
      <c r="J1592"/>
    </row>
    <row r="1593" spans="1:10" ht="15" hidden="1" x14ac:dyDescent="0.35">
      <c r="A1593" s="1831" t="s">
        <v>3741</v>
      </c>
      <c r="B1593" s="1839" t="s">
        <v>3742</v>
      </c>
      <c r="C1593" s="1839" t="s">
        <v>1088</v>
      </c>
      <c r="D1593" s="1839" t="s">
        <v>3743</v>
      </c>
      <c r="E1593" s="1840">
        <v>45456</v>
      </c>
      <c r="F1593" s="1840"/>
      <c r="G1593" s="1839" t="s">
        <v>500</v>
      </c>
      <c r="H1593" s="1839" t="s">
        <v>1065</v>
      </c>
      <c r="I1593" s="1831" t="s">
        <v>1066</v>
      </c>
      <c r="J1593" s="1831"/>
    </row>
    <row r="1594" spans="1:10" ht="15" hidden="1" x14ac:dyDescent="0.35">
      <c r="A1594" s="1831" t="s">
        <v>3744</v>
      </c>
      <c r="B1594" s="1839" t="s">
        <v>3745</v>
      </c>
      <c r="C1594" s="1839" t="s">
        <v>416</v>
      </c>
      <c r="D1594" s="1839" t="s">
        <v>3746</v>
      </c>
      <c r="E1594" s="1840">
        <v>45870</v>
      </c>
      <c r="F1594" s="1840"/>
      <c r="G1594" s="1839" t="s">
        <v>500</v>
      </c>
      <c r="H1594" s="1839" t="s">
        <v>1078</v>
      </c>
      <c r="I1594" s="1831" t="s">
        <v>1061</v>
      </c>
      <c r="J1594" s="1831"/>
    </row>
    <row r="1595" spans="1:10" ht="15" hidden="1" x14ac:dyDescent="0.35">
      <c r="A1595" s="1831" t="s">
        <v>3747</v>
      </c>
      <c r="B1595" s="1839" t="s">
        <v>3748</v>
      </c>
      <c r="C1595" s="1839" t="s">
        <v>457</v>
      </c>
      <c r="D1595" s="1839" t="s">
        <v>3749</v>
      </c>
      <c r="E1595" s="1840">
        <v>46150</v>
      </c>
      <c r="F1595" s="1840"/>
      <c r="G1595" s="1839" t="s">
        <v>500</v>
      </c>
      <c r="H1595" s="1839" t="s">
        <v>1060</v>
      </c>
      <c r="I1595" s="1831" t="s">
        <v>1061</v>
      </c>
      <c r="J1595" s="1831"/>
    </row>
    <row r="1596" spans="1:10" ht="15" hidden="1" x14ac:dyDescent="0.35">
      <c r="A1596" s="8" t="s">
        <v>3750</v>
      </c>
      <c r="B1596" t="s">
        <v>3751</v>
      </c>
      <c r="C1596" t="s">
        <v>420</v>
      </c>
      <c r="D1596" t="s">
        <v>3752</v>
      </c>
      <c r="E1596" s="9">
        <v>45993</v>
      </c>
      <c r="F1596" s="9">
        <v>46097</v>
      </c>
      <c r="G1596" t="s">
        <v>494</v>
      </c>
      <c r="H1596" t="s">
        <v>1078</v>
      </c>
      <c r="I1596" t="s">
        <v>1061</v>
      </c>
      <c r="J1596"/>
    </row>
    <row r="1597" spans="1:10" ht="15" hidden="1" x14ac:dyDescent="0.35">
      <c r="A1597" s="1831" t="s">
        <v>3753</v>
      </c>
      <c r="B1597" s="1839" t="s">
        <v>3754</v>
      </c>
      <c r="C1597" s="1839" t="s">
        <v>420</v>
      </c>
      <c r="D1597" s="1839" t="s">
        <v>3755</v>
      </c>
      <c r="E1597" s="1840">
        <v>45826</v>
      </c>
      <c r="F1597" s="1840"/>
      <c r="G1597" s="1839" t="s">
        <v>500</v>
      </c>
      <c r="H1597" s="1839" t="s">
        <v>1093</v>
      </c>
      <c r="I1597" s="1831" t="s">
        <v>1066</v>
      </c>
      <c r="J1597" s="1831"/>
    </row>
    <row r="1598" spans="1:10" ht="15" hidden="1" x14ac:dyDescent="0.35">
      <c r="A1598" s="1831" t="s">
        <v>3756</v>
      </c>
      <c r="B1598" s="1839" t="s">
        <v>3757</v>
      </c>
      <c r="C1598" s="1839" t="s">
        <v>420</v>
      </c>
      <c r="D1598" s="1839" t="s">
        <v>3758</v>
      </c>
      <c r="E1598" s="1840">
        <v>45456</v>
      </c>
      <c r="F1598" s="1840"/>
      <c r="G1598" s="1839" t="s">
        <v>500</v>
      </c>
      <c r="H1598" s="1839" t="s">
        <v>1093</v>
      </c>
      <c r="I1598" s="1831" t="s">
        <v>1066</v>
      </c>
      <c r="J1598" s="1831"/>
    </row>
    <row r="1599" spans="1:10" ht="15" hidden="1" x14ac:dyDescent="0.35">
      <c r="A1599" s="8" t="s">
        <v>3759</v>
      </c>
      <c r="B1599" t="s">
        <v>3760</v>
      </c>
      <c r="C1599" t="s">
        <v>437</v>
      </c>
      <c r="D1599" t="s">
        <v>3761</v>
      </c>
      <c r="E1599" s="9">
        <v>43851</v>
      </c>
      <c r="G1599" t="s">
        <v>634</v>
      </c>
      <c r="H1599" t="s">
        <v>1065</v>
      </c>
      <c r="I1599" t="s">
        <v>1066</v>
      </c>
      <c r="J1599"/>
    </row>
    <row r="1600" spans="1:10" ht="15" hidden="1" x14ac:dyDescent="0.35">
      <c r="A1600" s="8" t="s">
        <v>3762</v>
      </c>
      <c r="B1600" t="s">
        <v>3763</v>
      </c>
      <c r="C1600" t="s">
        <v>1144</v>
      </c>
      <c r="D1600" t="s">
        <v>3764</v>
      </c>
      <c r="E1600" s="9">
        <v>45603</v>
      </c>
      <c r="F1600" s="9">
        <v>45849</v>
      </c>
      <c r="G1600" t="s">
        <v>494</v>
      </c>
      <c r="H1600" t="s">
        <v>1060</v>
      </c>
      <c r="I1600" t="s">
        <v>1061</v>
      </c>
      <c r="J1600"/>
    </row>
    <row r="1601" spans="1:10" ht="15" hidden="1" x14ac:dyDescent="0.35">
      <c r="A1601" s="1831" t="s">
        <v>3765</v>
      </c>
      <c r="B1601" s="1839" t="s">
        <v>3766</v>
      </c>
      <c r="C1601" s="1839" t="s">
        <v>578</v>
      </c>
      <c r="D1601" s="1839" t="s">
        <v>3767</v>
      </c>
      <c r="E1601" s="1840">
        <v>44726</v>
      </c>
      <c r="F1601" s="1840"/>
      <c r="G1601" s="1839" t="s">
        <v>500</v>
      </c>
      <c r="H1601" s="1839" t="s">
        <v>1060</v>
      </c>
      <c r="I1601" s="1831" t="s">
        <v>1061</v>
      </c>
      <c r="J1601" s="1831"/>
    </row>
    <row r="1602" spans="1:10" ht="15" hidden="1" x14ac:dyDescent="0.35">
      <c r="A1602" s="1831" t="s">
        <v>3768</v>
      </c>
      <c r="B1602" s="1839" t="s">
        <v>3769</v>
      </c>
      <c r="C1602" s="1839" t="s">
        <v>420</v>
      </c>
      <c r="D1602" s="1839" t="s">
        <v>3770</v>
      </c>
      <c r="E1602" s="1840">
        <v>45847</v>
      </c>
      <c r="F1602" s="1840"/>
      <c r="G1602" s="1839" t="s">
        <v>500</v>
      </c>
      <c r="H1602" s="1839" t="s">
        <v>1093</v>
      </c>
      <c r="I1602" s="1831" t="s">
        <v>1066</v>
      </c>
      <c r="J1602" s="1831"/>
    </row>
    <row r="1603" spans="1:10" ht="15" hidden="1" x14ac:dyDescent="0.35">
      <c r="A1603" s="1831" t="s">
        <v>3771</v>
      </c>
      <c r="B1603" s="1839" t="s">
        <v>3772</v>
      </c>
      <c r="C1603" s="1839" t="s">
        <v>444</v>
      </c>
      <c r="D1603" s="1839" t="s">
        <v>3773</v>
      </c>
      <c r="E1603" s="1840">
        <v>45887</v>
      </c>
      <c r="F1603" s="1840"/>
      <c r="G1603" s="1839" t="s">
        <v>500</v>
      </c>
      <c r="H1603" s="1839" t="s">
        <v>1060</v>
      </c>
      <c r="I1603" s="1831" t="s">
        <v>1061</v>
      </c>
      <c r="J1603" s="1831"/>
    </row>
    <row r="1604" spans="1:10" ht="15" hidden="1" x14ac:dyDescent="0.35">
      <c r="A1604" s="8" t="s">
        <v>3774</v>
      </c>
      <c r="B1604" t="s">
        <v>3775</v>
      </c>
      <c r="C1604" t="s">
        <v>1088</v>
      </c>
      <c r="D1604" t="s">
        <v>3776</v>
      </c>
      <c r="E1604" s="9">
        <v>46099</v>
      </c>
      <c r="F1604" s="9">
        <v>46134</v>
      </c>
      <c r="G1604" t="s">
        <v>494</v>
      </c>
      <c r="H1604" t="s">
        <v>1060</v>
      </c>
      <c r="I1604" t="s">
        <v>1061</v>
      </c>
      <c r="J1604"/>
    </row>
    <row r="1605" spans="1:10" ht="15" hidden="1" x14ac:dyDescent="0.35">
      <c r="A1605" s="1831" t="s">
        <v>3777</v>
      </c>
      <c r="B1605" s="1839" t="s">
        <v>3778</v>
      </c>
      <c r="C1605" s="1839" t="s">
        <v>420</v>
      </c>
      <c r="D1605" s="1839" t="s">
        <v>3779</v>
      </c>
      <c r="E1605" s="1840">
        <v>45708</v>
      </c>
      <c r="F1605" s="1840"/>
      <c r="G1605" s="1839" t="s">
        <v>1118</v>
      </c>
      <c r="H1605" s="1839" t="s">
        <v>1078</v>
      </c>
      <c r="I1605" s="1831" t="s">
        <v>1061</v>
      </c>
      <c r="J1605" s="1831"/>
    </row>
    <row r="1606" spans="1:10" ht="15" hidden="1" x14ac:dyDescent="0.35">
      <c r="A1606" s="1831" t="s">
        <v>3780</v>
      </c>
      <c r="B1606" s="1839" t="s">
        <v>3781</v>
      </c>
      <c r="C1606" s="1839" t="s">
        <v>527</v>
      </c>
      <c r="D1606" s="1839" t="s">
        <v>3782</v>
      </c>
      <c r="E1606" s="1840">
        <v>45849</v>
      </c>
      <c r="F1606" s="1840"/>
      <c r="G1606" s="1839" t="s">
        <v>500</v>
      </c>
      <c r="H1606" s="1839" t="s">
        <v>1060</v>
      </c>
      <c r="I1606" s="1831" t="s">
        <v>1061</v>
      </c>
      <c r="J1606" s="1831"/>
    </row>
    <row r="1607" spans="1:10" ht="15" hidden="1" x14ac:dyDescent="0.35">
      <c r="A1607" s="1831" t="s">
        <v>3783</v>
      </c>
      <c r="B1607" s="1839" t="s">
        <v>3784</v>
      </c>
      <c r="C1607" s="1839" t="s">
        <v>1229</v>
      </c>
      <c r="D1607" s="1839" t="s">
        <v>3785</v>
      </c>
      <c r="E1607" s="1840">
        <v>45755</v>
      </c>
      <c r="F1607" s="1840"/>
      <c r="G1607" s="1839" t="s">
        <v>500</v>
      </c>
      <c r="H1607" s="1839" t="s">
        <v>1060</v>
      </c>
      <c r="I1607" s="1831" t="s">
        <v>1061</v>
      </c>
      <c r="J1607" s="1831"/>
    </row>
    <row r="1608" spans="1:10" ht="15" hidden="1" x14ac:dyDescent="0.35">
      <c r="A1608" s="1831" t="s">
        <v>3786</v>
      </c>
      <c r="B1608" s="1839" t="s">
        <v>3787</v>
      </c>
      <c r="C1608" s="1839" t="s">
        <v>411</v>
      </c>
      <c r="D1608" s="1839" t="s">
        <v>3788</v>
      </c>
      <c r="E1608" s="1840">
        <v>46146</v>
      </c>
      <c r="F1608" s="1840"/>
      <c r="G1608" s="1839" t="s">
        <v>500</v>
      </c>
      <c r="H1608" s="1839" t="s">
        <v>1065</v>
      </c>
      <c r="I1608" s="1831" t="s">
        <v>1066</v>
      </c>
      <c r="J1608" s="1831"/>
    </row>
    <row r="1609" spans="1:10" ht="15" hidden="1" x14ac:dyDescent="0.35">
      <c r="A1609" s="1831" t="s">
        <v>3789</v>
      </c>
      <c r="B1609" s="1839" t="s">
        <v>3790</v>
      </c>
      <c r="C1609" s="1839" t="s">
        <v>411</v>
      </c>
      <c r="D1609" s="1839" t="s">
        <v>3791</v>
      </c>
      <c r="E1609" s="1840">
        <v>46066</v>
      </c>
      <c r="F1609" s="1840"/>
      <c r="G1609" s="1839" t="s">
        <v>500</v>
      </c>
      <c r="H1609" s="1839" t="s">
        <v>1065</v>
      </c>
      <c r="I1609" s="1831" t="s">
        <v>1066</v>
      </c>
      <c r="J1609" s="1831"/>
    </row>
    <row r="1610" spans="1:10" ht="15" hidden="1" x14ac:dyDescent="0.35">
      <c r="A1610" s="8" t="s">
        <v>3792</v>
      </c>
      <c r="B1610" t="s">
        <v>3793</v>
      </c>
      <c r="C1610" t="s">
        <v>1144</v>
      </c>
      <c r="D1610" t="s">
        <v>3794</v>
      </c>
      <c r="E1610" s="9">
        <v>45383</v>
      </c>
      <c r="F1610" s="9">
        <v>45831</v>
      </c>
      <c r="G1610" t="s">
        <v>494</v>
      </c>
      <c r="H1610" t="s">
        <v>1065</v>
      </c>
      <c r="I1610" t="s">
        <v>1066</v>
      </c>
      <c r="J1610"/>
    </row>
    <row r="1611" spans="1:10" ht="15" hidden="1" x14ac:dyDescent="0.35">
      <c r="A1611" s="1831" t="s">
        <v>3795</v>
      </c>
      <c r="B1611" s="1839" t="s">
        <v>3796</v>
      </c>
      <c r="C1611" s="1839" t="s">
        <v>420</v>
      </c>
      <c r="D1611" s="1839" t="s">
        <v>3797</v>
      </c>
      <c r="E1611" s="1840">
        <v>46099</v>
      </c>
      <c r="F1611" s="1840"/>
      <c r="G1611" s="1839" t="s">
        <v>500</v>
      </c>
      <c r="H1611" s="1839" t="s">
        <v>1078</v>
      </c>
      <c r="I1611" s="1831" t="s">
        <v>1061</v>
      </c>
      <c r="J1611" s="1831"/>
    </row>
    <row r="1612" spans="1:10" ht="15" hidden="1" x14ac:dyDescent="0.35">
      <c r="A1612" s="8" t="s">
        <v>3798</v>
      </c>
      <c r="B1612" t="s">
        <v>3799</v>
      </c>
      <c r="C1612" t="s">
        <v>421</v>
      </c>
      <c r="D1612" t="s">
        <v>3800</v>
      </c>
      <c r="E1612" s="9">
        <v>45421</v>
      </c>
      <c r="F1612" s="9">
        <v>46066</v>
      </c>
      <c r="G1612" t="s">
        <v>494</v>
      </c>
      <c r="H1612" t="s">
        <v>1065</v>
      </c>
      <c r="I1612" t="s">
        <v>1066</v>
      </c>
      <c r="J1612"/>
    </row>
    <row r="1613" spans="1:10" ht="15" hidden="1" x14ac:dyDescent="0.35">
      <c r="A1613" s="1831" t="s">
        <v>3801</v>
      </c>
      <c r="B1613" s="1839" t="s">
        <v>3802</v>
      </c>
      <c r="C1613" s="1839" t="s">
        <v>3803</v>
      </c>
      <c r="D1613" s="1839" t="s">
        <v>3804</v>
      </c>
      <c r="E1613" s="1840">
        <v>44482</v>
      </c>
      <c r="F1613" s="1840"/>
      <c r="G1613" s="1839" t="s">
        <v>500</v>
      </c>
      <c r="H1613" s="1839" t="s">
        <v>1065</v>
      </c>
      <c r="I1613" s="1831" t="s">
        <v>1066</v>
      </c>
      <c r="J1613" s="1831"/>
    </row>
    <row r="1614" spans="1:10" ht="15" hidden="1" x14ac:dyDescent="0.35">
      <c r="A1614" s="8" t="s">
        <v>3805</v>
      </c>
      <c r="B1614" t="s">
        <v>3806</v>
      </c>
      <c r="C1614" t="s">
        <v>420</v>
      </c>
      <c r="D1614" t="s">
        <v>3807</v>
      </c>
      <c r="E1614" s="9">
        <v>45993</v>
      </c>
      <c r="F1614" s="9">
        <v>46121</v>
      </c>
      <c r="G1614" t="s">
        <v>494</v>
      </c>
      <c r="H1614" t="s">
        <v>1093</v>
      </c>
      <c r="I1614" t="s">
        <v>1066</v>
      </c>
      <c r="J1614"/>
    </row>
    <row r="1615" spans="1:10" ht="15" hidden="1" x14ac:dyDescent="0.35">
      <c r="A1615" s="1831" t="s">
        <v>3808</v>
      </c>
      <c r="B1615" s="1839" t="s">
        <v>3809</v>
      </c>
      <c r="C1615" s="1839" t="s">
        <v>3810</v>
      </c>
      <c r="D1615" s="1839" t="s">
        <v>3811</v>
      </c>
      <c r="E1615" s="1840">
        <v>45721</v>
      </c>
      <c r="F1615" s="1840"/>
      <c r="G1615" s="1839" t="s">
        <v>1118</v>
      </c>
      <c r="H1615" s="1839" t="s">
        <v>1060</v>
      </c>
      <c r="I1615" s="1831" t="s">
        <v>1061</v>
      </c>
      <c r="J1615" s="1831"/>
    </row>
    <row r="1616" spans="1:10" ht="15" hidden="1" x14ac:dyDescent="0.35">
      <c r="A1616" s="8" t="s">
        <v>3812</v>
      </c>
      <c r="B1616" t="s">
        <v>3813</v>
      </c>
      <c r="C1616" t="s">
        <v>443</v>
      </c>
      <c r="D1616" t="s">
        <v>3814</v>
      </c>
      <c r="E1616" s="9">
        <v>45421</v>
      </c>
      <c r="F1616" s="9">
        <v>46120</v>
      </c>
      <c r="G1616" t="s">
        <v>494</v>
      </c>
      <c r="H1616" t="s">
        <v>1065</v>
      </c>
      <c r="I1616" t="s">
        <v>1066</v>
      </c>
      <c r="J1616"/>
    </row>
    <row r="1617" spans="1:10" ht="15" hidden="1" x14ac:dyDescent="0.35">
      <c r="A1617" s="1831" t="s">
        <v>3815</v>
      </c>
      <c r="B1617" s="1839" t="s">
        <v>3816</v>
      </c>
      <c r="C1617" s="1839" t="s">
        <v>420</v>
      </c>
      <c r="D1617" s="1839" t="s">
        <v>3817</v>
      </c>
      <c r="E1617" s="1840">
        <v>45419</v>
      </c>
      <c r="F1617" s="1840"/>
      <c r="G1617" s="1839" t="s">
        <v>500</v>
      </c>
      <c r="H1617" s="1839" t="s">
        <v>1093</v>
      </c>
      <c r="I1617" s="1831" t="s">
        <v>1066</v>
      </c>
      <c r="J1617" s="1831"/>
    </row>
    <row r="1618" spans="1:10" ht="15" hidden="1" x14ac:dyDescent="0.35">
      <c r="A1618" s="8" t="s">
        <v>3818</v>
      </c>
      <c r="B1618" t="s">
        <v>3819</v>
      </c>
      <c r="C1618" t="s">
        <v>578</v>
      </c>
      <c r="D1618" t="s">
        <v>3820</v>
      </c>
      <c r="E1618" s="9">
        <v>45903</v>
      </c>
      <c r="F1618" s="9">
        <v>46090</v>
      </c>
      <c r="G1618" t="s">
        <v>494</v>
      </c>
      <c r="H1618" t="s">
        <v>1065</v>
      </c>
      <c r="I1618" t="s">
        <v>1066</v>
      </c>
      <c r="J1618"/>
    </row>
    <row r="1619" spans="1:10" ht="15" hidden="1" x14ac:dyDescent="0.35">
      <c r="A1619" s="1831" t="s">
        <v>3821</v>
      </c>
      <c r="B1619" s="1839" t="s">
        <v>3822</v>
      </c>
      <c r="C1619" s="1839" t="s">
        <v>420</v>
      </c>
      <c r="D1619" s="1839" t="s">
        <v>3823</v>
      </c>
      <c r="E1619" s="1840">
        <v>45376</v>
      </c>
      <c r="F1619" s="1840"/>
      <c r="G1619" s="1839" t="s">
        <v>500</v>
      </c>
      <c r="H1619" s="1839" t="s">
        <v>1078</v>
      </c>
      <c r="I1619" s="1831" t="s">
        <v>1061</v>
      </c>
      <c r="J1619" s="1831"/>
    </row>
    <row r="1620" spans="1:10" ht="15" hidden="1" x14ac:dyDescent="0.35">
      <c r="A1620" s="1831" t="s">
        <v>3824</v>
      </c>
      <c r="B1620" s="1839" t="s">
        <v>3825</v>
      </c>
      <c r="C1620" s="1839" t="s">
        <v>420</v>
      </c>
      <c r="D1620" s="1839" t="s">
        <v>3826</v>
      </c>
      <c r="E1620" s="1840">
        <v>45376</v>
      </c>
      <c r="F1620" s="1840"/>
      <c r="G1620" s="1839" t="s">
        <v>500</v>
      </c>
      <c r="H1620" s="1839" t="s">
        <v>1078</v>
      </c>
      <c r="I1620" s="1831" t="s">
        <v>1061</v>
      </c>
      <c r="J1620" s="1831"/>
    </row>
    <row r="1621" spans="1:10" ht="15" hidden="1" x14ac:dyDescent="0.35">
      <c r="A1621" s="8" t="s">
        <v>3827</v>
      </c>
      <c r="B1621" t="s">
        <v>3828</v>
      </c>
      <c r="C1621" t="s">
        <v>415</v>
      </c>
      <c r="D1621" t="s">
        <v>3829</v>
      </c>
      <c r="E1621" s="9">
        <v>45642</v>
      </c>
      <c r="F1621" s="9">
        <v>45911</v>
      </c>
      <c r="G1621" t="s">
        <v>494</v>
      </c>
      <c r="H1621" t="s">
        <v>1065</v>
      </c>
      <c r="I1621" t="s">
        <v>1066</v>
      </c>
      <c r="J1621"/>
    </row>
    <row r="1622" spans="1:10" ht="15" hidden="1" x14ac:dyDescent="0.35">
      <c r="A1622" s="1831" t="s">
        <v>3830</v>
      </c>
      <c r="B1622" s="1839" t="s">
        <v>3831</v>
      </c>
      <c r="C1622" s="1839" t="s">
        <v>458</v>
      </c>
      <c r="D1622" s="1839" t="s">
        <v>3832</v>
      </c>
      <c r="E1622" s="1840">
        <v>44539</v>
      </c>
      <c r="F1622" s="1840"/>
      <c r="G1622" s="1839" t="s">
        <v>500</v>
      </c>
      <c r="H1622" s="1839" t="s">
        <v>1060</v>
      </c>
      <c r="I1622" s="1831" t="s">
        <v>1061</v>
      </c>
      <c r="J1622" s="1831"/>
    </row>
    <row r="1623" spans="1:10" ht="15" hidden="1" x14ac:dyDescent="0.35">
      <c r="A1623" s="1831" t="s">
        <v>3833</v>
      </c>
      <c r="B1623" s="1839" t="s">
        <v>3834</v>
      </c>
      <c r="C1623" s="1839" t="s">
        <v>420</v>
      </c>
      <c r="D1623" s="1839" t="s">
        <v>3835</v>
      </c>
      <c r="E1623" s="1840">
        <v>45849</v>
      </c>
      <c r="F1623" s="1840"/>
      <c r="G1623" s="1839" t="s">
        <v>500</v>
      </c>
      <c r="H1623" s="1839" t="s">
        <v>1093</v>
      </c>
      <c r="I1623" s="1831" t="s">
        <v>1066</v>
      </c>
      <c r="J1623" s="1831"/>
    </row>
    <row r="1624" spans="1:10" ht="15" hidden="1" x14ac:dyDescent="0.35">
      <c r="A1624" s="8" t="s">
        <v>3836</v>
      </c>
      <c r="B1624" t="s">
        <v>3837</v>
      </c>
      <c r="C1624" t="s">
        <v>420</v>
      </c>
      <c r="D1624" t="s">
        <v>3838</v>
      </c>
      <c r="E1624" s="9">
        <v>45463</v>
      </c>
      <c r="F1624" s="9">
        <v>45825</v>
      </c>
      <c r="G1624" t="s">
        <v>494</v>
      </c>
      <c r="H1624" t="s">
        <v>1078</v>
      </c>
      <c r="I1624" t="s">
        <v>1061</v>
      </c>
      <c r="J1624"/>
    </row>
    <row r="1625" spans="1:10" ht="15" hidden="1" x14ac:dyDescent="0.35">
      <c r="A1625" s="1831" t="s">
        <v>3839</v>
      </c>
      <c r="B1625" s="1839" t="s">
        <v>3840</v>
      </c>
      <c r="C1625" s="1839" t="s">
        <v>445</v>
      </c>
      <c r="D1625" s="1839" t="s">
        <v>3841</v>
      </c>
      <c r="E1625" s="1840">
        <v>46066</v>
      </c>
      <c r="F1625" s="1840"/>
      <c r="G1625" s="1839" t="s">
        <v>500</v>
      </c>
      <c r="H1625" s="1839" t="s">
        <v>1065</v>
      </c>
      <c r="I1625" s="1831" t="s">
        <v>1066</v>
      </c>
      <c r="J1625" s="1831"/>
    </row>
    <row r="1626" spans="1:10" ht="15" hidden="1" x14ac:dyDescent="0.35">
      <c r="A1626" s="1831" t="s">
        <v>3842</v>
      </c>
      <c r="B1626" s="1839" t="s">
        <v>3843</v>
      </c>
      <c r="C1626" s="1839" t="s">
        <v>420</v>
      </c>
      <c r="D1626" s="1839" t="s">
        <v>3844</v>
      </c>
      <c r="E1626" s="1840">
        <v>45828</v>
      </c>
      <c r="F1626" s="1840"/>
      <c r="G1626" s="1839" t="s">
        <v>500</v>
      </c>
      <c r="H1626" s="1839" t="s">
        <v>1078</v>
      </c>
      <c r="I1626" s="1831" t="s">
        <v>1061</v>
      </c>
      <c r="J1626" s="1831"/>
    </row>
    <row r="1627" spans="1:10" ht="15" hidden="1" x14ac:dyDescent="0.35">
      <c r="A1627" s="1831" t="s">
        <v>3845</v>
      </c>
      <c r="B1627" s="1839" t="s">
        <v>3846</v>
      </c>
      <c r="C1627" s="1839" t="s">
        <v>438</v>
      </c>
      <c r="D1627" s="1839" t="s">
        <v>3847</v>
      </c>
      <c r="E1627" s="1840">
        <v>45721</v>
      </c>
      <c r="F1627" s="1840"/>
      <c r="G1627" s="1839" t="s">
        <v>500</v>
      </c>
      <c r="H1627" s="1839" t="s">
        <v>1060</v>
      </c>
      <c r="I1627" s="1831" t="s">
        <v>1061</v>
      </c>
      <c r="J1627" s="1831"/>
    </row>
    <row r="1628" spans="1:10" ht="15" hidden="1" x14ac:dyDescent="0.35">
      <c r="A1628" s="1831" t="s">
        <v>3848</v>
      </c>
      <c r="B1628" s="1839" t="s">
        <v>3849</v>
      </c>
      <c r="C1628" s="1839" t="s">
        <v>1148</v>
      </c>
      <c r="D1628" s="1839" t="s">
        <v>3850</v>
      </c>
      <c r="E1628" s="1840">
        <v>46127</v>
      </c>
      <c r="F1628" s="1840"/>
      <c r="G1628" s="1839" t="s">
        <v>500</v>
      </c>
      <c r="H1628" s="1839" t="s">
        <v>1065</v>
      </c>
      <c r="I1628" s="1831" t="s">
        <v>1066</v>
      </c>
      <c r="J1628" s="1831"/>
    </row>
    <row r="1629" spans="1:10" ht="15" hidden="1" x14ac:dyDescent="0.35">
      <c r="A1629" s="1831" t="s">
        <v>3851</v>
      </c>
      <c r="B1629" s="1839" t="s">
        <v>3852</v>
      </c>
      <c r="C1629" s="1839" t="s">
        <v>420</v>
      </c>
      <c r="D1629" s="1839" t="s">
        <v>3853</v>
      </c>
      <c r="E1629" s="1840">
        <v>45713</v>
      </c>
      <c r="F1629" s="1840"/>
      <c r="G1629" s="1839" t="s">
        <v>500</v>
      </c>
      <c r="H1629" s="1839" t="s">
        <v>1093</v>
      </c>
      <c r="I1629" s="1831" t="s">
        <v>1066</v>
      </c>
      <c r="J1629" s="1831"/>
    </row>
    <row r="1630" spans="1:10" ht="15" hidden="1" x14ac:dyDescent="0.35">
      <c r="A1630" s="8" t="s">
        <v>3854</v>
      </c>
      <c r="B1630" t="s">
        <v>3855</v>
      </c>
      <c r="C1630" t="s">
        <v>1088</v>
      </c>
      <c r="D1630" t="s">
        <v>3856</v>
      </c>
      <c r="E1630" s="9">
        <v>45463</v>
      </c>
      <c r="F1630" s="9">
        <v>46120</v>
      </c>
      <c r="G1630" t="s">
        <v>494</v>
      </c>
      <c r="H1630" t="s">
        <v>1065</v>
      </c>
      <c r="I1630" t="s">
        <v>1066</v>
      </c>
      <c r="J1630"/>
    </row>
    <row r="1631" spans="1:10" ht="15" hidden="1" x14ac:dyDescent="0.35">
      <c r="A1631" s="1831" t="s">
        <v>3857</v>
      </c>
      <c r="B1631" s="1839" t="s">
        <v>3858</v>
      </c>
      <c r="C1631" s="1839" t="s">
        <v>1088</v>
      </c>
      <c r="D1631" s="1839" t="s">
        <v>3859</v>
      </c>
      <c r="E1631" s="1840">
        <v>45883</v>
      </c>
      <c r="F1631" s="1840"/>
      <c r="G1631" s="1839" t="s">
        <v>500</v>
      </c>
      <c r="H1631" s="1839" t="s">
        <v>1060</v>
      </c>
      <c r="I1631" s="1831" t="s">
        <v>1061</v>
      </c>
      <c r="J1631" s="1831"/>
    </row>
    <row r="1632" spans="1:10" ht="15" hidden="1" x14ac:dyDescent="0.35">
      <c r="A1632" s="1831" t="s">
        <v>3860</v>
      </c>
      <c r="B1632" s="1839" t="s">
        <v>3861</v>
      </c>
      <c r="C1632" s="1839" t="s">
        <v>420</v>
      </c>
      <c r="D1632" s="1839" t="s">
        <v>3862</v>
      </c>
      <c r="E1632" s="1840">
        <v>45419</v>
      </c>
      <c r="F1632" s="1840"/>
      <c r="G1632" s="1839" t="s">
        <v>500</v>
      </c>
      <c r="H1632" s="1839" t="s">
        <v>1093</v>
      </c>
      <c r="I1632" s="1831" t="s">
        <v>1066</v>
      </c>
      <c r="J1632" s="1831"/>
    </row>
    <row r="1633" spans="1:10" ht="15" hidden="1" x14ac:dyDescent="0.35">
      <c r="A1633" s="8" t="s">
        <v>3863</v>
      </c>
      <c r="B1633" t="s">
        <v>3864</v>
      </c>
      <c r="C1633" t="s">
        <v>420</v>
      </c>
      <c r="D1633" t="s">
        <v>3865</v>
      </c>
      <c r="E1633" s="9">
        <v>45377</v>
      </c>
      <c r="F1633" s="9">
        <v>45856</v>
      </c>
      <c r="G1633" t="s">
        <v>494</v>
      </c>
      <c r="H1633" t="s">
        <v>1078</v>
      </c>
      <c r="I1633" t="s">
        <v>1061</v>
      </c>
      <c r="J1633"/>
    </row>
    <row r="1634" spans="1:10" ht="15" hidden="1" x14ac:dyDescent="0.35">
      <c r="A1634" s="1831" t="s">
        <v>3866</v>
      </c>
      <c r="B1634" s="1839" t="s">
        <v>3867</v>
      </c>
      <c r="C1634" s="1839" t="s">
        <v>527</v>
      </c>
      <c r="D1634" s="1839" t="s">
        <v>3868</v>
      </c>
      <c r="E1634" s="1840">
        <v>45849</v>
      </c>
      <c r="F1634" s="1840"/>
      <c r="G1634" s="1839" t="s">
        <v>500</v>
      </c>
      <c r="H1634" s="1839" t="s">
        <v>1060</v>
      </c>
      <c r="I1634" s="1831" t="s">
        <v>1061</v>
      </c>
      <c r="J1634" s="1831"/>
    </row>
    <row r="1635" spans="1:10" ht="15" hidden="1" x14ac:dyDescent="0.35">
      <c r="A1635" s="1831" t="s">
        <v>3869</v>
      </c>
      <c r="B1635" s="1839" t="s">
        <v>3870</v>
      </c>
      <c r="C1635" s="1839" t="s">
        <v>3871</v>
      </c>
      <c r="D1635" s="1839" t="s">
        <v>3872</v>
      </c>
      <c r="E1635" s="1840">
        <v>44368</v>
      </c>
      <c r="F1635" s="1840"/>
      <c r="G1635" s="1839" t="s">
        <v>500</v>
      </c>
      <c r="H1635" s="1839" t="s">
        <v>1060</v>
      </c>
      <c r="I1635" s="1831" t="s">
        <v>1061</v>
      </c>
      <c r="J1635" s="1831"/>
    </row>
    <row r="1636" spans="1:10" ht="15" hidden="1" x14ac:dyDescent="0.35">
      <c r="A1636" s="8" t="s">
        <v>3873</v>
      </c>
      <c r="B1636" t="s">
        <v>3874</v>
      </c>
      <c r="C1636" t="s">
        <v>1450</v>
      </c>
      <c r="D1636" t="s">
        <v>3875</v>
      </c>
      <c r="E1636" s="9">
        <v>45730</v>
      </c>
      <c r="F1636" s="9">
        <v>45940</v>
      </c>
      <c r="G1636" t="s">
        <v>494</v>
      </c>
      <c r="H1636" t="s">
        <v>1060</v>
      </c>
      <c r="I1636" t="s">
        <v>1061</v>
      </c>
      <c r="J1636"/>
    </row>
    <row r="1637" spans="1:10" ht="15" hidden="1" x14ac:dyDescent="0.35">
      <c r="A1637" s="1831" t="s">
        <v>3876</v>
      </c>
      <c r="B1637" s="1839" t="s">
        <v>3877</v>
      </c>
      <c r="C1637" s="1839" t="s">
        <v>1148</v>
      </c>
      <c r="D1637" s="1839" t="s">
        <v>3878</v>
      </c>
      <c r="E1637" s="1840">
        <v>45708</v>
      </c>
      <c r="F1637" s="1840"/>
      <c r="G1637" s="1839" t="s">
        <v>500</v>
      </c>
      <c r="H1637" s="1839" t="s">
        <v>1060</v>
      </c>
      <c r="I1637" s="1831" t="s">
        <v>1061</v>
      </c>
      <c r="J1637" s="1831"/>
    </row>
    <row r="1638" spans="1:10" ht="15" hidden="1" x14ac:dyDescent="0.35">
      <c r="A1638" s="1831" t="s">
        <v>3879</v>
      </c>
      <c r="B1638" s="1839" t="s">
        <v>3880</v>
      </c>
      <c r="C1638" s="1839" t="s">
        <v>457</v>
      </c>
      <c r="D1638" s="1839" t="s">
        <v>3881</v>
      </c>
      <c r="E1638" s="1840">
        <v>45950</v>
      </c>
      <c r="F1638" s="1840"/>
      <c r="G1638" s="1839" t="s">
        <v>500</v>
      </c>
      <c r="H1638" s="1839" t="s">
        <v>1065</v>
      </c>
      <c r="I1638" s="1831" t="s">
        <v>1066</v>
      </c>
      <c r="J1638" s="1831"/>
    </row>
    <row r="1639" spans="1:10" ht="15" hidden="1" x14ac:dyDescent="0.35">
      <c r="A1639" s="1831" t="s">
        <v>3882</v>
      </c>
      <c r="B1639" s="1839" t="s">
        <v>3883</v>
      </c>
      <c r="C1639" s="1839" t="s">
        <v>1144</v>
      </c>
      <c r="D1639" s="1839" t="s">
        <v>3884</v>
      </c>
      <c r="E1639" s="1840">
        <v>46008</v>
      </c>
      <c r="F1639" s="1840"/>
      <c r="G1639" s="1839" t="s">
        <v>500</v>
      </c>
      <c r="H1639" s="1839" t="s">
        <v>1060</v>
      </c>
      <c r="I1639" s="1831" t="s">
        <v>1061</v>
      </c>
      <c r="J1639" s="1831"/>
    </row>
    <row r="1640" spans="1:10" ht="15" hidden="1" x14ac:dyDescent="0.35">
      <c r="A1640" s="1831" t="s">
        <v>3885</v>
      </c>
      <c r="B1640" s="1839" t="s">
        <v>3886</v>
      </c>
      <c r="C1640" s="1839" t="s">
        <v>591</v>
      </c>
      <c r="D1640" s="1839" t="s">
        <v>3887</v>
      </c>
      <c r="E1640" s="1840">
        <v>45377</v>
      </c>
      <c r="F1640" s="1840"/>
      <c r="G1640" s="1839" t="s">
        <v>500</v>
      </c>
      <c r="H1640" s="1839" t="s">
        <v>1078</v>
      </c>
      <c r="I1640" s="1831" t="s">
        <v>1061</v>
      </c>
      <c r="J1640" s="1831"/>
    </row>
    <row r="1641" spans="1:10" ht="15" hidden="1" x14ac:dyDescent="0.35">
      <c r="A1641" s="1831" t="s">
        <v>3888</v>
      </c>
      <c r="B1641" s="1839" t="s">
        <v>3889</v>
      </c>
      <c r="C1641" s="1839" t="s">
        <v>420</v>
      </c>
      <c r="D1641" s="1839" t="s">
        <v>3890</v>
      </c>
      <c r="E1641" s="1840">
        <v>46099</v>
      </c>
      <c r="F1641" s="1840"/>
      <c r="G1641" s="1839" t="s">
        <v>500</v>
      </c>
      <c r="H1641" s="1839" t="s">
        <v>1078</v>
      </c>
      <c r="I1641" s="1831" t="s">
        <v>1061</v>
      </c>
      <c r="J1641" s="1831"/>
    </row>
    <row r="1642" spans="1:10" ht="15" hidden="1" x14ac:dyDescent="0.35">
      <c r="A1642" s="1831" t="s">
        <v>3891</v>
      </c>
      <c r="B1642" s="1839" t="s">
        <v>3892</v>
      </c>
      <c r="C1642" s="1839" t="s">
        <v>411</v>
      </c>
      <c r="D1642" s="1839" t="s">
        <v>3893</v>
      </c>
      <c r="E1642" s="1840">
        <v>46146</v>
      </c>
      <c r="F1642" s="1840"/>
      <c r="G1642" s="1839" t="s">
        <v>500</v>
      </c>
      <c r="H1642" s="1839" t="s">
        <v>1060</v>
      </c>
      <c r="I1642" s="1831" t="s">
        <v>1061</v>
      </c>
      <c r="J1642" s="1831"/>
    </row>
    <row r="1643" spans="1:10" ht="15" hidden="1" x14ac:dyDescent="0.35">
      <c r="A1643" s="8" t="s">
        <v>3894</v>
      </c>
      <c r="B1643" t="s">
        <v>3895</v>
      </c>
      <c r="C1643" t="s">
        <v>416</v>
      </c>
      <c r="D1643" t="s">
        <v>3896</v>
      </c>
      <c r="E1643" s="9">
        <v>45713</v>
      </c>
      <c r="F1643" s="9">
        <v>46097</v>
      </c>
      <c r="G1643" t="s">
        <v>494</v>
      </c>
      <c r="H1643" t="s">
        <v>1078</v>
      </c>
      <c r="I1643" t="s">
        <v>1061</v>
      </c>
      <c r="J1643"/>
    </row>
    <row r="1644" spans="1:10" ht="15" hidden="1" x14ac:dyDescent="0.35">
      <c r="A1644" s="1831" t="s">
        <v>3897</v>
      </c>
      <c r="B1644" s="1839" t="s">
        <v>3898</v>
      </c>
      <c r="C1644" s="1839" t="s">
        <v>420</v>
      </c>
      <c r="D1644" s="1839" t="s">
        <v>3899</v>
      </c>
      <c r="E1644" s="1840">
        <v>45463</v>
      </c>
      <c r="F1644" s="1840"/>
      <c r="G1644" s="1839" t="s">
        <v>500</v>
      </c>
      <c r="H1644" s="1839" t="s">
        <v>1078</v>
      </c>
      <c r="I1644" s="1831" t="s">
        <v>1061</v>
      </c>
      <c r="J1644" s="1831"/>
    </row>
    <row r="1645" spans="1:10" ht="15" hidden="1" x14ac:dyDescent="0.35">
      <c r="A1645" s="1831" t="s">
        <v>3900</v>
      </c>
      <c r="B1645" s="1839" t="s">
        <v>3901</v>
      </c>
      <c r="C1645" s="1839" t="s">
        <v>1148</v>
      </c>
      <c r="D1645" s="1839" t="s">
        <v>3902</v>
      </c>
      <c r="E1645" s="1840">
        <v>45377</v>
      </c>
      <c r="F1645" s="1840"/>
      <c r="G1645" s="1839" t="s">
        <v>500</v>
      </c>
      <c r="H1645" s="1839" t="s">
        <v>1060</v>
      </c>
      <c r="I1645" s="1831" t="s">
        <v>1061</v>
      </c>
      <c r="J1645" s="1831"/>
    </row>
    <row r="1646" spans="1:10" ht="15" hidden="1" x14ac:dyDescent="0.35">
      <c r="A1646" s="8" t="s">
        <v>3903</v>
      </c>
      <c r="B1646" t="s">
        <v>3904</v>
      </c>
      <c r="C1646" t="s">
        <v>410</v>
      </c>
      <c r="D1646" t="s">
        <v>3905</v>
      </c>
      <c r="E1646" s="9">
        <v>45714</v>
      </c>
      <c r="F1646" s="9">
        <v>45831</v>
      </c>
      <c r="G1646" t="s">
        <v>494</v>
      </c>
      <c r="H1646" t="s">
        <v>1060</v>
      </c>
      <c r="I1646" t="s">
        <v>1061</v>
      </c>
      <c r="J1646"/>
    </row>
    <row r="1647" spans="1:10" ht="15" hidden="1" x14ac:dyDescent="0.35">
      <c r="A1647" s="1831" t="s">
        <v>3906</v>
      </c>
      <c r="B1647" s="1839" t="s">
        <v>3907</v>
      </c>
      <c r="C1647" s="1839" t="s">
        <v>416</v>
      </c>
      <c r="D1647" s="1839" t="s">
        <v>3908</v>
      </c>
      <c r="E1647" s="1840">
        <v>45419</v>
      </c>
      <c r="F1647" s="1840"/>
      <c r="G1647" s="1839" t="s">
        <v>500</v>
      </c>
      <c r="H1647" s="1839" t="s">
        <v>1093</v>
      </c>
      <c r="I1647" s="1831" t="s">
        <v>1066</v>
      </c>
      <c r="J1647" s="1831"/>
    </row>
    <row r="1648" spans="1:10" ht="15" hidden="1" x14ac:dyDescent="0.35">
      <c r="A1648" s="8" t="s">
        <v>3909</v>
      </c>
      <c r="B1648" t="s">
        <v>3910</v>
      </c>
      <c r="C1648" t="s">
        <v>410</v>
      </c>
      <c r="D1648" t="s">
        <v>3911</v>
      </c>
      <c r="E1648" s="9">
        <v>45729</v>
      </c>
      <c r="G1648" t="s">
        <v>634</v>
      </c>
      <c r="H1648" t="s">
        <v>1065</v>
      </c>
      <c r="I1648" t="s">
        <v>1066</v>
      </c>
      <c r="J1648"/>
    </row>
    <row r="1649" spans="1:10" ht="15" hidden="1" x14ac:dyDescent="0.35">
      <c r="A1649" s="1831" t="s">
        <v>3912</v>
      </c>
      <c r="B1649" s="1839" t="s">
        <v>3913</v>
      </c>
      <c r="C1649" s="1839" t="s">
        <v>763</v>
      </c>
      <c r="D1649" s="1839" t="s">
        <v>3914</v>
      </c>
      <c r="E1649" s="1840">
        <v>45131</v>
      </c>
      <c r="F1649" s="1840"/>
      <c r="G1649" s="1839" t="s">
        <v>525</v>
      </c>
      <c r="H1649" s="1839" t="s">
        <v>1065</v>
      </c>
      <c r="I1649" s="1831" t="s">
        <v>1066</v>
      </c>
      <c r="J1649" s="1831"/>
    </row>
    <row r="1650" spans="1:10" ht="15" hidden="1" x14ac:dyDescent="0.35">
      <c r="A1650" s="8" t="s">
        <v>3915</v>
      </c>
      <c r="B1650" t="s">
        <v>3916</v>
      </c>
      <c r="C1650" t="s">
        <v>578</v>
      </c>
      <c r="D1650" t="s">
        <v>3917</v>
      </c>
      <c r="E1650" s="9">
        <v>44768</v>
      </c>
      <c r="F1650" s="9">
        <v>46063</v>
      </c>
      <c r="G1650" t="s">
        <v>494</v>
      </c>
      <c r="H1650" t="s">
        <v>1060</v>
      </c>
      <c r="I1650" t="s">
        <v>1061</v>
      </c>
      <c r="J1650"/>
    </row>
    <row r="1651" spans="1:10" ht="15" hidden="1" x14ac:dyDescent="0.35">
      <c r="A1651" s="1831" t="s">
        <v>3918</v>
      </c>
      <c r="B1651" s="1839" t="s">
        <v>3919</v>
      </c>
      <c r="C1651" s="1839" t="s">
        <v>1148</v>
      </c>
      <c r="D1651" s="1839" t="s">
        <v>3920</v>
      </c>
      <c r="E1651" s="1840">
        <v>44399</v>
      </c>
      <c r="F1651" s="1840"/>
      <c r="G1651" s="1839" t="s">
        <v>500</v>
      </c>
      <c r="H1651" s="1839" t="s">
        <v>1060</v>
      </c>
      <c r="I1651" s="1831" t="s">
        <v>1061</v>
      </c>
      <c r="J1651" s="1831"/>
    </row>
    <row r="1652" spans="1:10" ht="15" hidden="1" x14ac:dyDescent="0.35">
      <c r="A1652" s="1831" t="s">
        <v>3921</v>
      </c>
      <c r="B1652" s="1839" t="s">
        <v>3922</v>
      </c>
      <c r="C1652" s="1839" t="s">
        <v>872</v>
      </c>
      <c r="D1652" s="1839" t="s">
        <v>3923</v>
      </c>
      <c r="E1652" s="1840">
        <v>45793</v>
      </c>
      <c r="F1652" s="1840"/>
      <c r="G1652" s="1839" t="s">
        <v>500</v>
      </c>
      <c r="H1652" s="1839" t="s">
        <v>1060</v>
      </c>
      <c r="I1652" s="1831" t="s">
        <v>1061</v>
      </c>
      <c r="J1652" s="1831"/>
    </row>
    <row r="1653" spans="1:10" ht="15" hidden="1" x14ac:dyDescent="0.35">
      <c r="A1653" s="1831" t="s">
        <v>3924</v>
      </c>
      <c r="B1653" s="1839" t="s">
        <v>3925</v>
      </c>
      <c r="C1653" s="1839" t="s">
        <v>1148</v>
      </c>
      <c r="D1653" s="1839" t="s">
        <v>3926</v>
      </c>
      <c r="E1653" s="1840">
        <v>45603</v>
      </c>
      <c r="F1653" s="1840"/>
      <c r="G1653" s="1839" t="s">
        <v>500</v>
      </c>
      <c r="H1653" s="1839" t="s">
        <v>1060</v>
      </c>
      <c r="I1653" s="1831" t="s">
        <v>1061</v>
      </c>
      <c r="J1653" s="1831"/>
    </row>
    <row r="1654" spans="1:10" ht="15" hidden="1" x14ac:dyDescent="0.35">
      <c r="A1654" s="1831" t="s">
        <v>3927</v>
      </c>
      <c r="B1654" s="1839" t="s">
        <v>3928</v>
      </c>
      <c r="C1654" s="1839" t="s">
        <v>441</v>
      </c>
      <c r="D1654" s="1839" t="s">
        <v>3929</v>
      </c>
      <c r="E1654" s="1840">
        <v>45420</v>
      </c>
      <c r="F1654" s="1840"/>
      <c r="G1654" s="1839" t="s">
        <v>500</v>
      </c>
      <c r="H1654" s="1839" t="s">
        <v>1093</v>
      </c>
      <c r="I1654" s="1831" t="s">
        <v>1066</v>
      </c>
      <c r="J1654" s="1831"/>
    </row>
    <row r="1655" spans="1:10" ht="15" hidden="1" x14ac:dyDescent="0.35">
      <c r="A1655" s="8" t="s">
        <v>3930</v>
      </c>
      <c r="B1655" t="s">
        <v>3931</v>
      </c>
      <c r="C1655" t="s">
        <v>439</v>
      </c>
      <c r="D1655" t="s">
        <v>3932</v>
      </c>
      <c r="E1655" s="9">
        <v>46000</v>
      </c>
      <c r="G1655" t="s">
        <v>634</v>
      </c>
      <c r="H1655" t="s">
        <v>1060</v>
      </c>
      <c r="I1655" t="s">
        <v>1061</v>
      </c>
      <c r="J1655"/>
    </row>
    <row r="1656" spans="1:10" ht="15" hidden="1" x14ac:dyDescent="0.35">
      <c r="A1656" s="8" t="s">
        <v>3933</v>
      </c>
      <c r="B1656" t="s">
        <v>3934</v>
      </c>
      <c r="C1656" t="s">
        <v>1144</v>
      </c>
      <c r="D1656" t="s">
        <v>3935</v>
      </c>
      <c r="E1656" s="9">
        <v>45713</v>
      </c>
      <c r="F1656" s="9">
        <v>45735</v>
      </c>
      <c r="G1656" t="s">
        <v>494</v>
      </c>
      <c r="H1656" t="s">
        <v>1060</v>
      </c>
      <c r="I1656" t="s">
        <v>1061</v>
      </c>
      <c r="J1656"/>
    </row>
    <row r="1657" spans="1:10" ht="15" hidden="1" x14ac:dyDescent="0.35">
      <c r="A1657" s="1831" t="s">
        <v>3936</v>
      </c>
      <c r="B1657" s="1839" t="s">
        <v>3937</v>
      </c>
      <c r="C1657" s="1839" t="s">
        <v>578</v>
      </c>
      <c r="D1657" s="1839" t="s">
        <v>3938</v>
      </c>
      <c r="E1657" s="1840">
        <v>45110</v>
      </c>
      <c r="F1657" s="1840"/>
      <c r="G1657" s="1839" t="s">
        <v>525</v>
      </c>
      <c r="H1657" s="1839" t="s">
        <v>1060</v>
      </c>
      <c r="I1657" s="1831" t="s">
        <v>1061</v>
      </c>
      <c r="J1657" s="1831"/>
    </row>
    <row r="1658" spans="1:10" ht="15" hidden="1" x14ac:dyDescent="0.35">
      <c r="A1658" s="8" t="s">
        <v>3939</v>
      </c>
      <c r="B1658" t="s">
        <v>3940</v>
      </c>
      <c r="C1658" t="s">
        <v>457</v>
      </c>
      <c r="D1658" t="s">
        <v>3941</v>
      </c>
      <c r="E1658" s="9">
        <v>45826</v>
      </c>
      <c r="F1658" s="9">
        <v>46037</v>
      </c>
      <c r="G1658" t="s">
        <v>494</v>
      </c>
      <c r="H1658" t="s">
        <v>1060</v>
      </c>
      <c r="I1658" t="s">
        <v>1061</v>
      </c>
      <c r="J1658"/>
    </row>
    <row r="1659" spans="1:10" ht="15" hidden="1" x14ac:dyDescent="0.35">
      <c r="A1659" s="1831" t="s">
        <v>3942</v>
      </c>
      <c r="B1659" s="1839" t="s">
        <v>3943</v>
      </c>
      <c r="C1659" s="1839" t="s">
        <v>439</v>
      </c>
      <c r="D1659" s="1839" t="s">
        <v>3944</v>
      </c>
      <c r="E1659" s="1840">
        <v>45849</v>
      </c>
      <c r="F1659" s="1840"/>
      <c r="G1659" s="1839" t="s">
        <v>500</v>
      </c>
      <c r="H1659" s="1839" t="s">
        <v>1065</v>
      </c>
      <c r="I1659" s="1831" t="s">
        <v>1066</v>
      </c>
      <c r="J1659" s="1831"/>
    </row>
    <row r="1660" spans="1:10" ht="15" hidden="1" x14ac:dyDescent="0.35">
      <c r="A1660" s="1831" t="s">
        <v>3945</v>
      </c>
      <c r="B1660" s="1839" t="s">
        <v>3946</v>
      </c>
      <c r="C1660" s="1839" t="s">
        <v>410</v>
      </c>
      <c r="D1660" s="1839" t="s">
        <v>3947</v>
      </c>
      <c r="E1660" s="1840">
        <v>46063</v>
      </c>
      <c r="F1660" s="1840"/>
      <c r="G1660" s="1839" t="s">
        <v>500</v>
      </c>
      <c r="H1660" s="1839" t="s">
        <v>1065</v>
      </c>
      <c r="I1660" s="1831" t="s">
        <v>1066</v>
      </c>
      <c r="J1660" s="1831"/>
    </row>
    <row r="1661" spans="1:10" ht="15" hidden="1" x14ac:dyDescent="0.35">
      <c r="A1661" s="1831" t="s">
        <v>3948</v>
      </c>
      <c r="B1661" s="1839" t="s">
        <v>3949</v>
      </c>
      <c r="C1661" s="1839" t="s">
        <v>1148</v>
      </c>
      <c r="D1661" s="1839" t="s">
        <v>3950</v>
      </c>
      <c r="E1661" s="1840">
        <v>42107</v>
      </c>
      <c r="F1661" s="1840"/>
      <c r="G1661" s="1839" t="s">
        <v>500</v>
      </c>
      <c r="H1661" s="1839" t="s">
        <v>1065</v>
      </c>
      <c r="I1661" s="1831" t="s">
        <v>1066</v>
      </c>
      <c r="J1661" s="1831"/>
    </row>
    <row r="1662" spans="1:10" ht="15" hidden="1" x14ac:dyDescent="0.35">
      <c r="A1662" s="8" t="s">
        <v>3951</v>
      </c>
      <c r="B1662" t="s">
        <v>3952</v>
      </c>
      <c r="C1662" t="s">
        <v>420</v>
      </c>
      <c r="D1662" t="s">
        <v>3953</v>
      </c>
      <c r="E1662" s="9">
        <v>45707</v>
      </c>
      <c r="F1662" s="9">
        <v>45901</v>
      </c>
      <c r="G1662" t="s">
        <v>494</v>
      </c>
      <c r="H1662" t="s">
        <v>1078</v>
      </c>
      <c r="I1662" t="s">
        <v>1061</v>
      </c>
      <c r="J1662"/>
    </row>
    <row r="1663" spans="1:10" ht="15" hidden="1" x14ac:dyDescent="0.35">
      <c r="A1663" s="1831" t="s">
        <v>3954</v>
      </c>
      <c r="B1663" s="1839" t="s">
        <v>3955</v>
      </c>
      <c r="C1663" s="1839" t="s">
        <v>1144</v>
      </c>
      <c r="D1663" s="1839" t="s">
        <v>3956</v>
      </c>
      <c r="E1663" s="1840">
        <v>45904</v>
      </c>
      <c r="F1663" s="1840"/>
      <c r="G1663" s="1839" t="s">
        <v>500</v>
      </c>
      <c r="H1663" s="1839" t="s">
        <v>1060</v>
      </c>
      <c r="I1663" s="1831" t="s">
        <v>1061</v>
      </c>
      <c r="J1663" s="1831"/>
    </row>
    <row r="1664" spans="1:10" ht="15" hidden="1" x14ac:dyDescent="0.35">
      <c r="A1664" s="1831" t="s">
        <v>3957</v>
      </c>
      <c r="B1664" s="1839" t="s">
        <v>3958</v>
      </c>
      <c r="C1664" s="1839" t="s">
        <v>1144</v>
      </c>
      <c r="D1664" s="1839" t="s">
        <v>3959</v>
      </c>
      <c r="E1664" s="1840">
        <v>45461</v>
      </c>
      <c r="F1664" s="1840"/>
      <c r="G1664" s="1839" t="s">
        <v>525</v>
      </c>
      <c r="H1664" s="1839" t="s">
        <v>1060</v>
      </c>
      <c r="I1664" s="1831" t="s">
        <v>1061</v>
      </c>
      <c r="J1664" s="1831"/>
    </row>
    <row r="1665" spans="1:10" ht="15" hidden="1" x14ac:dyDescent="0.35">
      <c r="A1665" s="1831" t="s">
        <v>3960</v>
      </c>
      <c r="B1665" s="1839" t="s">
        <v>3961</v>
      </c>
      <c r="C1665" s="1839" t="s">
        <v>443</v>
      </c>
      <c r="D1665" s="1839" t="s">
        <v>3962</v>
      </c>
      <c r="E1665" s="1840">
        <v>45847</v>
      </c>
      <c r="F1665" s="1840"/>
      <c r="G1665" s="1839" t="s">
        <v>500</v>
      </c>
      <c r="H1665" s="1839" t="s">
        <v>1060</v>
      </c>
      <c r="I1665" s="1831" t="s">
        <v>1061</v>
      </c>
      <c r="J1665" s="1831"/>
    </row>
    <row r="1666" spans="1:10" ht="15" hidden="1" x14ac:dyDescent="0.35">
      <c r="A1666" s="1831" t="s">
        <v>3963</v>
      </c>
      <c r="B1666" s="1839" t="s">
        <v>3964</v>
      </c>
      <c r="C1666" s="1839" t="s">
        <v>1144</v>
      </c>
      <c r="D1666" s="1839" t="s">
        <v>3965</v>
      </c>
      <c r="E1666" s="1840">
        <v>45524</v>
      </c>
      <c r="F1666" s="1840"/>
      <c r="G1666" s="1839" t="s">
        <v>500</v>
      </c>
      <c r="H1666" s="1839" t="s">
        <v>1065</v>
      </c>
      <c r="I1666" s="1831" t="s">
        <v>1066</v>
      </c>
      <c r="J1666" s="1831"/>
    </row>
    <row r="1667" spans="1:10" ht="15" hidden="1" x14ac:dyDescent="0.35">
      <c r="A1667" s="8" t="s">
        <v>3966</v>
      </c>
      <c r="B1667" t="s">
        <v>3967</v>
      </c>
      <c r="C1667" t="s">
        <v>457</v>
      </c>
      <c r="D1667" t="s">
        <v>3968</v>
      </c>
      <c r="E1667" s="9">
        <v>45810</v>
      </c>
      <c r="F1667" s="9">
        <v>45821</v>
      </c>
      <c r="G1667" t="s">
        <v>494</v>
      </c>
      <c r="H1667" t="s">
        <v>1060</v>
      </c>
      <c r="I1667" t="s">
        <v>1061</v>
      </c>
      <c r="J1667"/>
    </row>
    <row r="1668" spans="1:10" ht="15" hidden="1" x14ac:dyDescent="0.35">
      <c r="A1668" s="1831" t="s">
        <v>3969</v>
      </c>
      <c r="B1668" s="1839" t="s">
        <v>3967</v>
      </c>
      <c r="C1668" s="1839" t="s">
        <v>457</v>
      </c>
      <c r="D1668" s="1839" t="s">
        <v>3968</v>
      </c>
      <c r="E1668" s="1840">
        <v>46105</v>
      </c>
      <c r="F1668" s="1840"/>
      <c r="G1668" s="1839" t="s">
        <v>500</v>
      </c>
      <c r="H1668" s="1839" t="s">
        <v>1060</v>
      </c>
      <c r="I1668" s="1831" t="s">
        <v>1061</v>
      </c>
      <c r="J1668" s="1831"/>
    </row>
    <row r="1669" spans="1:10" ht="15" hidden="1" x14ac:dyDescent="0.35">
      <c r="A1669" s="1831" t="s">
        <v>3970</v>
      </c>
      <c r="B1669" s="1839" t="s">
        <v>3971</v>
      </c>
      <c r="C1669" s="1839" t="s">
        <v>1144</v>
      </c>
      <c r="D1669" s="1839" t="s">
        <v>3972</v>
      </c>
      <c r="E1669" s="1840">
        <v>46100</v>
      </c>
      <c r="F1669" s="1840"/>
      <c r="G1669" s="1839" t="s">
        <v>500</v>
      </c>
      <c r="H1669" s="1839" t="s">
        <v>1065</v>
      </c>
      <c r="I1669" s="1831" t="s">
        <v>1066</v>
      </c>
      <c r="J1669" s="1831"/>
    </row>
    <row r="1670" spans="1:10" ht="15" hidden="1" x14ac:dyDescent="0.35">
      <c r="A1670" s="1831" t="s">
        <v>3973</v>
      </c>
      <c r="B1670" s="1839" t="s">
        <v>3974</v>
      </c>
      <c r="C1670" s="1839" t="s">
        <v>1622</v>
      </c>
      <c r="D1670" s="1839" t="s">
        <v>3975</v>
      </c>
      <c r="E1670" s="1840">
        <v>45490</v>
      </c>
      <c r="F1670" s="1840"/>
      <c r="G1670" s="1839" t="s">
        <v>500</v>
      </c>
      <c r="H1670" s="1839" t="s">
        <v>1060</v>
      </c>
      <c r="I1670" s="1831" t="s">
        <v>1061</v>
      </c>
      <c r="J1670" s="1831"/>
    </row>
    <row r="1671" spans="1:10" ht="15" hidden="1" x14ac:dyDescent="0.35">
      <c r="A1671" s="1831" t="s">
        <v>3976</v>
      </c>
      <c r="B1671" s="1839" t="s">
        <v>3977</v>
      </c>
      <c r="C1671" s="1839" t="s">
        <v>1144</v>
      </c>
      <c r="D1671" s="1839" t="s">
        <v>3978</v>
      </c>
      <c r="E1671" s="1840">
        <v>45782</v>
      </c>
      <c r="F1671" s="1840"/>
      <c r="G1671" s="1839" t="s">
        <v>500</v>
      </c>
      <c r="H1671" s="1839" t="s">
        <v>1065</v>
      </c>
      <c r="I1671" s="1831" t="s">
        <v>1066</v>
      </c>
      <c r="J1671" s="1831"/>
    </row>
    <row r="1672" spans="1:10" ht="15" hidden="1" x14ac:dyDescent="0.35">
      <c r="A1672" s="1831" t="s">
        <v>3979</v>
      </c>
      <c r="B1672" s="1839" t="s">
        <v>3980</v>
      </c>
      <c r="C1672" s="1839" t="s">
        <v>411</v>
      </c>
      <c r="D1672" s="1839" t="s">
        <v>3981</v>
      </c>
      <c r="E1672" s="1840">
        <v>46146</v>
      </c>
      <c r="F1672" s="1840"/>
      <c r="G1672" s="1839" t="s">
        <v>500</v>
      </c>
      <c r="H1672" s="1839" t="s">
        <v>1065</v>
      </c>
      <c r="I1672" s="1831" t="s">
        <v>1066</v>
      </c>
      <c r="J1672" s="1831"/>
    </row>
    <row r="1673" spans="1:10" ht="15" hidden="1" x14ac:dyDescent="0.35">
      <c r="A1673" s="1831" t="s">
        <v>3982</v>
      </c>
      <c r="B1673" s="1839" t="s">
        <v>3983</v>
      </c>
      <c r="C1673" s="1839" t="s">
        <v>1931</v>
      </c>
      <c r="D1673" s="1839" t="s">
        <v>3984</v>
      </c>
      <c r="E1673" s="1840">
        <v>45419</v>
      </c>
      <c r="F1673" s="1840"/>
      <c r="G1673" s="1839" t="s">
        <v>500</v>
      </c>
      <c r="H1673" s="1839" t="s">
        <v>1093</v>
      </c>
      <c r="I1673" s="1831" t="s">
        <v>1066</v>
      </c>
      <c r="J1673" s="1831"/>
    </row>
    <row r="1674" spans="1:10" ht="15" hidden="1" x14ac:dyDescent="0.35">
      <c r="A1674" s="1831" t="s">
        <v>3985</v>
      </c>
      <c r="B1674" s="1839" t="s">
        <v>3986</v>
      </c>
      <c r="C1674" s="1839" t="s">
        <v>409</v>
      </c>
      <c r="D1674" s="1839" t="s">
        <v>3987</v>
      </c>
      <c r="E1674" s="1840">
        <v>45568</v>
      </c>
      <c r="F1674" s="1840"/>
      <c r="G1674" s="1839" t="s">
        <v>525</v>
      </c>
      <c r="H1674" s="1839" t="s">
        <v>1065</v>
      </c>
      <c r="I1674" s="1831" t="s">
        <v>1066</v>
      </c>
      <c r="J1674" s="1831"/>
    </row>
    <row r="1675" spans="1:10" ht="15" hidden="1" x14ac:dyDescent="0.35">
      <c r="A1675" s="1831" t="s">
        <v>3988</v>
      </c>
      <c r="B1675" s="1839" t="s">
        <v>3989</v>
      </c>
      <c r="C1675" s="1839" t="s">
        <v>1148</v>
      </c>
      <c r="D1675" s="1839" t="s">
        <v>3990</v>
      </c>
      <c r="E1675" s="1840">
        <v>44732</v>
      </c>
      <c r="F1675" s="1840"/>
      <c r="G1675" s="1839" t="s">
        <v>525</v>
      </c>
      <c r="H1675" s="1839" t="s">
        <v>1060</v>
      </c>
      <c r="I1675" s="1831" t="s">
        <v>1061</v>
      </c>
      <c r="J1675" s="1831"/>
    </row>
    <row r="1676" spans="1:10" ht="15" hidden="1" x14ac:dyDescent="0.35">
      <c r="A1676" s="1831" t="s">
        <v>3991</v>
      </c>
      <c r="B1676" s="1839" t="s">
        <v>3992</v>
      </c>
      <c r="C1676" s="1839" t="s">
        <v>1125</v>
      </c>
      <c r="D1676" s="1839" t="s">
        <v>3993</v>
      </c>
      <c r="E1676" s="1840">
        <v>43851</v>
      </c>
      <c r="F1676" s="1840"/>
      <c r="G1676" s="1839" t="s">
        <v>525</v>
      </c>
      <c r="H1676" s="1839" t="s">
        <v>1065</v>
      </c>
      <c r="I1676" s="1831" t="s">
        <v>1066</v>
      </c>
      <c r="J1676" s="1831"/>
    </row>
    <row r="1677" spans="1:10" ht="15" hidden="1" x14ac:dyDescent="0.35">
      <c r="A1677" s="8" t="s">
        <v>3994</v>
      </c>
      <c r="B1677" t="s">
        <v>3995</v>
      </c>
      <c r="C1677" t="s">
        <v>420</v>
      </c>
      <c r="D1677" t="s">
        <v>3996</v>
      </c>
      <c r="E1677" s="9">
        <v>45722</v>
      </c>
      <c r="F1677" s="9">
        <v>46066</v>
      </c>
      <c r="G1677" t="s">
        <v>494</v>
      </c>
      <c r="H1677" t="s">
        <v>1078</v>
      </c>
      <c r="I1677" t="s">
        <v>1061</v>
      </c>
      <c r="J1677"/>
    </row>
    <row r="1678" spans="1:10" ht="15" hidden="1" x14ac:dyDescent="0.35">
      <c r="A1678" s="1831" t="s">
        <v>3997</v>
      </c>
      <c r="B1678" s="1839" t="s">
        <v>3998</v>
      </c>
      <c r="C1678" s="1839" t="s">
        <v>457</v>
      </c>
      <c r="D1678" s="1839" t="s">
        <v>3999</v>
      </c>
      <c r="E1678" s="1840">
        <v>45810</v>
      </c>
      <c r="F1678" s="1840"/>
      <c r="G1678" s="1839" t="s">
        <v>500</v>
      </c>
      <c r="H1678" s="1839" t="s">
        <v>1060</v>
      </c>
      <c r="I1678" s="1831" t="s">
        <v>1061</v>
      </c>
      <c r="J1678" s="1831"/>
    </row>
    <row r="1679" spans="1:10" ht="15" hidden="1" x14ac:dyDescent="0.35">
      <c r="A1679" s="1831" t="s">
        <v>4000</v>
      </c>
      <c r="B1679" s="1839" t="s">
        <v>4001</v>
      </c>
      <c r="C1679" s="1839" t="s">
        <v>1450</v>
      </c>
      <c r="D1679" s="1839" t="s">
        <v>4002</v>
      </c>
      <c r="E1679" s="1840">
        <v>45490</v>
      </c>
      <c r="F1679" s="1840"/>
      <c r="G1679" s="1839" t="s">
        <v>500</v>
      </c>
      <c r="H1679" s="1839" t="s">
        <v>1060</v>
      </c>
      <c r="I1679" s="1831" t="s">
        <v>1061</v>
      </c>
      <c r="J1679" s="1831"/>
    </row>
    <row r="1680" spans="1:10" ht="15" hidden="1" x14ac:dyDescent="0.35">
      <c r="A1680" s="1831" t="s">
        <v>4003</v>
      </c>
      <c r="B1680" s="1839" t="s">
        <v>4004</v>
      </c>
      <c r="C1680" s="1839" t="s">
        <v>443</v>
      </c>
      <c r="D1680" s="1839" t="s">
        <v>4005</v>
      </c>
      <c r="E1680" s="1840">
        <v>45421</v>
      </c>
      <c r="F1680" s="1840"/>
      <c r="G1680" s="1839" t="s">
        <v>500</v>
      </c>
      <c r="H1680" s="1839" t="s">
        <v>1065</v>
      </c>
      <c r="I1680" s="1831" t="s">
        <v>1066</v>
      </c>
      <c r="J1680" s="1831"/>
    </row>
    <row r="1681" spans="1:10" ht="15" hidden="1" x14ac:dyDescent="0.35">
      <c r="A1681" s="1831" t="s">
        <v>4006</v>
      </c>
      <c r="B1681" s="1839" t="s">
        <v>4007</v>
      </c>
      <c r="C1681" s="1839" t="s">
        <v>443</v>
      </c>
      <c r="D1681" s="1839" t="s">
        <v>4008</v>
      </c>
      <c r="E1681" s="1840">
        <v>45889</v>
      </c>
      <c r="F1681" s="1840"/>
      <c r="G1681" s="1839" t="s">
        <v>500</v>
      </c>
      <c r="H1681" s="1839" t="s">
        <v>1060</v>
      </c>
      <c r="I1681" s="1831" t="s">
        <v>1061</v>
      </c>
      <c r="J1681" s="1831"/>
    </row>
    <row r="1682" spans="1:10" ht="15" hidden="1" x14ac:dyDescent="0.35">
      <c r="A1682" s="8" t="s">
        <v>4009</v>
      </c>
      <c r="B1682" t="s">
        <v>4010</v>
      </c>
      <c r="C1682" t="s">
        <v>420</v>
      </c>
      <c r="D1682" t="s">
        <v>4011</v>
      </c>
      <c r="E1682" s="9">
        <v>45538</v>
      </c>
      <c r="F1682" s="9">
        <v>45814</v>
      </c>
      <c r="G1682" t="s">
        <v>494</v>
      </c>
      <c r="H1682" t="s">
        <v>1093</v>
      </c>
      <c r="I1682" t="s">
        <v>1066</v>
      </c>
      <c r="J1682"/>
    </row>
    <row r="1683" spans="1:10" ht="15" hidden="1" x14ac:dyDescent="0.35">
      <c r="A1683" s="1831" t="s">
        <v>4012</v>
      </c>
      <c r="B1683" s="1839" t="s">
        <v>4013</v>
      </c>
      <c r="C1683" s="1839" t="s">
        <v>458</v>
      </c>
      <c r="D1683" s="1839" t="s">
        <v>4014</v>
      </c>
      <c r="E1683" s="1840">
        <v>44399</v>
      </c>
      <c r="F1683" s="1840"/>
      <c r="G1683" s="1839" t="s">
        <v>500</v>
      </c>
      <c r="H1683" s="1839" t="s">
        <v>1065</v>
      </c>
      <c r="I1683" s="1831" t="s">
        <v>1066</v>
      </c>
      <c r="J1683" s="1831"/>
    </row>
    <row r="1684" spans="1:10" ht="15" hidden="1" x14ac:dyDescent="0.35">
      <c r="A1684" s="1831" t="s">
        <v>4015</v>
      </c>
      <c r="B1684" s="1839" t="s">
        <v>4016</v>
      </c>
      <c r="C1684" s="1839" t="s">
        <v>1263</v>
      </c>
      <c r="D1684" s="1839" t="s">
        <v>4017</v>
      </c>
      <c r="E1684" s="1840">
        <v>45419</v>
      </c>
      <c r="F1684" s="1840"/>
      <c r="G1684" s="1839" t="s">
        <v>500</v>
      </c>
      <c r="H1684" s="1839" t="s">
        <v>1078</v>
      </c>
      <c r="I1684" s="1831" t="s">
        <v>1061</v>
      </c>
      <c r="J1684" s="1831"/>
    </row>
    <row r="1685" spans="1:10" ht="15" hidden="1" x14ac:dyDescent="0.35">
      <c r="A1685" s="1831" t="s">
        <v>4018</v>
      </c>
      <c r="B1685" s="1839" t="s">
        <v>4019</v>
      </c>
      <c r="C1685" s="1839" t="s">
        <v>1088</v>
      </c>
      <c r="D1685" s="1839" t="s">
        <v>4020</v>
      </c>
      <c r="E1685" s="1840">
        <v>45518</v>
      </c>
      <c r="F1685" s="1840"/>
      <c r="G1685" s="1839" t="s">
        <v>500</v>
      </c>
      <c r="H1685" s="1839" t="s">
        <v>1065</v>
      </c>
      <c r="I1685" s="1831" t="s">
        <v>1066</v>
      </c>
      <c r="J1685" s="1831"/>
    </row>
    <row r="1686" spans="1:10" ht="15" hidden="1" x14ac:dyDescent="0.35">
      <c r="A1686" s="8" t="s">
        <v>4021</v>
      </c>
      <c r="B1686" t="s">
        <v>4022</v>
      </c>
      <c r="C1686" t="s">
        <v>458</v>
      </c>
      <c r="D1686" t="s">
        <v>4023</v>
      </c>
      <c r="E1686" s="9">
        <v>45722</v>
      </c>
      <c r="F1686" s="9">
        <v>45870</v>
      </c>
      <c r="G1686" t="s">
        <v>494</v>
      </c>
      <c r="H1686" t="s">
        <v>1060</v>
      </c>
      <c r="I1686" t="s">
        <v>1061</v>
      </c>
      <c r="J1686"/>
    </row>
    <row r="1687" spans="1:10" ht="15" hidden="1" x14ac:dyDescent="0.35">
      <c r="A1687" s="8" t="s">
        <v>4024</v>
      </c>
      <c r="B1687" t="s">
        <v>4025</v>
      </c>
      <c r="C1687" t="s">
        <v>420</v>
      </c>
      <c r="D1687" t="s">
        <v>4026</v>
      </c>
      <c r="E1687" s="9">
        <v>45839</v>
      </c>
      <c r="F1687" s="9">
        <v>46134</v>
      </c>
      <c r="G1687" t="s">
        <v>494</v>
      </c>
      <c r="H1687" t="s">
        <v>1078</v>
      </c>
      <c r="I1687" t="s">
        <v>1061</v>
      </c>
      <c r="J1687"/>
    </row>
    <row r="1688" spans="1:10" ht="15" hidden="1" x14ac:dyDescent="0.35">
      <c r="A1688" s="1831" t="s">
        <v>4027</v>
      </c>
      <c r="B1688" s="1839" t="s">
        <v>4028</v>
      </c>
      <c r="C1688" s="1839" t="s">
        <v>1072</v>
      </c>
      <c r="D1688" s="1839" t="s">
        <v>4029</v>
      </c>
      <c r="E1688" s="1840">
        <v>45131</v>
      </c>
      <c r="F1688" s="1840"/>
      <c r="G1688" s="1839" t="s">
        <v>525</v>
      </c>
      <c r="H1688" s="1839" t="s">
        <v>1065</v>
      </c>
      <c r="I1688" s="1831" t="s">
        <v>1066</v>
      </c>
      <c r="J1688" s="1831"/>
    </row>
    <row r="1689" spans="1:10" ht="15" hidden="1" x14ac:dyDescent="0.35">
      <c r="A1689" s="8" t="s">
        <v>4030</v>
      </c>
      <c r="B1689" t="s">
        <v>4031</v>
      </c>
      <c r="C1689" t="s">
        <v>1125</v>
      </c>
      <c r="D1689" t="s">
        <v>4032</v>
      </c>
      <c r="E1689" s="9">
        <v>44768</v>
      </c>
      <c r="F1689" s="9">
        <v>45946</v>
      </c>
      <c r="G1689" t="s">
        <v>494</v>
      </c>
      <c r="H1689" t="s">
        <v>1060</v>
      </c>
      <c r="I1689" t="s">
        <v>1061</v>
      </c>
      <c r="J1689"/>
    </row>
    <row r="1690" spans="1:10" ht="15" hidden="1" x14ac:dyDescent="0.35">
      <c r="A1690" s="1831" t="s">
        <v>4033</v>
      </c>
      <c r="B1690" s="1839" t="s">
        <v>4034</v>
      </c>
      <c r="C1690" s="1839" t="s">
        <v>455</v>
      </c>
      <c r="D1690" s="1839" t="s">
        <v>4035</v>
      </c>
      <c r="E1690" s="1840">
        <v>45887</v>
      </c>
      <c r="F1690" s="1840"/>
      <c r="G1690" s="1839" t="s">
        <v>500</v>
      </c>
      <c r="H1690" s="1839" t="s">
        <v>1060</v>
      </c>
      <c r="I1690" s="1831" t="s">
        <v>1061</v>
      </c>
      <c r="J1690" s="1831"/>
    </row>
    <row r="1691" spans="1:10" ht="15" hidden="1" x14ac:dyDescent="0.35">
      <c r="A1691" s="1831" t="s">
        <v>4036</v>
      </c>
      <c r="B1691" s="1839" t="s">
        <v>4037</v>
      </c>
      <c r="C1691" s="1839" t="s">
        <v>410</v>
      </c>
      <c r="D1691" s="1839" t="s">
        <v>4038</v>
      </c>
      <c r="E1691" s="1840">
        <v>45377</v>
      </c>
      <c r="F1691" s="1840"/>
      <c r="G1691" s="1839" t="s">
        <v>500</v>
      </c>
      <c r="H1691" s="1839" t="s">
        <v>1065</v>
      </c>
      <c r="I1691" s="1831" t="s">
        <v>1066</v>
      </c>
      <c r="J1691" s="1831"/>
    </row>
    <row r="1692" spans="1:10" ht="15" hidden="1" x14ac:dyDescent="0.35">
      <c r="A1692" s="1831" t="s">
        <v>4039</v>
      </c>
      <c r="B1692" s="1839" t="s">
        <v>4040</v>
      </c>
      <c r="C1692" s="1839" t="s">
        <v>409</v>
      </c>
      <c r="D1692" s="1839" t="s">
        <v>4041</v>
      </c>
      <c r="E1692" s="1840">
        <v>46008</v>
      </c>
      <c r="F1692" s="1840"/>
      <c r="G1692" s="1839" t="s">
        <v>500</v>
      </c>
      <c r="H1692" s="1839" t="s">
        <v>1060</v>
      </c>
      <c r="I1692" s="1831" t="s">
        <v>1061</v>
      </c>
      <c r="J1692" s="1831"/>
    </row>
    <row r="1693" spans="1:10" ht="15" hidden="1" x14ac:dyDescent="0.35">
      <c r="A1693" s="1831" t="s">
        <v>4042</v>
      </c>
      <c r="B1693" s="1839" t="s">
        <v>4043</v>
      </c>
      <c r="C1693" s="1839" t="s">
        <v>1088</v>
      </c>
      <c r="D1693" s="1839" t="s">
        <v>4044</v>
      </c>
      <c r="E1693" s="1840">
        <v>45377</v>
      </c>
      <c r="F1693" s="1840"/>
      <c r="G1693" s="1839" t="s">
        <v>500</v>
      </c>
      <c r="H1693" s="1839" t="s">
        <v>1060</v>
      </c>
      <c r="I1693" s="1831" t="s">
        <v>1061</v>
      </c>
      <c r="J1693" s="1831"/>
    </row>
    <row r="1694" spans="1:10" ht="15" hidden="1" x14ac:dyDescent="0.35">
      <c r="A1694" s="1831" t="s">
        <v>4045</v>
      </c>
      <c r="B1694" s="1839" t="s">
        <v>4046</v>
      </c>
      <c r="C1694" s="1839" t="s">
        <v>420</v>
      </c>
      <c r="D1694" s="1839" t="s">
        <v>4047</v>
      </c>
      <c r="E1694" s="1840">
        <v>45993</v>
      </c>
      <c r="F1694" s="1840"/>
      <c r="G1694" s="1839" t="s">
        <v>500</v>
      </c>
      <c r="H1694" s="1839" t="s">
        <v>1078</v>
      </c>
      <c r="I1694" s="1831" t="s">
        <v>1061</v>
      </c>
      <c r="J1694" s="1831"/>
    </row>
    <row r="1695" spans="1:10" ht="15" hidden="1" x14ac:dyDescent="0.35">
      <c r="A1695" s="1831" t="s">
        <v>4048</v>
      </c>
      <c r="B1695" s="1839" t="s">
        <v>4049</v>
      </c>
      <c r="C1695" s="1839" t="s">
        <v>420</v>
      </c>
      <c r="D1695" s="1839" t="s">
        <v>4050</v>
      </c>
      <c r="E1695" s="1840">
        <v>45387</v>
      </c>
      <c r="F1695" s="1840"/>
      <c r="G1695" s="1839" t="s">
        <v>500</v>
      </c>
      <c r="H1695" s="1839" t="s">
        <v>1078</v>
      </c>
      <c r="I1695" s="1831" t="s">
        <v>1061</v>
      </c>
      <c r="J1695" s="1831"/>
    </row>
    <row r="1696" spans="1:10" ht="15" hidden="1" x14ac:dyDescent="0.35">
      <c r="A1696" s="1831" t="s">
        <v>4051</v>
      </c>
      <c r="B1696" s="1839" t="s">
        <v>4052</v>
      </c>
      <c r="C1696" s="1839" t="s">
        <v>1440</v>
      </c>
      <c r="D1696" s="1839" t="s">
        <v>4053</v>
      </c>
      <c r="E1696" s="1840">
        <v>45446</v>
      </c>
      <c r="F1696" s="1840"/>
      <c r="G1696" s="1839" t="s">
        <v>500</v>
      </c>
      <c r="H1696" s="1839" t="s">
        <v>1060</v>
      </c>
      <c r="I1696" s="1831" t="s">
        <v>1061</v>
      </c>
      <c r="J1696" s="1831"/>
    </row>
    <row r="1697" spans="1:10" ht="15" hidden="1" x14ac:dyDescent="0.35">
      <c r="A1697" s="8" t="s">
        <v>4054</v>
      </c>
      <c r="B1697" t="s">
        <v>4055</v>
      </c>
      <c r="C1697" t="s">
        <v>1213</v>
      </c>
      <c r="D1697" t="s">
        <v>4056</v>
      </c>
      <c r="E1697" s="9">
        <v>45722</v>
      </c>
      <c r="F1697" s="9">
        <v>46043</v>
      </c>
      <c r="G1697" t="s">
        <v>494</v>
      </c>
      <c r="H1697" t="s">
        <v>1060</v>
      </c>
      <c r="I1697" t="s">
        <v>1061</v>
      </c>
      <c r="J1697"/>
    </row>
    <row r="1698" spans="1:10" ht="15" hidden="1" x14ac:dyDescent="0.35">
      <c r="A1698" s="8" t="s">
        <v>4057</v>
      </c>
      <c r="B1698" t="s">
        <v>4058</v>
      </c>
      <c r="C1698" t="s">
        <v>411</v>
      </c>
      <c r="D1698" t="s">
        <v>4059</v>
      </c>
      <c r="E1698" s="9">
        <v>45755</v>
      </c>
      <c r="F1698" s="9">
        <v>45992</v>
      </c>
      <c r="G1698" t="s">
        <v>494</v>
      </c>
      <c r="H1698" t="s">
        <v>1060</v>
      </c>
      <c r="I1698" t="s">
        <v>1061</v>
      </c>
      <c r="J1698"/>
    </row>
    <row r="1699" spans="1:10" ht="15" hidden="1" x14ac:dyDescent="0.35">
      <c r="A1699" s="1831" t="s">
        <v>4060</v>
      </c>
      <c r="B1699" s="1839" t="s">
        <v>4061</v>
      </c>
      <c r="C1699" s="1839" t="s">
        <v>420</v>
      </c>
      <c r="D1699" s="1839" t="s">
        <v>4062</v>
      </c>
      <c r="E1699" s="1840">
        <v>45446</v>
      </c>
      <c r="F1699" s="1840"/>
      <c r="G1699" s="1839" t="s">
        <v>500</v>
      </c>
      <c r="H1699" s="1839" t="s">
        <v>1078</v>
      </c>
      <c r="I1699" s="1831" t="s">
        <v>1061</v>
      </c>
      <c r="J1699" s="1831"/>
    </row>
    <row r="1700" spans="1:10" ht="15" hidden="1" x14ac:dyDescent="0.35">
      <c r="A1700" s="1831" t="s">
        <v>4063</v>
      </c>
      <c r="B1700" s="1839" t="s">
        <v>4064</v>
      </c>
      <c r="C1700" s="1839" t="s">
        <v>421</v>
      </c>
      <c r="D1700" s="1839" t="s">
        <v>4065</v>
      </c>
      <c r="E1700" s="1840">
        <v>45420</v>
      </c>
      <c r="F1700" s="1840"/>
      <c r="G1700" s="1839" t="s">
        <v>500</v>
      </c>
      <c r="H1700" s="1839" t="s">
        <v>1065</v>
      </c>
      <c r="I1700" s="1831" t="s">
        <v>1066</v>
      </c>
      <c r="J1700" s="1831"/>
    </row>
    <row r="1701" spans="1:10" ht="15" hidden="1" x14ac:dyDescent="0.35">
      <c r="A1701" s="1831" t="s">
        <v>4066</v>
      </c>
      <c r="B1701" s="1839" t="s">
        <v>4067</v>
      </c>
      <c r="C1701" s="1839" t="s">
        <v>578</v>
      </c>
      <c r="D1701" s="1839" t="s">
        <v>4068</v>
      </c>
      <c r="E1701" s="1840">
        <v>44368</v>
      </c>
      <c r="F1701" s="1840"/>
      <c r="G1701" s="1839" t="s">
        <v>500</v>
      </c>
      <c r="H1701" s="1839" t="s">
        <v>1065</v>
      </c>
      <c r="I1701" s="1831" t="s">
        <v>1066</v>
      </c>
      <c r="J1701" s="1831"/>
    </row>
    <row r="1702" spans="1:10" ht="15" hidden="1" x14ac:dyDescent="0.35">
      <c r="A1702" s="8" t="s">
        <v>4069</v>
      </c>
      <c r="B1702" t="s">
        <v>4070</v>
      </c>
      <c r="C1702" t="s">
        <v>4071</v>
      </c>
      <c r="D1702" t="s">
        <v>4072</v>
      </c>
      <c r="E1702" s="9">
        <v>45763</v>
      </c>
      <c r="F1702" s="9">
        <v>45793</v>
      </c>
      <c r="G1702" t="s">
        <v>494</v>
      </c>
      <c r="H1702" t="s">
        <v>1065</v>
      </c>
      <c r="I1702" t="s">
        <v>1066</v>
      </c>
      <c r="J1702"/>
    </row>
    <row r="1703" spans="1:10" ht="15" hidden="1" x14ac:dyDescent="0.35">
      <c r="A1703" s="8" t="s">
        <v>4073</v>
      </c>
      <c r="B1703" t="s">
        <v>4074</v>
      </c>
      <c r="C1703" t="s">
        <v>420</v>
      </c>
      <c r="D1703" t="s">
        <v>4075</v>
      </c>
      <c r="E1703" s="9">
        <v>46001</v>
      </c>
      <c r="F1703" s="9">
        <v>46031</v>
      </c>
      <c r="G1703" t="s">
        <v>494</v>
      </c>
      <c r="H1703" t="s">
        <v>1078</v>
      </c>
      <c r="I1703" t="s">
        <v>1061</v>
      </c>
      <c r="J1703"/>
    </row>
    <row r="1704" spans="1:10" ht="15" hidden="1" x14ac:dyDescent="0.35">
      <c r="A1704" s="1831" t="s">
        <v>4076</v>
      </c>
      <c r="B1704" s="1839" t="s">
        <v>4077</v>
      </c>
      <c r="C1704" s="1839" t="s">
        <v>591</v>
      </c>
      <c r="D1704" s="1839" t="s">
        <v>4078</v>
      </c>
      <c r="E1704" s="1840">
        <v>45376</v>
      </c>
      <c r="F1704" s="1840"/>
      <c r="G1704" s="1839" t="s">
        <v>500</v>
      </c>
      <c r="H1704" s="1839" t="s">
        <v>1078</v>
      </c>
      <c r="I1704" s="1831" t="s">
        <v>1061</v>
      </c>
      <c r="J1704" s="1831"/>
    </row>
    <row r="1705" spans="1:10" ht="15" hidden="1" x14ac:dyDescent="0.35">
      <c r="A1705" s="1831" t="s">
        <v>4079</v>
      </c>
      <c r="B1705" s="1839" t="s">
        <v>4080</v>
      </c>
      <c r="C1705" s="1839" t="s">
        <v>1125</v>
      </c>
      <c r="D1705" s="1839" t="s">
        <v>4081</v>
      </c>
      <c r="E1705" s="1840">
        <v>45124</v>
      </c>
      <c r="F1705" s="1840"/>
      <c r="G1705" s="1839" t="s">
        <v>500</v>
      </c>
      <c r="H1705" s="1839" t="s">
        <v>1060</v>
      </c>
      <c r="I1705" s="1831" t="s">
        <v>1061</v>
      </c>
      <c r="J1705" s="1831"/>
    </row>
    <row r="1706" spans="1:10" ht="15" hidden="1" x14ac:dyDescent="0.35">
      <c r="A1706" s="8" t="s">
        <v>4082</v>
      </c>
      <c r="B1706" t="s">
        <v>4083</v>
      </c>
      <c r="C1706" t="s">
        <v>437</v>
      </c>
      <c r="D1706" t="s">
        <v>4084</v>
      </c>
      <c r="E1706" s="9">
        <v>45446</v>
      </c>
      <c r="F1706" s="9">
        <v>46008</v>
      </c>
      <c r="G1706" t="s">
        <v>494</v>
      </c>
      <c r="H1706" t="s">
        <v>1065</v>
      </c>
      <c r="I1706" t="s">
        <v>1066</v>
      </c>
      <c r="J1706"/>
    </row>
    <row r="1707" spans="1:10" ht="15" hidden="1" x14ac:dyDescent="0.35">
      <c r="A1707" s="1831" t="s">
        <v>4085</v>
      </c>
      <c r="B1707" s="1839" t="s">
        <v>4086</v>
      </c>
      <c r="C1707" s="1839" t="s">
        <v>578</v>
      </c>
      <c r="D1707" s="1839" t="s">
        <v>4087</v>
      </c>
      <c r="E1707" s="1840">
        <v>44399</v>
      </c>
      <c r="F1707" s="1840"/>
      <c r="G1707" s="1839" t="s">
        <v>500</v>
      </c>
      <c r="H1707" s="1839" t="s">
        <v>1065</v>
      </c>
      <c r="I1707" s="1831" t="s">
        <v>1066</v>
      </c>
      <c r="J1707" s="1831"/>
    </row>
    <row r="1708" spans="1:10" ht="15" hidden="1" x14ac:dyDescent="0.35">
      <c r="A1708" s="1831" t="s">
        <v>4088</v>
      </c>
      <c r="B1708" s="1839" t="s">
        <v>4089</v>
      </c>
      <c r="C1708" s="1839" t="s">
        <v>410</v>
      </c>
      <c r="D1708" s="1839" t="s">
        <v>4090</v>
      </c>
      <c r="E1708" s="1840">
        <v>45721</v>
      </c>
      <c r="F1708" s="1840"/>
      <c r="G1708" s="1839" t="s">
        <v>500</v>
      </c>
      <c r="H1708" s="1839" t="s">
        <v>1065</v>
      </c>
      <c r="I1708" s="1831" t="s">
        <v>1066</v>
      </c>
      <c r="J1708" s="1831"/>
    </row>
    <row r="1709" spans="1:10" ht="15" hidden="1" x14ac:dyDescent="0.35">
      <c r="A1709" s="1831" t="s">
        <v>4091</v>
      </c>
      <c r="B1709" s="1839" t="s">
        <v>4092</v>
      </c>
      <c r="C1709" s="1839" t="s">
        <v>544</v>
      </c>
      <c r="D1709" s="1839" t="s">
        <v>4093</v>
      </c>
      <c r="E1709" s="1840">
        <v>44655</v>
      </c>
      <c r="F1709" s="1840"/>
      <c r="G1709" s="1839" t="s">
        <v>500</v>
      </c>
      <c r="H1709" s="1839" t="s">
        <v>1065</v>
      </c>
      <c r="I1709" s="1831" t="s">
        <v>1066</v>
      </c>
      <c r="J1709" s="1831"/>
    </row>
    <row r="1710" spans="1:10" ht="15" hidden="1" x14ac:dyDescent="0.35">
      <c r="A1710" s="1831" t="s">
        <v>4094</v>
      </c>
      <c r="B1710" s="1839" t="s">
        <v>4095</v>
      </c>
      <c r="C1710" s="1839" t="s">
        <v>438</v>
      </c>
      <c r="D1710" s="1839" t="s">
        <v>4096</v>
      </c>
      <c r="E1710" s="1840">
        <v>45566</v>
      </c>
      <c r="F1710" s="1840"/>
      <c r="G1710" s="1839" t="s">
        <v>500</v>
      </c>
      <c r="H1710" s="1839" t="s">
        <v>1065</v>
      </c>
      <c r="I1710" s="1831" t="s">
        <v>1066</v>
      </c>
      <c r="J1710" s="1831"/>
    </row>
    <row r="1711" spans="1:10" ht="15" hidden="1" x14ac:dyDescent="0.35">
      <c r="A1711" s="1831" t="s">
        <v>4097</v>
      </c>
      <c r="B1711" s="1839" t="s">
        <v>4098</v>
      </c>
      <c r="C1711" s="1839" t="s">
        <v>420</v>
      </c>
      <c r="D1711" s="1839" t="s">
        <v>4099</v>
      </c>
      <c r="E1711" s="1840">
        <v>45489</v>
      </c>
      <c r="F1711" s="1840"/>
      <c r="G1711" s="1839" t="s">
        <v>500</v>
      </c>
      <c r="H1711" s="1839" t="s">
        <v>1093</v>
      </c>
      <c r="I1711" s="1831" t="s">
        <v>1066</v>
      </c>
      <c r="J1711" s="1831"/>
    </row>
    <row r="1712" spans="1:10" ht="15" hidden="1" x14ac:dyDescent="0.35">
      <c r="A1712" s="1831" t="s">
        <v>4100</v>
      </c>
      <c r="B1712" s="1839" t="s">
        <v>4101</v>
      </c>
      <c r="C1712" s="1839" t="s">
        <v>578</v>
      </c>
      <c r="D1712" s="1839" t="s">
        <v>4102</v>
      </c>
      <c r="E1712" s="1840">
        <v>45139</v>
      </c>
      <c r="F1712" s="1840"/>
      <c r="G1712" s="1839" t="s">
        <v>500</v>
      </c>
      <c r="H1712" s="1839" t="s">
        <v>1065</v>
      </c>
      <c r="I1712" s="1831" t="s">
        <v>1066</v>
      </c>
      <c r="J1712" s="1831"/>
    </row>
    <row r="1713" spans="1:10" ht="15" hidden="1" x14ac:dyDescent="0.35">
      <c r="A1713" s="1831" t="s">
        <v>4103</v>
      </c>
      <c r="B1713" s="1839" t="s">
        <v>4104</v>
      </c>
      <c r="C1713" s="1839" t="s">
        <v>625</v>
      </c>
      <c r="D1713" s="1839" t="s">
        <v>4105</v>
      </c>
      <c r="E1713" s="1840">
        <v>43460</v>
      </c>
      <c r="F1713" s="1840"/>
      <c r="G1713" s="1839" t="s">
        <v>500</v>
      </c>
      <c r="H1713" s="1839" t="s">
        <v>1065</v>
      </c>
      <c r="I1713" s="1831" t="s">
        <v>1066</v>
      </c>
      <c r="J1713" s="1831"/>
    </row>
    <row r="1714" spans="1:10" ht="15" hidden="1" x14ac:dyDescent="0.35">
      <c r="A1714" s="1831" t="s">
        <v>4106</v>
      </c>
      <c r="B1714" s="1839" t="s">
        <v>4107</v>
      </c>
      <c r="C1714" s="1839" t="s">
        <v>1125</v>
      </c>
      <c r="D1714" s="1839" t="s">
        <v>4108</v>
      </c>
      <c r="E1714" s="1840">
        <v>44606</v>
      </c>
      <c r="F1714" s="1840"/>
      <c r="G1714" s="1839" t="s">
        <v>500</v>
      </c>
      <c r="H1714" s="1839" t="s">
        <v>1065</v>
      </c>
      <c r="I1714" s="1831" t="s">
        <v>1066</v>
      </c>
      <c r="J1714" s="1831"/>
    </row>
    <row r="1715" spans="1:10" ht="15" hidden="1" x14ac:dyDescent="0.35">
      <c r="A1715" s="1831" t="s">
        <v>4109</v>
      </c>
      <c r="B1715" s="1839" t="s">
        <v>4110</v>
      </c>
      <c r="C1715" s="1839" t="s">
        <v>625</v>
      </c>
      <c r="D1715" s="1839" t="s">
        <v>4111</v>
      </c>
      <c r="E1715" s="1840">
        <v>43460</v>
      </c>
      <c r="F1715" s="1840"/>
      <c r="G1715" s="1839" t="s">
        <v>500</v>
      </c>
      <c r="H1715" s="1839" t="s">
        <v>1060</v>
      </c>
      <c r="I1715" s="1831" t="s">
        <v>1061</v>
      </c>
      <c r="J1715" s="1831"/>
    </row>
    <row r="1716" spans="1:10" ht="15" hidden="1" x14ac:dyDescent="0.35">
      <c r="A1716" s="1831" t="s">
        <v>4112</v>
      </c>
      <c r="B1716" s="1839" t="s">
        <v>4113</v>
      </c>
      <c r="C1716" s="1839" t="s">
        <v>544</v>
      </c>
      <c r="D1716" s="1839" t="s">
        <v>4114</v>
      </c>
      <c r="E1716" s="1840">
        <v>43460</v>
      </c>
      <c r="F1716" s="1840"/>
      <c r="G1716" s="1839" t="s">
        <v>500</v>
      </c>
      <c r="H1716" s="1839" t="s">
        <v>1065</v>
      </c>
      <c r="I1716" s="1831" t="s">
        <v>1066</v>
      </c>
      <c r="J1716" s="1831"/>
    </row>
    <row r="1717" spans="1:10" ht="15" hidden="1" x14ac:dyDescent="0.35">
      <c r="A1717" s="1831" t="s">
        <v>4115</v>
      </c>
      <c r="B1717" s="1839" t="s">
        <v>4116</v>
      </c>
      <c r="C1717" s="1839" t="s">
        <v>1088</v>
      </c>
      <c r="D1717" s="1839" t="s">
        <v>4117</v>
      </c>
      <c r="E1717" s="1840">
        <v>45821</v>
      </c>
      <c r="F1717" s="1840"/>
      <c r="G1717" s="1839" t="s">
        <v>500</v>
      </c>
      <c r="H1717" s="1839" t="s">
        <v>1065</v>
      </c>
      <c r="I1717" s="1831" t="s">
        <v>1066</v>
      </c>
      <c r="J1717" s="1831"/>
    </row>
    <row r="1718" spans="1:10" ht="15" hidden="1" x14ac:dyDescent="0.35">
      <c r="A1718" s="1831" t="s">
        <v>4118</v>
      </c>
      <c r="B1718" s="1839" t="s">
        <v>4119</v>
      </c>
      <c r="C1718" s="1839" t="s">
        <v>527</v>
      </c>
      <c r="D1718" s="1839" t="s">
        <v>4120</v>
      </c>
      <c r="E1718" s="1840">
        <v>45849</v>
      </c>
      <c r="F1718" s="1840"/>
      <c r="G1718" s="1839" t="s">
        <v>500</v>
      </c>
      <c r="H1718" s="1839" t="s">
        <v>1065</v>
      </c>
      <c r="I1718" s="1831" t="s">
        <v>1066</v>
      </c>
      <c r="J1718" s="1831"/>
    </row>
    <row r="1719" spans="1:10" ht="15" hidden="1" x14ac:dyDescent="0.35">
      <c r="A1719" s="1831" t="s">
        <v>4121</v>
      </c>
      <c r="B1719" s="1839" t="s">
        <v>4122</v>
      </c>
      <c r="C1719" s="1839" t="s">
        <v>544</v>
      </c>
      <c r="D1719" s="1839" t="s">
        <v>4123</v>
      </c>
      <c r="E1719" s="1840">
        <v>43873</v>
      </c>
      <c r="F1719" s="1840"/>
      <c r="G1719" s="1839" t="s">
        <v>500</v>
      </c>
      <c r="H1719" s="1839" t="s">
        <v>1060</v>
      </c>
      <c r="I1719" s="1831" t="s">
        <v>1061</v>
      </c>
      <c r="J1719" s="1831"/>
    </row>
    <row r="1720" spans="1:10" ht="15" hidden="1" x14ac:dyDescent="0.35">
      <c r="A1720" s="1831" t="s">
        <v>4124</v>
      </c>
      <c r="B1720" s="1839" t="s">
        <v>4125</v>
      </c>
      <c r="C1720" s="1839" t="s">
        <v>578</v>
      </c>
      <c r="D1720" s="1839" t="s">
        <v>4126</v>
      </c>
      <c r="E1720" s="1840">
        <v>45131</v>
      </c>
      <c r="F1720" s="1840"/>
      <c r="G1720" s="1839" t="s">
        <v>500</v>
      </c>
      <c r="H1720" s="1839" t="s">
        <v>1060</v>
      </c>
      <c r="I1720" s="1831" t="s">
        <v>1061</v>
      </c>
      <c r="J1720" s="1831"/>
    </row>
    <row r="1721" spans="1:10" ht="15" hidden="1" x14ac:dyDescent="0.35">
      <c r="A1721" s="1831" t="s">
        <v>4127</v>
      </c>
      <c r="B1721" s="1839" t="s">
        <v>4128</v>
      </c>
      <c r="C1721" s="1839" t="s">
        <v>1148</v>
      </c>
      <c r="D1721" s="1839" t="s">
        <v>4129</v>
      </c>
      <c r="E1721" s="1840">
        <v>45426</v>
      </c>
      <c r="F1721" s="1840"/>
      <c r="G1721" s="1839" t="s">
        <v>500</v>
      </c>
      <c r="H1721" s="1839" t="s">
        <v>1065</v>
      </c>
      <c r="I1721" s="1831" t="s">
        <v>1066</v>
      </c>
      <c r="J1721" s="1831"/>
    </row>
    <row r="1722" spans="1:10" ht="15" hidden="1" x14ac:dyDescent="0.35">
      <c r="A1722" s="8" t="s">
        <v>4130</v>
      </c>
      <c r="B1722" t="s">
        <v>4131</v>
      </c>
      <c r="C1722" t="s">
        <v>420</v>
      </c>
      <c r="D1722" t="s">
        <v>4132</v>
      </c>
      <c r="E1722" s="9">
        <v>45721</v>
      </c>
      <c r="F1722" s="9">
        <v>45812</v>
      </c>
      <c r="G1722" t="s">
        <v>494</v>
      </c>
      <c r="H1722" t="s">
        <v>1078</v>
      </c>
      <c r="I1722" t="s">
        <v>1061</v>
      </c>
      <c r="J1722"/>
    </row>
    <row r="1723" spans="1:10" ht="15" hidden="1" x14ac:dyDescent="0.35">
      <c r="A1723" s="8" t="s">
        <v>4133</v>
      </c>
      <c r="B1723" t="s">
        <v>4134</v>
      </c>
      <c r="C1723" t="s">
        <v>410</v>
      </c>
      <c r="D1723" t="s">
        <v>4135</v>
      </c>
      <c r="E1723" s="9">
        <v>45707</v>
      </c>
      <c r="F1723" s="9">
        <v>45828</v>
      </c>
      <c r="G1723" t="s">
        <v>494</v>
      </c>
      <c r="H1723" t="s">
        <v>1065</v>
      </c>
      <c r="I1723" t="s">
        <v>1066</v>
      </c>
      <c r="J1723"/>
    </row>
    <row r="1724" spans="1:10" ht="15" hidden="1" x14ac:dyDescent="0.35">
      <c r="A1724" s="1831" t="s">
        <v>4136</v>
      </c>
      <c r="B1724" s="1839" t="s">
        <v>4137</v>
      </c>
      <c r="C1724" s="1839" t="s">
        <v>1088</v>
      </c>
      <c r="D1724" s="1839" t="s">
        <v>4138</v>
      </c>
      <c r="E1724" s="1840">
        <v>45446</v>
      </c>
      <c r="F1724" s="1840"/>
      <c r="G1724" s="1839" t="s">
        <v>500</v>
      </c>
      <c r="H1724" s="1839" t="s">
        <v>1065</v>
      </c>
      <c r="I1724" s="1831" t="s">
        <v>1066</v>
      </c>
      <c r="J1724" s="1831"/>
    </row>
    <row r="1725" spans="1:10" ht="15" hidden="1" x14ac:dyDescent="0.35">
      <c r="A1725" s="1831" t="s">
        <v>4139</v>
      </c>
      <c r="B1725" s="1839" t="s">
        <v>4140</v>
      </c>
      <c r="C1725" s="1839" t="s">
        <v>443</v>
      </c>
      <c r="D1725" s="1839" t="s">
        <v>4141</v>
      </c>
      <c r="E1725" s="1840">
        <v>45420</v>
      </c>
      <c r="F1725" s="1840"/>
      <c r="G1725" s="1839" t="s">
        <v>500</v>
      </c>
      <c r="H1725" s="1839" t="s">
        <v>1065</v>
      </c>
      <c r="I1725" s="1831" t="s">
        <v>1066</v>
      </c>
      <c r="J1725" s="1831"/>
    </row>
    <row r="1726" spans="1:10" ht="15" hidden="1" x14ac:dyDescent="0.35">
      <c r="A1726" s="1831" t="s">
        <v>4142</v>
      </c>
      <c r="B1726" s="1839" t="s">
        <v>4143</v>
      </c>
      <c r="C1726" s="1839" t="s">
        <v>578</v>
      </c>
      <c r="D1726" s="1839" t="s">
        <v>4144</v>
      </c>
      <c r="E1726" s="1840">
        <v>45461</v>
      </c>
      <c r="F1726" s="1840"/>
      <c r="G1726" s="1839" t="s">
        <v>500</v>
      </c>
      <c r="H1726" s="1839" t="s">
        <v>1065</v>
      </c>
      <c r="I1726" s="1831" t="s">
        <v>1066</v>
      </c>
      <c r="J1726" s="1831"/>
    </row>
    <row r="1727" spans="1:10" ht="15" hidden="1" x14ac:dyDescent="0.35">
      <c r="A1727" s="1831" t="s">
        <v>4145</v>
      </c>
      <c r="B1727" s="1839" t="s">
        <v>4146</v>
      </c>
      <c r="C1727" s="1839" t="s">
        <v>1125</v>
      </c>
      <c r="D1727" s="1839" t="s">
        <v>4147</v>
      </c>
      <c r="E1727" s="1840">
        <v>45419</v>
      </c>
      <c r="F1727" s="1840"/>
      <c r="G1727" s="1839" t="s">
        <v>500</v>
      </c>
      <c r="H1727" s="1839" t="s">
        <v>1065</v>
      </c>
      <c r="I1727" s="1831" t="s">
        <v>1066</v>
      </c>
      <c r="J1727" s="1831"/>
    </row>
    <row r="1728" spans="1:10" ht="15" hidden="1" x14ac:dyDescent="0.35">
      <c r="A1728" s="1831" t="s">
        <v>4148</v>
      </c>
      <c r="B1728" s="1839" t="s">
        <v>4149</v>
      </c>
      <c r="C1728" s="1839" t="s">
        <v>455</v>
      </c>
      <c r="D1728" s="1839" t="s">
        <v>4150</v>
      </c>
      <c r="E1728" s="1840">
        <v>45856</v>
      </c>
      <c r="F1728" s="1840"/>
      <c r="G1728" s="1839" t="s">
        <v>500</v>
      </c>
      <c r="H1728" s="1839" t="s">
        <v>1065</v>
      </c>
      <c r="I1728" s="1831" t="s">
        <v>1066</v>
      </c>
      <c r="J1728" s="1831"/>
    </row>
    <row r="1729" spans="1:10" ht="15" hidden="1" x14ac:dyDescent="0.35">
      <c r="A1729" s="1831" t="s">
        <v>4151</v>
      </c>
      <c r="B1729" s="1839" t="s">
        <v>4152</v>
      </c>
      <c r="C1729" s="1839" t="s">
        <v>1291</v>
      </c>
      <c r="D1729" s="1839" t="s">
        <v>4153</v>
      </c>
      <c r="E1729" s="1840">
        <v>44768</v>
      </c>
      <c r="F1729" s="1840"/>
      <c r="G1729" s="1839" t="s">
        <v>500</v>
      </c>
      <c r="H1729" s="1839" t="s">
        <v>1060</v>
      </c>
      <c r="I1729" s="1831" t="s">
        <v>1061</v>
      </c>
      <c r="J1729" s="1831"/>
    </row>
    <row r="1730" spans="1:10" ht="15" hidden="1" x14ac:dyDescent="0.35">
      <c r="A1730" s="1831" t="s">
        <v>4154</v>
      </c>
      <c r="B1730" s="1839" t="s">
        <v>4155</v>
      </c>
      <c r="C1730" s="1839" t="s">
        <v>544</v>
      </c>
      <c r="D1730" s="1839" t="s">
        <v>4156</v>
      </c>
      <c r="E1730" s="1840">
        <v>41249</v>
      </c>
      <c r="F1730" s="1840"/>
      <c r="G1730" s="1839" t="s">
        <v>500</v>
      </c>
      <c r="H1730" s="1839" t="s">
        <v>1060</v>
      </c>
      <c r="I1730" s="1831" t="s">
        <v>1061</v>
      </c>
      <c r="J1730" s="1831"/>
    </row>
    <row r="1731" spans="1:10" ht="15" hidden="1" x14ac:dyDescent="0.35">
      <c r="A1731" s="1831" t="s">
        <v>4157</v>
      </c>
      <c r="B1731" s="1839" t="s">
        <v>4158</v>
      </c>
      <c r="C1731" s="1839" t="s">
        <v>455</v>
      </c>
      <c r="D1731" s="1839" t="s">
        <v>4159</v>
      </c>
      <c r="E1731" s="1840">
        <v>46066</v>
      </c>
      <c r="F1731" s="1840"/>
      <c r="G1731" s="1839" t="s">
        <v>500</v>
      </c>
      <c r="H1731" s="1839" t="s">
        <v>1060</v>
      </c>
      <c r="I1731" s="1831" t="s">
        <v>1061</v>
      </c>
      <c r="J1731" s="1831"/>
    </row>
    <row r="1732" spans="1:10" ht="15" hidden="1" x14ac:dyDescent="0.35">
      <c r="A1732" s="1831" t="s">
        <v>4160</v>
      </c>
      <c r="B1732" s="1839" t="s">
        <v>4161</v>
      </c>
      <c r="C1732" s="1839" t="s">
        <v>1144</v>
      </c>
      <c r="D1732" s="1839" t="s">
        <v>4162</v>
      </c>
      <c r="E1732" s="1840">
        <v>46000</v>
      </c>
      <c r="F1732" s="1840"/>
      <c r="G1732" s="1839" t="s">
        <v>500</v>
      </c>
      <c r="H1732" s="1839" t="s">
        <v>1060</v>
      </c>
      <c r="I1732" s="1831" t="s">
        <v>1061</v>
      </c>
      <c r="J1732" s="1831"/>
    </row>
    <row r="1733" spans="1:10" ht="15" hidden="1" x14ac:dyDescent="0.35">
      <c r="A1733" s="8" t="s">
        <v>4163</v>
      </c>
      <c r="B1733" t="s">
        <v>4164</v>
      </c>
      <c r="C1733" t="s">
        <v>446</v>
      </c>
      <c r="D1733" t="s">
        <v>4165</v>
      </c>
      <c r="E1733" s="9">
        <v>45779</v>
      </c>
      <c r="F1733" s="9">
        <v>46113</v>
      </c>
      <c r="G1733" t="s">
        <v>494</v>
      </c>
      <c r="H1733" t="s">
        <v>1060</v>
      </c>
      <c r="I1733" t="s">
        <v>1061</v>
      </c>
      <c r="J1733"/>
    </row>
    <row r="1734" spans="1:10" ht="15" hidden="1" x14ac:dyDescent="0.35">
      <c r="A1734" s="1831" t="s">
        <v>4166</v>
      </c>
      <c r="B1734" s="1839" t="s">
        <v>4167</v>
      </c>
      <c r="C1734" s="1839" t="s">
        <v>2479</v>
      </c>
      <c r="D1734" s="1839" t="s">
        <v>4168</v>
      </c>
      <c r="E1734" s="1840">
        <v>46037</v>
      </c>
      <c r="F1734" s="1840"/>
      <c r="G1734" s="1839" t="s">
        <v>500</v>
      </c>
      <c r="H1734" s="1839" t="s">
        <v>1060</v>
      </c>
      <c r="I1734" s="1831" t="s">
        <v>1061</v>
      </c>
      <c r="J1734" s="1831"/>
    </row>
    <row r="1735" spans="1:10" ht="15" hidden="1" x14ac:dyDescent="0.35">
      <c r="A1735" s="1831" t="s">
        <v>4169</v>
      </c>
      <c r="B1735" s="1839" t="s">
        <v>4170</v>
      </c>
      <c r="C1735" s="1839" t="s">
        <v>1088</v>
      </c>
      <c r="D1735" s="1839" t="s">
        <v>4171</v>
      </c>
      <c r="E1735" s="1840">
        <v>45707</v>
      </c>
      <c r="F1735" s="1840"/>
      <c r="G1735" s="1839" t="s">
        <v>525</v>
      </c>
      <c r="H1735" s="1839" t="s">
        <v>1065</v>
      </c>
      <c r="I1735" s="1831" t="s">
        <v>1066</v>
      </c>
      <c r="J1735" s="1831"/>
    </row>
    <row r="1736" spans="1:10" ht="15" hidden="1" x14ac:dyDescent="0.35">
      <c r="A1736" s="1831" t="s">
        <v>4172</v>
      </c>
      <c r="B1736" s="1839" t="s">
        <v>4173</v>
      </c>
      <c r="C1736" s="1839" t="s">
        <v>441</v>
      </c>
      <c r="D1736" s="1839" t="s">
        <v>4174</v>
      </c>
      <c r="E1736" s="1840">
        <v>45783</v>
      </c>
      <c r="F1736" s="1840"/>
      <c r="G1736" s="1839" t="s">
        <v>500</v>
      </c>
      <c r="H1736" s="1839" t="s">
        <v>1093</v>
      </c>
      <c r="I1736" s="1831" t="s">
        <v>1066</v>
      </c>
      <c r="J1736" s="1831"/>
    </row>
    <row r="1737" spans="1:10" ht="15" hidden="1" x14ac:dyDescent="0.35">
      <c r="A1737" s="1831" t="s">
        <v>4175</v>
      </c>
      <c r="B1737" s="1839" t="s">
        <v>4176</v>
      </c>
      <c r="C1737" s="1839" t="s">
        <v>433</v>
      </c>
      <c r="D1737" s="1839" t="s">
        <v>4177</v>
      </c>
      <c r="E1737" s="1840">
        <v>45821</v>
      </c>
      <c r="F1737" s="1840"/>
      <c r="G1737" s="1839" t="s">
        <v>500</v>
      </c>
      <c r="H1737" s="1839" t="s">
        <v>1078</v>
      </c>
      <c r="I1737" s="1831" t="s">
        <v>1061</v>
      </c>
      <c r="J1737" s="1831"/>
    </row>
    <row r="1738" spans="1:10" ht="15" hidden="1" x14ac:dyDescent="0.35">
      <c r="A1738" s="1831" t="s">
        <v>4178</v>
      </c>
      <c r="B1738" s="1839" t="s">
        <v>4179</v>
      </c>
      <c r="C1738" s="1839" t="s">
        <v>441</v>
      </c>
      <c r="D1738" s="1839" t="s">
        <v>4180</v>
      </c>
      <c r="E1738" s="1840">
        <v>46085</v>
      </c>
      <c r="F1738" s="1840"/>
      <c r="G1738" s="1839" t="s">
        <v>500</v>
      </c>
      <c r="H1738" s="1839" t="s">
        <v>1078</v>
      </c>
      <c r="I1738" s="1831" t="s">
        <v>1061</v>
      </c>
      <c r="J1738" s="1831"/>
    </row>
    <row r="1739" spans="1:10" ht="15" hidden="1" x14ac:dyDescent="0.35">
      <c r="A1739" s="1831" t="s">
        <v>4181</v>
      </c>
      <c r="B1739" s="1839" t="s">
        <v>4182</v>
      </c>
      <c r="C1739" s="1839" t="s">
        <v>2030</v>
      </c>
      <c r="D1739" s="1839" t="s">
        <v>4183</v>
      </c>
      <c r="E1739" s="1840">
        <v>46128</v>
      </c>
      <c r="F1739" s="1840"/>
      <c r="G1739" s="1839" t="s">
        <v>500</v>
      </c>
      <c r="H1739" s="1839" t="s">
        <v>1060</v>
      </c>
      <c r="I1739" s="1831" t="s">
        <v>1061</v>
      </c>
      <c r="J1739" s="1831"/>
    </row>
    <row r="1740" spans="1:10" ht="15" hidden="1" x14ac:dyDescent="0.35">
      <c r="A1740" s="1831" t="s">
        <v>4184</v>
      </c>
      <c r="B1740" s="1839" t="s">
        <v>4185</v>
      </c>
      <c r="C1740" s="1839" t="s">
        <v>1088</v>
      </c>
      <c r="D1740" s="1839" t="s">
        <v>4186</v>
      </c>
      <c r="E1740" s="1840">
        <v>46090</v>
      </c>
      <c r="F1740" s="1840"/>
      <c r="G1740" s="1839" t="s">
        <v>500</v>
      </c>
      <c r="H1740" s="1839" t="s">
        <v>1065</v>
      </c>
      <c r="I1740" s="1831" t="s">
        <v>1066</v>
      </c>
      <c r="J1740" s="1831"/>
    </row>
    <row r="1741" spans="1:10" ht="15" hidden="1" x14ac:dyDescent="0.35">
      <c r="A1741" s="8" t="s">
        <v>4187</v>
      </c>
      <c r="B1741" t="s">
        <v>4188</v>
      </c>
      <c r="C1741" t="s">
        <v>420</v>
      </c>
      <c r="D1741" t="s">
        <v>4189</v>
      </c>
      <c r="E1741" s="9">
        <v>45425</v>
      </c>
      <c r="F1741" s="9">
        <v>45901</v>
      </c>
      <c r="G1741" t="s">
        <v>494</v>
      </c>
      <c r="H1741" t="s">
        <v>1093</v>
      </c>
      <c r="I1741" t="s">
        <v>1066</v>
      </c>
      <c r="J1741"/>
    </row>
    <row r="1742" spans="1:10" ht="15" hidden="1" x14ac:dyDescent="0.35">
      <c r="A1742" s="1831" t="s">
        <v>4190</v>
      </c>
      <c r="B1742" s="1839" t="s">
        <v>4191</v>
      </c>
      <c r="C1742" s="1839" t="s">
        <v>1440</v>
      </c>
      <c r="D1742" s="1839" t="s">
        <v>4192</v>
      </c>
      <c r="E1742" s="1840">
        <v>45545</v>
      </c>
      <c r="F1742" s="1840"/>
      <c r="G1742" s="1839" t="s">
        <v>525</v>
      </c>
      <c r="H1742" s="1839" t="s">
        <v>1060</v>
      </c>
      <c r="I1742" s="1831" t="s">
        <v>1061</v>
      </c>
      <c r="J1742" s="1831"/>
    </row>
    <row r="1743" spans="1:10" ht="15" hidden="1" x14ac:dyDescent="0.35">
      <c r="A1743" s="1831" t="s">
        <v>4193</v>
      </c>
      <c r="B1743" s="1839" t="s">
        <v>4194</v>
      </c>
      <c r="C1743" s="1839" t="s">
        <v>420</v>
      </c>
      <c r="D1743" s="1839" t="s">
        <v>4195</v>
      </c>
      <c r="E1743" s="1840">
        <v>45419</v>
      </c>
      <c r="F1743" s="1840"/>
      <c r="G1743" s="1839" t="s">
        <v>500</v>
      </c>
      <c r="H1743" s="1839" t="s">
        <v>1093</v>
      </c>
      <c r="I1743" s="1831" t="s">
        <v>1066</v>
      </c>
      <c r="J1743" s="1831"/>
    </row>
    <row r="1744" spans="1:10" ht="15" hidden="1" x14ac:dyDescent="0.35">
      <c r="A1744" s="8" t="s">
        <v>4196</v>
      </c>
      <c r="B1744" t="s">
        <v>4197</v>
      </c>
      <c r="C1744" t="s">
        <v>411</v>
      </c>
      <c r="D1744" t="s">
        <v>4198</v>
      </c>
      <c r="E1744" s="9">
        <v>46001</v>
      </c>
      <c r="F1744" s="9">
        <v>46154</v>
      </c>
      <c r="G1744" t="s">
        <v>494</v>
      </c>
      <c r="H1744" t="s">
        <v>1060</v>
      </c>
      <c r="I1744" t="s">
        <v>1061</v>
      </c>
      <c r="J1744"/>
    </row>
    <row r="1745" spans="1:10" ht="15" hidden="1" x14ac:dyDescent="0.35">
      <c r="A1745" s="1831" t="s">
        <v>4199</v>
      </c>
      <c r="B1745" s="1839" t="s">
        <v>4200</v>
      </c>
      <c r="C1745" s="1839" t="s">
        <v>420</v>
      </c>
      <c r="D1745" s="1839" t="s">
        <v>4201</v>
      </c>
      <c r="E1745" s="1840">
        <v>45419</v>
      </c>
      <c r="F1745" s="1840"/>
      <c r="G1745" s="1839" t="s">
        <v>500</v>
      </c>
      <c r="H1745" s="1839" t="s">
        <v>1093</v>
      </c>
      <c r="I1745" s="1831" t="s">
        <v>1066</v>
      </c>
      <c r="J1745" s="1831"/>
    </row>
    <row r="1746" spans="1:10" ht="15" hidden="1" x14ac:dyDescent="0.35">
      <c r="A1746" s="1831" t="s">
        <v>4202</v>
      </c>
      <c r="B1746" s="1839" t="s">
        <v>4203</v>
      </c>
      <c r="C1746" s="1839" t="s">
        <v>420</v>
      </c>
      <c r="D1746" s="1839" t="s">
        <v>4204</v>
      </c>
      <c r="E1746" s="1840">
        <v>45419</v>
      </c>
      <c r="F1746" s="1840"/>
      <c r="G1746" s="1839" t="s">
        <v>500</v>
      </c>
      <c r="H1746" s="1839" t="s">
        <v>1093</v>
      </c>
      <c r="I1746" s="1831" t="s">
        <v>1066</v>
      </c>
      <c r="J1746" s="1831"/>
    </row>
    <row r="1747" spans="1:10" ht="15" hidden="1" x14ac:dyDescent="0.35">
      <c r="A1747" s="1831" t="s">
        <v>4205</v>
      </c>
      <c r="B1747" s="1839" t="s">
        <v>4206</v>
      </c>
      <c r="C1747" s="1839" t="s">
        <v>420</v>
      </c>
      <c r="D1747" s="1839" t="s">
        <v>4207</v>
      </c>
      <c r="E1747" s="1840">
        <v>45883</v>
      </c>
      <c r="F1747" s="1840"/>
      <c r="G1747" s="1839" t="s">
        <v>500</v>
      </c>
      <c r="H1747" s="1839" t="s">
        <v>1093</v>
      </c>
      <c r="I1747" s="1831" t="s">
        <v>1066</v>
      </c>
      <c r="J1747" s="1831"/>
    </row>
    <row r="1748" spans="1:10" ht="15" hidden="1" x14ac:dyDescent="0.35">
      <c r="A1748" s="1831" t="s">
        <v>4208</v>
      </c>
      <c r="B1748" s="1839" t="s">
        <v>4209</v>
      </c>
      <c r="C1748" s="1839" t="s">
        <v>420</v>
      </c>
      <c r="D1748" s="1839" t="s">
        <v>4210</v>
      </c>
      <c r="E1748" s="1840">
        <v>46008</v>
      </c>
      <c r="F1748" s="1840"/>
      <c r="G1748" s="1839" t="s">
        <v>500</v>
      </c>
      <c r="H1748" s="1839" t="s">
        <v>1078</v>
      </c>
      <c r="I1748" s="1831" t="s">
        <v>1061</v>
      </c>
      <c r="J1748" s="1831"/>
    </row>
    <row r="1749" spans="1:10" ht="15" hidden="1" x14ac:dyDescent="0.35">
      <c r="A1749" s="1831" t="s">
        <v>4211</v>
      </c>
      <c r="B1749" s="1839" t="s">
        <v>4212</v>
      </c>
      <c r="C1749" s="1839" t="s">
        <v>411</v>
      </c>
      <c r="D1749" s="1839" t="s">
        <v>4213</v>
      </c>
      <c r="E1749" s="1840">
        <v>45820</v>
      </c>
      <c r="F1749" s="1840"/>
      <c r="G1749" s="1839" t="s">
        <v>500</v>
      </c>
      <c r="H1749" s="1839" t="s">
        <v>1060</v>
      </c>
      <c r="I1749" s="1831" t="s">
        <v>1061</v>
      </c>
      <c r="J1749" s="1831"/>
    </row>
    <row r="1750" spans="1:10" ht="15" hidden="1" x14ac:dyDescent="0.35">
      <c r="A1750" s="1831" t="s">
        <v>4214</v>
      </c>
      <c r="B1750" s="1839" t="s">
        <v>4215</v>
      </c>
      <c r="C1750" s="1839" t="s">
        <v>1263</v>
      </c>
      <c r="D1750" s="1839" t="s">
        <v>4216</v>
      </c>
      <c r="E1750" s="1840">
        <v>45419</v>
      </c>
      <c r="F1750" s="1840"/>
      <c r="G1750" s="1839" t="s">
        <v>500</v>
      </c>
      <c r="H1750" s="1839" t="s">
        <v>1093</v>
      </c>
      <c r="I1750" s="1831" t="s">
        <v>1066</v>
      </c>
      <c r="J1750" s="1831"/>
    </row>
    <row r="1751" spans="1:10" ht="15" hidden="1" x14ac:dyDescent="0.35">
      <c r="A1751" s="1831" t="s">
        <v>4217</v>
      </c>
      <c r="B1751" s="1839" t="s">
        <v>4218</v>
      </c>
      <c r="C1751" s="1839" t="s">
        <v>420</v>
      </c>
      <c r="D1751" s="1839" t="s">
        <v>4219</v>
      </c>
      <c r="E1751" s="1840">
        <v>45383</v>
      </c>
      <c r="F1751" s="1840"/>
      <c r="G1751" s="1839" t="s">
        <v>500</v>
      </c>
      <c r="H1751" s="1839" t="s">
        <v>1078</v>
      </c>
      <c r="I1751" s="1831" t="s">
        <v>1061</v>
      </c>
      <c r="J1751" s="1831"/>
    </row>
    <row r="1752" spans="1:10" ht="15" hidden="1" x14ac:dyDescent="0.35">
      <c r="A1752" s="1831" t="s">
        <v>4220</v>
      </c>
      <c r="B1752" s="1839" t="s">
        <v>4221</v>
      </c>
      <c r="C1752" s="1839" t="s">
        <v>796</v>
      </c>
      <c r="D1752" s="1839" t="s">
        <v>4222</v>
      </c>
      <c r="E1752" s="1840">
        <v>45751</v>
      </c>
      <c r="F1752" s="1840"/>
      <c r="G1752" s="1839" t="s">
        <v>500</v>
      </c>
      <c r="H1752" s="1839" t="s">
        <v>1078</v>
      </c>
      <c r="I1752" s="1831" t="s">
        <v>1061</v>
      </c>
      <c r="J1752" s="1831"/>
    </row>
    <row r="1753" spans="1:10" ht="15" hidden="1" x14ac:dyDescent="0.35">
      <c r="A1753" s="8" t="s">
        <v>4223</v>
      </c>
      <c r="B1753" t="s">
        <v>4224</v>
      </c>
      <c r="C1753" t="s">
        <v>420</v>
      </c>
      <c r="D1753" t="s">
        <v>4225</v>
      </c>
      <c r="E1753" s="9">
        <v>45572</v>
      </c>
      <c r="F1753" s="9">
        <v>45812</v>
      </c>
      <c r="G1753" t="s">
        <v>494</v>
      </c>
      <c r="H1753" t="s">
        <v>1078</v>
      </c>
      <c r="I1753" t="s">
        <v>1061</v>
      </c>
      <c r="J1753"/>
    </row>
    <row r="1754" spans="1:10" ht="15" hidden="1" x14ac:dyDescent="0.35">
      <c r="A1754" s="1831" t="s">
        <v>4226</v>
      </c>
      <c r="B1754" s="1839" t="s">
        <v>4227</v>
      </c>
      <c r="C1754" s="1839" t="s">
        <v>420</v>
      </c>
      <c r="D1754" s="1839" t="s">
        <v>4228</v>
      </c>
      <c r="E1754" s="1840">
        <v>45642</v>
      </c>
      <c r="F1754" s="1840"/>
      <c r="G1754" s="1839" t="s">
        <v>500</v>
      </c>
      <c r="H1754" s="1839" t="s">
        <v>1093</v>
      </c>
      <c r="I1754" s="1831" t="s">
        <v>1066</v>
      </c>
      <c r="J1754" s="1831"/>
    </row>
    <row r="1755" spans="1:10" ht="15" hidden="1" x14ac:dyDescent="0.35">
      <c r="A1755" s="1831" t="s">
        <v>4229</v>
      </c>
      <c r="B1755" s="1839" t="s">
        <v>4230</v>
      </c>
      <c r="C1755" s="1839" t="s">
        <v>1144</v>
      </c>
      <c r="D1755" s="1839" t="s">
        <v>4231</v>
      </c>
      <c r="E1755" s="1840">
        <v>46097</v>
      </c>
      <c r="F1755" s="1840"/>
      <c r="G1755" s="1839" t="s">
        <v>500</v>
      </c>
      <c r="H1755" s="1839" t="s">
        <v>1060</v>
      </c>
      <c r="I1755" s="1831" t="s">
        <v>1061</v>
      </c>
      <c r="J1755" s="1831"/>
    </row>
    <row r="1756" spans="1:10" ht="15" hidden="1" x14ac:dyDescent="0.35">
      <c r="A1756" s="1831" t="s">
        <v>4232</v>
      </c>
      <c r="B1756" s="1839" t="s">
        <v>4233</v>
      </c>
      <c r="C1756" s="1839" t="s">
        <v>443</v>
      </c>
      <c r="D1756" s="1839" t="s">
        <v>4234</v>
      </c>
      <c r="E1756" s="1840">
        <v>45420</v>
      </c>
      <c r="F1756" s="1840"/>
      <c r="G1756" s="1839" t="s">
        <v>500</v>
      </c>
      <c r="H1756" s="1839" t="s">
        <v>1065</v>
      </c>
      <c r="I1756" s="1831" t="s">
        <v>1066</v>
      </c>
      <c r="J1756" s="1831"/>
    </row>
    <row r="1757" spans="1:10" ht="15" hidden="1" x14ac:dyDescent="0.35">
      <c r="A1757" s="1831" t="s">
        <v>4235</v>
      </c>
      <c r="B1757" s="1839" t="s">
        <v>4236</v>
      </c>
      <c r="C1757" s="1839" t="s">
        <v>420</v>
      </c>
      <c r="D1757" s="1839" t="s">
        <v>4237</v>
      </c>
      <c r="E1757" s="1840">
        <v>45419</v>
      </c>
      <c r="F1757" s="1840"/>
      <c r="G1757" s="1839" t="s">
        <v>500</v>
      </c>
      <c r="H1757" s="1839" t="s">
        <v>1093</v>
      </c>
      <c r="I1757" s="1831" t="s">
        <v>1066</v>
      </c>
      <c r="J1757" s="1831"/>
    </row>
    <row r="1758" spans="1:10" ht="15" hidden="1" x14ac:dyDescent="0.35">
      <c r="A1758" s="8" t="s">
        <v>4238</v>
      </c>
      <c r="B1758" t="s">
        <v>4239</v>
      </c>
      <c r="C1758" t="s">
        <v>410</v>
      </c>
      <c r="D1758" t="s">
        <v>4240</v>
      </c>
      <c r="E1758" s="9">
        <v>45721</v>
      </c>
      <c r="F1758" s="9">
        <v>45826</v>
      </c>
      <c r="G1758" t="s">
        <v>494</v>
      </c>
      <c r="H1758" t="s">
        <v>1060</v>
      </c>
      <c r="I1758" t="s">
        <v>1061</v>
      </c>
      <c r="J1758"/>
    </row>
    <row r="1759" spans="1:10" ht="15" hidden="1" x14ac:dyDescent="0.35">
      <c r="A1759" s="1831" t="s">
        <v>4241</v>
      </c>
      <c r="B1759" s="1839" t="s">
        <v>4242</v>
      </c>
      <c r="C1759" s="1839" t="s">
        <v>4243</v>
      </c>
      <c r="D1759" s="1839" t="s">
        <v>4244</v>
      </c>
      <c r="E1759" s="1840">
        <v>44768</v>
      </c>
      <c r="F1759" s="1840"/>
      <c r="G1759" s="1839" t="s">
        <v>500</v>
      </c>
      <c r="H1759" s="1839" t="s">
        <v>1060</v>
      </c>
      <c r="I1759" s="1831" t="s">
        <v>1061</v>
      </c>
      <c r="J1759" s="1831"/>
    </row>
    <row r="1760" spans="1:10" ht="15" hidden="1" x14ac:dyDescent="0.35">
      <c r="A1760" s="1831" t="s">
        <v>4245</v>
      </c>
      <c r="B1760" s="1839" t="s">
        <v>4246</v>
      </c>
      <c r="C1760" s="1839" t="s">
        <v>578</v>
      </c>
      <c r="D1760" s="1839" t="s">
        <v>4247</v>
      </c>
      <c r="E1760" s="1840">
        <v>45383</v>
      </c>
      <c r="F1760" s="1840"/>
      <c r="G1760" s="1839" t="s">
        <v>500</v>
      </c>
      <c r="H1760" s="1839" t="s">
        <v>1065</v>
      </c>
      <c r="I1760" s="1831" t="s">
        <v>1066</v>
      </c>
      <c r="J1760" s="1831"/>
    </row>
    <row r="1761" spans="1:10" ht="15" hidden="1" x14ac:dyDescent="0.35">
      <c r="A1761" s="1831" t="s">
        <v>4248</v>
      </c>
      <c r="B1761" s="1839" t="s">
        <v>4249</v>
      </c>
      <c r="C1761" s="1839" t="s">
        <v>410</v>
      </c>
      <c r="D1761" s="1839" t="s">
        <v>4250</v>
      </c>
      <c r="E1761" s="1840">
        <v>45383</v>
      </c>
      <c r="F1761" s="1840"/>
      <c r="G1761" s="1839" t="s">
        <v>500</v>
      </c>
      <c r="H1761" s="1839" t="s">
        <v>1060</v>
      </c>
      <c r="I1761" s="1831" t="s">
        <v>1061</v>
      </c>
      <c r="J1761" s="1831"/>
    </row>
    <row r="1762" spans="1:10" ht="15" hidden="1" x14ac:dyDescent="0.35">
      <c r="A1762" s="8" t="s">
        <v>4251</v>
      </c>
      <c r="B1762" t="s">
        <v>4252</v>
      </c>
      <c r="C1762" t="s">
        <v>420</v>
      </c>
      <c r="D1762" t="s">
        <v>4253</v>
      </c>
      <c r="E1762" s="9">
        <v>45764</v>
      </c>
      <c r="G1762" t="s">
        <v>634</v>
      </c>
      <c r="H1762" t="s">
        <v>1093</v>
      </c>
      <c r="I1762" t="s">
        <v>1066</v>
      </c>
      <c r="J1762"/>
    </row>
    <row r="1763" spans="1:10" ht="15" hidden="1" x14ac:dyDescent="0.35">
      <c r="A1763" s="1831" t="s">
        <v>4254</v>
      </c>
      <c r="B1763" s="1839" t="s">
        <v>4255</v>
      </c>
      <c r="C1763" s="1839" t="s">
        <v>1213</v>
      </c>
      <c r="D1763" s="1839" t="s">
        <v>4256</v>
      </c>
      <c r="E1763" s="1840">
        <v>45215</v>
      </c>
      <c r="F1763" s="1840"/>
      <c r="G1763" s="1839" t="s">
        <v>500</v>
      </c>
      <c r="H1763" s="1839" t="s">
        <v>1060</v>
      </c>
      <c r="I1763" s="1831" t="s">
        <v>1061</v>
      </c>
      <c r="J1763" s="1831"/>
    </row>
    <row r="1764" spans="1:10" ht="15" hidden="1" x14ac:dyDescent="0.35">
      <c r="A1764" s="1831" t="s">
        <v>4257</v>
      </c>
      <c r="B1764" s="1839" t="s">
        <v>4258</v>
      </c>
      <c r="C1764" s="1839" t="s">
        <v>1144</v>
      </c>
      <c r="D1764" s="1839" t="s">
        <v>4259</v>
      </c>
      <c r="E1764" s="1840">
        <v>45749</v>
      </c>
      <c r="F1764" s="1840"/>
      <c r="G1764" s="1839" t="s">
        <v>500</v>
      </c>
      <c r="H1764" s="1839" t="s">
        <v>1065</v>
      </c>
      <c r="I1764" s="1831" t="s">
        <v>1066</v>
      </c>
      <c r="J1764" s="1831"/>
    </row>
    <row r="1765" spans="1:10" ht="15" hidden="1" x14ac:dyDescent="0.35">
      <c r="A1765" s="1831" t="s">
        <v>4260</v>
      </c>
      <c r="B1765" s="1839" t="s">
        <v>4261</v>
      </c>
      <c r="C1765" s="1839" t="s">
        <v>1144</v>
      </c>
      <c r="D1765" s="1839" t="s">
        <v>4262</v>
      </c>
      <c r="E1765" s="1840">
        <v>45994</v>
      </c>
      <c r="F1765" s="1840"/>
      <c r="G1765" s="1839" t="s">
        <v>500</v>
      </c>
      <c r="H1765" s="1839" t="s">
        <v>1065</v>
      </c>
      <c r="I1765" s="1831" t="s">
        <v>1066</v>
      </c>
      <c r="J1765" s="1831"/>
    </row>
    <row r="1766" spans="1:10" ht="15" hidden="1" x14ac:dyDescent="0.35">
      <c r="A1766" s="8" t="s">
        <v>4263</v>
      </c>
      <c r="B1766" t="s">
        <v>4264</v>
      </c>
      <c r="C1766" t="s">
        <v>1876</v>
      </c>
      <c r="D1766" t="s">
        <v>4265</v>
      </c>
      <c r="E1766" s="9">
        <v>44837</v>
      </c>
      <c r="F1766" s="9">
        <v>45931</v>
      </c>
      <c r="G1766" t="s">
        <v>494</v>
      </c>
      <c r="H1766" t="s">
        <v>1060</v>
      </c>
      <c r="I1766" t="s">
        <v>1061</v>
      </c>
      <c r="J1766"/>
    </row>
    <row r="1767" spans="1:10" ht="15" hidden="1" x14ac:dyDescent="0.35">
      <c r="A1767" s="8" t="s">
        <v>4266</v>
      </c>
      <c r="B1767" t="s">
        <v>4267</v>
      </c>
      <c r="C1767" t="s">
        <v>1213</v>
      </c>
      <c r="D1767" t="s">
        <v>4268</v>
      </c>
      <c r="E1767" s="9">
        <v>45799</v>
      </c>
      <c r="F1767" s="9">
        <v>46129</v>
      </c>
      <c r="G1767" t="s">
        <v>494</v>
      </c>
      <c r="H1767" t="s">
        <v>1060</v>
      </c>
      <c r="I1767" t="s">
        <v>1061</v>
      </c>
      <c r="J1767"/>
    </row>
    <row r="1768" spans="1:10" ht="15" hidden="1" x14ac:dyDescent="0.35">
      <c r="A1768" s="1831" t="s">
        <v>4269</v>
      </c>
      <c r="B1768" s="1839" t="s">
        <v>4270</v>
      </c>
      <c r="C1768" s="1839" t="s">
        <v>420</v>
      </c>
      <c r="D1768" s="1839" t="s">
        <v>4271</v>
      </c>
      <c r="E1768" s="1840">
        <v>45376</v>
      </c>
      <c r="F1768" s="1840"/>
      <c r="G1768" s="1839" t="s">
        <v>500</v>
      </c>
      <c r="H1768" s="1839" t="s">
        <v>1078</v>
      </c>
      <c r="I1768" s="1831" t="s">
        <v>1061</v>
      </c>
      <c r="J1768" s="1831"/>
    </row>
    <row r="1769" spans="1:10" ht="15" hidden="1" x14ac:dyDescent="0.35">
      <c r="A1769" s="1831" t="s">
        <v>4272</v>
      </c>
      <c r="B1769" s="1839" t="s">
        <v>4273</v>
      </c>
      <c r="C1769" s="1839" t="s">
        <v>1144</v>
      </c>
      <c r="D1769" s="1839" t="s">
        <v>4274</v>
      </c>
      <c r="E1769" s="1840">
        <v>45419</v>
      </c>
      <c r="F1769" s="1840"/>
      <c r="G1769" s="1839" t="s">
        <v>500</v>
      </c>
      <c r="H1769" s="1839" t="s">
        <v>1065</v>
      </c>
      <c r="I1769" s="1831" t="s">
        <v>1066</v>
      </c>
      <c r="J1769" s="1831"/>
    </row>
    <row r="1770" spans="1:10" ht="15" hidden="1" x14ac:dyDescent="0.35">
      <c r="A1770" s="8" t="s">
        <v>4275</v>
      </c>
      <c r="B1770" t="s">
        <v>4276</v>
      </c>
      <c r="C1770" t="s">
        <v>420</v>
      </c>
      <c r="D1770" t="s">
        <v>4277</v>
      </c>
      <c r="E1770" s="9">
        <v>45993</v>
      </c>
      <c r="F1770" s="9">
        <v>46128</v>
      </c>
      <c r="G1770" t="s">
        <v>494</v>
      </c>
      <c r="H1770" t="s">
        <v>1078</v>
      </c>
      <c r="I1770" t="s">
        <v>1061</v>
      </c>
      <c r="J1770"/>
    </row>
    <row r="1771" spans="1:10" ht="15" hidden="1" x14ac:dyDescent="0.35">
      <c r="A1771" s="1831" t="s">
        <v>4278</v>
      </c>
      <c r="B1771" s="1839" t="s">
        <v>4279</v>
      </c>
      <c r="C1771" s="1839" t="s">
        <v>544</v>
      </c>
      <c r="D1771" s="1839" t="s">
        <v>4280</v>
      </c>
      <c r="E1771" s="1840">
        <v>41885</v>
      </c>
      <c r="F1771" s="1840"/>
      <c r="G1771" s="1839" t="s">
        <v>500</v>
      </c>
      <c r="H1771" s="1839" t="s">
        <v>1065</v>
      </c>
      <c r="I1771" s="1831" t="s">
        <v>1066</v>
      </c>
      <c r="J1771" s="1831"/>
    </row>
    <row r="1772" spans="1:10" ht="15" hidden="1" x14ac:dyDescent="0.35">
      <c r="A1772" s="1831" t="s">
        <v>4281</v>
      </c>
      <c r="B1772" s="1839" t="s">
        <v>4282</v>
      </c>
      <c r="C1772" s="1839" t="s">
        <v>420</v>
      </c>
      <c r="D1772" s="1839" t="s">
        <v>4283</v>
      </c>
      <c r="E1772" s="1840">
        <v>46146</v>
      </c>
      <c r="F1772" s="1840"/>
      <c r="G1772" s="1839" t="s">
        <v>500</v>
      </c>
      <c r="H1772" s="1839" t="s">
        <v>1093</v>
      </c>
      <c r="I1772" s="1831" t="s">
        <v>1066</v>
      </c>
      <c r="J1772" s="1831"/>
    </row>
    <row r="1773" spans="1:10" ht="15" hidden="1" x14ac:dyDescent="0.35">
      <c r="A1773" s="1831" t="s">
        <v>4284</v>
      </c>
      <c r="B1773" s="1839" t="s">
        <v>4285</v>
      </c>
      <c r="C1773" s="1839" t="s">
        <v>420</v>
      </c>
      <c r="D1773" s="1839" t="s">
        <v>4286</v>
      </c>
      <c r="E1773" s="1840">
        <v>45693</v>
      </c>
      <c r="F1773" s="1840"/>
      <c r="G1773" s="1839" t="s">
        <v>525</v>
      </c>
      <c r="H1773" s="1839" t="s">
        <v>1078</v>
      </c>
      <c r="I1773" s="1831" t="s">
        <v>1061</v>
      </c>
      <c r="J1773" s="1831"/>
    </row>
    <row r="1774" spans="1:10" ht="15" hidden="1" x14ac:dyDescent="0.35">
      <c r="A1774" s="8" t="s">
        <v>4287</v>
      </c>
      <c r="B1774" t="s">
        <v>4288</v>
      </c>
      <c r="C1774" t="s">
        <v>420</v>
      </c>
      <c r="D1774" t="s">
        <v>4289</v>
      </c>
      <c r="E1774" s="9">
        <v>45790</v>
      </c>
      <c r="F1774" s="9">
        <v>45848</v>
      </c>
      <c r="G1774" t="s">
        <v>494</v>
      </c>
      <c r="H1774" t="s">
        <v>1093</v>
      </c>
      <c r="I1774" t="s">
        <v>1066</v>
      </c>
      <c r="J1774"/>
    </row>
    <row r="1775" spans="1:10" ht="15" hidden="1" x14ac:dyDescent="0.35">
      <c r="A1775" s="1831" t="s">
        <v>4290</v>
      </c>
      <c r="B1775" s="1839" t="s">
        <v>4291</v>
      </c>
      <c r="C1775" s="1839" t="s">
        <v>1072</v>
      </c>
      <c r="D1775" s="1839" t="s">
        <v>4292</v>
      </c>
      <c r="E1775" s="1840">
        <v>45131</v>
      </c>
      <c r="F1775" s="1840"/>
      <c r="G1775" s="1839" t="s">
        <v>500</v>
      </c>
      <c r="H1775" s="1839" t="s">
        <v>1065</v>
      </c>
      <c r="I1775" s="1831" t="s">
        <v>1066</v>
      </c>
      <c r="J1775" s="1831"/>
    </row>
    <row r="1776" spans="1:10" ht="15" hidden="1" x14ac:dyDescent="0.35">
      <c r="A1776" s="1831" t="s">
        <v>4293</v>
      </c>
      <c r="B1776" s="1839" t="s">
        <v>4294</v>
      </c>
      <c r="C1776" s="1839" t="s">
        <v>606</v>
      </c>
      <c r="D1776" s="1839" t="s">
        <v>4295</v>
      </c>
      <c r="E1776" s="1840">
        <v>45975</v>
      </c>
      <c r="F1776" s="1840"/>
      <c r="G1776" s="1839" t="s">
        <v>500</v>
      </c>
      <c r="H1776" s="1839" t="s">
        <v>1060</v>
      </c>
      <c r="I1776" s="1831" t="s">
        <v>1061</v>
      </c>
      <c r="J1776" s="1831"/>
    </row>
    <row r="1777" spans="1:10" ht="15" hidden="1" x14ac:dyDescent="0.35">
      <c r="A1777" s="1831" t="s">
        <v>4296</v>
      </c>
      <c r="B1777" s="1839" t="s">
        <v>4297</v>
      </c>
      <c r="C1777" s="1839" t="s">
        <v>1450</v>
      </c>
      <c r="D1777" s="1839" t="s">
        <v>4298</v>
      </c>
      <c r="E1777" s="1840">
        <v>45446</v>
      </c>
      <c r="F1777" s="1840"/>
      <c r="G1777" s="1839" t="s">
        <v>500</v>
      </c>
      <c r="H1777" s="1839" t="s">
        <v>1065</v>
      </c>
      <c r="I1777" s="1831" t="s">
        <v>1066</v>
      </c>
      <c r="J1777" s="1831"/>
    </row>
    <row r="1778" spans="1:10" ht="15" hidden="1" x14ac:dyDescent="0.35">
      <c r="A1778" s="1831" t="s">
        <v>4299</v>
      </c>
      <c r="B1778" s="1839" t="s">
        <v>4300</v>
      </c>
      <c r="C1778" s="1839" t="s">
        <v>625</v>
      </c>
      <c r="D1778" s="1839" t="s">
        <v>4301</v>
      </c>
      <c r="E1778" s="1840">
        <v>45790</v>
      </c>
      <c r="F1778" s="1840"/>
      <c r="G1778" s="1839" t="s">
        <v>500</v>
      </c>
      <c r="H1778" s="1839" t="s">
        <v>1065</v>
      </c>
      <c r="I1778" s="1831" t="s">
        <v>1066</v>
      </c>
      <c r="J1778" s="1831"/>
    </row>
    <row r="1779" spans="1:10" ht="15" hidden="1" x14ac:dyDescent="0.35">
      <c r="A1779" s="8" t="s">
        <v>4302</v>
      </c>
      <c r="B1779" t="s">
        <v>4303</v>
      </c>
      <c r="C1779" t="s">
        <v>578</v>
      </c>
      <c r="D1779" t="s">
        <v>4304</v>
      </c>
      <c r="E1779" s="9">
        <v>45461</v>
      </c>
      <c r="F1779" s="9">
        <v>45855</v>
      </c>
      <c r="G1779" t="s">
        <v>494</v>
      </c>
      <c r="H1779" t="s">
        <v>1060</v>
      </c>
      <c r="I1779" t="s">
        <v>1061</v>
      </c>
      <c r="J1779"/>
    </row>
    <row r="1780" spans="1:10" ht="15" hidden="1" x14ac:dyDescent="0.35">
      <c r="A1780" s="8" t="s">
        <v>4305</v>
      </c>
      <c r="B1780" t="s">
        <v>4306</v>
      </c>
      <c r="C1780" t="s">
        <v>578</v>
      </c>
      <c r="D1780" t="s">
        <v>4307</v>
      </c>
      <c r="E1780" s="9">
        <v>46064</v>
      </c>
      <c r="F1780" s="9">
        <v>46129</v>
      </c>
      <c r="G1780" t="s">
        <v>494</v>
      </c>
      <c r="H1780" t="s">
        <v>1060</v>
      </c>
      <c r="I1780" t="s">
        <v>1061</v>
      </c>
      <c r="J1780"/>
    </row>
    <row r="1781" spans="1:10" ht="15" hidden="1" x14ac:dyDescent="0.35">
      <c r="A1781" s="1831" t="s">
        <v>4308</v>
      </c>
      <c r="B1781" s="1839" t="s">
        <v>4309</v>
      </c>
      <c r="C1781" s="1839" t="s">
        <v>600</v>
      </c>
      <c r="D1781" s="1839" t="s">
        <v>4310</v>
      </c>
      <c r="E1781" s="1840">
        <v>43851</v>
      </c>
      <c r="F1781" s="1840"/>
      <c r="G1781" s="1839" t="s">
        <v>500</v>
      </c>
      <c r="H1781" s="1839" t="s">
        <v>1065</v>
      </c>
      <c r="I1781" s="1831" t="s">
        <v>1066</v>
      </c>
      <c r="J1781" s="1831"/>
    </row>
    <row r="1782" spans="1:10" ht="15" hidden="1" x14ac:dyDescent="0.35">
      <c r="A1782" s="1831" t="s">
        <v>4311</v>
      </c>
      <c r="B1782" s="1839" t="s">
        <v>4312</v>
      </c>
      <c r="C1782" s="1839" t="s">
        <v>438</v>
      </c>
      <c r="D1782" s="1839" t="s">
        <v>4313</v>
      </c>
      <c r="E1782" s="1840">
        <v>45579</v>
      </c>
      <c r="F1782" s="1840"/>
      <c r="G1782" s="1839" t="s">
        <v>500</v>
      </c>
      <c r="H1782" s="1839" t="s">
        <v>1065</v>
      </c>
      <c r="I1782" s="1831" t="s">
        <v>1066</v>
      </c>
      <c r="J1782" s="1831"/>
    </row>
    <row r="1783" spans="1:10" ht="15" hidden="1" x14ac:dyDescent="0.35">
      <c r="A1783" s="1831" t="s">
        <v>4314</v>
      </c>
      <c r="B1783" s="1839" t="s">
        <v>4315</v>
      </c>
      <c r="C1783" s="1839" t="s">
        <v>578</v>
      </c>
      <c r="D1783" s="1839" t="s">
        <v>4316</v>
      </c>
      <c r="E1783" s="1840">
        <v>45721</v>
      </c>
      <c r="F1783" s="1840"/>
      <c r="G1783" s="1839" t="s">
        <v>500</v>
      </c>
      <c r="H1783" s="1839" t="s">
        <v>1065</v>
      </c>
      <c r="I1783" s="1831" t="s">
        <v>1066</v>
      </c>
      <c r="J1783" s="1831"/>
    </row>
    <row r="1784" spans="1:10" ht="15" hidden="1" x14ac:dyDescent="0.35">
      <c r="A1784" s="1831" t="s">
        <v>4317</v>
      </c>
      <c r="B1784" s="1839" t="s">
        <v>4318</v>
      </c>
      <c r="C1784" s="1839" t="s">
        <v>420</v>
      </c>
      <c r="D1784" s="1839" t="s">
        <v>4319</v>
      </c>
      <c r="E1784" s="1840">
        <v>46121</v>
      </c>
      <c r="F1784" s="1840"/>
      <c r="G1784" s="1839" t="s">
        <v>500</v>
      </c>
      <c r="H1784" s="1839" t="s">
        <v>1078</v>
      </c>
      <c r="I1784" s="1831" t="s">
        <v>1061</v>
      </c>
      <c r="J1784" s="1831"/>
    </row>
    <row r="1785" spans="1:10" ht="15" hidden="1" x14ac:dyDescent="0.35">
      <c r="A1785" s="1831" t="s">
        <v>4320</v>
      </c>
      <c r="B1785" s="1839" t="s">
        <v>4321</v>
      </c>
      <c r="C1785" s="1839" t="s">
        <v>420</v>
      </c>
      <c r="D1785" s="1839" t="s">
        <v>4322</v>
      </c>
      <c r="E1785" s="1840">
        <v>45419</v>
      </c>
      <c r="F1785" s="1840"/>
      <c r="G1785" s="1839" t="s">
        <v>500</v>
      </c>
      <c r="H1785" s="1839" t="s">
        <v>1093</v>
      </c>
      <c r="I1785" s="1831" t="s">
        <v>1066</v>
      </c>
      <c r="J1785" s="1831"/>
    </row>
    <row r="1786" spans="1:10" ht="15" hidden="1" x14ac:dyDescent="0.35">
      <c r="A1786" s="8" t="s">
        <v>4323</v>
      </c>
      <c r="B1786" t="s">
        <v>4324</v>
      </c>
      <c r="C1786" t="s">
        <v>420</v>
      </c>
      <c r="D1786" t="s">
        <v>4325</v>
      </c>
      <c r="E1786" s="9">
        <v>45670</v>
      </c>
      <c r="F1786" s="9">
        <v>45793</v>
      </c>
      <c r="G1786" t="s">
        <v>494</v>
      </c>
      <c r="H1786" t="s">
        <v>1078</v>
      </c>
      <c r="I1786" t="s">
        <v>1061</v>
      </c>
      <c r="J1786"/>
    </row>
    <row r="1787" spans="1:10" ht="15" hidden="1" x14ac:dyDescent="0.35">
      <c r="A1787" s="1831" t="s">
        <v>4326</v>
      </c>
      <c r="B1787" s="1839" t="s">
        <v>4327</v>
      </c>
      <c r="C1787" s="1839" t="s">
        <v>578</v>
      </c>
      <c r="D1787" s="1839" t="s">
        <v>4328</v>
      </c>
      <c r="E1787" s="1840">
        <v>43460</v>
      </c>
      <c r="F1787" s="1840"/>
      <c r="G1787" s="1839" t="s">
        <v>500</v>
      </c>
      <c r="H1787" s="1839" t="s">
        <v>1060</v>
      </c>
      <c r="I1787" s="1831" t="s">
        <v>1061</v>
      </c>
      <c r="J1787" s="1831"/>
    </row>
    <row r="1788" spans="1:10" ht="15" hidden="1" x14ac:dyDescent="0.35">
      <c r="A1788" s="1831" t="s">
        <v>4329</v>
      </c>
      <c r="B1788" s="1839" t="s">
        <v>4330</v>
      </c>
      <c r="C1788" s="1839" t="s">
        <v>443</v>
      </c>
      <c r="D1788" s="1839" t="s">
        <v>4331</v>
      </c>
      <c r="E1788" s="1840">
        <v>45707</v>
      </c>
      <c r="F1788" s="1840"/>
      <c r="G1788" s="1839" t="s">
        <v>500</v>
      </c>
      <c r="H1788" s="1839" t="s">
        <v>1060</v>
      </c>
      <c r="I1788" s="1831" t="s">
        <v>1061</v>
      </c>
      <c r="J1788" s="1831"/>
    </row>
    <row r="1789" spans="1:10" ht="15" hidden="1" x14ac:dyDescent="0.35">
      <c r="A1789" s="8" t="s">
        <v>4332</v>
      </c>
      <c r="B1789" t="s">
        <v>4333</v>
      </c>
      <c r="C1789" t="s">
        <v>1144</v>
      </c>
      <c r="D1789" t="s">
        <v>4334</v>
      </c>
      <c r="E1789" s="9">
        <v>45726</v>
      </c>
      <c r="F1789" s="9">
        <v>46097</v>
      </c>
      <c r="G1789" t="s">
        <v>494</v>
      </c>
      <c r="H1789" t="s">
        <v>1060</v>
      </c>
      <c r="I1789" t="s">
        <v>1061</v>
      </c>
      <c r="J1789"/>
    </row>
    <row r="1790" spans="1:10" ht="15" hidden="1" x14ac:dyDescent="0.35">
      <c r="A1790" s="1831" t="s">
        <v>4335</v>
      </c>
      <c r="B1790" s="1839" t="s">
        <v>4336</v>
      </c>
      <c r="C1790" s="1839" t="s">
        <v>420</v>
      </c>
      <c r="D1790" s="1839" t="s">
        <v>4337</v>
      </c>
      <c r="E1790" s="1840">
        <v>45828</v>
      </c>
      <c r="F1790" s="1840"/>
      <c r="G1790" s="1839" t="s">
        <v>500</v>
      </c>
      <c r="H1790" s="1839" t="s">
        <v>1078</v>
      </c>
      <c r="I1790" s="1831" t="s">
        <v>1061</v>
      </c>
      <c r="J1790" s="1831"/>
    </row>
    <row r="1791" spans="1:10" ht="15" hidden="1" x14ac:dyDescent="0.35">
      <c r="A1791" s="1831" t="s">
        <v>4338</v>
      </c>
      <c r="B1791" s="1839" t="s">
        <v>4339</v>
      </c>
      <c r="C1791" s="1839" t="s">
        <v>1088</v>
      </c>
      <c r="D1791" s="1839" t="s">
        <v>4340</v>
      </c>
      <c r="E1791" s="1840">
        <v>45692</v>
      </c>
      <c r="F1791" s="1840"/>
      <c r="G1791" s="1839" t="s">
        <v>500</v>
      </c>
      <c r="H1791" s="1839" t="s">
        <v>1060</v>
      </c>
      <c r="I1791" s="1831" t="s">
        <v>1061</v>
      </c>
      <c r="J1791" s="1831"/>
    </row>
    <row r="1792" spans="1:10" ht="15" hidden="1" x14ac:dyDescent="0.35">
      <c r="A1792" s="8" t="s">
        <v>4341</v>
      </c>
      <c r="B1792" t="s">
        <v>4342</v>
      </c>
      <c r="C1792" t="s">
        <v>420</v>
      </c>
      <c r="D1792" t="s">
        <v>4343</v>
      </c>
      <c r="E1792" s="9">
        <v>45428</v>
      </c>
      <c r="F1792" s="9">
        <v>45847</v>
      </c>
      <c r="G1792" t="s">
        <v>494</v>
      </c>
      <c r="H1792" t="s">
        <v>1093</v>
      </c>
      <c r="I1792" t="s">
        <v>1066</v>
      </c>
      <c r="J1792"/>
    </row>
    <row r="1793" spans="1:10" ht="15" hidden="1" x14ac:dyDescent="0.35">
      <c r="A1793" s="1831" t="s">
        <v>4344</v>
      </c>
      <c r="B1793" s="1839" t="s">
        <v>4345</v>
      </c>
      <c r="C1793" s="1839" t="s">
        <v>420</v>
      </c>
      <c r="D1793" s="1839" t="s">
        <v>4346</v>
      </c>
      <c r="E1793" s="1840">
        <v>45377</v>
      </c>
      <c r="F1793" s="1840"/>
      <c r="G1793" s="1839" t="s">
        <v>500</v>
      </c>
      <c r="H1793" s="1839" t="s">
        <v>1078</v>
      </c>
      <c r="I1793" s="1831" t="s">
        <v>1061</v>
      </c>
      <c r="J1793" s="1831"/>
    </row>
    <row r="1794" spans="1:10" ht="15" hidden="1" x14ac:dyDescent="0.35">
      <c r="A1794" s="1831" t="s">
        <v>4347</v>
      </c>
      <c r="B1794" s="1839" t="s">
        <v>4348</v>
      </c>
      <c r="C1794" s="1839" t="s">
        <v>446</v>
      </c>
      <c r="D1794" s="1839" t="s">
        <v>4349</v>
      </c>
      <c r="E1794" s="1840">
        <v>45117</v>
      </c>
      <c r="F1794" s="1840"/>
      <c r="G1794" s="1839" t="s">
        <v>500</v>
      </c>
      <c r="H1794" s="1839" t="s">
        <v>1065</v>
      </c>
      <c r="I1794" s="1831" t="s">
        <v>1066</v>
      </c>
      <c r="J1794" s="1831"/>
    </row>
    <row r="1795" spans="1:10" ht="15" hidden="1" x14ac:dyDescent="0.35">
      <c r="A1795" s="8" t="s">
        <v>4350</v>
      </c>
      <c r="B1795" t="s">
        <v>4351</v>
      </c>
      <c r="C1795" t="s">
        <v>420</v>
      </c>
      <c r="D1795" t="s">
        <v>4352</v>
      </c>
      <c r="E1795" s="9">
        <v>45376</v>
      </c>
      <c r="F1795" s="9">
        <v>45833</v>
      </c>
      <c r="G1795" t="s">
        <v>494</v>
      </c>
      <c r="H1795" t="s">
        <v>1078</v>
      </c>
      <c r="I1795" t="s">
        <v>1061</v>
      </c>
      <c r="J1795"/>
    </row>
    <row r="1796" spans="1:10" ht="15" hidden="1" x14ac:dyDescent="0.35">
      <c r="A1796" s="1831" t="s">
        <v>4353</v>
      </c>
      <c r="B1796" s="1839" t="s">
        <v>4354</v>
      </c>
      <c r="C1796" s="1839" t="s">
        <v>1715</v>
      </c>
      <c r="D1796" s="1839" t="s">
        <v>4355</v>
      </c>
      <c r="E1796" s="1840">
        <v>44726</v>
      </c>
      <c r="F1796" s="1840"/>
      <c r="G1796" s="1839" t="s">
        <v>500</v>
      </c>
      <c r="H1796" s="1839" t="s">
        <v>1065</v>
      </c>
      <c r="I1796" s="1831" t="s">
        <v>1066</v>
      </c>
      <c r="J1796" s="1831"/>
    </row>
    <row r="1797" spans="1:10" ht="15" hidden="1" x14ac:dyDescent="0.35">
      <c r="A1797" s="1831" t="s">
        <v>4356</v>
      </c>
      <c r="B1797" s="1839" t="s">
        <v>4357</v>
      </c>
      <c r="C1797" s="1839" t="s">
        <v>420</v>
      </c>
      <c r="D1797" s="1839" t="s">
        <v>4358</v>
      </c>
      <c r="E1797" s="1840">
        <v>45425</v>
      </c>
      <c r="F1797" s="1840"/>
      <c r="G1797" s="1839" t="s">
        <v>500</v>
      </c>
      <c r="H1797" s="1839" t="s">
        <v>1093</v>
      </c>
      <c r="I1797" s="1831" t="s">
        <v>1066</v>
      </c>
      <c r="J1797" s="1831"/>
    </row>
    <row r="1798" spans="1:10" ht="15" hidden="1" x14ac:dyDescent="0.35">
      <c r="A1798" s="1831" t="s">
        <v>4359</v>
      </c>
      <c r="B1798" s="1839" t="s">
        <v>4360</v>
      </c>
      <c r="C1798" s="1839" t="s">
        <v>420</v>
      </c>
      <c r="D1798" s="1839" t="s">
        <v>4361</v>
      </c>
      <c r="E1798" s="1840">
        <v>45420</v>
      </c>
      <c r="F1798" s="1840"/>
      <c r="G1798" s="1839" t="s">
        <v>500</v>
      </c>
      <c r="H1798" s="1839" t="s">
        <v>1093</v>
      </c>
      <c r="I1798" s="1831" t="s">
        <v>1066</v>
      </c>
      <c r="J1798" s="1831"/>
    </row>
    <row r="1799" spans="1:10" ht="15" hidden="1" x14ac:dyDescent="0.35">
      <c r="A1799" s="1831" t="s">
        <v>4362</v>
      </c>
      <c r="B1799" s="1839" t="s">
        <v>4363</v>
      </c>
      <c r="C1799" s="1839" t="s">
        <v>420</v>
      </c>
      <c r="D1799" s="1839" t="s">
        <v>4364</v>
      </c>
      <c r="E1799" s="1840">
        <v>45383</v>
      </c>
      <c r="F1799" s="1840"/>
      <c r="G1799" s="1839" t="s">
        <v>500</v>
      </c>
      <c r="H1799" s="1839" t="s">
        <v>1078</v>
      </c>
      <c r="I1799" s="1831" t="s">
        <v>1061</v>
      </c>
      <c r="J1799" s="1831"/>
    </row>
    <row r="1800" spans="1:10" ht="15" hidden="1" x14ac:dyDescent="0.35">
      <c r="A1800" s="1831" t="s">
        <v>4365</v>
      </c>
      <c r="B1800" s="1839" t="s">
        <v>4366</v>
      </c>
      <c r="C1800" s="1839" t="s">
        <v>4367</v>
      </c>
      <c r="D1800" s="1839" t="s">
        <v>4368</v>
      </c>
      <c r="E1800" s="1840">
        <v>46066</v>
      </c>
      <c r="F1800" s="1840"/>
      <c r="G1800" s="1839" t="s">
        <v>500</v>
      </c>
      <c r="H1800" s="1839" t="s">
        <v>1060</v>
      </c>
      <c r="I1800" s="1831" t="s">
        <v>1061</v>
      </c>
      <c r="J1800" s="1831"/>
    </row>
    <row r="1801" spans="1:10" ht="15" hidden="1" x14ac:dyDescent="0.35">
      <c r="A1801" s="8" t="s">
        <v>4369</v>
      </c>
      <c r="B1801" t="s">
        <v>4370</v>
      </c>
      <c r="C1801" t="s">
        <v>1088</v>
      </c>
      <c r="D1801" t="s">
        <v>4371</v>
      </c>
      <c r="E1801" s="9">
        <v>45730</v>
      </c>
      <c r="F1801" s="9">
        <v>45826</v>
      </c>
      <c r="G1801" t="s">
        <v>494</v>
      </c>
      <c r="H1801" t="s">
        <v>1065</v>
      </c>
      <c r="I1801" t="s">
        <v>1066</v>
      </c>
      <c r="J1801"/>
    </row>
    <row r="1802" spans="1:10" ht="15" hidden="1" x14ac:dyDescent="0.35">
      <c r="A1802" s="1831" t="s">
        <v>4372</v>
      </c>
      <c r="B1802" s="1839" t="s">
        <v>4373</v>
      </c>
      <c r="C1802" s="1839" t="s">
        <v>1263</v>
      </c>
      <c r="D1802" s="1839" t="s">
        <v>4374</v>
      </c>
      <c r="E1802" s="1840">
        <v>45707</v>
      </c>
      <c r="F1802" s="1840"/>
      <c r="G1802" s="1839" t="s">
        <v>500</v>
      </c>
      <c r="H1802" s="1839" t="s">
        <v>1078</v>
      </c>
      <c r="I1802" s="1831" t="s">
        <v>1061</v>
      </c>
      <c r="J1802" s="1831"/>
    </row>
    <row r="1803" spans="1:10" ht="15" hidden="1" x14ac:dyDescent="0.35">
      <c r="A1803" s="8" t="s">
        <v>4375</v>
      </c>
      <c r="B1803" t="s">
        <v>4376</v>
      </c>
      <c r="C1803" t="s">
        <v>420</v>
      </c>
      <c r="D1803" t="s">
        <v>4377</v>
      </c>
      <c r="E1803" s="9">
        <v>45828</v>
      </c>
      <c r="F1803" s="9">
        <v>45931</v>
      </c>
      <c r="G1803" t="s">
        <v>494</v>
      </c>
      <c r="H1803" t="s">
        <v>1093</v>
      </c>
      <c r="I1803" t="s">
        <v>1066</v>
      </c>
      <c r="J1803"/>
    </row>
    <row r="1804" spans="1:10" ht="15" hidden="1" x14ac:dyDescent="0.35">
      <c r="A1804" s="1831" t="s">
        <v>4378</v>
      </c>
      <c r="B1804" s="1839" t="s">
        <v>4379</v>
      </c>
      <c r="C1804" s="1839" t="s">
        <v>420</v>
      </c>
      <c r="D1804" s="1839" t="s">
        <v>4380</v>
      </c>
      <c r="E1804" s="1840">
        <v>45419</v>
      </c>
      <c r="F1804" s="1840"/>
      <c r="G1804" s="1839" t="s">
        <v>500</v>
      </c>
      <c r="H1804" s="1839" t="s">
        <v>1093</v>
      </c>
      <c r="I1804" s="1831" t="s">
        <v>1066</v>
      </c>
      <c r="J1804" s="1831"/>
    </row>
    <row r="1805" spans="1:10" ht="15" hidden="1" x14ac:dyDescent="0.35">
      <c r="A1805" s="1831" t="s">
        <v>4381</v>
      </c>
      <c r="B1805" s="1839" t="s">
        <v>4382</v>
      </c>
      <c r="C1805" s="1839" t="s">
        <v>420</v>
      </c>
      <c r="D1805" s="1839" t="s">
        <v>4383</v>
      </c>
      <c r="E1805" s="1840">
        <v>45883</v>
      </c>
      <c r="F1805" s="1840"/>
      <c r="G1805" s="1839" t="s">
        <v>500</v>
      </c>
      <c r="H1805" s="1839" t="s">
        <v>1093</v>
      </c>
      <c r="I1805" s="1831" t="s">
        <v>1066</v>
      </c>
      <c r="J1805" s="1831"/>
    </row>
    <row r="1806" spans="1:10" ht="15" hidden="1" x14ac:dyDescent="0.35">
      <c r="A1806" s="1831" t="s">
        <v>4384</v>
      </c>
      <c r="B1806" s="1839" t="s">
        <v>4385</v>
      </c>
      <c r="C1806" s="1839" t="s">
        <v>425</v>
      </c>
      <c r="D1806" s="1839" t="s">
        <v>4386</v>
      </c>
      <c r="E1806" s="1840">
        <v>45880</v>
      </c>
      <c r="F1806" s="1840"/>
      <c r="G1806" s="1839" t="s">
        <v>500</v>
      </c>
      <c r="H1806" s="1839" t="s">
        <v>1065</v>
      </c>
      <c r="I1806" s="1831" t="s">
        <v>1066</v>
      </c>
      <c r="J1806" s="1831"/>
    </row>
    <row r="1807" spans="1:10" ht="15" hidden="1" x14ac:dyDescent="0.35">
      <c r="A1807" s="1831" t="s">
        <v>4387</v>
      </c>
      <c r="B1807" s="1839" t="s">
        <v>4388</v>
      </c>
      <c r="C1807" s="1839" t="s">
        <v>457</v>
      </c>
      <c r="D1807" s="1839" t="s">
        <v>4389</v>
      </c>
      <c r="E1807" s="1840">
        <v>45730</v>
      </c>
      <c r="F1807" s="1840"/>
      <c r="G1807" s="1839" t="s">
        <v>500</v>
      </c>
      <c r="H1807" s="1839" t="s">
        <v>1060</v>
      </c>
      <c r="I1807" s="1831" t="s">
        <v>1061</v>
      </c>
      <c r="J1807" s="1831"/>
    </row>
    <row r="1808" spans="1:10" ht="15" hidden="1" x14ac:dyDescent="0.35">
      <c r="A1808" s="1831" t="s">
        <v>4390</v>
      </c>
      <c r="B1808" s="1839" t="s">
        <v>4391</v>
      </c>
      <c r="C1808" s="1839" t="s">
        <v>1144</v>
      </c>
      <c r="D1808" s="1839" t="s">
        <v>4392</v>
      </c>
      <c r="E1808" s="1840">
        <v>45524</v>
      </c>
      <c r="F1808" s="1840"/>
      <c r="G1808" s="1839" t="s">
        <v>500</v>
      </c>
      <c r="H1808" s="1839" t="s">
        <v>1060</v>
      </c>
      <c r="I1808" s="1831" t="s">
        <v>1061</v>
      </c>
      <c r="J1808" s="1831"/>
    </row>
    <row r="1809" spans="1:10" ht="15" hidden="1" x14ac:dyDescent="0.35">
      <c r="A1809" s="1831" t="s">
        <v>4393</v>
      </c>
      <c r="B1809" s="1839" t="s">
        <v>4394</v>
      </c>
      <c r="C1809" s="1839" t="s">
        <v>2479</v>
      </c>
      <c r="D1809" s="1839" t="s">
        <v>4395</v>
      </c>
      <c r="E1809" s="1840">
        <v>45721</v>
      </c>
      <c r="F1809" s="1840"/>
      <c r="G1809" s="1839" t="s">
        <v>500</v>
      </c>
      <c r="H1809" s="1839" t="s">
        <v>1060</v>
      </c>
      <c r="I1809" s="1831" t="s">
        <v>1061</v>
      </c>
      <c r="J1809" s="1831"/>
    </row>
    <row r="1810" spans="1:10" ht="15" hidden="1" x14ac:dyDescent="0.35">
      <c r="A1810" s="1831" t="s">
        <v>4396</v>
      </c>
      <c r="B1810" s="1839" t="s">
        <v>4397</v>
      </c>
      <c r="C1810" s="1839" t="s">
        <v>420</v>
      </c>
      <c r="D1810" s="1839" t="s">
        <v>4398</v>
      </c>
      <c r="E1810" s="1840">
        <v>46100</v>
      </c>
      <c r="F1810" s="1840"/>
      <c r="G1810" s="1839" t="s">
        <v>500</v>
      </c>
      <c r="H1810" s="1839" t="s">
        <v>1078</v>
      </c>
      <c r="I1810" s="1831" t="s">
        <v>1061</v>
      </c>
      <c r="J1810" s="1831"/>
    </row>
    <row r="1811" spans="1:10" ht="15" hidden="1" x14ac:dyDescent="0.35">
      <c r="A1811" s="8" t="s">
        <v>4399</v>
      </c>
      <c r="B1811" t="s">
        <v>4400</v>
      </c>
      <c r="C1811" t="s">
        <v>455</v>
      </c>
      <c r="D1811" t="s">
        <v>4401</v>
      </c>
      <c r="E1811" s="9">
        <v>45828</v>
      </c>
      <c r="F1811" s="9">
        <v>45982</v>
      </c>
      <c r="G1811" t="s">
        <v>494</v>
      </c>
      <c r="H1811" t="s">
        <v>1060</v>
      </c>
      <c r="I1811" t="s">
        <v>1061</v>
      </c>
      <c r="J1811"/>
    </row>
    <row r="1812" spans="1:10" ht="15" hidden="1" x14ac:dyDescent="0.35">
      <c r="A1812" s="1831" t="s">
        <v>4402</v>
      </c>
      <c r="B1812" s="1839" t="s">
        <v>4403</v>
      </c>
      <c r="C1812" s="1839" t="s">
        <v>420</v>
      </c>
      <c r="D1812" s="1839" t="s">
        <v>4404</v>
      </c>
      <c r="E1812" s="1840">
        <v>45383</v>
      </c>
      <c r="F1812" s="1840"/>
      <c r="G1812" s="1839" t="s">
        <v>500</v>
      </c>
      <c r="H1812" s="1839" t="s">
        <v>1078</v>
      </c>
      <c r="I1812" s="1831" t="s">
        <v>1061</v>
      </c>
      <c r="J1812" s="1831"/>
    </row>
    <row r="1813" spans="1:10" ht="15" hidden="1" x14ac:dyDescent="0.35">
      <c r="A1813" s="1831" t="s">
        <v>4405</v>
      </c>
      <c r="B1813" s="1839" t="s">
        <v>4406</v>
      </c>
      <c r="C1813" s="1839" t="s">
        <v>419</v>
      </c>
      <c r="D1813" s="1839" t="s">
        <v>4407</v>
      </c>
      <c r="E1813" s="1840">
        <v>46008</v>
      </c>
      <c r="F1813" s="1840"/>
      <c r="G1813" s="1839" t="s">
        <v>500</v>
      </c>
      <c r="H1813" s="1839" t="s">
        <v>1060</v>
      </c>
      <c r="I1813" s="1831" t="s">
        <v>1061</v>
      </c>
      <c r="J1813" s="1831"/>
    </row>
    <row r="1814" spans="1:10" ht="15" hidden="1" x14ac:dyDescent="0.35">
      <c r="A1814" s="8" t="s">
        <v>4408</v>
      </c>
      <c r="B1814" t="s">
        <v>4409</v>
      </c>
      <c r="C1814" t="s">
        <v>415</v>
      </c>
      <c r="D1814" t="s">
        <v>4410</v>
      </c>
      <c r="E1814" s="9">
        <v>45642</v>
      </c>
      <c r="F1814" s="9">
        <v>46059</v>
      </c>
      <c r="G1814" t="s">
        <v>494</v>
      </c>
      <c r="H1814" t="s">
        <v>1065</v>
      </c>
      <c r="I1814" t="s">
        <v>1066</v>
      </c>
      <c r="J1814"/>
    </row>
    <row r="1815" spans="1:10" ht="15" hidden="1" x14ac:dyDescent="0.35">
      <c r="A1815" s="1831" t="s">
        <v>4411</v>
      </c>
      <c r="B1815" s="1839" t="s">
        <v>4412</v>
      </c>
      <c r="C1815" s="1839" t="s">
        <v>1213</v>
      </c>
      <c r="D1815" s="1839" t="s">
        <v>4413</v>
      </c>
      <c r="E1815" s="1840">
        <v>45327</v>
      </c>
      <c r="F1815" s="1840"/>
      <c r="G1815" s="1839" t="s">
        <v>500</v>
      </c>
      <c r="H1815" s="1839" t="s">
        <v>1065</v>
      </c>
      <c r="I1815" s="1831" t="s">
        <v>1066</v>
      </c>
      <c r="J1815" s="1831"/>
    </row>
    <row r="1816" spans="1:10" ht="15" hidden="1" x14ac:dyDescent="0.35">
      <c r="A1816" s="8" t="s">
        <v>4414</v>
      </c>
      <c r="B1816" t="s">
        <v>4415</v>
      </c>
      <c r="C1816" t="s">
        <v>445</v>
      </c>
      <c r="D1816" t="s">
        <v>4416</v>
      </c>
      <c r="E1816" s="9">
        <v>45828</v>
      </c>
      <c r="F1816" s="9">
        <v>46104</v>
      </c>
      <c r="G1816" t="s">
        <v>494</v>
      </c>
      <c r="H1816" t="s">
        <v>1065</v>
      </c>
      <c r="I1816" t="s">
        <v>1066</v>
      </c>
      <c r="J1816"/>
    </row>
    <row r="1817" spans="1:10" ht="15" hidden="1" x14ac:dyDescent="0.35">
      <c r="A1817" s="1831" t="s">
        <v>4417</v>
      </c>
      <c r="B1817" s="1839" t="s">
        <v>4418</v>
      </c>
      <c r="C1817" s="1839" t="s">
        <v>1144</v>
      </c>
      <c r="D1817" s="1839" t="s">
        <v>4419</v>
      </c>
      <c r="E1817" s="1840">
        <v>45702</v>
      </c>
      <c r="F1817" s="1840"/>
      <c r="G1817" s="1839" t="s">
        <v>500</v>
      </c>
      <c r="H1817" s="1839" t="s">
        <v>1065</v>
      </c>
      <c r="I1817" s="1831" t="s">
        <v>1066</v>
      </c>
      <c r="J1817" s="1831"/>
    </row>
    <row r="1818" spans="1:10" ht="15" hidden="1" x14ac:dyDescent="0.35">
      <c r="A1818" s="1831" t="s">
        <v>4420</v>
      </c>
      <c r="B1818" s="1839" t="s">
        <v>4421</v>
      </c>
      <c r="C1818" s="1839" t="s">
        <v>1144</v>
      </c>
      <c r="D1818" s="1839" t="s">
        <v>4422</v>
      </c>
      <c r="E1818" s="1840">
        <v>46132</v>
      </c>
      <c r="F1818" s="1840"/>
      <c r="G1818" s="1839" t="s">
        <v>500</v>
      </c>
      <c r="H1818" s="1839" t="s">
        <v>1060</v>
      </c>
      <c r="I1818" s="1831" t="s">
        <v>1061</v>
      </c>
      <c r="J1818" s="1831"/>
    </row>
    <row r="1819" spans="1:10" ht="15" hidden="1" x14ac:dyDescent="0.35">
      <c r="A1819" s="8" t="s">
        <v>4423</v>
      </c>
      <c r="B1819" t="s">
        <v>4424</v>
      </c>
      <c r="C1819" t="s">
        <v>1088</v>
      </c>
      <c r="D1819" t="s">
        <v>4425</v>
      </c>
      <c r="E1819" s="9">
        <v>45783</v>
      </c>
      <c r="F1819" s="9">
        <v>46027</v>
      </c>
      <c r="G1819" t="s">
        <v>494</v>
      </c>
      <c r="H1819" t="s">
        <v>1065</v>
      </c>
      <c r="I1819" t="s">
        <v>1066</v>
      </c>
      <c r="J1819"/>
    </row>
    <row r="1820" spans="1:10" ht="15" hidden="1" x14ac:dyDescent="0.35">
      <c r="A1820" s="8" t="s">
        <v>4426</v>
      </c>
      <c r="B1820" t="s">
        <v>4427</v>
      </c>
      <c r="C1820" t="s">
        <v>1440</v>
      </c>
      <c r="D1820" t="s">
        <v>4428</v>
      </c>
      <c r="E1820" s="9">
        <v>45358</v>
      </c>
      <c r="F1820" s="9">
        <v>46149</v>
      </c>
      <c r="G1820" t="s">
        <v>494</v>
      </c>
      <c r="H1820" t="s">
        <v>1060</v>
      </c>
      <c r="I1820" t="s">
        <v>1061</v>
      </c>
      <c r="J1820"/>
    </row>
    <row r="1821" spans="1:10" ht="15" hidden="1" x14ac:dyDescent="0.35">
      <c r="A1821" s="1831" t="s">
        <v>4429</v>
      </c>
      <c r="B1821" s="1839" t="s">
        <v>4430</v>
      </c>
      <c r="C1821" s="1839" t="s">
        <v>420</v>
      </c>
      <c r="D1821" s="1839" t="s">
        <v>4431</v>
      </c>
      <c r="E1821" s="1840">
        <v>46157</v>
      </c>
      <c r="F1821" s="1840"/>
      <c r="G1821" s="1839" t="s">
        <v>500</v>
      </c>
      <c r="H1821" s="1839" t="s">
        <v>1078</v>
      </c>
      <c r="I1821" s="1831" t="s">
        <v>1061</v>
      </c>
      <c r="J1821" s="1831"/>
    </row>
    <row r="1822" spans="1:10" ht="15" hidden="1" x14ac:dyDescent="0.35">
      <c r="A1822" s="8" t="s">
        <v>4432</v>
      </c>
      <c r="B1822" t="s">
        <v>4433</v>
      </c>
      <c r="C1822" t="s">
        <v>455</v>
      </c>
      <c r="D1822" t="s">
        <v>4434</v>
      </c>
      <c r="E1822" s="9">
        <v>45713</v>
      </c>
      <c r="F1822" s="9">
        <v>45978</v>
      </c>
      <c r="G1822" t="s">
        <v>494</v>
      </c>
      <c r="H1822" t="s">
        <v>1065</v>
      </c>
      <c r="I1822" t="s">
        <v>1066</v>
      </c>
      <c r="J1822"/>
    </row>
    <row r="1823" spans="1:10" ht="15" hidden="1" x14ac:dyDescent="0.35">
      <c r="A1823" s="8" t="s">
        <v>4435</v>
      </c>
      <c r="B1823" t="s">
        <v>4436</v>
      </c>
      <c r="C1823" t="s">
        <v>420</v>
      </c>
      <c r="D1823" t="s">
        <v>4437</v>
      </c>
      <c r="E1823" s="9">
        <v>45701</v>
      </c>
      <c r="F1823" s="9">
        <v>45919</v>
      </c>
      <c r="G1823" t="s">
        <v>494</v>
      </c>
      <c r="H1823" t="s">
        <v>1078</v>
      </c>
      <c r="I1823" t="s">
        <v>1061</v>
      </c>
      <c r="J1823"/>
    </row>
    <row r="1824" spans="1:10" ht="15" hidden="1" x14ac:dyDescent="0.35">
      <c r="A1824" s="1831" t="s">
        <v>4438</v>
      </c>
      <c r="B1824" s="1839" t="s">
        <v>4439</v>
      </c>
      <c r="C1824" s="1839" t="s">
        <v>544</v>
      </c>
      <c r="D1824" s="1839" t="s">
        <v>4440</v>
      </c>
      <c r="E1824" s="1840">
        <v>41249</v>
      </c>
      <c r="F1824" s="1840"/>
      <c r="G1824" s="1839" t="s">
        <v>500</v>
      </c>
      <c r="H1824" s="1839" t="s">
        <v>1060</v>
      </c>
      <c r="I1824" s="1831" t="s">
        <v>1061</v>
      </c>
      <c r="J1824" s="1831"/>
    </row>
    <row r="1825" spans="1:10" ht="15" hidden="1" x14ac:dyDescent="0.35">
      <c r="A1825" s="1831" t="s">
        <v>4441</v>
      </c>
      <c r="B1825" s="1839" t="s">
        <v>4442</v>
      </c>
      <c r="C1825" s="1839" t="s">
        <v>456</v>
      </c>
      <c r="D1825" s="1839" t="s">
        <v>4443</v>
      </c>
      <c r="E1825" s="1840">
        <v>45705</v>
      </c>
      <c r="F1825" s="1840"/>
      <c r="G1825" s="1839" t="s">
        <v>500</v>
      </c>
      <c r="H1825" s="1839" t="s">
        <v>1065</v>
      </c>
      <c r="I1825" s="1831" t="s">
        <v>1066</v>
      </c>
      <c r="J1825" s="1831"/>
    </row>
    <row r="1826" spans="1:10" ht="15" hidden="1" x14ac:dyDescent="0.35">
      <c r="A1826" s="8" t="s">
        <v>4444</v>
      </c>
      <c r="B1826" t="s">
        <v>4445</v>
      </c>
      <c r="C1826" t="s">
        <v>1144</v>
      </c>
      <c r="D1826" t="s">
        <v>4446</v>
      </c>
      <c r="E1826" s="9">
        <v>45722</v>
      </c>
      <c r="F1826" s="9">
        <v>45876</v>
      </c>
      <c r="G1826" t="s">
        <v>494</v>
      </c>
      <c r="H1826" t="s">
        <v>1060</v>
      </c>
      <c r="I1826" t="s">
        <v>1061</v>
      </c>
      <c r="J1826"/>
    </row>
    <row r="1827" spans="1:10" ht="15" hidden="1" x14ac:dyDescent="0.35">
      <c r="A1827" s="1831" t="s">
        <v>4447</v>
      </c>
      <c r="B1827" s="1839" t="s">
        <v>4448</v>
      </c>
      <c r="C1827" s="1839" t="s">
        <v>4243</v>
      </c>
      <c r="D1827" s="1839" t="s">
        <v>4449</v>
      </c>
      <c r="E1827" s="1840">
        <v>44390</v>
      </c>
      <c r="F1827" s="1840"/>
      <c r="G1827" s="1839" t="s">
        <v>500</v>
      </c>
      <c r="H1827" s="1839" t="s">
        <v>1060</v>
      </c>
      <c r="I1827" s="1831" t="s">
        <v>1061</v>
      </c>
      <c r="J1827" s="1831"/>
    </row>
    <row r="1828" spans="1:10" ht="15" hidden="1" x14ac:dyDescent="0.35">
      <c r="A1828" s="1831" t="s">
        <v>4450</v>
      </c>
      <c r="B1828" s="1839" t="s">
        <v>4451</v>
      </c>
      <c r="C1828" s="1839" t="s">
        <v>763</v>
      </c>
      <c r="D1828" s="1839" t="s">
        <v>4452</v>
      </c>
      <c r="E1828" s="1840">
        <v>44768</v>
      </c>
      <c r="F1828" s="1840"/>
      <c r="G1828" s="1839" t="s">
        <v>500</v>
      </c>
      <c r="H1828" s="1839" t="s">
        <v>1060</v>
      </c>
      <c r="I1828" s="1831" t="s">
        <v>1061</v>
      </c>
      <c r="J1828" s="1831"/>
    </row>
    <row r="1829" spans="1:10" ht="15" hidden="1" x14ac:dyDescent="0.35">
      <c r="A1829" s="1831" t="s">
        <v>4453</v>
      </c>
      <c r="B1829" s="1839" t="s">
        <v>4454</v>
      </c>
      <c r="C1829" s="1839" t="s">
        <v>1144</v>
      </c>
      <c r="D1829" s="1839" t="s">
        <v>4455</v>
      </c>
      <c r="E1829" s="1840">
        <v>45702</v>
      </c>
      <c r="F1829" s="1840"/>
      <c r="G1829" s="1839" t="s">
        <v>500</v>
      </c>
      <c r="H1829" s="1839" t="s">
        <v>1060</v>
      </c>
      <c r="I1829" s="1831" t="s">
        <v>1061</v>
      </c>
      <c r="J1829" s="1831"/>
    </row>
    <row r="1830" spans="1:10" ht="15" hidden="1" x14ac:dyDescent="0.35">
      <c r="A1830" s="1831" t="s">
        <v>4456</v>
      </c>
      <c r="B1830" s="1839" t="s">
        <v>4457</v>
      </c>
      <c r="C1830" s="1839" t="s">
        <v>416</v>
      </c>
      <c r="D1830" s="1839" t="s">
        <v>4458</v>
      </c>
      <c r="E1830" s="1840">
        <v>45419</v>
      </c>
      <c r="F1830" s="1840"/>
      <c r="G1830" s="1839" t="s">
        <v>500</v>
      </c>
      <c r="H1830" s="1839" t="s">
        <v>1093</v>
      </c>
      <c r="I1830" s="1831" t="s">
        <v>1066</v>
      </c>
      <c r="J1830" s="1831"/>
    </row>
    <row r="1831" spans="1:10" ht="15" hidden="1" x14ac:dyDescent="0.35">
      <c r="A1831" s="1831" t="s">
        <v>4459</v>
      </c>
      <c r="B1831" s="1839" t="s">
        <v>4460</v>
      </c>
      <c r="C1831" s="1839" t="s">
        <v>2751</v>
      </c>
      <c r="D1831" s="1839" t="s">
        <v>4461</v>
      </c>
      <c r="E1831" s="1840">
        <v>45810</v>
      </c>
      <c r="F1831" s="1840"/>
      <c r="G1831" s="1839" t="s">
        <v>500</v>
      </c>
      <c r="H1831" s="1839" t="s">
        <v>1065</v>
      </c>
      <c r="I1831" s="1831" t="s">
        <v>1066</v>
      </c>
      <c r="J1831" s="1831"/>
    </row>
    <row r="1832" spans="1:10" ht="15" hidden="1" x14ac:dyDescent="0.35">
      <c r="A1832" s="8" t="s">
        <v>4462</v>
      </c>
      <c r="B1832" t="s">
        <v>4463</v>
      </c>
      <c r="C1832" t="s">
        <v>420</v>
      </c>
      <c r="D1832" t="s">
        <v>4464</v>
      </c>
      <c r="E1832" s="9">
        <v>45833</v>
      </c>
      <c r="F1832" s="9">
        <v>46063</v>
      </c>
      <c r="G1832" t="s">
        <v>494</v>
      </c>
      <c r="H1832" t="s">
        <v>1078</v>
      </c>
      <c r="I1832" t="s">
        <v>1061</v>
      </c>
      <c r="J1832"/>
    </row>
    <row r="1833" spans="1:10" ht="15" hidden="1" x14ac:dyDescent="0.35">
      <c r="A1833" s="1831" t="s">
        <v>4465</v>
      </c>
      <c r="B1833" s="1839" t="s">
        <v>4466</v>
      </c>
      <c r="C1833" s="1839" t="s">
        <v>415</v>
      </c>
      <c r="D1833" s="1839" t="s">
        <v>4467</v>
      </c>
      <c r="E1833" s="1840">
        <v>45859</v>
      </c>
      <c r="F1833" s="1840"/>
      <c r="G1833" s="1839" t="s">
        <v>500</v>
      </c>
      <c r="H1833" s="1839" t="s">
        <v>1065</v>
      </c>
      <c r="I1833" s="1831" t="s">
        <v>1066</v>
      </c>
      <c r="J1833" s="1831"/>
    </row>
    <row r="1834" spans="1:10" ht="15" hidden="1" x14ac:dyDescent="0.35">
      <c r="A1834" s="8" t="s">
        <v>4468</v>
      </c>
      <c r="B1834" t="s">
        <v>4469</v>
      </c>
      <c r="C1834" t="s">
        <v>1088</v>
      </c>
      <c r="D1834" t="s">
        <v>4470</v>
      </c>
      <c r="E1834" s="9">
        <v>45919</v>
      </c>
      <c r="F1834" s="9">
        <v>46055</v>
      </c>
      <c r="G1834" t="s">
        <v>494</v>
      </c>
      <c r="H1834" t="s">
        <v>1060</v>
      </c>
      <c r="I1834" t="s">
        <v>1061</v>
      </c>
      <c r="J1834"/>
    </row>
    <row r="1835" spans="1:10" ht="15" hidden="1" x14ac:dyDescent="0.35">
      <c r="A1835" s="8" t="s">
        <v>4471</v>
      </c>
      <c r="B1835" t="s">
        <v>4472</v>
      </c>
      <c r="C1835" t="s">
        <v>420</v>
      </c>
      <c r="D1835" t="s">
        <v>4473</v>
      </c>
      <c r="E1835" s="9">
        <v>45385</v>
      </c>
      <c r="G1835" t="s">
        <v>634</v>
      </c>
      <c r="H1835" t="s">
        <v>1078</v>
      </c>
      <c r="I1835" t="s">
        <v>1061</v>
      </c>
      <c r="J1835"/>
    </row>
    <row r="1836" spans="1:10" ht="15" hidden="1" x14ac:dyDescent="0.35">
      <c r="A1836" s="8" t="s">
        <v>4474</v>
      </c>
      <c r="B1836" t="s">
        <v>4475</v>
      </c>
      <c r="C1836" t="s">
        <v>410</v>
      </c>
      <c r="D1836" t="s">
        <v>4476</v>
      </c>
      <c r="E1836" s="9">
        <v>45779</v>
      </c>
      <c r="F1836" s="9">
        <v>45995</v>
      </c>
      <c r="G1836" t="s">
        <v>494</v>
      </c>
      <c r="H1836" t="s">
        <v>1060</v>
      </c>
      <c r="I1836" t="s">
        <v>1061</v>
      </c>
      <c r="J1836"/>
    </row>
    <row r="1837" spans="1:10" ht="15" hidden="1" x14ac:dyDescent="0.35">
      <c r="A1837" s="1831" t="s">
        <v>4477</v>
      </c>
      <c r="B1837" s="1839" t="s">
        <v>4478</v>
      </c>
      <c r="C1837" s="1839" t="s">
        <v>410</v>
      </c>
      <c r="D1837" s="1839" t="s">
        <v>4479</v>
      </c>
      <c r="E1837" s="1840">
        <v>45420</v>
      </c>
      <c r="F1837" s="1840"/>
      <c r="G1837" s="1839" t="s">
        <v>500</v>
      </c>
      <c r="H1837" s="1839" t="s">
        <v>1065</v>
      </c>
      <c r="I1837" s="1831" t="s">
        <v>1066</v>
      </c>
      <c r="J1837" s="1831"/>
    </row>
    <row r="1838" spans="1:10" ht="15" hidden="1" x14ac:dyDescent="0.35">
      <c r="A1838" s="8" t="s">
        <v>4480</v>
      </c>
      <c r="B1838" t="s">
        <v>4481</v>
      </c>
      <c r="C1838" t="s">
        <v>2549</v>
      </c>
      <c r="D1838" t="s">
        <v>4482</v>
      </c>
      <c r="E1838" s="9">
        <v>44389</v>
      </c>
      <c r="G1838" t="s">
        <v>634</v>
      </c>
      <c r="H1838" t="s">
        <v>1060</v>
      </c>
      <c r="I1838" t="s">
        <v>1061</v>
      </c>
      <c r="J1838"/>
    </row>
    <row r="1839" spans="1:10" ht="15" hidden="1" x14ac:dyDescent="0.35">
      <c r="A1839" s="1831" t="s">
        <v>4483</v>
      </c>
      <c r="B1839" s="1839" t="s">
        <v>4484</v>
      </c>
      <c r="C1839" s="1839" t="s">
        <v>606</v>
      </c>
      <c r="D1839" s="1839" t="s">
        <v>4485</v>
      </c>
      <c r="E1839" s="1840">
        <v>45419</v>
      </c>
      <c r="F1839" s="1840"/>
      <c r="G1839" s="1839" t="s">
        <v>500</v>
      </c>
      <c r="H1839" s="1839" t="s">
        <v>1065</v>
      </c>
      <c r="I1839" s="1831" t="s">
        <v>1066</v>
      </c>
      <c r="J1839" s="1831"/>
    </row>
    <row r="1840" spans="1:10" ht="15" hidden="1" x14ac:dyDescent="0.35">
      <c r="A1840" s="1831" t="s">
        <v>4486</v>
      </c>
      <c r="B1840" s="1839" t="s">
        <v>4487</v>
      </c>
      <c r="C1840" s="1839" t="s">
        <v>420</v>
      </c>
      <c r="D1840" s="1839" t="s">
        <v>4488</v>
      </c>
      <c r="E1840" s="1840">
        <v>45377</v>
      </c>
      <c r="F1840" s="1840"/>
      <c r="G1840" s="1839" t="s">
        <v>500</v>
      </c>
      <c r="H1840" s="1839" t="s">
        <v>1078</v>
      </c>
      <c r="I1840" s="1831" t="s">
        <v>1061</v>
      </c>
      <c r="J1840" s="1831"/>
    </row>
    <row r="1841" spans="1:10" ht="15" hidden="1" x14ac:dyDescent="0.35">
      <c r="A1841" s="8" t="s">
        <v>4489</v>
      </c>
      <c r="B1841" t="s">
        <v>4490</v>
      </c>
      <c r="C1841" t="s">
        <v>420</v>
      </c>
      <c r="D1841" t="s">
        <v>4491</v>
      </c>
      <c r="E1841" s="9">
        <v>45748</v>
      </c>
      <c r="G1841" t="s">
        <v>634</v>
      </c>
      <c r="H1841" t="s">
        <v>1093</v>
      </c>
      <c r="I1841" t="s">
        <v>1066</v>
      </c>
      <c r="J1841"/>
    </row>
    <row r="1842" spans="1:10" ht="15" hidden="1" x14ac:dyDescent="0.35">
      <c r="A1842" s="1831" t="s">
        <v>4492</v>
      </c>
      <c r="B1842" s="1839" t="s">
        <v>4493</v>
      </c>
      <c r="C1842" s="1839" t="s">
        <v>796</v>
      </c>
      <c r="D1842" s="1839" t="s">
        <v>4494</v>
      </c>
      <c r="E1842" s="1840">
        <v>45779</v>
      </c>
      <c r="F1842" s="1840"/>
      <c r="G1842" s="1839" t="s">
        <v>500</v>
      </c>
      <c r="H1842" s="1839" t="s">
        <v>1078</v>
      </c>
      <c r="I1842" s="1831" t="s">
        <v>1061</v>
      </c>
      <c r="J1842" s="1831"/>
    </row>
    <row r="1843" spans="1:10" ht="15" hidden="1" x14ac:dyDescent="0.35">
      <c r="A1843" s="1831" t="s">
        <v>4495</v>
      </c>
      <c r="B1843" s="1839" t="s">
        <v>4496</v>
      </c>
      <c r="C1843" s="1839" t="s">
        <v>410</v>
      </c>
      <c r="D1843" s="1839" t="s">
        <v>4497</v>
      </c>
      <c r="E1843" s="1840">
        <v>45377</v>
      </c>
      <c r="F1843" s="1840"/>
      <c r="G1843" s="1839" t="s">
        <v>500</v>
      </c>
      <c r="H1843" s="1839" t="s">
        <v>1060</v>
      </c>
      <c r="I1843" s="1831" t="s">
        <v>1061</v>
      </c>
      <c r="J1843" s="1831"/>
    </row>
    <row r="1844" spans="1:10" ht="15" hidden="1" x14ac:dyDescent="0.35">
      <c r="A1844" s="1831" t="s">
        <v>4498</v>
      </c>
      <c r="B1844" s="1839" t="s">
        <v>4499</v>
      </c>
      <c r="C1844" s="1839" t="s">
        <v>578</v>
      </c>
      <c r="D1844" s="1839" t="s">
        <v>4500</v>
      </c>
      <c r="E1844" s="1840">
        <v>45461</v>
      </c>
      <c r="F1844" s="1840"/>
      <c r="G1844" s="1839" t="s">
        <v>525</v>
      </c>
      <c r="H1844" s="1839" t="s">
        <v>1060</v>
      </c>
      <c r="I1844" s="1831" t="s">
        <v>1061</v>
      </c>
      <c r="J1844" s="1831"/>
    </row>
    <row r="1845" spans="1:10" ht="15" hidden="1" x14ac:dyDescent="0.35">
      <c r="A1845" s="8" t="s">
        <v>4501</v>
      </c>
      <c r="B1845" t="s">
        <v>4502</v>
      </c>
      <c r="C1845" t="s">
        <v>2008</v>
      </c>
      <c r="D1845" t="s">
        <v>4503</v>
      </c>
      <c r="E1845" s="9">
        <v>44805</v>
      </c>
      <c r="F1845" s="9">
        <v>45862</v>
      </c>
      <c r="G1845" t="s">
        <v>494</v>
      </c>
      <c r="H1845" t="s">
        <v>1065</v>
      </c>
      <c r="I1845" t="s">
        <v>1066</v>
      </c>
      <c r="J1845"/>
    </row>
    <row r="1846" spans="1:10" ht="15" hidden="1" x14ac:dyDescent="0.35">
      <c r="A1846" s="8" t="s">
        <v>4504</v>
      </c>
      <c r="B1846" t="s">
        <v>4505</v>
      </c>
      <c r="C1846" t="s">
        <v>420</v>
      </c>
      <c r="D1846" t="s">
        <v>4506</v>
      </c>
      <c r="E1846" s="9">
        <v>46000</v>
      </c>
      <c r="F1846" s="9">
        <v>46098</v>
      </c>
      <c r="G1846" t="s">
        <v>494</v>
      </c>
      <c r="H1846" t="s">
        <v>1078</v>
      </c>
      <c r="I1846" t="s">
        <v>1061</v>
      </c>
      <c r="J1846"/>
    </row>
    <row r="1847" spans="1:10" ht="15" hidden="1" x14ac:dyDescent="0.35">
      <c r="A1847" s="1831" t="s">
        <v>4507</v>
      </c>
      <c r="B1847" s="1839" t="s">
        <v>4508</v>
      </c>
      <c r="C1847" s="1839" t="s">
        <v>420</v>
      </c>
      <c r="D1847" s="1839" t="s">
        <v>4509</v>
      </c>
      <c r="E1847" s="1840">
        <v>45383</v>
      </c>
      <c r="F1847" s="1840"/>
      <c r="G1847" s="1839" t="s">
        <v>500</v>
      </c>
      <c r="H1847" s="1839" t="s">
        <v>1078</v>
      </c>
      <c r="I1847" s="1831" t="s">
        <v>1061</v>
      </c>
      <c r="J1847" s="1831"/>
    </row>
    <row r="1848" spans="1:10" ht="15" hidden="1" x14ac:dyDescent="0.35">
      <c r="A1848" s="1831" t="s">
        <v>4510</v>
      </c>
      <c r="B1848" s="1839" t="s">
        <v>4511</v>
      </c>
      <c r="C1848" s="1839" t="s">
        <v>3803</v>
      </c>
      <c r="D1848" s="1839" t="s">
        <v>4512</v>
      </c>
      <c r="E1848" s="1840">
        <v>44200</v>
      </c>
      <c r="F1848" s="1840"/>
      <c r="G1848" s="1839" t="s">
        <v>1118</v>
      </c>
      <c r="H1848" s="1839" t="s">
        <v>1060</v>
      </c>
      <c r="I1848" s="1831" t="s">
        <v>1061</v>
      </c>
      <c r="J1848" s="1831"/>
    </row>
    <row r="1849" spans="1:10" ht="15" hidden="1" x14ac:dyDescent="0.35">
      <c r="A1849" s="1831" t="s">
        <v>4513</v>
      </c>
      <c r="B1849" s="1839" t="s">
        <v>4514</v>
      </c>
      <c r="C1849" s="1839" t="s">
        <v>420</v>
      </c>
      <c r="D1849" s="1839" t="s">
        <v>4515</v>
      </c>
      <c r="E1849" s="1840">
        <v>45993</v>
      </c>
      <c r="F1849" s="1840"/>
      <c r="G1849" s="1839" t="s">
        <v>500</v>
      </c>
      <c r="H1849" s="1839" t="s">
        <v>1078</v>
      </c>
      <c r="I1849" s="1831" t="s">
        <v>1061</v>
      </c>
      <c r="J1849" s="1831"/>
    </row>
    <row r="1850" spans="1:10" ht="15" hidden="1" x14ac:dyDescent="0.35">
      <c r="A1850" s="1831" t="s">
        <v>4516</v>
      </c>
      <c r="B1850" s="1839" t="s">
        <v>4517</v>
      </c>
      <c r="C1850" s="1839" t="s">
        <v>420</v>
      </c>
      <c r="D1850" s="1839" t="s">
        <v>4518</v>
      </c>
      <c r="E1850" s="1840">
        <v>45385</v>
      </c>
      <c r="F1850" s="1840"/>
      <c r="G1850" s="1839" t="s">
        <v>500</v>
      </c>
      <c r="H1850" s="1839" t="s">
        <v>1078</v>
      </c>
      <c r="I1850" s="1831" t="s">
        <v>1061</v>
      </c>
      <c r="J1850" s="1831"/>
    </row>
    <row r="1851" spans="1:10" ht="15" hidden="1" x14ac:dyDescent="0.35">
      <c r="A1851" s="1831" t="s">
        <v>4519</v>
      </c>
      <c r="B1851" s="1839" t="s">
        <v>4520</v>
      </c>
      <c r="C1851" s="1839" t="s">
        <v>420</v>
      </c>
      <c r="D1851" s="1839" t="s">
        <v>4521</v>
      </c>
      <c r="E1851" s="1840">
        <v>45419</v>
      </c>
      <c r="F1851" s="1840"/>
      <c r="G1851" s="1839" t="s">
        <v>500</v>
      </c>
      <c r="H1851" s="1839" t="s">
        <v>1093</v>
      </c>
      <c r="I1851" s="1831" t="s">
        <v>1066</v>
      </c>
      <c r="J1851" s="1831"/>
    </row>
    <row r="1852" spans="1:10" ht="15" hidden="1" x14ac:dyDescent="0.35">
      <c r="A1852" s="8" t="s">
        <v>4522</v>
      </c>
      <c r="B1852" t="s">
        <v>4523</v>
      </c>
      <c r="C1852" t="s">
        <v>409</v>
      </c>
      <c r="D1852" t="s">
        <v>4524</v>
      </c>
      <c r="E1852" s="9">
        <v>45421</v>
      </c>
      <c r="F1852" s="9">
        <v>45784</v>
      </c>
      <c r="G1852" t="s">
        <v>494</v>
      </c>
      <c r="H1852" t="s">
        <v>1065</v>
      </c>
      <c r="I1852" t="s">
        <v>1066</v>
      </c>
      <c r="J1852"/>
    </row>
    <row r="1853" spans="1:10" ht="15" hidden="1" x14ac:dyDescent="0.35">
      <c r="A1853" s="1831" t="s">
        <v>4525</v>
      </c>
      <c r="B1853" s="1839" t="s">
        <v>4526</v>
      </c>
      <c r="C1853" s="1839" t="s">
        <v>420</v>
      </c>
      <c r="D1853" s="1839" t="s">
        <v>4527</v>
      </c>
      <c r="E1853" s="1840">
        <v>45825</v>
      </c>
      <c r="F1853" s="1840"/>
      <c r="G1853" s="1839" t="s">
        <v>500</v>
      </c>
      <c r="H1853" s="1839" t="s">
        <v>1078</v>
      </c>
      <c r="I1853" s="1831" t="s">
        <v>1061</v>
      </c>
      <c r="J1853" s="1831"/>
    </row>
    <row r="1854" spans="1:10" ht="15" hidden="1" x14ac:dyDescent="0.35">
      <c r="A1854" s="1831" t="s">
        <v>4528</v>
      </c>
      <c r="B1854" s="1839" t="s">
        <v>4529</v>
      </c>
      <c r="C1854" s="1839" t="s">
        <v>606</v>
      </c>
      <c r="D1854" s="1839" t="s">
        <v>4530</v>
      </c>
      <c r="E1854" s="1840">
        <v>45701</v>
      </c>
      <c r="F1854" s="1840"/>
      <c r="G1854" s="1839" t="s">
        <v>500</v>
      </c>
      <c r="H1854" s="1839" t="s">
        <v>1060</v>
      </c>
      <c r="I1854" s="1831" t="s">
        <v>1061</v>
      </c>
      <c r="J1854" s="1831"/>
    </row>
    <row r="1855" spans="1:10" ht="15" hidden="1" x14ac:dyDescent="0.35">
      <c r="A1855" s="1831" t="s">
        <v>4531</v>
      </c>
      <c r="B1855" s="1839" t="s">
        <v>4532</v>
      </c>
      <c r="C1855" s="1839" t="s">
        <v>1072</v>
      </c>
      <c r="D1855" s="1839" t="s">
        <v>4533</v>
      </c>
      <c r="E1855" s="1840">
        <v>43460</v>
      </c>
      <c r="F1855" s="1840"/>
      <c r="G1855" s="1839" t="s">
        <v>500</v>
      </c>
      <c r="H1855" s="1839" t="s">
        <v>1060</v>
      </c>
      <c r="I1855" s="1831" t="s">
        <v>1061</v>
      </c>
      <c r="J1855" s="1831"/>
    </row>
    <row r="1856" spans="1:10" ht="15" hidden="1" x14ac:dyDescent="0.35">
      <c r="A1856" s="8" t="s">
        <v>4534</v>
      </c>
      <c r="B1856" t="s">
        <v>4535</v>
      </c>
      <c r="C1856" t="s">
        <v>433</v>
      </c>
      <c r="D1856" t="s">
        <v>4536</v>
      </c>
      <c r="E1856" s="9">
        <v>45902</v>
      </c>
      <c r="F1856" s="9">
        <v>46083</v>
      </c>
      <c r="G1856" t="s">
        <v>494</v>
      </c>
      <c r="H1856" t="s">
        <v>1078</v>
      </c>
      <c r="I1856" t="s">
        <v>1061</v>
      </c>
      <c r="J1856"/>
    </row>
    <row r="1857" spans="1:10" ht="15" hidden="1" x14ac:dyDescent="0.35">
      <c r="A1857" s="1831" t="s">
        <v>4537</v>
      </c>
      <c r="B1857" s="1839" t="s">
        <v>4538</v>
      </c>
      <c r="C1857" s="1839" t="s">
        <v>420</v>
      </c>
      <c r="D1857" s="1839" t="s">
        <v>4539</v>
      </c>
      <c r="E1857" s="1840">
        <v>45707</v>
      </c>
      <c r="F1857" s="1840"/>
      <c r="G1857" s="1839" t="s">
        <v>500</v>
      </c>
      <c r="H1857" s="1839" t="s">
        <v>1078</v>
      </c>
      <c r="I1857" s="1831" t="s">
        <v>1061</v>
      </c>
      <c r="J1857" s="1831"/>
    </row>
    <row r="1858" spans="1:10" ht="15" hidden="1" x14ac:dyDescent="0.35">
      <c r="A1858" s="1831" t="s">
        <v>4540</v>
      </c>
      <c r="B1858" s="1839" t="s">
        <v>4541</v>
      </c>
      <c r="C1858" s="1839" t="s">
        <v>1144</v>
      </c>
      <c r="D1858" s="1839" t="s">
        <v>4542</v>
      </c>
      <c r="E1858" s="1840">
        <v>46090</v>
      </c>
      <c r="F1858" s="1840"/>
      <c r="G1858" s="1839" t="s">
        <v>500</v>
      </c>
      <c r="H1858" s="1839" t="s">
        <v>1065</v>
      </c>
      <c r="I1858" s="1831" t="s">
        <v>1066</v>
      </c>
      <c r="J1858" s="1831"/>
    </row>
    <row r="1859" spans="1:10" ht="15" hidden="1" x14ac:dyDescent="0.35">
      <c r="A1859" s="8" t="s">
        <v>4543</v>
      </c>
      <c r="B1859" t="s">
        <v>4544</v>
      </c>
      <c r="C1859" t="s">
        <v>439</v>
      </c>
      <c r="D1859" t="s">
        <v>4545</v>
      </c>
      <c r="E1859" s="9">
        <v>46134</v>
      </c>
      <c r="F1859" s="9">
        <v>46153</v>
      </c>
      <c r="G1859" t="s">
        <v>494</v>
      </c>
      <c r="H1859" t="s">
        <v>1065</v>
      </c>
      <c r="I1859" t="s">
        <v>1066</v>
      </c>
      <c r="J1859"/>
    </row>
    <row r="1860" spans="1:10" ht="15" hidden="1" x14ac:dyDescent="0.35">
      <c r="A1860" s="1831" t="s">
        <v>4546</v>
      </c>
      <c r="B1860" s="1839" t="s">
        <v>4547</v>
      </c>
      <c r="C1860" s="1839" t="s">
        <v>3495</v>
      </c>
      <c r="D1860" s="1839" t="s">
        <v>4548</v>
      </c>
      <c r="E1860" s="1840">
        <v>43460</v>
      </c>
      <c r="F1860" s="1840"/>
      <c r="G1860" s="1839" t="s">
        <v>500</v>
      </c>
      <c r="H1860" s="1839" t="s">
        <v>1065</v>
      </c>
      <c r="I1860" s="1831" t="s">
        <v>1066</v>
      </c>
      <c r="J1860" s="1831"/>
    </row>
    <row r="1861" spans="1:10" ht="15" hidden="1" x14ac:dyDescent="0.35">
      <c r="A1861" s="8" t="s">
        <v>4549</v>
      </c>
      <c r="B1861" t="s">
        <v>4550</v>
      </c>
      <c r="C1861" t="s">
        <v>413</v>
      </c>
      <c r="D1861" t="s">
        <v>4551</v>
      </c>
      <c r="E1861" s="9">
        <v>45566</v>
      </c>
      <c r="F1861" s="9">
        <v>45846</v>
      </c>
      <c r="G1861" t="s">
        <v>494</v>
      </c>
      <c r="H1861" t="s">
        <v>1065</v>
      </c>
      <c r="I1861" t="s">
        <v>1066</v>
      </c>
      <c r="J1861"/>
    </row>
    <row r="1862" spans="1:10" ht="15" hidden="1" x14ac:dyDescent="0.35">
      <c r="A1862" s="8" t="s">
        <v>4552</v>
      </c>
      <c r="B1862" t="s">
        <v>4553</v>
      </c>
      <c r="C1862" t="s">
        <v>443</v>
      </c>
      <c r="D1862" t="s">
        <v>4554</v>
      </c>
      <c r="E1862" s="9">
        <v>45881</v>
      </c>
      <c r="F1862" s="9">
        <v>45950</v>
      </c>
      <c r="G1862" t="s">
        <v>494</v>
      </c>
      <c r="H1862" t="s">
        <v>1060</v>
      </c>
      <c r="I1862" t="s">
        <v>1061</v>
      </c>
      <c r="J1862"/>
    </row>
    <row r="1863" spans="1:10" ht="15" hidden="1" x14ac:dyDescent="0.35">
      <c r="A1863" s="1831" t="s">
        <v>4555</v>
      </c>
      <c r="B1863" s="1839" t="s">
        <v>4556</v>
      </c>
      <c r="C1863" s="1839" t="s">
        <v>2627</v>
      </c>
      <c r="D1863" s="1839" t="s">
        <v>4557</v>
      </c>
      <c r="E1863" s="1840">
        <v>45446</v>
      </c>
      <c r="F1863" s="1840"/>
      <c r="G1863" s="1839" t="s">
        <v>500</v>
      </c>
      <c r="H1863" s="1839" t="s">
        <v>1065</v>
      </c>
      <c r="I1863" s="1831" t="s">
        <v>1066</v>
      </c>
      <c r="J1863" s="1831"/>
    </row>
    <row r="1864" spans="1:10" ht="15" x14ac:dyDescent="0.35">
      <c r="A1864" s="1831" t="s">
        <v>4558</v>
      </c>
      <c r="B1864" s="1839" t="s">
        <v>4559</v>
      </c>
      <c r="C1864" s="1839" t="s">
        <v>578</v>
      </c>
      <c r="D1864" s="1839" t="s">
        <v>4560</v>
      </c>
      <c r="E1864" s="1840">
        <v>45979</v>
      </c>
      <c r="F1864" s="1840"/>
      <c r="G1864" s="1839" t="s">
        <v>500</v>
      </c>
      <c r="H1864" s="1839" t="s">
        <v>1065</v>
      </c>
      <c r="I1864" s="1831" t="s">
        <v>1066</v>
      </c>
      <c r="J1864" s="1831"/>
    </row>
    <row r="1865" spans="1:10" ht="15" x14ac:dyDescent="0.35">
      <c r="A1865" s="1831" t="s">
        <v>4561</v>
      </c>
      <c r="B1865" s="1839" t="s">
        <v>4562</v>
      </c>
      <c r="C1865" s="1839" t="s">
        <v>433</v>
      </c>
      <c r="D1865" s="1839" t="s">
        <v>4563</v>
      </c>
      <c r="E1865" s="1840">
        <v>45849</v>
      </c>
      <c r="F1865" s="1840"/>
      <c r="G1865" s="1839" t="s">
        <v>500</v>
      </c>
      <c r="H1865" s="1839" t="s">
        <v>1078</v>
      </c>
      <c r="I1865" s="1831" t="s">
        <v>1061</v>
      </c>
      <c r="J1865" s="1831"/>
    </row>
    <row r="1866" spans="1:10" ht="15" hidden="1" x14ac:dyDescent="0.35">
      <c r="A1866" s="1831" t="s">
        <v>4564</v>
      </c>
      <c r="B1866" s="1839" t="s">
        <v>4565</v>
      </c>
      <c r="C1866" s="1839" t="s">
        <v>1088</v>
      </c>
      <c r="D1866" s="1839" t="s">
        <v>4566</v>
      </c>
      <c r="E1866" s="1840">
        <v>45712</v>
      </c>
      <c r="F1866" s="1840"/>
      <c r="G1866" s="1839" t="s">
        <v>500</v>
      </c>
      <c r="H1866" s="1839" t="s">
        <v>1065</v>
      </c>
      <c r="I1866" s="1831" t="s">
        <v>1066</v>
      </c>
      <c r="J1866" s="1831"/>
    </row>
    <row r="1867" spans="1:10" ht="15" hidden="1" x14ac:dyDescent="0.35">
      <c r="A1867" s="8" t="s">
        <v>4567</v>
      </c>
      <c r="B1867" t="s">
        <v>4568</v>
      </c>
      <c r="C1867" t="s">
        <v>1144</v>
      </c>
      <c r="D1867" t="s">
        <v>4569</v>
      </c>
      <c r="E1867" s="9">
        <v>44239</v>
      </c>
      <c r="F1867" s="9">
        <v>45826</v>
      </c>
      <c r="G1867" t="s">
        <v>494</v>
      </c>
      <c r="H1867" t="s">
        <v>1065</v>
      </c>
      <c r="I1867" t="s">
        <v>1066</v>
      </c>
      <c r="J1867"/>
    </row>
    <row r="1868" spans="1:10" ht="15" hidden="1" x14ac:dyDescent="0.35">
      <c r="A1868" s="1831" t="s">
        <v>4570</v>
      </c>
      <c r="B1868" s="1839" t="s">
        <v>4571</v>
      </c>
      <c r="C1868" s="1839" t="s">
        <v>578</v>
      </c>
      <c r="D1868" s="1839" t="s">
        <v>4572</v>
      </c>
      <c r="E1868" s="1840">
        <v>44392</v>
      </c>
      <c r="F1868" s="1840"/>
      <c r="G1868" s="1839" t="s">
        <v>500</v>
      </c>
      <c r="H1868" s="1839" t="s">
        <v>1065</v>
      </c>
      <c r="I1868" s="1831" t="s">
        <v>1066</v>
      </c>
      <c r="J1868" s="1831"/>
    </row>
    <row r="1869" spans="1:10" ht="15" hidden="1" x14ac:dyDescent="0.35">
      <c r="A1869" s="1831" t="s">
        <v>4573</v>
      </c>
      <c r="B1869" s="1839" t="s">
        <v>4574</v>
      </c>
      <c r="C1869" s="1839" t="s">
        <v>606</v>
      </c>
      <c r="D1869" s="1839" t="s">
        <v>4575</v>
      </c>
      <c r="E1869" s="1840">
        <v>45712</v>
      </c>
      <c r="F1869" s="1840"/>
      <c r="G1869" s="1839" t="s">
        <v>500</v>
      </c>
      <c r="H1869" s="1839" t="s">
        <v>1060</v>
      </c>
      <c r="I1869" s="1831" t="s">
        <v>1061</v>
      </c>
      <c r="J1869" s="1831"/>
    </row>
    <row r="1870" spans="1:10" ht="15" hidden="1" x14ac:dyDescent="0.35">
      <c r="A1870" s="1831" t="s">
        <v>4576</v>
      </c>
      <c r="B1870" s="1839" t="s">
        <v>4577</v>
      </c>
      <c r="C1870" s="1839" t="s">
        <v>457</v>
      </c>
      <c r="D1870" s="1839" t="s">
        <v>4578</v>
      </c>
      <c r="E1870" s="1840">
        <v>46027</v>
      </c>
      <c r="F1870" s="1840"/>
      <c r="G1870" s="1839" t="s">
        <v>500</v>
      </c>
      <c r="H1870" s="1839" t="s">
        <v>1060</v>
      </c>
      <c r="I1870" s="1831" t="s">
        <v>1061</v>
      </c>
      <c r="J1870" s="1831"/>
    </row>
    <row r="1871" spans="1:10" ht="15" hidden="1" x14ac:dyDescent="0.35">
      <c r="A1871" s="1831" t="s">
        <v>4579</v>
      </c>
      <c r="B1871" s="1839" t="s">
        <v>4580</v>
      </c>
      <c r="C1871" s="1839" t="s">
        <v>751</v>
      </c>
      <c r="D1871" s="1839" t="s">
        <v>4581</v>
      </c>
      <c r="E1871" s="1840">
        <v>45392</v>
      </c>
      <c r="F1871" s="1840"/>
      <c r="G1871" s="1839" t="s">
        <v>500</v>
      </c>
      <c r="H1871" s="1839" t="s">
        <v>1060</v>
      </c>
      <c r="I1871" s="1831" t="s">
        <v>1061</v>
      </c>
      <c r="J1871" s="1831"/>
    </row>
    <row r="1872" spans="1:10" ht="15" hidden="1" x14ac:dyDescent="0.35">
      <c r="A1872" s="1831" t="s">
        <v>4582</v>
      </c>
      <c r="B1872" s="1839" t="s">
        <v>4583</v>
      </c>
      <c r="C1872" s="1839" t="s">
        <v>578</v>
      </c>
      <c r="D1872" s="1839" t="s">
        <v>4584</v>
      </c>
      <c r="E1872" s="1840">
        <v>44211</v>
      </c>
      <c r="F1872" s="1840"/>
      <c r="G1872" s="1839" t="s">
        <v>500</v>
      </c>
      <c r="H1872" s="1839" t="s">
        <v>1060</v>
      </c>
      <c r="I1872" s="1831" t="s">
        <v>1061</v>
      </c>
      <c r="J1872" s="1831"/>
    </row>
    <row r="1873" spans="1:10" ht="15" hidden="1" x14ac:dyDescent="0.35">
      <c r="A1873" s="1831" t="s">
        <v>4585</v>
      </c>
      <c r="B1873" s="1839" t="s">
        <v>4586</v>
      </c>
      <c r="C1873" s="1839" t="s">
        <v>433</v>
      </c>
      <c r="D1873" s="1839" t="s">
        <v>4587</v>
      </c>
      <c r="E1873" s="1840">
        <v>46000</v>
      </c>
      <c r="F1873" s="1840"/>
      <c r="G1873" s="1839" t="s">
        <v>500</v>
      </c>
      <c r="H1873" s="1839" t="s">
        <v>1093</v>
      </c>
      <c r="I1873" s="1831" t="s">
        <v>1066</v>
      </c>
      <c r="J1873" s="1831"/>
    </row>
    <row r="1874" spans="1:10" ht="15" hidden="1" x14ac:dyDescent="0.35">
      <c r="A1874" s="1831" t="s">
        <v>4588</v>
      </c>
      <c r="B1874" s="1839" t="s">
        <v>4589</v>
      </c>
      <c r="C1874" s="1839" t="s">
        <v>578</v>
      </c>
      <c r="D1874" s="1839" t="s">
        <v>4590</v>
      </c>
      <c r="E1874" s="1840">
        <v>44397</v>
      </c>
      <c r="F1874" s="1840"/>
      <c r="G1874" s="1839" t="s">
        <v>500</v>
      </c>
      <c r="H1874" s="1839" t="s">
        <v>1060</v>
      </c>
      <c r="I1874" s="1831" t="s">
        <v>1061</v>
      </c>
      <c r="J1874" s="1831"/>
    </row>
    <row r="1875" spans="1:10" ht="15" hidden="1" x14ac:dyDescent="0.35">
      <c r="A1875" s="1831" t="s">
        <v>4591</v>
      </c>
      <c r="B1875" s="1839" t="s">
        <v>4592</v>
      </c>
      <c r="C1875" s="1839" t="s">
        <v>1125</v>
      </c>
      <c r="D1875" s="1839" t="s">
        <v>4593</v>
      </c>
      <c r="E1875" s="1840">
        <v>44768</v>
      </c>
      <c r="F1875" s="1840"/>
      <c r="G1875" s="1839" t="s">
        <v>500</v>
      </c>
      <c r="H1875" s="1839" t="s">
        <v>1065</v>
      </c>
      <c r="I1875" s="1831" t="s">
        <v>1066</v>
      </c>
      <c r="J1875" s="1831"/>
    </row>
    <row r="1876" spans="1:10" ht="15" hidden="1" x14ac:dyDescent="0.35">
      <c r="A1876" s="8" t="s">
        <v>4594</v>
      </c>
      <c r="B1876" t="s">
        <v>4595</v>
      </c>
      <c r="C1876" t="s">
        <v>443</v>
      </c>
      <c r="D1876" t="s">
        <v>4596</v>
      </c>
      <c r="E1876" s="9">
        <v>45712</v>
      </c>
      <c r="F1876" s="9">
        <v>45996</v>
      </c>
      <c r="G1876" t="s">
        <v>494</v>
      </c>
      <c r="H1876" t="s">
        <v>1060</v>
      </c>
      <c r="I1876" t="s">
        <v>1061</v>
      </c>
      <c r="J1876"/>
    </row>
    <row r="1877" spans="1:10" ht="15" hidden="1" x14ac:dyDescent="0.35">
      <c r="A1877" s="8" t="s">
        <v>4597</v>
      </c>
      <c r="B1877" t="s">
        <v>4598</v>
      </c>
      <c r="C1877" t="s">
        <v>420</v>
      </c>
      <c r="D1877" t="s">
        <v>4599</v>
      </c>
      <c r="E1877" s="9">
        <v>45713</v>
      </c>
      <c r="G1877" t="s">
        <v>634</v>
      </c>
      <c r="H1877" t="s">
        <v>1093</v>
      </c>
      <c r="I1877" t="s">
        <v>1066</v>
      </c>
      <c r="J1877"/>
    </row>
    <row r="1878" spans="1:10" ht="15" hidden="1" x14ac:dyDescent="0.35">
      <c r="A1878" s="1831" t="s">
        <v>4600</v>
      </c>
      <c r="B1878" s="1839" t="s">
        <v>4601</v>
      </c>
      <c r="C1878" s="1839" t="s">
        <v>544</v>
      </c>
      <c r="D1878" s="1839" t="s">
        <v>4602</v>
      </c>
      <c r="E1878" s="1840">
        <v>41830</v>
      </c>
      <c r="F1878" s="1840"/>
      <c r="G1878" s="1839" t="s">
        <v>525</v>
      </c>
      <c r="H1878" s="1839" t="s">
        <v>1065</v>
      </c>
      <c r="I1878" s="1831" t="s">
        <v>1066</v>
      </c>
      <c r="J1878" s="1831"/>
    </row>
    <row r="1879" spans="1:10" ht="15" hidden="1" x14ac:dyDescent="0.35">
      <c r="A1879" s="8" t="s">
        <v>4603</v>
      </c>
      <c r="B1879" t="s">
        <v>4604</v>
      </c>
      <c r="C1879" t="s">
        <v>420</v>
      </c>
      <c r="D1879" t="s">
        <v>4605</v>
      </c>
      <c r="E1879" s="9">
        <v>46001</v>
      </c>
      <c r="G1879" t="s">
        <v>634</v>
      </c>
      <c r="H1879" t="s">
        <v>1078</v>
      </c>
      <c r="I1879" t="s">
        <v>1061</v>
      </c>
      <c r="J1879"/>
    </row>
    <row r="1880" spans="1:10" ht="15" hidden="1" x14ac:dyDescent="0.35">
      <c r="A1880" s="1831" t="s">
        <v>4606</v>
      </c>
      <c r="B1880" s="1839" t="s">
        <v>4607</v>
      </c>
      <c r="C1880" s="1839" t="s">
        <v>416</v>
      </c>
      <c r="D1880" s="1839" t="s">
        <v>4608</v>
      </c>
      <c r="E1880" s="1840">
        <v>45433</v>
      </c>
      <c r="F1880" s="1840"/>
      <c r="G1880" s="1839" t="s">
        <v>500</v>
      </c>
      <c r="H1880" s="1839" t="s">
        <v>1093</v>
      </c>
      <c r="I1880" s="1831" t="s">
        <v>1066</v>
      </c>
      <c r="J1880" s="1831"/>
    </row>
    <row r="1881" spans="1:10" ht="15" hidden="1" x14ac:dyDescent="0.35">
      <c r="A1881" s="1831" t="s">
        <v>4609</v>
      </c>
      <c r="B1881" s="1839" t="s">
        <v>4610</v>
      </c>
      <c r="C1881" s="1839" t="s">
        <v>440</v>
      </c>
      <c r="D1881" s="1839" t="s">
        <v>4611</v>
      </c>
      <c r="E1881" s="1840">
        <v>45751</v>
      </c>
      <c r="F1881" s="1840"/>
      <c r="G1881" s="1839" t="s">
        <v>500</v>
      </c>
      <c r="H1881" s="1839" t="s">
        <v>1060</v>
      </c>
      <c r="I1881" s="1831" t="s">
        <v>1061</v>
      </c>
      <c r="J1881" s="1831"/>
    </row>
    <row r="1882" spans="1:10" ht="15" hidden="1" x14ac:dyDescent="0.35">
      <c r="A1882" s="1831" t="s">
        <v>4612</v>
      </c>
      <c r="B1882" s="1839" t="s">
        <v>4613</v>
      </c>
      <c r="C1882" s="1839" t="s">
        <v>1088</v>
      </c>
      <c r="D1882" s="1839" t="s">
        <v>4614</v>
      </c>
      <c r="E1882" s="1840">
        <v>45708</v>
      </c>
      <c r="F1882" s="1840"/>
      <c r="G1882" s="1839" t="s">
        <v>500</v>
      </c>
      <c r="H1882" s="1839" t="s">
        <v>1065</v>
      </c>
      <c r="I1882" s="1831" t="s">
        <v>1066</v>
      </c>
      <c r="J1882" s="1831"/>
    </row>
    <row r="1883" spans="1:10" ht="15" hidden="1" x14ac:dyDescent="0.35">
      <c r="A1883" s="1831" t="s">
        <v>4615</v>
      </c>
      <c r="B1883" s="1839" t="s">
        <v>4616</v>
      </c>
      <c r="C1883" s="1839" t="s">
        <v>410</v>
      </c>
      <c r="D1883" s="1839" t="s">
        <v>4617</v>
      </c>
      <c r="E1883" s="1840">
        <v>45889</v>
      </c>
      <c r="F1883" s="1840"/>
      <c r="G1883" s="1839" t="s">
        <v>500</v>
      </c>
      <c r="H1883" s="1839" t="s">
        <v>1065</v>
      </c>
      <c r="I1883" s="1831" t="s">
        <v>1066</v>
      </c>
      <c r="J1883" s="1831"/>
    </row>
    <row r="1884" spans="1:10" ht="15" hidden="1" x14ac:dyDescent="0.35">
      <c r="A1884" s="1831" t="s">
        <v>4618</v>
      </c>
      <c r="B1884" s="1839" t="s">
        <v>4619</v>
      </c>
      <c r="C1884" s="1839" t="s">
        <v>437</v>
      </c>
      <c r="D1884" s="1839" t="s">
        <v>4620</v>
      </c>
      <c r="E1884" s="1840">
        <v>45131</v>
      </c>
      <c r="F1884" s="1840"/>
      <c r="G1884" s="1839" t="s">
        <v>500</v>
      </c>
      <c r="H1884" s="1839" t="s">
        <v>1060</v>
      </c>
      <c r="I1884" s="1831" t="s">
        <v>1061</v>
      </c>
      <c r="J1884" s="1831"/>
    </row>
    <row r="1885" spans="1:10" ht="15" hidden="1" x14ac:dyDescent="0.35">
      <c r="A1885" s="1831" t="s">
        <v>4621</v>
      </c>
      <c r="B1885" s="1839" t="s">
        <v>4622</v>
      </c>
      <c r="C1885" s="1839" t="s">
        <v>455</v>
      </c>
      <c r="D1885" s="1839" t="s">
        <v>4623</v>
      </c>
      <c r="E1885" s="1840">
        <v>45849</v>
      </c>
      <c r="F1885" s="1840"/>
      <c r="G1885" s="1839" t="s">
        <v>500</v>
      </c>
      <c r="H1885" s="1839" t="s">
        <v>1060</v>
      </c>
      <c r="I1885" s="1831" t="s">
        <v>1061</v>
      </c>
      <c r="J1885" s="1831"/>
    </row>
    <row r="1886" spans="1:10" ht="15" hidden="1" x14ac:dyDescent="0.35">
      <c r="A1886" s="1831" t="s">
        <v>4624</v>
      </c>
      <c r="B1886" s="1839" t="s">
        <v>4625</v>
      </c>
      <c r="C1886" s="1839" t="s">
        <v>451</v>
      </c>
      <c r="D1886" s="1839" t="s">
        <v>4626</v>
      </c>
      <c r="E1886" s="1840">
        <v>45714</v>
      </c>
      <c r="F1886" s="1840"/>
      <c r="G1886" s="1839" t="s">
        <v>500</v>
      </c>
      <c r="H1886" s="1839" t="s">
        <v>1060</v>
      </c>
      <c r="I1886" s="1831" t="s">
        <v>1061</v>
      </c>
      <c r="J1886" s="1831"/>
    </row>
    <row r="1887" spans="1:10" ht="15" hidden="1" x14ac:dyDescent="0.35">
      <c r="A1887" s="1831" t="s">
        <v>4627</v>
      </c>
      <c r="B1887" s="1839" t="s">
        <v>4628</v>
      </c>
      <c r="C1887" s="1839" t="s">
        <v>1144</v>
      </c>
      <c r="D1887" s="1839" t="s">
        <v>4629</v>
      </c>
      <c r="E1887" s="1840">
        <v>45904</v>
      </c>
      <c r="F1887" s="1840"/>
      <c r="G1887" s="1839" t="s">
        <v>500</v>
      </c>
      <c r="H1887" s="1839" t="s">
        <v>1065</v>
      </c>
      <c r="I1887" s="1831" t="s">
        <v>1066</v>
      </c>
      <c r="J1887" s="1831"/>
    </row>
    <row r="1888" spans="1:10" ht="15" hidden="1" x14ac:dyDescent="0.35">
      <c r="A1888" s="1831" t="s">
        <v>4630</v>
      </c>
      <c r="B1888" s="1839" t="s">
        <v>4631</v>
      </c>
      <c r="C1888" s="1839" t="s">
        <v>458</v>
      </c>
      <c r="D1888" s="1839" t="s">
        <v>4632</v>
      </c>
      <c r="E1888" s="1840">
        <v>44683</v>
      </c>
      <c r="F1888" s="1840"/>
      <c r="G1888" s="1839" t="s">
        <v>500</v>
      </c>
      <c r="H1888" s="1839" t="s">
        <v>1060</v>
      </c>
      <c r="I1888" s="1831" t="s">
        <v>1061</v>
      </c>
      <c r="J1888" s="1831"/>
    </row>
    <row r="1889" spans="1:10" ht="15" hidden="1" x14ac:dyDescent="0.35">
      <c r="A1889" s="1831" t="s">
        <v>4633</v>
      </c>
      <c r="B1889" s="1839" t="s">
        <v>4634</v>
      </c>
      <c r="C1889" s="1839" t="s">
        <v>1088</v>
      </c>
      <c r="D1889" s="1839" t="s">
        <v>4635</v>
      </c>
      <c r="E1889" s="1840">
        <v>45721</v>
      </c>
      <c r="F1889" s="1840"/>
      <c r="G1889" s="1839" t="s">
        <v>500</v>
      </c>
      <c r="H1889" s="1839" t="s">
        <v>1060</v>
      </c>
      <c r="I1889" s="1831" t="s">
        <v>1061</v>
      </c>
      <c r="J1889" s="1831"/>
    </row>
    <row r="1890" spans="1:10" ht="15" hidden="1" x14ac:dyDescent="0.35">
      <c r="A1890" s="1831" t="s">
        <v>4636</v>
      </c>
      <c r="B1890" s="1839" t="s">
        <v>4637</v>
      </c>
      <c r="C1890" s="1839" t="s">
        <v>1144</v>
      </c>
      <c r="D1890" s="1839" t="s">
        <v>4638</v>
      </c>
      <c r="E1890" s="1840">
        <v>46090</v>
      </c>
      <c r="F1890" s="1840"/>
      <c r="G1890" s="1839" t="s">
        <v>500</v>
      </c>
      <c r="H1890" s="1839" t="s">
        <v>1065</v>
      </c>
      <c r="I1890" s="1831" t="s">
        <v>1066</v>
      </c>
      <c r="J1890" s="1831"/>
    </row>
    <row r="1891" spans="1:10" ht="15" hidden="1" x14ac:dyDescent="0.35">
      <c r="A1891" s="1831" t="s">
        <v>4639</v>
      </c>
      <c r="B1891" s="1839" t="s">
        <v>4640</v>
      </c>
      <c r="C1891" s="1839" t="s">
        <v>457</v>
      </c>
      <c r="D1891" s="1839" t="s">
        <v>4641</v>
      </c>
      <c r="E1891" s="1840">
        <v>45810</v>
      </c>
      <c r="F1891" s="1840"/>
      <c r="G1891" s="1839" t="s">
        <v>500</v>
      </c>
      <c r="H1891" s="1839" t="s">
        <v>1065</v>
      </c>
      <c r="I1891" s="1831" t="s">
        <v>1066</v>
      </c>
      <c r="J1891" s="1831"/>
    </row>
    <row r="1892" spans="1:10" ht="15" hidden="1" x14ac:dyDescent="0.35">
      <c r="A1892" s="8" t="s">
        <v>4642</v>
      </c>
      <c r="B1892" t="s">
        <v>4643</v>
      </c>
      <c r="C1892" t="s">
        <v>1144</v>
      </c>
      <c r="D1892" t="s">
        <v>4644</v>
      </c>
      <c r="E1892" s="9">
        <v>45713</v>
      </c>
      <c r="F1892" s="9">
        <v>45967</v>
      </c>
      <c r="G1892" t="s">
        <v>494</v>
      </c>
      <c r="H1892" t="s">
        <v>1060</v>
      </c>
      <c r="I1892" t="s">
        <v>1061</v>
      </c>
      <c r="J1892"/>
    </row>
    <row r="1893" spans="1:10" ht="15" hidden="1" x14ac:dyDescent="0.35">
      <c r="A1893" s="1831" t="s">
        <v>4645</v>
      </c>
      <c r="B1893" s="1839" t="s">
        <v>4646</v>
      </c>
      <c r="C1893" s="1839" t="s">
        <v>578</v>
      </c>
      <c r="D1893" s="1839" t="s">
        <v>4647</v>
      </c>
      <c r="E1893" s="1840">
        <v>45492</v>
      </c>
      <c r="F1893" s="1840"/>
      <c r="G1893" s="1839" t="s">
        <v>500</v>
      </c>
      <c r="H1893" s="1839" t="s">
        <v>1060</v>
      </c>
      <c r="I1893" s="1831" t="s">
        <v>1061</v>
      </c>
      <c r="J1893" s="1831"/>
    </row>
    <row r="1894" spans="1:10" ht="15" hidden="1" x14ac:dyDescent="0.35">
      <c r="A1894" s="1831" t="s">
        <v>4648</v>
      </c>
      <c r="B1894" s="1839" t="s">
        <v>4649</v>
      </c>
      <c r="C1894" s="1839" t="s">
        <v>2613</v>
      </c>
      <c r="D1894" s="1839" t="s">
        <v>4650</v>
      </c>
      <c r="E1894" s="1840">
        <v>46162</v>
      </c>
      <c r="F1894" s="1840"/>
      <c r="G1894" s="1839" t="s">
        <v>500</v>
      </c>
      <c r="H1894" s="1839" t="s">
        <v>1078</v>
      </c>
      <c r="I1894" s="1831" t="s">
        <v>1061</v>
      </c>
      <c r="J1894" s="1831"/>
    </row>
    <row r="1895" spans="1:10" ht="15" hidden="1" x14ac:dyDescent="0.35">
      <c r="A1895" s="1831" t="s">
        <v>4651</v>
      </c>
      <c r="B1895" s="1839" t="s">
        <v>4652</v>
      </c>
      <c r="C1895" s="1839" t="s">
        <v>578</v>
      </c>
      <c r="D1895" s="1839" t="s">
        <v>4653</v>
      </c>
      <c r="E1895" s="1840">
        <v>45005</v>
      </c>
      <c r="F1895" s="1840"/>
      <c r="G1895" s="1839" t="s">
        <v>525</v>
      </c>
      <c r="H1895" s="1839" t="s">
        <v>1065</v>
      </c>
      <c r="I1895" s="1831" t="s">
        <v>1066</v>
      </c>
      <c r="J1895" s="1831"/>
    </row>
    <row r="1896" spans="1:10" ht="15" hidden="1" x14ac:dyDescent="0.35">
      <c r="A1896" s="1831" t="s">
        <v>4654</v>
      </c>
      <c r="B1896" s="1839" t="s">
        <v>4655</v>
      </c>
      <c r="C1896" s="1839" t="s">
        <v>544</v>
      </c>
      <c r="D1896" s="1839" t="s">
        <v>4656</v>
      </c>
      <c r="E1896" s="1840">
        <v>44805</v>
      </c>
      <c r="F1896" s="1840"/>
      <c r="G1896" s="1839" t="s">
        <v>500</v>
      </c>
      <c r="H1896" s="1839" t="s">
        <v>1060</v>
      </c>
      <c r="I1896" s="1831" t="s">
        <v>1061</v>
      </c>
      <c r="J1896" s="1831"/>
    </row>
    <row r="1897" spans="1:10" ht="15" hidden="1" x14ac:dyDescent="0.35">
      <c r="A1897" s="1831" t="s">
        <v>4657</v>
      </c>
      <c r="B1897" s="1839" t="s">
        <v>4658</v>
      </c>
      <c r="C1897" s="1839" t="s">
        <v>1144</v>
      </c>
      <c r="D1897" s="1839" t="s">
        <v>4659</v>
      </c>
      <c r="E1897" s="1840">
        <v>45722</v>
      </c>
      <c r="F1897" s="1840"/>
      <c r="G1897" s="1839" t="s">
        <v>500</v>
      </c>
      <c r="H1897" s="1839" t="s">
        <v>1065</v>
      </c>
      <c r="I1897" s="1831" t="s">
        <v>1066</v>
      </c>
      <c r="J1897" s="1831"/>
    </row>
    <row r="1898" spans="1:10" ht="15" hidden="1" x14ac:dyDescent="0.35">
      <c r="A1898" s="1831" t="s">
        <v>4660</v>
      </c>
      <c r="B1898" s="1839" t="s">
        <v>4661</v>
      </c>
      <c r="C1898" s="1839" t="s">
        <v>410</v>
      </c>
      <c r="D1898" s="1839" t="s">
        <v>4662</v>
      </c>
      <c r="E1898" s="1840">
        <v>45782</v>
      </c>
      <c r="F1898" s="1840"/>
      <c r="G1898" s="1839" t="s">
        <v>500</v>
      </c>
      <c r="H1898" s="1839" t="s">
        <v>1065</v>
      </c>
      <c r="I1898" s="1831" t="s">
        <v>1066</v>
      </c>
      <c r="J1898" s="1831"/>
    </row>
    <row r="1899" spans="1:10" ht="15" hidden="1" x14ac:dyDescent="0.35">
      <c r="A1899" s="8" t="s">
        <v>4663</v>
      </c>
      <c r="B1899" t="s">
        <v>4664</v>
      </c>
      <c r="C1899" t="s">
        <v>437</v>
      </c>
      <c r="D1899" t="s">
        <v>4665</v>
      </c>
      <c r="E1899" s="9">
        <v>45691</v>
      </c>
      <c r="F1899" s="9">
        <v>45933</v>
      </c>
      <c r="G1899" t="s">
        <v>494</v>
      </c>
      <c r="H1899" t="s">
        <v>1065</v>
      </c>
      <c r="I1899" t="s">
        <v>1066</v>
      </c>
      <c r="J1899"/>
    </row>
    <row r="1900" spans="1:10" ht="15" hidden="1" x14ac:dyDescent="0.35">
      <c r="A1900" s="1831" t="s">
        <v>4666</v>
      </c>
      <c r="B1900" s="1839" t="s">
        <v>4667</v>
      </c>
      <c r="C1900" s="1839" t="s">
        <v>1088</v>
      </c>
      <c r="D1900" s="1839" t="s">
        <v>4668</v>
      </c>
      <c r="E1900" s="1840">
        <v>45702</v>
      </c>
      <c r="F1900" s="1840"/>
      <c r="G1900" s="1839" t="s">
        <v>500</v>
      </c>
      <c r="H1900" s="1839" t="s">
        <v>1060</v>
      </c>
      <c r="I1900" s="1831" t="s">
        <v>1061</v>
      </c>
      <c r="J1900" s="1831"/>
    </row>
    <row r="1901" spans="1:10" ht="15" hidden="1" x14ac:dyDescent="0.35">
      <c r="A1901" s="8" t="s">
        <v>4669</v>
      </c>
      <c r="B1901" t="s">
        <v>4670</v>
      </c>
      <c r="C1901" t="s">
        <v>409</v>
      </c>
      <c r="D1901" t="s">
        <v>4671</v>
      </c>
      <c r="E1901" s="9">
        <v>45889</v>
      </c>
      <c r="F1901" s="9">
        <v>46006</v>
      </c>
      <c r="G1901" t="s">
        <v>494</v>
      </c>
      <c r="H1901" t="s">
        <v>1060</v>
      </c>
      <c r="I1901" t="s">
        <v>1061</v>
      </c>
      <c r="J1901"/>
    </row>
    <row r="1902" spans="1:10" ht="15" hidden="1" x14ac:dyDescent="0.35">
      <c r="A1902" s="8" t="s">
        <v>4672</v>
      </c>
      <c r="B1902" t="s">
        <v>4673</v>
      </c>
      <c r="C1902" t="s">
        <v>420</v>
      </c>
      <c r="D1902" t="s">
        <v>4674</v>
      </c>
      <c r="E1902" s="9">
        <v>45722</v>
      </c>
      <c r="F1902" s="9">
        <v>45889</v>
      </c>
      <c r="G1902" t="s">
        <v>494</v>
      </c>
      <c r="H1902" t="s">
        <v>1093</v>
      </c>
      <c r="I1902" t="s">
        <v>1066</v>
      </c>
      <c r="J1902"/>
    </row>
    <row r="1903" spans="1:10" ht="15" hidden="1" x14ac:dyDescent="0.35">
      <c r="A1903" s="8" t="s">
        <v>4675</v>
      </c>
      <c r="B1903" t="s">
        <v>4676</v>
      </c>
      <c r="C1903" t="s">
        <v>410</v>
      </c>
      <c r="D1903" t="s">
        <v>4677</v>
      </c>
      <c r="E1903" s="9">
        <v>45386</v>
      </c>
      <c r="F1903" s="9">
        <v>45784</v>
      </c>
      <c r="G1903" t="s">
        <v>494</v>
      </c>
      <c r="H1903" t="s">
        <v>1065</v>
      </c>
      <c r="I1903" t="s">
        <v>1066</v>
      </c>
      <c r="J1903"/>
    </row>
    <row r="1904" spans="1:10" ht="15" hidden="1" x14ac:dyDescent="0.35">
      <c r="A1904" s="1831" t="s">
        <v>4678</v>
      </c>
      <c r="B1904" s="1839" t="s">
        <v>4679</v>
      </c>
      <c r="C1904" s="1839" t="s">
        <v>439</v>
      </c>
      <c r="D1904" s="1839" t="s">
        <v>4680</v>
      </c>
      <c r="E1904" s="1840">
        <v>45377</v>
      </c>
      <c r="F1904" s="1840"/>
      <c r="G1904" s="1839" t="s">
        <v>500</v>
      </c>
      <c r="H1904" s="1839" t="s">
        <v>1060</v>
      </c>
      <c r="I1904" s="1831" t="s">
        <v>1061</v>
      </c>
      <c r="J1904" s="1831"/>
    </row>
    <row r="1905" spans="1:10" ht="15" hidden="1" x14ac:dyDescent="0.35">
      <c r="A1905" s="1831" t="s">
        <v>4681</v>
      </c>
      <c r="B1905" s="1839" t="s">
        <v>4682</v>
      </c>
      <c r="C1905" s="1839" t="s">
        <v>1088</v>
      </c>
      <c r="D1905" s="1839" t="s">
        <v>4683</v>
      </c>
      <c r="E1905" s="1840">
        <v>45376</v>
      </c>
      <c r="F1905" s="1840"/>
      <c r="G1905" s="1839" t="s">
        <v>500</v>
      </c>
      <c r="H1905" s="1839" t="s">
        <v>1060</v>
      </c>
      <c r="I1905" s="1831" t="s">
        <v>1061</v>
      </c>
      <c r="J1905" s="1831"/>
    </row>
    <row r="1906" spans="1:10" ht="15" hidden="1" x14ac:dyDescent="0.35">
      <c r="A1906" s="1831" t="s">
        <v>4684</v>
      </c>
      <c r="B1906" s="1839" t="s">
        <v>4685</v>
      </c>
      <c r="C1906" s="1839" t="s">
        <v>544</v>
      </c>
      <c r="D1906" s="1839" t="s">
        <v>4686</v>
      </c>
      <c r="E1906" s="1840">
        <v>45131</v>
      </c>
      <c r="F1906" s="1840"/>
      <c r="G1906" s="1839" t="s">
        <v>500</v>
      </c>
      <c r="H1906" s="1839" t="s">
        <v>1065</v>
      </c>
      <c r="I1906" s="1831" t="s">
        <v>1066</v>
      </c>
      <c r="J1906" s="1831"/>
    </row>
    <row r="1907" spans="1:10" ht="15" hidden="1" x14ac:dyDescent="0.35">
      <c r="A1907" s="1831" t="s">
        <v>4687</v>
      </c>
      <c r="B1907" s="1839" t="s">
        <v>4688</v>
      </c>
      <c r="C1907" s="1839" t="s">
        <v>1088</v>
      </c>
      <c r="D1907" s="1839" t="s">
        <v>4689</v>
      </c>
      <c r="E1907" s="1840">
        <v>45485</v>
      </c>
      <c r="F1907" s="1840"/>
      <c r="G1907" s="1839" t="s">
        <v>500</v>
      </c>
      <c r="H1907" s="1839" t="s">
        <v>1065</v>
      </c>
      <c r="I1907" s="1831" t="s">
        <v>1066</v>
      </c>
      <c r="J1907" s="1831"/>
    </row>
    <row r="1908" spans="1:10" ht="15" hidden="1" x14ac:dyDescent="0.35">
      <c r="A1908" s="1831" t="s">
        <v>4690</v>
      </c>
      <c r="B1908" s="1839" t="s">
        <v>4691</v>
      </c>
      <c r="C1908" s="1839" t="s">
        <v>1144</v>
      </c>
      <c r="D1908" s="1839" t="s">
        <v>4692</v>
      </c>
      <c r="E1908" s="1840">
        <v>45902</v>
      </c>
      <c r="F1908" s="1840"/>
      <c r="G1908" s="1839" t="s">
        <v>500</v>
      </c>
      <c r="H1908" s="1839" t="s">
        <v>1065</v>
      </c>
      <c r="I1908" s="1831" t="s">
        <v>1066</v>
      </c>
      <c r="J1908" s="1831"/>
    </row>
    <row r="1909" spans="1:10" ht="15" hidden="1" x14ac:dyDescent="0.35">
      <c r="A1909" s="1831" t="s">
        <v>4693</v>
      </c>
      <c r="B1909" s="1839" t="s">
        <v>4694</v>
      </c>
      <c r="C1909" s="1839" t="s">
        <v>606</v>
      </c>
      <c r="D1909" s="1839" t="s">
        <v>4695</v>
      </c>
      <c r="E1909" s="1840">
        <v>45846</v>
      </c>
      <c r="F1909" s="1840"/>
      <c r="G1909" s="1839" t="s">
        <v>500</v>
      </c>
      <c r="H1909" s="1839" t="s">
        <v>1060</v>
      </c>
      <c r="I1909" s="1831" t="s">
        <v>1061</v>
      </c>
      <c r="J1909" s="1831"/>
    </row>
    <row r="1910" spans="1:10" ht="15" hidden="1" x14ac:dyDescent="0.35">
      <c r="A1910" s="1831" t="s">
        <v>4696</v>
      </c>
      <c r="B1910" s="1839" t="s">
        <v>4697</v>
      </c>
      <c r="C1910" s="1839" t="s">
        <v>420</v>
      </c>
      <c r="D1910" s="1839" t="s">
        <v>4698</v>
      </c>
      <c r="E1910" s="1840">
        <v>46129</v>
      </c>
      <c r="F1910" s="1840"/>
      <c r="G1910" s="1839" t="s">
        <v>500</v>
      </c>
      <c r="H1910" s="1839" t="s">
        <v>1093</v>
      </c>
      <c r="I1910" s="1831" t="s">
        <v>1066</v>
      </c>
      <c r="J1910" s="1831"/>
    </row>
    <row r="1911" spans="1:10" ht="15" hidden="1" x14ac:dyDescent="0.35">
      <c r="A1911" s="8" t="s">
        <v>4699</v>
      </c>
      <c r="B1911" t="s">
        <v>4700</v>
      </c>
      <c r="C1911" t="s">
        <v>1088</v>
      </c>
      <c r="D1911" t="s">
        <v>4701</v>
      </c>
      <c r="E1911" s="9">
        <v>45883</v>
      </c>
      <c r="F1911" s="9">
        <v>46125</v>
      </c>
      <c r="G1911" t="s">
        <v>494</v>
      </c>
      <c r="H1911" t="s">
        <v>1065</v>
      </c>
      <c r="I1911" t="s">
        <v>1066</v>
      </c>
      <c r="J1911"/>
    </row>
    <row r="1912" spans="1:10" ht="15" hidden="1" x14ac:dyDescent="0.35">
      <c r="A1912" s="1831" t="s">
        <v>4702</v>
      </c>
      <c r="B1912" s="1839" t="s">
        <v>4703</v>
      </c>
      <c r="C1912" s="1839" t="s">
        <v>457</v>
      </c>
      <c r="D1912" s="1839" t="s">
        <v>4704</v>
      </c>
      <c r="E1912" s="1840">
        <v>45943</v>
      </c>
      <c r="F1912" s="1840"/>
      <c r="G1912" s="1839" t="s">
        <v>500</v>
      </c>
      <c r="H1912" s="1839" t="s">
        <v>1060</v>
      </c>
      <c r="I1912" s="1831" t="s">
        <v>1061</v>
      </c>
      <c r="J1912" s="1831"/>
    </row>
    <row r="1913" spans="1:10" ht="15" hidden="1" x14ac:dyDescent="0.35">
      <c r="A1913" s="1831" t="s">
        <v>4705</v>
      </c>
      <c r="B1913" s="1839" t="s">
        <v>4706</v>
      </c>
      <c r="C1913" s="1839" t="s">
        <v>413</v>
      </c>
      <c r="D1913" s="1839" t="s">
        <v>4707</v>
      </c>
      <c r="E1913" s="1840">
        <v>46093</v>
      </c>
      <c r="F1913" s="1840"/>
      <c r="G1913" s="1839" t="s">
        <v>500</v>
      </c>
      <c r="H1913" s="1839" t="s">
        <v>1065</v>
      </c>
      <c r="I1913" s="1831" t="s">
        <v>1066</v>
      </c>
      <c r="J1913" s="1831"/>
    </row>
    <row r="1914" spans="1:10" ht="15" hidden="1" x14ac:dyDescent="0.35">
      <c r="A1914" s="1831" t="s">
        <v>4708</v>
      </c>
      <c r="B1914" s="1839" t="s">
        <v>4709</v>
      </c>
      <c r="C1914" s="1839" t="s">
        <v>763</v>
      </c>
      <c r="D1914" s="1839" t="s">
        <v>4710</v>
      </c>
      <c r="E1914" s="1840">
        <v>46146</v>
      </c>
      <c r="F1914" s="1840"/>
      <c r="G1914" s="1839" t="s">
        <v>500</v>
      </c>
      <c r="H1914" s="1839" t="s">
        <v>1060</v>
      </c>
      <c r="I1914" s="1831" t="s">
        <v>1061</v>
      </c>
      <c r="J1914" s="1831"/>
    </row>
    <row r="1915" spans="1:10" ht="15" hidden="1" x14ac:dyDescent="0.35">
      <c r="A1915" s="8" t="s">
        <v>4711</v>
      </c>
      <c r="B1915" t="s">
        <v>4712</v>
      </c>
      <c r="C1915" t="s">
        <v>2008</v>
      </c>
      <c r="D1915" t="s">
        <v>4713</v>
      </c>
      <c r="E1915" s="9">
        <v>45124</v>
      </c>
      <c r="F1915" s="9">
        <v>45980</v>
      </c>
      <c r="G1915" t="s">
        <v>494</v>
      </c>
      <c r="H1915" t="s">
        <v>1065</v>
      </c>
      <c r="I1915" t="s">
        <v>1066</v>
      </c>
      <c r="J1915"/>
    </row>
    <row r="1916" spans="1:10" ht="15" hidden="1" x14ac:dyDescent="0.35">
      <c r="A1916" s="1831" t="s">
        <v>4714</v>
      </c>
      <c r="B1916" s="1839" t="s">
        <v>4715</v>
      </c>
      <c r="C1916" s="1839" t="s">
        <v>544</v>
      </c>
      <c r="D1916" s="1839" t="s">
        <v>4716</v>
      </c>
      <c r="E1916" s="1840">
        <v>43460</v>
      </c>
      <c r="F1916" s="1840"/>
      <c r="G1916" s="1839" t="s">
        <v>500</v>
      </c>
      <c r="H1916" s="1839" t="s">
        <v>1060</v>
      </c>
      <c r="I1916" s="1831" t="s">
        <v>1061</v>
      </c>
      <c r="J1916" s="1831"/>
    </row>
    <row r="1917" spans="1:10" ht="15" hidden="1" x14ac:dyDescent="0.35">
      <c r="A1917" s="8" t="s">
        <v>4717</v>
      </c>
      <c r="B1917" t="s">
        <v>4718</v>
      </c>
      <c r="C1917" t="s">
        <v>420</v>
      </c>
      <c r="D1917" t="s">
        <v>4719</v>
      </c>
      <c r="E1917" s="9">
        <v>45713</v>
      </c>
      <c r="F1917" s="9">
        <v>45853</v>
      </c>
      <c r="G1917" t="s">
        <v>494</v>
      </c>
      <c r="H1917" t="s">
        <v>1093</v>
      </c>
      <c r="I1917" t="s">
        <v>1066</v>
      </c>
      <c r="J1917"/>
    </row>
    <row r="1918" spans="1:10" ht="15" hidden="1" x14ac:dyDescent="0.35">
      <c r="A1918" s="1831" t="s">
        <v>4720</v>
      </c>
      <c r="B1918" s="1839" t="s">
        <v>4721</v>
      </c>
      <c r="C1918" s="1839" t="s">
        <v>436</v>
      </c>
      <c r="D1918" s="1839" t="s">
        <v>4722</v>
      </c>
      <c r="E1918" s="1840">
        <v>45432</v>
      </c>
      <c r="F1918" s="1840"/>
      <c r="G1918" s="1839" t="s">
        <v>500</v>
      </c>
      <c r="H1918" s="1839" t="s">
        <v>1093</v>
      </c>
      <c r="I1918" s="1831" t="s">
        <v>1066</v>
      </c>
      <c r="J1918" s="1831"/>
    </row>
    <row r="1919" spans="1:10" ht="15" hidden="1" x14ac:dyDescent="0.35">
      <c r="A1919" s="1831" t="s">
        <v>4723</v>
      </c>
      <c r="B1919" s="1839" t="s">
        <v>4724</v>
      </c>
      <c r="C1919" s="1839" t="s">
        <v>420</v>
      </c>
      <c r="D1919" s="1839" t="s">
        <v>4725</v>
      </c>
      <c r="E1919" s="1840">
        <v>45376</v>
      </c>
      <c r="F1919" s="1840"/>
      <c r="G1919" s="1839" t="s">
        <v>500</v>
      </c>
      <c r="H1919" s="1839" t="s">
        <v>1078</v>
      </c>
      <c r="I1919" s="1831" t="s">
        <v>1061</v>
      </c>
      <c r="J1919" s="183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D2E-B5A7-4EE5-A2AF-2E906570A9F5}">
  <sheetPr codeName="Planilha6">
    <tabColor theme="3" tint="0.749992370372631"/>
  </sheetPr>
  <dimension ref="AP8:LR194"/>
  <sheetViews>
    <sheetView topLeftCell="EO15" zoomScale="90" zoomScaleNormal="90" workbookViewId="0">
      <selection activeCell="DO96" sqref="DO96"/>
    </sheetView>
  </sheetViews>
  <sheetFormatPr defaultColWidth="3.81640625" defaultRowHeight="14.5" x14ac:dyDescent="0.35"/>
  <cols>
    <col min="132" max="132" width="6.1796875" customWidth="1"/>
    <col min="133" max="133" width="5.81640625" customWidth="1"/>
    <col min="147" max="147" width="4.81640625" customWidth="1"/>
    <col min="209" max="209" width="5.1796875" customWidth="1"/>
    <col min="210" max="210" width="5" customWidth="1"/>
    <col min="244" max="244" width="4.453125" customWidth="1"/>
    <col min="266" max="266" width="7.54296875" bestFit="1" customWidth="1"/>
    <col min="308" max="308" width="3.453125" customWidth="1"/>
    <col min="309" max="309" width="5.81640625" customWidth="1"/>
  </cols>
  <sheetData>
    <row r="8" ht="15" customHeight="1" x14ac:dyDescent="0.35"/>
    <row r="10" ht="15" customHeight="1" x14ac:dyDescent="0.35"/>
    <row r="11" ht="15" customHeight="1" x14ac:dyDescent="0.35"/>
    <row r="12" ht="15" customHeight="1" x14ac:dyDescent="0.35"/>
    <row r="13" ht="15" customHeight="1" x14ac:dyDescent="0.35"/>
    <row r="14" ht="15" customHeight="1" x14ac:dyDescent="0.35"/>
    <row r="20" spans="145:325" x14ac:dyDescent="0.35">
      <c r="HR20" s="313"/>
      <c r="HS20" s="207"/>
      <c r="HT20" s="207"/>
      <c r="HU20" s="207"/>
      <c r="HV20" s="207"/>
      <c r="HW20" s="207"/>
      <c r="HX20" s="207"/>
      <c r="HY20" s="207"/>
      <c r="HZ20" s="207"/>
      <c r="IA20" s="207"/>
      <c r="IB20" s="207"/>
      <c r="IC20" s="207"/>
      <c r="ID20" s="207"/>
      <c r="IE20" s="207"/>
      <c r="IF20" s="207"/>
      <c r="IG20" s="207"/>
      <c r="IH20" s="207"/>
      <c r="II20" s="207"/>
      <c r="IJ20" s="207"/>
      <c r="IK20" s="313"/>
    </row>
    <row r="21" spans="145:325" x14ac:dyDescent="0.35">
      <c r="HA21" s="174"/>
      <c r="HB21" s="1218" t="s">
        <v>65</v>
      </c>
      <c r="HC21" s="1218"/>
      <c r="HD21" s="1218"/>
      <c r="HE21" s="1218"/>
      <c r="HF21" s="1218"/>
      <c r="HG21" s="1218"/>
      <c r="HH21" s="1218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20"/>
    </row>
    <row r="22" spans="145:325" x14ac:dyDescent="0.35">
      <c r="HA22" s="1310" t="s">
        <v>66</v>
      </c>
      <c r="HB22" s="1310"/>
      <c r="HC22" s="1310"/>
      <c r="HD22" s="1310"/>
      <c r="HE22" s="1310"/>
      <c r="HF22" s="1310"/>
      <c r="HG22" s="1310"/>
      <c r="HH22" s="1310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</row>
    <row r="23" spans="145:325" ht="15" customHeight="1" x14ac:dyDescent="0.35">
      <c r="HE23" s="13"/>
      <c r="HR23" s="319"/>
      <c r="HS23" s="319"/>
      <c r="HT23" s="319"/>
      <c r="HU23" s="319"/>
      <c r="HV23" s="319"/>
      <c r="HW23" s="319"/>
      <c r="HX23" s="319"/>
      <c r="HY23" s="319"/>
      <c r="HZ23" s="319"/>
      <c r="IA23" s="319"/>
      <c r="IB23" s="319"/>
      <c r="IC23" s="319"/>
      <c r="ID23" s="319"/>
      <c r="IE23" s="319"/>
      <c r="IF23" s="319"/>
      <c r="IG23" s="319"/>
      <c r="IH23" s="319"/>
      <c r="II23" s="319"/>
      <c r="IJ23" s="319"/>
      <c r="IK23" s="319"/>
    </row>
    <row r="24" spans="145:325" ht="15" customHeight="1" x14ac:dyDescent="0.35">
      <c r="HE24" s="13"/>
      <c r="HR24" s="319"/>
      <c r="HS24" s="319"/>
      <c r="HT24" s="319"/>
      <c r="HU24" s="319"/>
      <c r="HV24" s="319"/>
      <c r="HW24" s="319"/>
      <c r="HX24" s="319"/>
      <c r="HY24" s="319"/>
      <c r="HZ24" s="319"/>
      <c r="IA24" s="319"/>
      <c r="IB24" s="319"/>
      <c r="IC24" s="319"/>
      <c r="ID24" s="319"/>
      <c r="IE24" s="319"/>
      <c r="IF24" s="319"/>
      <c r="IG24" s="319"/>
      <c r="IH24" s="319"/>
      <c r="II24" s="319"/>
      <c r="IJ24" s="319"/>
      <c r="IK24" s="319"/>
    </row>
    <row r="25" spans="145:325" x14ac:dyDescent="0.35">
      <c r="HE25" s="5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337"/>
      <c r="HS25" s="337"/>
      <c r="HT25" s="337"/>
      <c r="HU25" s="337"/>
      <c r="HV25" s="337"/>
      <c r="HW25" s="337"/>
      <c r="HX25" s="337"/>
      <c r="HY25" s="337"/>
      <c r="HZ25" s="337"/>
      <c r="IA25" s="337"/>
      <c r="IB25" s="337"/>
      <c r="IC25" s="337"/>
      <c r="ID25" s="338"/>
      <c r="IE25" s="339"/>
      <c r="IF25" s="337"/>
      <c r="IG25" s="337"/>
      <c r="IH25" s="337"/>
      <c r="II25" s="337"/>
      <c r="IJ25" s="337"/>
      <c r="IK25" s="337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12"/>
    </row>
    <row r="26" spans="145:325" x14ac:dyDescent="0.35">
      <c r="HE26" s="13"/>
      <c r="HR26" s="319"/>
      <c r="HS26" s="319"/>
      <c r="HT26" s="319"/>
      <c r="HU26" s="319"/>
      <c r="HV26" s="319"/>
      <c r="HW26" s="319"/>
      <c r="HX26" s="319"/>
      <c r="HY26" s="319"/>
      <c r="HZ26" s="319"/>
      <c r="IA26" s="319"/>
      <c r="IB26" s="319"/>
      <c r="IC26" s="319"/>
      <c r="ID26" s="333"/>
      <c r="IE26" s="340"/>
      <c r="IF26" s="319"/>
      <c r="IG26" s="319"/>
      <c r="IH26" s="319"/>
      <c r="II26" s="319"/>
      <c r="IJ26" s="319"/>
      <c r="IK26" s="319"/>
      <c r="JO26" s="2"/>
    </row>
    <row r="27" spans="145:325" x14ac:dyDescent="0.35">
      <c r="HA27" s="174">
        <v>0.2</v>
      </c>
      <c r="HB27" s="1218" t="s">
        <v>67</v>
      </c>
      <c r="HC27" s="1218"/>
      <c r="HD27" s="1218"/>
      <c r="HE27" s="1218"/>
      <c r="HF27" s="1218"/>
      <c r="HG27" s="1218"/>
      <c r="HH27" s="1218"/>
      <c r="HR27" s="319"/>
      <c r="HS27" s="319"/>
      <c r="HT27" s="319"/>
      <c r="HU27" s="319"/>
      <c r="HV27" s="319"/>
      <c r="HW27" s="319"/>
      <c r="HX27" s="319"/>
      <c r="HY27" s="319"/>
      <c r="HZ27" s="319"/>
      <c r="IA27" s="258"/>
      <c r="IB27" s="1102" t="s">
        <v>68</v>
      </c>
      <c r="IC27" s="1102"/>
      <c r="ID27" s="1102"/>
      <c r="IE27" s="1102"/>
      <c r="IF27" s="1102"/>
      <c r="IG27" s="1102"/>
      <c r="IH27" s="1102"/>
      <c r="II27" s="319"/>
      <c r="IJ27" s="319"/>
      <c r="IK27" s="319"/>
      <c r="JJ27" s="319"/>
      <c r="JL27" s="174"/>
      <c r="JM27" s="1218" t="s">
        <v>69</v>
      </c>
      <c r="JN27" s="1218"/>
      <c r="JO27" s="1218"/>
      <c r="JP27" s="1218"/>
      <c r="JQ27" s="1218"/>
      <c r="JR27" s="1218"/>
      <c r="JS27" s="1218"/>
      <c r="LG27" s="319"/>
    </row>
    <row r="28" spans="145:325" ht="15" customHeight="1" x14ac:dyDescent="0.35">
      <c r="EU28" s="5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12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12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1310" t="s">
        <v>70</v>
      </c>
      <c r="HB28" s="1310"/>
      <c r="HC28" s="1310"/>
      <c r="HD28" s="1310"/>
      <c r="HE28" s="1310"/>
      <c r="HF28" s="1310"/>
      <c r="HG28" s="1310"/>
      <c r="HH28" s="1310"/>
      <c r="HR28" s="319"/>
      <c r="HS28" s="319"/>
      <c r="HT28" s="319"/>
      <c r="HU28" s="319"/>
      <c r="HV28" s="319"/>
      <c r="HW28" s="319"/>
      <c r="HX28" s="319"/>
      <c r="HY28" s="319"/>
      <c r="HZ28" s="319"/>
      <c r="IA28" s="1340" t="s">
        <v>71</v>
      </c>
      <c r="IB28" s="1340"/>
      <c r="IC28" s="1340"/>
      <c r="ID28" s="1340"/>
      <c r="IE28" s="1340"/>
      <c r="IF28" s="1340"/>
      <c r="IG28" s="1340"/>
      <c r="IH28" s="1340"/>
      <c r="II28" s="319"/>
      <c r="IJ28" s="319"/>
      <c r="IK28" s="319"/>
      <c r="JJ28" s="319"/>
      <c r="JL28" s="1310" t="s">
        <v>72</v>
      </c>
      <c r="JM28" s="1310"/>
      <c r="JN28" s="1310"/>
      <c r="JO28" s="1310"/>
      <c r="JP28" s="1310"/>
      <c r="JQ28" s="1310"/>
      <c r="JR28" s="1310"/>
      <c r="JS28" s="1310"/>
      <c r="LG28" s="319"/>
    </row>
    <row r="29" spans="145:325" ht="15" customHeight="1" x14ac:dyDescent="0.35">
      <c r="EO29" s="5"/>
      <c r="EP29" s="4"/>
      <c r="EQ29" s="4"/>
      <c r="ER29" s="4"/>
      <c r="ES29" s="4"/>
      <c r="ET29" s="4"/>
      <c r="EU29" s="68"/>
      <c r="EV29" s="71"/>
      <c r="EW29" s="4"/>
      <c r="EX29" s="4"/>
      <c r="EY29" s="4"/>
      <c r="EZ29" s="311">
        <f>SUM(EQ30+EQ32)</f>
        <v>1</v>
      </c>
      <c r="FC29" s="5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205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326">
        <f>SUM(GD34,FP34,FN30)</f>
        <v>9</v>
      </c>
      <c r="GI29" s="5"/>
      <c r="GJ29" s="4"/>
      <c r="GK29" s="4"/>
      <c r="GL29" s="4"/>
      <c r="GM29" s="4"/>
      <c r="GN29" s="12"/>
      <c r="GO29" s="4"/>
      <c r="GP29" s="4"/>
      <c r="GQ29" s="4"/>
      <c r="GR29" s="4"/>
      <c r="GS29" s="4"/>
      <c r="GT29" s="341">
        <f>SUM(GK30+GK33+GK35+GK37+GK39+GK41+GK43+GK45+GK47)</f>
        <v>7.5</v>
      </c>
      <c r="HD29" s="2"/>
      <c r="HR29" s="319"/>
      <c r="HS29" s="319"/>
      <c r="HT29" s="319"/>
      <c r="HU29" s="319"/>
      <c r="HV29" s="319"/>
      <c r="HW29" s="319"/>
      <c r="HX29" s="319"/>
      <c r="HY29" s="319"/>
      <c r="HZ29" s="319"/>
      <c r="IA29" s="319"/>
      <c r="IB29" s="319"/>
      <c r="IC29" s="319"/>
      <c r="ID29" s="338"/>
      <c r="IE29" s="319"/>
      <c r="IF29" s="319"/>
      <c r="IG29" s="319"/>
      <c r="IH29" s="319"/>
      <c r="II29" s="319"/>
      <c r="IJ29" s="342"/>
      <c r="IK29" s="342"/>
      <c r="JO29" s="2"/>
      <c r="LG29" s="319"/>
    </row>
    <row r="30" spans="145:325" x14ac:dyDescent="0.35">
      <c r="EO30" s="13"/>
      <c r="EQ30" s="312">
        <v>0.5</v>
      </c>
      <c r="ER30" s="1178" t="s">
        <v>73</v>
      </c>
      <c r="ES30" s="1179"/>
      <c r="ET30" s="1179"/>
      <c r="EU30" s="1179"/>
      <c r="EV30" s="1179"/>
      <c r="EW30" s="1179"/>
      <c r="EX30" s="1180"/>
      <c r="EY30" s="207"/>
      <c r="EZ30" s="332"/>
      <c r="FC30" s="13"/>
      <c r="FN30" s="144">
        <v>0.5</v>
      </c>
      <c r="FO30" s="1056" t="s">
        <v>74</v>
      </c>
      <c r="FP30" s="1056"/>
      <c r="FQ30" s="1056"/>
      <c r="FR30" s="1056"/>
      <c r="FS30" s="1056"/>
      <c r="FT30" s="1056"/>
      <c r="FU30" s="1056"/>
      <c r="GF30" s="2"/>
      <c r="GI30" s="13"/>
      <c r="GK30" s="174">
        <v>0.5</v>
      </c>
      <c r="GL30" s="1218" t="s">
        <v>75</v>
      </c>
      <c r="GM30" s="1218"/>
      <c r="GN30" s="1218"/>
      <c r="GO30" s="1218"/>
      <c r="GP30" s="1218"/>
      <c r="GQ30" s="1218"/>
      <c r="GR30" s="1218"/>
      <c r="GT30" s="2"/>
      <c r="HD30" s="2"/>
      <c r="HR30" s="318"/>
      <c r="HS30" s="318"/>
      <c r="HT30" s="207"/>
      <c r="HU30" s="207"/>
      <c r="HV30" s="207"/>
      <c r="HW30" s="207"/>
      <c r="HX30" s="207"/>
      <c r="HY30" s="207"/>
      <c r="HZ30" s="207"/>
      <c r="IA30" s="207"/>
      <c r="IB30" s="207"/>
      <c r="IC30" s="207"/>
      <c r="ID30" s="332"/>
      <c r="IE30" s="207"/>
      <c r="IF30" s="207"/>
      <c r="IG30" s="207"/>
      <c r="IH30" s="207"/>
      <c r="II30" s="207"/>
      <c r="IJ30" s="207"/>
      <c r="IK30" s="313"/>
      <c r="JO30" s="2"/>
      <c r="KG30" s="313"/>
      <c r="KH30" s="313"/>
      <c r="KI30" s="313"/>
      <c r="KJ30" s="313"/>
      <c r="KK30" s="313"/>
      <c r="KL30" s="313"/>
      <c r="KM30" s="313"/>
      <c r="KN30" s="313"/>
      <c r="KO30" s="313"/>
      <c r="KP30" s="313"/>
      <c r="KQ30" s="313"/>
      <c r="KR30" s="313"/>
      <c r="KS30" s="313"/>
      <c r="KT30" s="313"/>
      <c r="KU30" s="313"/>
      <c r="KV30" s="313"/>
      <c r="KW30" s="313"/>
      <c r="KX30" s="313"/>
      <c r="KY30" s="313"/>
      <c r="KZ30" s="313"/>
      <c r="LB30" s="321"/>
      <c r="LC30" s="207"/>
      <c r="LD30" s="207"/>
      <c r="LE30" s="207"/>
      <c r="LF30" s="207"/>
      <c r="LG30" s="207"/>
      <c r="LH30" s="207"/>
      <c r="LI30" s="207"/>
      <c r="LJ30" s="207"/>
      <c r="LK30" s="207"/>
      <c r="LL30" s="313"/>
      <c r="LM30" s="313"/>
    </row>
    <row r="31" spans="145:325" x14ac:dyDescent="0.35">
      <c r="EO31" s="13"/>
      <c r="EQ31" s="1372" t="s">
        <v>76</v>
      </c>
      <c r="ER31" s="1373"/>
      <c r="ES31" s="1373"/>
      <c r="ET31" s="1373"/>
      <c r="EU31" s="1373"/>
      <c r="EV31" s="1373"/>
      <c r="EW31" s="1373"/>
      <c r="EX31" s="1374"/>
      <c r="EY31" s="319"/>
      <c r="EZ31" s="333"/>
      <c r="FC31" s="13"/>
      <c r="FN31" s="1356" t="s">
        <v>77</v>
      </c>
      <c r="FO31" s="1356"/>
      <c r="FP31" s="1356"/>
      <c r="FQ31" s="1356"/>
      <c r="FR31" s="1356"/>
      <c r="FS31" s="1356"/>
      <c r="FT31" s="1356"/>
      <c r="FU31" s="1356"/>
      <c r="GF31" s="2"/>
      <c r="GI31" s="13"/>
      <c r="GK31" s="1310" t="s">
        <v>593</v>
      </c>
      <c r="GL31" s="1310"/>
      <c r="GM31" s="1310"/>
      <c r="GN31" s="1310"/>
      <c r="GO31" s="1310"/>
      <c r="GP31" s="1310"/>
      <c r="GQ31" s="1310"/>
      <c r="GR31" s="1310"/>
      <c r="GS31" s="52"/>
      <c r="GT31" s="67"/>
      <c r="GU31" s="52"/>
      <c r="GV31" s="52"/>
      <c r="GW31" s="52"/>
      <c r="GX31" s="52"/>
      <c r="GY31" s="52"/>
      <c r="GZ31" s="52"/>
      <c r="HA31" s="52"/>
      <c r="HB31" s="52"/>
      <c r="HC31" s="52"/>
      <c r="HD31" s="67"/>
      <c r="HE31" s="52"/>
      <c r="HF31" s="52"/>
      <c r="HG31" s="52"/>
      <c r="HP31" s="5"/>
      <c r="HQ31" s="4"/>
      <c r="HR31" s="337"/>
      <c r="HS31" s="337"/>
      <c r="HT31" s="337"/>
      <c r="HU31" s="337"/>
      <c r="HV31" s="337"/>
      <c r="HW31" s="337"/>
      <c r="HX31" s="337"/>
      <c r="HY31" s="337"/>
      <c r="HZ31" s="337"/>
      <c r="IA31" s="337"/>
      <c r="IB31" s="337"/>
      <c r="IC31" s="337"/>
      <c r="ID31" s="338"/>
      <c r="IE31" s="337"/>
      <c r="IF31" s="337"/>
      <c r="IG31" s="337"/>
      <c r="IH31" s="337"/>
      <c r="II31" s="337"/>
      <c r="IJ31" s="337"/>
      <c r="IK31" s="343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341">
        <f>SUM(IA37+HR41+HR43+IA41+IA43+IA45+IA47+IA49+IJ41+IJ43+IJ45+IA34)</f>
        <v>6.0000000000000009</v>
      </c>
      <c r="JA31" s="5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311">
        <f>SUM(JC35)</f>
        <v>1</v>
      </c>
      <c r="JO31" s="2"/>
      <c r="JS31" s="5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311">
        <f>SUM(JU35+JU37+JU39)</f>
        <v>3</v>
      </c>
      <c r="KG31" s="320"/>
      <c r="KH31" s="320"/>
      <c r="KI31" s="320"/>
      <c r="KJ31" s="320"/>
      <c r="KK31" s="320"/>
      <c r="KL31" s="320"/>
      <c r="KM31" s="320"/>
      <c r="KN31" s="320"/>
      <c r="KO31" s="320"/>
      <c r="KP31" s="320"/>
      <c r="KQ31" s="320"/>
      <c r="KR31" s="320"/>
      <c r="KS31" s="320"/>
      <c r="KT31" s="320"/>
      <c r="KU31" s="320"/>
      <c r="KV31" s="320"/>
      <c r="KW31" s="320"/>
      <c r="KX31" s="320"/>
      <c r="KY31" s="320"/>
      <c r="KZ31" s="320"/>
      <c r="LB31" s="319"/>
      <c r="LC31" s="319"/>
      <c r="LD31" s="319"/>
      <c r="LE31" s="319"/>
      <c r="LF31" s="319"/>
      <c r="LG31" s="319"/>
      <c r="LH31" s="319"/>
      <c r="LI31" s="319"/>
      <c r="LJ31" s="319"/>
      <c r="LK31" s="319"/>
      <c r="LL31" s="320"/>
      <c r="LM31" s="320"/>
    </row>
    <row r="32" spans="145:325" x14ac:dyDescent="0.35">
      <c r="EO32" s="13"/>
      <c r="EQ32" s="312">
        <v>0.5</v>
      </c>
      <c r="ER32" s="1178" t="s">
        <v>73</v>
      </c>
      <c r="ES32" s="1179"/>
      <c r="ET32" s="1179"/>
      <c r="EU32" s="1179"/>
      <c r="EV32" s="1179"/>
      <c r="EW32" s="1179"/>
      <c r="EX32" s="1180"/>
      <c r="EY32" s="207"/>
      <c r="EZ32" s="332"/>
      <c r="FC32" s="13"/>
      <c r="FQ32" s="154"/>
      <c r="GF32" s="2"/>
      <c r="GI32" s="13"/>
      <c r="GN32" s="2"/>
      <c r="GT32" s="2"/>
      <c r="HD32" s="2"/>
      <c r="HP32" s="13"/>
      <c r="ID32" s="2"/>
      <c r="IE32" s="319"/>
      <c r="IF32" s="319"/>
      <c r="IG32" s="319"/>
      <c r="IN32" s="174"/>
      <c r="IO32" s="1218" t="s">
        <v>79</v>
      </c>
      <c r="IP32" s="1218"/>
      <c r="IQ32" s="1218"/>
      <c r="IR32" s="1218"/>
      <c r="IS32" s="1218"/>
      <c r="IT32" s="1218"/>
      <c r="IU32" s="1218"/>
      <c r="IW32" s="2"/>
      <c r="JA32" s="13"/>
      <c r="JC32" s="174"/>
      <c r="JD32" s="1218" t="s">
        <v>80</v>
      </c>
      <c r="JE32" s="1218"/>
      <c r="JF32" s="1218"/>
      <c r="JG32" s="1218"/>
      <c r="JH32" s="1218"/>
      <c r="JI32" s="1218"/>
      <c r="JJ32" s="1218"/>
      <c r="JL32" s="2"/>
      <c r="JO32" s="2"/>
      <c r="JS32" s="13"/>
      <c r="JU32" s="174"/>
      <c r="JV32" s="1218" t="s">
        <v>74</v>
      </c>
      <c r="JW32" s="1218"/>
      <c r="JX32" s="1218"/>
      <c r="JY32" s="1218"/>
      <c r="JZ32" s="1218"/>
      <c r="KA32" s="1218"/>
      <c r="KB32" s="1218"/>
      <c r="KD32" s="2"/>
      <c r="LG32" s="319"/>
    </row>
    <row r="33" spans="141:326" x14ac:dyDescent="0.35">
      <c r="EO33" s="13"/>
      <c r="EQ33" s="1372" t="s">
        <v>81</v>
      </c>
      <c r="ER33" s="1373"/>
      <c r="ES33" s="1373"/>
      <c r="ET33" s="1373"/>
      <c r="EU33" s="1373"/>
      <c r="EV33" s="1373"/>
      <c r="EW33" s="1373"/>
      <c r="EX33" s="1374"/>
      <c r="EY33" s="319"/>
      <c r="EZ33" s="333"/>
      <c r="FC33" s="13"/>
      <c r="FQ33" s="154"/>
      <c r="GF33" s="2"/>
      <c r="GI33" s="13"/>
      <c r="GK33" s="174">
        <v>1</v>
      </c>
      <c r="GL33" s="1218" t="s">
        <v>82</v>
      </c>
      <c r="GM33" s="1218"/>
      <c r="GN33" s="1218"/>
      <c r="GO33" s="1218"/>
      <c r="GP33" s="1218"/>
      <c r="GQ33" s="1218"/>
      <c r="GR33" s="1218"/>
      <c r="GT33" s="2"/>
      <c r="HD33" s="2"/>
      <c r="HP33" s="13"/>
      <c r="ID33" s="2"/>
      <c r="IE33" s="339"/>
      <c r="IF33" s="337"/>
      <c r="IG33" s="337"/>
      <c r="IH33" s="4"/>
      <c r="II33" s="4"/>
      <c r="IJ33" s="4"/>
      <c r="IK33" s="4"/>
      <c r="IL33" s="4"/>
      <c r="IM33" s="4"/>
      <c r="IN33" s="1310" t="s">
        <v>83</v>
      </c>
      <c r="IO33" s="1310"/>
      <c r="IP33" s="1310"/>
      <c r="IQ33" s="1310"/>
      <c r="IR33" s="1310"/>
      <c r="IS33" s="1310"/>
      <c r="IT33" s="1310"/>
      <c r="IU33" s="1310"/>
      <c r="IW33" s="2"/>
      <c r="JA33" s="13"/>
      <c r="JC33" s="1310"/>
      <c r="JD33" s="1310"/>
      <c r="JE33" s="1310"/>
      <c r="JF33" s="1310"/>
      <c r="JG33" s="1310"/>
      <c r="JH33" s="1310"/>
      <c r="JI33" s="1310"/>
      <c r="JJ33" s="1310"/>
      <c r="JK33" s="337"/>
      <c r="JL33" s="12"/>
      <c r="JM33" s="4"/>
      <c r="JN33" s="4"/>
      <c r="JO33" s="4"/>
      <c r="JP33" s="4"/>
      <c r="JQ33" s="4"/>
      <c r="JR33" s="4"/>
      <c r="JS33" s="5"/>
      <c r="JT33" s="4"/>
      <c r="JU33" s="1310"/>
      <c r="JV33" s="1310"/>
      <c r="JW33" s="1310"/>
      <c r="JX33" s="1310"/>
      <c r="JY33" s="1310"/>
      <c r="JZ33" s="1310"/>
      <c r="KA33" s="1310"/>
      <c r="KB33" s="1310"/>
      <c r="KD33" s="2"/>
      <c r="LG33" s="319"/>
    </row>
    <row r="34" spans="141:326" x14ac:dyDescent="0.35">
      <c r="EK34" s="207"/>
      <c r="EL34" s="207"/>
      <c r="EM34" s="207"/>
      <c r="EN34" s="313"/>
      <c r="EO34" s="334"/>
      <c r="EP34" s="335"/>
      <c r="EQ34" s="335"/>
      <c r="ER34" s="335"/>
      <c r="ES34" s="335"/>
      <c r="ET34" s="335"/>
      <c r="EU34" s="335"/>
      <c r="EV34" s="335"/>
      <c r="EW34" s="207"/>
      <c r="EX34" s="207"/>
      <c r="EY34" s="313"/>
      <c r="EZ34" s="336"/>
      <c r="FA34" s="313"/>
      <c r="FB34" s="313"/>
      <c r="FC34" s="13"/>
      <c r="FE34" s="226"/>
      <c r="FF34" s="224"/>
      <c r="FG34" s="224"/>
      <c r="FH34" s="261"/>
      <c r="FI34" s="261"/>
      <c r="FJ34" s="261"/>
      <c r="FK34" s="261"/>
      <c r="FL34" s="261"/>
      <c r="FM34" s="261"/>
      <c r="FN34" s="261"/>
      <c r="FO34" s="261"/>
      <c r="FP34" s="326">
        <f>SUM(FG35+FG37+FG39+FG41+FG43+FG45)</f>
        <v>5</v>
      </c>
      <c r="FQ34" s="154"/>
      <c r="FS34" s="226"/>
      <c r="FT34" s="224"/>
      <c r="FU34" s="224"/>
      <c r="FV34" s="261"/>
      <c r="FW34" s="261"/>
      <c r="FX34" s="261"/>
      <c r="FY34" s="261"/>
      <c r="FZ34" s="261"/>
      <c r="GA34" s="261"/>
      <c r="GB34" s="261"/>
      <c r="GC34" s="261"/>
      <c r="GD34" s="326">
        <f>SUM(FU35+FU37+FU39+FU41)</f>
        <v>3.5</v>
      </c>
      <c r="GF34" s="2"/>
      <c r="GI34" s="13"/>
      <c r="GK34" s="1310" t="s">
        <v>576</v>
      </c>
      <c r="GL34" s="1310"/>
      <c r="GM34" s="1310"/>
      <c r="GN34" s="1310"/>
      <c r="GO34" s="1310"/>
      <c r="GP34" s="1310"/>
      <c r="GQ34" s="1310"/>
      <c r="GR34" s="1310"/>
      <c r="GT34" s="2"/>
      <c r="HD34" s="2"/>
      <c r="HP34" s="13"/>
      <c r="IA34" s="57">
        <v>0.2</v>
      </c>
      <c r="IB34" s="1092" t="s">
        <v>85</v>
      </c>
      <c r="IC34" s="1092"/>
      <c r="ID34" s="1092"/>
      <c r="IE34" s="1092"/>
      <c r="IF34" s="1092"/>
      <c r="IG34" s="1092"/>
      <c r="IH34" s="1092"/>
      <c r="IW34" s="2"/>
      <c r="JA34" s="13"/>
      <c r="JF34" s="2"/>
      <c r="JJ34" s="319"/>
      <c r="JK34" s="319"/>
      <c r="JL34" s="2"/>
      <c r="JS34" s="13"/>
      <c r="JX34" s="2"/>
      <c r="KD34" s="2"/>
      <c r="LG34" s="319"/>
    </row>
    <row r="35" spans="141:326" x14ac:dyDescent="0.35">
      <c r="EK35" s="319"/>
      <c r="EL35" s="319"/>
      <c r="EM35" s="319"/>
      <c r="EN35" s="320"/>
      <c r="EO35" s="320"/>
      <c r="EP35" s="320"/>
      <c r="EQ35" s="320"/>
      <c r="ER35" s="320"/>
      <c r="ES35" s="320"/>
      <c r="ET35" s="320"/>
      <c r="EU35" s="320"/>
      <c r="EV35" s="319"/>
      <c r="EW35" s="1070" t="s">
        <v>86</v>
      </c>
      <c r="EX35" s="1071"/>
      <c r="EY35" s="1071"/>
      <c r="EZ35" s="1072"/>
      <c r="FA35" s="320"/>
      <c r="FB35" s="320"/>
      <c r="FC35" s="13"/>
      <c r="FE35" s="150"/>
      <c r="FG35" s="144">
        <v>1</v>
      </c>
      <c r="FH35" s="1056" t="s">
        <v>87</v>
      </c>
      <c r="FI35" s="1056"/>
      <c r="FJ35" s="1056"/>
      <c r="FK35" s="1056"/>
      <c r="FL35" s="1056"/>
      <c r="FM35" s="1056"/>
      <c r="FN35" s="1056"/>
      <c r="FO35" s="45"/>
      <c r="FP35" s="154"/>
      <c r="FQ35" s="154"/>
      <c r="FS35" s="150"/>
      <c r="FU35" s="174">
        <v>1</v>
      </c>
      <c r="FV35" s="1218" t="s">
        <v>88</v>
      </c>
      <c r="FW35" s="1218"/>
      <c r="FX35" s="1218"/>
      <c r="FY35" s="1218"/>
      <c r="FZ35" s="1218"/>
      <c r="GA35" s="1218"/>
      <c r="GB35" s="1218"/>
      <c r="GC35" s="45"/>
      <c r="GD35" s="154"/>
      <c r="GF35" s="2"/>
      <c r="GI35" s="13"/>
      <c r="GK35" s="174">
        <v>1</v>
      </c>
      <c r="GL35" s="1218" t="s">
        <v>82</v>
      </c>
      <c r="GM35" s="1218"/>
      <c r="GN35" s="1218"/>
      <c r="GO35" s="1218"/>
      <c r="GP35" s="1218"/>
      <c r="GQ35" s="1218"/>
      <c r="GR35" s="1218"/>
      <c r="GT35" s="2"/>
      <c r="HD35" s="2"/>
      <c r="HP35" s="13"/>
      <c r="IA35" s="1341" t="s">
        <v>89</v>
      </c>
      <c r="IB35" s="1342"/>
      <c r="IC35" s="1342"/>
      <c r="ID35" s="1342"/>
      <c r="IE35" s="1342"/>
      <c r="IF35" s="1342"/>
      <c r="IG35" s="1342"/>
      <c r="IH35" s="1343"/>
      <c r="IW35" s="2"/>
      <c r="JA35" s="13"/>
      <c r="JC35" s="173">
        <v>1</v>
      </c>
      <c r="JD35" s="1218" t="s">
        <v>90</v>
      </c>
      <c r="JE35" s="1218"/>
      <c r="JF35" s="1218"/>
      <c r="JG35" s="1218"/>
      <c r="JH35" s="1218"/>
      <c r="JI35" s="1218"/>
      <c r="JJ35" s="1218"/>
      <c r="JK35" s="319"/>
      <c r="JL35" s="2"/>
      <c r="JS35" s="13"/>
      <c r="JU35" s="174">
        <v>1</v>
      </c>
      <c r="JV35" s="1218" t="s">
        <v>91</v>
      </c>
      <c r="JW35" s="1218"/>
      <c r="JX35" s="1218"/>
      <c r="JY35" s="1218"/>
      <c r="JZ35" s="1218"/>
      <c r="KA35" s="1218"/>
      <c r="KB35" s="1218"/>
      <c r="KD35" s="2"/>
      <c r="LG35" s="319"/>
    </row>
    <row r="36" spans="141:326" x14ac:dyDescent="0.35">
      <c r="EQ36" s="313"/>
      <c r="ER36" s="207"/>
      <c r="ES36" s="207"/>
      <c r="ET36" s="207"/>
      <c r="EU36" s="207"/>
      <c r="EV36" s="207"/>
      <c r="EW36" s="207"/>
      <c r="EX36" s="207"/>
      <c r="FC36" s="13"/>
      <c r="FE36" s="150"/>
      <c r="FG36" s="1356" t="s">
        <v>970</v>
      </c>
      <c r="FH36" s="1356"/>
      <c r="FI36" s="1356"/>
      <c r="FJ36" s="1356"/>
      <c r="FK36" s="1356"/>
      <c r="FL36" s="1356"/>
      <c r="FM36" s="1356"/>
      <c r="FN36" s="1356"/>
      <c r="FO36" s="6"/>
      <c r="FP36" s="154"/>
      <c r="FQ36" s="224"/>
      <c r="FR36" s="224"/>
      <c r="FS36" s="150"/>
      <c r="FU36" s="1310" t="s">
        <v>564</v>
      </c>
      <c r="FV36" s="1310"/>
      <c r="FW36" s="1310"/>
      <c r="FX36" s="1310"/>
      <c r="FY36" s="1310"/>
      <c r="FZ36" s="1310"/>
      <c r="GA36" s="1310"/>
      <c r="GB36" s="1310"/>
      <c r="GC36" s="6"/>
      <c r="GD36" s="154"/>
      <c r="GF36" s="2"/>
      <c r="GI36" s="13"/>
      <c r="GK36" s="1268" t="s">
        <v>779</v>
      </c>
      <c r="GL36" s="1268"/>
      <c r="GM36" s="1268"/>
      <c r="GN36" s="1268"/>
      <c r="GO36" s="1268"/>
      <c r="GP36" s="1268"/>
      <c r="GQ36" s="1268"/>
      <c r="GR36" s="1268"/>
      <c r="GT36" s="2"/>
      <c r="HD36" s="2"/>
      <c r="HP36" s="13"/>
      <c r="ID36" s="2"/>
      <c r="IE36" s="45"/>
      <c r="IF36" s="45"/>
      <c r="IG36" s="45"/>
      <c r="IW36" s="2"/>
      <c r="JA36" s="13"/>
      <c r="JC36" s="1310" t="s">
        <v>4726</v>
      </c>
      <c r="JD36" s="1310"/>
      <c r="JE36" s="1310"/>
      <c r="JF36" s="1310"/>
      <c r="JG36" s="1310"/>
      <c r="JH36" s="1310"/>
      <c r="JI36" s="1310"/>
      <c r="JJ36" s="1310"/>
      <c r="JK36" s="319"/>
      <c r="JL36" s="2"/>
      <c r="JS36" s="13"/>
      <c r="JU36" s="1310" t="s">
        <v>534</v>
      </c>
      <c r="JV36" s="1310"/>
      <c r="JW36" s="1310"/>
      <c r="JX36" s="1310"/>
      <c r="JY36" s="1310"/>
      <c r="JZ36" s="1310"/>
      <c r="KA36" s="1310"/>
      <c r="KB36" s="1310"/>
      <c r="KD36" s="2"/>
      <c r="LG36" s="319"/>
    </row>
    <row r="37" spans="141:326" x14ac:dyDescent="0.35">
      <c r="EQ37" s="319"/>
      <c r="ER37" s="319"/>
      <c r="ES37" s="319"/>
      <c r="ET37" s="319"/>
      <c r="EU37" s="319"/>
      <c r="EV37" s="319"/>
      <c r="EW37" s="319"/>
      <c r="EX37" s="319"/>
      <c r="FC37" s="13"/>
      <c r="FE37" s="150"/>
      <c r="FG37" s="144">
        <v>1</v>
      </c>
      <c r="FH37" s="1056" t="s">
        <v>104</v>
      </c>
      <c r="FI37" s="1056"/>
      <c r="FJ37" s="1056"/>
      <c r="FK37" s="1056"/>
      <c r="FL37" s="1056"/>
      <c r="FM37" s="1056"/>
      <c r="FN37" s="1056"/>
      <c r="FO37" s="45"/>
      <c r="FP37" s="154"/>
      <c r="FS37" s="150"/>
      <c r="FU37" s="327">
        <v>1</v>
      </c>
      <c r="FV37" s="1366" t="s">
        <v>105</v>
      </c>
      <c r="FW37" s="1367"/>
      <c r="FX37" s="1367"/>
      <c r="FY37" s="1367"/>
      <c r="FZ37" s="1367"/>
      <c r="GA37" s="1367"/>
      <c r="GB37" s="1368"/>
      <c r="GC37" s="45"/>
      <c r="GD37" s="154"/>
      <c r="GF37" s="2"/>
      <c r="GI37" s="13"/>
      <c r="GK37" s="174">
        <v>1</v>
      </c>
      <c r="GL37" s="1218" t="s">
        <v>82</v>
      </c>
      <c r="GM37" s="1218"/>
      <c r="GN37" s="1218"/>
      <c r="GO37" s="1218"/>
      <c r="GP37" s="1218"/>
      <c r="GQ37" s="1218"/>
      <c r="GR37" s="1218"/>
      <c r="GT37" s="2"/>
      <c r="HD37" s="2"/>
      <c r="HP37" s="13"/>
      <c r="IA37" s="57">
        <v>0.2</v>
      </c>
      <c r="IB37" s="1092" t="s">
        <v>97</v>
      </c>
      <c r="IC37" s="1092"/>
      <c r="ID37" s="1092"/>
      <c r="IE37" s="1092"/>
      <c r="IF37" s="1092"/>
      <c r="IG37" s="1092"/>
      <c r="IH37" s="1092"/>
      <c r="IW37" s="2"/>
      <c r="JA37" s="14"/>
      <c r="JB37" s="3"/>
      <c r="JC37" s="3"/>
      <c r="JD37" s="3"/>
      <c r="JE37" s="3"/>
      <c r="JF37" s="3"/>
      <c r="JG37" s="3"/>
      <c r="JH37" s="3"/>
      <c r="JJ37" s="319"/>
      <c r="JK37" s="319"/>
      <c r="JL37" s="2"/>
      <c r="JS37" s="13"/>
      <c r="JU37" s="174">
        <v>1</v>
      </c>
      <c r="JV37" s="1218" t="s">
        <v>4727</v>
      </c>
      <c r="JW37" s="1218"/>
      <c r="JX37" s="1218"/>
      <c r="JY37" s="1218"/>
      <c r="JZ37" s="1218"/>
      <c r="KA37" s="1218"/>
      <c r="KB37" s="1218"/>
      <c r="KD37" s="2"/>
    </row>
    <row r="38" spans="141:326" x14ac:dyDescent="0.35">
      <c r="EQ38" s="313"/>
      <c r="ER38" s="207"/>
      <c r="ES38" s="207"/>
      <c r="ET38" s="207"/>
      <c r="EU38" s="207"/>
      <c r="EV38" s="207"/>
      <c r="EW38" s="207"/>
      <c r="EX38" s="207"/>
      <c r="FC38" s="13"/>
      <c r="FE38" s="150"/>
      <c r="FG38" s="1356" t="s">
        <v>721</v>
      </c>
      <c r="FH38" s="1356"/>
      <c r="FI38" s="1356"/>
      <c r="FJ38" s="1356"/>
      <c r="FK38" s="1356"/>
      <c r="FL38" s="1356"/>
      <c r="FM38" s="1356"/>
      <c r="FN38" s="1356"/>
      <c r="FO38" s="6"/>
      <c r="FP38" s="154"/>
      <c r="FS38" s="150"/>
      <c r="FU38" s="1369" t="s">
        <v>644</v>
      </c>
      <c r="FV38" s="1370"/>
      <c r="FW38" s="1370"/>
      <c r="FX38" s="1370"/>
      <c r="FY38" s="1370"/>
      <c r="FZ38" s="1370"/>
      <c r="GA38" s="1370"/>
      <c r="GB38" s="1371"/>
      <c r="GC38" s="6"/>
      <c r="GD38" s="154"/>
      <c r="GF38" s="2"/>
      <c r="GI38" s="13"/>
      <c r="GK38" s="1310" t="s">
        <v>847</v>
      </c>
      <c r="GL38" s="1310"/>
      <c r="GM38" s="1310"/>
      <c r="GN38" s="1310"/>
      <c r="GO38" s="1310"/>
      <c r="GP38" s="1310"/>
      <c r="GQ38" s="1310"/>
      <c r="GR38" s="1310"/>
      <c r="GT38" s="2"/>
      <c r="HD38" s="2"/>
      <c r="HP38" s="13"/>
      <c r="HV38" s="5"/>
      <c r="HW38" s="4"/>
      <c r="HX38" s="4"/>
      <c r="HY38" s="4"/>
      <c r="HZ38" s="4"/>
      <c r="IA38" s="1341" t="s">
        <v>101</v>
      </c>
      <c r="IB38" s="1342"/>
      <c r="IC38" s="1342"/>
      <c r="ID38" s="1342"/>
      <c r="IE38" s="1342"/>
      <c r="IF38" s="1342"/>
      <c r="IG38" s="1342"/>
      <c r="IH38" s="1343"/>
      <c r="II38" s="4"/>
      <c r="IJ38" s="4"/>
      <c r="IK38" s="4"/>
      <c r="IL38" s="4"/>
      <c r="IM38" s="12"/>
      <c r="IW38" s="2"/>
      <c r="JI38" s="1282" t="s">
        <v>113</v>
      </c>
      <c r="JJ38" s="1282"/>
      <c r="JK38" s="1282"/>
      <c r="JL38" s="1282"/>
      <c r="JS38" s="13"/>
      <c r="JU38" s="1310" t="s">
        <v>831</v>
      </c>
      <c r="JV38" s="1310"/>
      <c r="JW38" s="1310"/>
      <c r="JX38" s="1310"/>
      <c r="JY38" s="1310"/>
      <c r="JZ38" s="1310"/>
      <c r="KA38" s="1310"/>
      <c r="KB38" s="1310"/>
      <c r="KC38" s="344"/>
      <c r="KD38" s="2"/>
      <c r="LG38" s="319"/>
    </row>
    <row r="39" spans="141:326" x14ac:dyDescent="0.35">
      <c r="EQ39" s="319"/>
      <c r="ER39" s="319"/>
      <c r="ES39" s="319"/>
      <c r="ET39" s="319"/>
      <c r="EU39" s="319"/>
      <c r="EV39" s="319"/>
      <c r="EW39" s="319"/>
      <c r="EX39" s="319"/>
      <c r="FC39" s="13"/>
      <c r="FE39" s="150"/>
      <c r="FG39" s="144">
        <v>1</v>
      </c>
      <c r="FH39" s="1056" t="s">
        <v>104</v>
      </c>
      <c r="FI39" s="1056"/>
      <c r="FJ39" s="1056"/>
      <c r="FK39" s="1056"/>
      <c r="FL39" s="1056"/>
      <c r="FM39" s="1056"/>
      <c r="FN39" s="1056"/>
      <c r="FO39" s="45"/>
      <c r="FP39" s="154"/>
      <c r="FS39" s="150"/>
      <c r="FU39" s="174">
        <v>1</v>
      </c>
      <c r="FV39" s="1172" t="s">
        <v>105</v>
      </c>
      <c r="FW39" s="1173"/>
      <c r="FX39" s="1173"/>
      <c r="FY39" s="1173"/>
      <c r="FZ39" s="1173"/>
      <c r="GA39" s="1173"/>
      <c r="GB39" s="1174"/>
      <c r="GC39" s="45"/>
      <c r="GD39" s="154"/>
      <c r="GF39" s="2"/>
      <c r="GI39" s="13"/>
      <c r="GK39" s="174">
        <v>1</v>
      </c>
      <c r="GL39" s="1218" t="s">
        <v>82</v>
      </c>
      <c r="GM39" s="1218"/>
      <c r="GN39" s="1218"/>
      <c r="GO39" s="1218"/>
      <c r="GP39" s="1218"/>
      <c r="GQ39" s="1218"/>
      <c r="GR39" s="1218"/>
      <c r="GT39" s="2"/>
      <c r="HD39" s="2"/>
      <c r="HP39" s="13"/>
      <c r="HV39" s="13"/>
      <c r="ID39" s="12"/>
      <c r="IE39" s="319"/>
      <c r="IF39" s="319"/>
      <c r="IG39" s="319"/>
      <c r="IM39" s="2"/>
      <c r="IW39" s="2"/>
      <c r="JJ39" s="319"/>
      <c r="JK39" s="319"/>
      <c r="JS39" s="13"/>
      <c r="JU39" s="174">
        <v>1</v>
      </c>
      <c r="JV39" s="1172" t="s">
        <v>4727</v>
      </c>
      <c r="JW39" s="1173"/>
      <c r="JX39" s="1173"/>
      <c r="JY39" s="1173"/>
      <c r="JZ39" s="1173"/>
      <c r="KA39" s="1173"/>
      <c r="KB39" s="1174"/>
      <c r="KD39" s="2"/>
      <c r="KY39" s="322"/>
      <c r="KZ39" s="322"/>
    </row>
    <row r="40" spans="141:326" x14ac:dyDescent="0.35">
      <c r="FC40" s="13"/>
      <c r="FE40" s="150"/>
      <c r="FG40" s="1356" t="s">
        <v>724</v>
      </c>
      <c r="FH40" s="1356"/>
      <c r="FI40" s="1356"/>
      <c r="FJ40" s="1356"/>
      <c r="FK40" s="1356"/>
      <c r="FL40" s="1356"/>
      <c r="FM40" s="1356"/>
      <c r="FN40" s="1356"/>
      <c r="FO40" s="6"/>
      <c r="FP40" s="154"/>
      <c r="FS40" s="150"/>
      <c r="FU40" s="1375" t="s">
        <v>1017</v>
      </c>
      <c r="FV40" s="1376"/>
      <c r="FW40" s="1376"/>
      <c r="FX40" s="1376"/>
      <c r="FY40" s="1376"/>
      <c r="FZ40" s="1376"/>
      <c r="GA40" s="1376"/>
      <c r="GB40" s="1377"/>
      <c r="GC40" s="6"/>
      <c r="GD40" s="154"/>
      <c r="GF40" s="2"/>
      <c r="GI40" s="13"/>
      <c r="GK40" s="1310" t="s">
        <v>1005</v>
      </c>
      <c r="GL40" s="1310"/>
      <c r="GM40" s="1310"/>
      <c r="GN40" s="1310"/>
      <c r="GO40" s="1310"/>
      <c r="GP40" s="1310"/>
      <c r="GQ40" s="1310"/>
      <c r="GR40" s="1310"/>
      <c r="GT40" s="2"/>
      <c r="HD40" s="2"/>
      <c r="HM40" s="313"/>
      <c r="HN40" s="313"/>
      <c r="HO40" s="313"/>
      <c r="HP40" s="345"/>
      <c r="HR40" s="1122" t="s">
        <v>110</v>
      </c>
      <c r="HS40" s="1122"/>
      <c r="HT40" s="1122"/>
      <c r="HU40" s="1122"/>
      <c r="HV40" s="1122"/>
      <c r="HW40" s="1122"/>
      <c r="HX40" s="1122"/>
      <c r="HY40" s="1122"/>
      <c r="IA40" s="1122" t="s">
        <v>111</v>
      </c>
      <c r="IB40" s="1122"/>
      <c r="IC40" s="1122"/>
      <c r="ID40" s="1122"/>
      <c r="IE40" s="1122"/>
      <c r="IF40" s="1122"/>
      <c r="IG40" s="1122"/>
      <c r="IH40" s="1122"/>
      <c r="IJ40" s="1122" t="s">
        <v>112</v>
      </c>
      <c r="IK40" s="1122"/>
      <c r="IL40" s="1122"/>
      <c r="IM40" s="1122"/>
      <c r="IN40" s="1122"/>
      <c r="IO40" s="1122"/>
      <c r="IP40" s="1122"/>
      <c r="IQ40" s="1122"/>
      <c r="IW40" s="2"/>
      <c r="JJ40" s="319"/>
      <c r="JK40" s="319"/>
      <c r="JS40" s="13"/>
      <c r="JU40" s="1310" t="s">
        <v>737</v>
      </c>
      <c r="JV40" s="1310"/>
      <c r="JW40" s="1310"/>
      <c r="JX40" s="1310"/>
      <c r="JY40" s="1310"/>
      <c r="JZ40" s="1310"/>
      <c r="KA40" s="1310"/>
      <c r="KB40" s="1310"/>
      <c r="KD40" s="2"/>
      <c r="LA40" s="207"/>
      <c r="LB40" s="207"/>
      <c r="LC40" s="207"/>
      <c r="LD40" s="207"/>
      <c r="LE40" s="207"/>
      <c r="LF40" s="207"/>
      <c r="LG40" s="207"/>
      <c r="LH40" s="207"/>
    </row>
    <row r="41" spans="141:326" x14ac:dyDescent="0.35">
      <c r="FC41" s="13"/>
      <c r="FE41" s="150"/>
      <c r="FG41" s="144">
        <v>1</v>
      </c>
      <c r="FH41" s="1056" t="s">
        <v>104</v>
      </c>
      <c r="FI41" s="1056"/>
      <c r="FJ41" s="1056"/>
      <c r="FK41" s="1056"/>
      <c r="FL41" s="1056"/>
      <c r="FM41" s="1056"/>
      <c r="FN41" s="1056"/>
      <c r="FO41" s="45"/>
      <c r="FP41" s="154"/>
      <c r="FS41" s="150"/>
      <c r="FU41" s="174">
        <v>0.5</v>
      </c>
      <c r="FV41" s="1218" t="s">
        <v>105</v>
      </c>
      <c r="FW41" s="1218"/>
      <c r="FX41" s="1218"/>
      <c r="FY41" s="1218"/>
      <c r="FZ41" s="1218"/>
      <c r="GA41" s="1218"/>
      <c r="GB41" s="1218"/>
      <c r="GC41" s="45"/>
      <c r="GD41" s="154"/>
      <c r="GF41" s="2"/>
      <c r="GI41" s="13"/>
      <c r="GK41" s="174">
        <v>1</v>
      </c>
      <c r="GL41" s="1218" t="s">
        <v>82</v>
      </c>
      <c r="GM41" s="1218"/>
      <c r="GN41" s="1218"/>
      <c r="GO41" s="1218"/>
      <c r="GP41" s="1218"/>
      <c r="GQ41" s="1218"/>
      <c r="GR41" s="1218"/>
      <c r="GT41" s="2"/>
      <c r="HD41" s="2"/>
      <c r="HM41" s="320"/>
      <c r="HN41" s="320"/>
      <c r="HO41" s="320"/>
      <c r="HP41" s="346"/>
      <c r="HR41" s="174">
        <v>1</v>
      </c>
      <c r="HS41" s="1218" t="s">
        <v>115</v>
      </c>
      <c r="HT41" s="1218"/>
      <c r="HU41" s="1218"/>
      <c r="HV41" s="1218"/>
      <c r="HW41" s="1218"/>
      <c r="HX41" s="1218"/>
      <c r="HY41" s="1218"/>
      <c r="IA41" s="240">
        <v>1</v>
      </c>
      <c r="IB41" s="1311" t="s">
        <v>116</v>
      </c>
      <c r="IC41" s="1311"/>
      <c r="ID41" s="1311"/>
      <c r="IE41" s="1311"/>
      <c r="IF41" s="1311"/>
      <c r="IG41" s="1311"/>
      <c r="IH41" s="1311"/>
      <c r="IJ41" s="57">
        <v>0.2</v>
      </c>
      <c r="IK41" s="1092" t="s">
        <v>116</v>
      </c>
      <c r="IL41" s="1092"/>
      <c r="IM41" s="1092"/>
      <c r="IN41" s="1092"/>
      <c r="IO41" s="1092"/>
      <c r="IP41" s="1092"/>
      <c r="IQ41" s="1092"/>
      <c r="IW41" s="2"/>
      <c r="JJ41" s="319"/>
      <c r="JK41" s="319"/>
      <c r="JS41" s="14"/>
      <c r="JT41" s="3"/>
      <c r="JU41" s="3"/>
      <c r="JV41" s="3"/>
      <c r="JW41" s="3"/>
      <c r="JX41" s="3"/>
      <c r="JY41" s="3"/>
      <c r="JZ41" s="3"/>
      <c r="KD41" s="2"/>
      <c r="KP41" s="318"/>
      <c r="KQ41" s="207"/>
      <c r="KR41" s="207"/>
      <c r="KS41" s="207"/>
      <c r="KT41" s="207"/>
      <c r="KU41" s="207"/>
      <c r="KV41" s="207"/>
      <c r="KW41" s="207"/>
      <c r="KX41" s="207"/>
      <c r="KY41" s="207"/>
      <c r="LN41" s="318"/>
    </row>
    <row r="42" spans="141:326" ht="15" customHeight="1" x14ac:dyDescent="0.35">
      <c r="FC42" s="13"/>
      <c r="FE42" s="150"/>
      <c r="FG42" s="1356" t="s">
        <v>981</v>
      </c>
      <c r="FH42" s="1356"/>
      <c r="FI42" s="1356"/>
      <c r="FJ42" s="1356"/>
      <c r="FK42" s="1356"/>
      <c r="FL42" s="1356"/>
      <c r="FM42" s="1356"/>
      <c r="FN42" s="1356"/>
      <c r="FO42" s="6"/>
      <c r="FP42" s="154"/>
      <c r="FS42" s="150"/>
      <c r="FU42" s="1310" t="s">
        <v>125</v>
      </c>
      <c r="FV42" s="1310"/>
      <c r="FW42" s="1310"/>
      <c r="FX42" s="1310"/>
      <c r="FY42" s="1310"/>
      <c r="FZ42" s="1310"/>
      <c r="GA42" s="1310"/>
      <c r="GB42" s="1310"/>
      <c r="GC42" s="6"/>
      <c r="GD42" s="154"/>
      <c r="GF42" s="2"/>
      <c r="GI42" s="150"/>
      <c r="GK42" s="1310" t="s">
        <v>761</v>
      </c>
      <c r="GL42" s="1310"/>
      <c r="GM42" s="1310"/>
      <c r="GN42" s="1310"/>
      <c r="GO42" s="1310"/>
      <c r="GP42" s="1310"/>
      <c r="GQ42" s="1310"/>
      <c r="GR42" s="1310"/>
      <c r="GT42" s="154"/>
      <c r="HD42" s="2"/>
      <c r="HP42" s="13"/>
      <c r="HR42" s="1268" t="s">
        <v>851</v>
      </c>
      <c r="HS42" s="1268"/>
      <c r="HT42" s="1268"/>
      <c r="HU42" s="1268"/>
      <c r="HV42" s="1268"/>
      <c r="HW42" s="1268"/>
      <c r="HX42" s="1268"/>
      <c r="HY42" s="1268"/>
      <c r="IA42" s="1268" t="s">
        <v>536</v>
      </c>
      <c r="IB42" s="1268"/>
      <c r="IC42" s="1268"/>
      <c r="ID42" s="1268"/>
      <c r="IE42" s="1268"/>
      <c r="IF42" s="1268"/>
      <c r="IG42" s="1268"/>
      <c r="IH42" s="1268"/>
      <c r="IJ42" s="1318" t="s">
        <v>122</v>
      </c>
      <c r="IK42" s="1319"/>
      <c r="IL42" s="1319"/>
      <c r="IM42" s="1319"/>
      <c r="IN42" s="1319"/>
      <c r="IO42" s="1319"/>
      <c r="IP42" s="1319"/>
      <c r="IQ42" s="1320"/>
      <c r="IW42" s="2"/>
      <c r="JJ42" s="319"/>
      <c r="JK42" s="319"/>
      <c r="KA42" s="1282" t="s">
        <v>129</v>
      </c>
      <c r="KB42" s="1282"/>
      <c r="KC42" s="1282"/>
      <c r="KD42" s="1282"/>
      <c r="KP42" s="319"/>
      <c r="KQ42" s="319"/>
      <c r="KR42" s="319"/>
      <c r="KS42" s="319"/>
      <c r="KT42" s="319"/>
      <c r="KU42" s="319"/>
      <c r="KV42" s="319"/>
      <c r="KW42" s="319"/>
      <c r="KX42" s="319"/>
      <c r="KY42" s="319"/>
      <c r="LA42" s="319"/>
      <c r="LB42" s="319"/>
      <c r="LC42" s="319"/>
      <c r="LD42" s="319"/>
      <c r="LE42" s="319"/>
      <c r="LF42" s="319"/>
      <c r="LG42" s="319"/>
      <c r="LH42" s="319"/>
    </row>
    <row r="43" spans="141:326" ht="15" customHeight="1" x14ac:dyDescent="0.35">
      <c r="EK43" s="207"/>
      <c r="EV43" s="313"/>
      <c r="EW43" s="207"/>
      <c r="EX43" s="207"/>
      <c r="EY43" s="207"/>
      <c r="EZ43" s="207"/>
      <c r="FA43" s="207"/>
      <c r="FB43" s="207"/>
      <c r="FC43" s="371"/>
      <c r="FD43" s="207"/>
      <c r="FE43" s="150"/>
      <c r="FG43" s="144">
        <v>0.5</v>
      </c>
      <c r="FH43" s="1056" t="s">
        <v>130</v>
      </c>
      <c r="FI43" s="1056"/>
      <c r="FJ43" s="1056"/>
      <c r="FK43" s="1056"/>
      <c r="FL43" s="1056"/>
      <c r="FM43" s="1056"/>
      <c r="FN43" s="1056"/>
      <c r="FO43" s="45"/>
      <c r="FP43" s="154"/>
      <c r="FS43" s="150"/>
      <c r="FU43" s="207"/>
      <c r="FV43" s="207"/>
      <c r="FW43" s="207"/>
      <c r="FX43" s="207"/>
      <c r="FY43" s="207"/>
      <c r="FZ43" s="207"/>
      <c r="GA43" s="207"/>
      <c r="GB43" s="207"/>
      <c r="GC43" s="45"/>
      <c r="GD43" s="154"/>
      <c r="GF43" s="2"/>
      <c r="GI43" s="150"/>
      <c r="GK43" s="174">
        <v>1</v>
      </c>
      <c r="GL43" s="1218" t="s">
        <v>73</v>
      </c>
      <c r="GM43" s="1218"/>
      <c r="GN43" s="1218"/>
      <c r="GO43" s="1218"/>
      <c r="GP43" s="1218"/>
      <c r="GQ43" s="1218"/>
      <c r="GR43" s="1218"/>
      <c r="GT43" s="154"/>
      <c r="HD43" s="2"/>
      <c r="HP43" s="13"/>
      <c r="HR43" s="174"/>
      <c r="HS43" s="1218" t="s">
        <v>115</v>
      </c>
      <c r="HT43" s="1218"/>
      <c r="HU43" s="1218"/>
      <c r="HV43" s="1218"/>
      <c r="HW43" s="1218"/>
      <c r="HX43" s="1218"/>
      <c r="HY43" s="1218"/>
      <c r="IA43" s="240">
        <v>1</v>
      </c>
      <c r="IB43" s="1311" t="s">
        <v>116</v>
      </c>
      <c r="IC43" s="1311"/>
      <c r="ID43" s="1311"/>
      <c r="IE43" s="1311"/>
      <c r="IF43" s="1311"/>
      <c r="IG43" s="1311"/>
      <c r="IH43" s="1311"/>
      <c r="IJ43" s="347">
        <v>0.2</v>
      </c>
      <c r="IK43" s="1092" t="s">
        <v>116</v>
      </c>
      <c r="IL43" s="1092"/>
      <c r="IM43" s="1092"/>
      <c r="IN43" s="1092"/>
      <c r="IO43" s="1092"/>
      <c r="IP43" s="1092"/>
      <c r="IQ43" s="1092"/>
      <c r="IW43" s="2"/>
      <c r="JJ43" s="319"/>
      <c r="JK43" s="319"/>
    </row>
    <row r="44" spans="141:326" ht="15" customHeight="1" x14ac:dyDescent="0.35">
      <c r="EK44" s="319"/>
      <c r="EV44" s="319"/>
      <c r="EW44" s="319"/>
      <c r="EX44" s="319"/>
      <c r="EY44" s="319"/>
      <c r="EZ44" s="319"/>
      <c r="FA44" s="319"/>
      <c r="FB44" s="319"/>
      <c r="FC44" s="340"/>
      <c r="FD44" s="319"/>
      <c r="FE44" s="328"/>
      <c r="FF44" s="45"/>
      <c r="FG44" s="1163" t="s">
        <v>131</v>
      </c>
      <c r="FH44" s="1163"/>
      <c r="FI44" s="1163"/>
      <c r="FJ44" s="1163"/>
      <c r="FK44" s="1163"/>
      <c r="FL44" s="1163"/>
      <c r="FM44" s="1163"/>
      <c r="FN44" s="1163"/>
      <c r="FO44" s="6"/>
      <c r="FP44" s="154"/>
      <c r="FS44" s="329"/>
      <c r="FT44" s="329"/>
      <c r="FU44" s="330"/>
      <c r="FV44" s="330"/>
      <c r="FW44" s="330"/>
      <c r="FX44" s="330"/>
      <c r="FY44" s="330"/>
      <c r="FZ44" s="330"/>
      <c r="GA44" s="1070" t="s">
        <v>132</v>
      </c>
      <c r="GB44" s="1071"/>
      <c r="GC44" s="1071"/>
      <c r="GD44" s="1072"/>
      <c r="GF44" s="2"/>
      <c r="GI44" s="150"/>
      <c r="GK44" s="1310" t="s">
        <v>773</v>
      </c>
      <c r="GL44" s="1310"/>
      <c r="GM44" s="1310"/>
      <c r="GN44" s="1310"/>
      <c r="GO44" s="1310"/>
      <c r="GP44" s="1310"/>
      <c r="GQ44" s="1310"/>
      <c r="GR44" s="1310"/>
      <c r="GT44" s="154"/>
      <c r="HD44" s="2"/>
      <c r="HP44" s="13"/>
      <c r="HR44" s="1268" t="s">
        <v>852</v>
      </c>
      <c r="HS44" s="1268"/>
      <c r="HT44" s="1268"/>
      <c r="HU44" s="1268"/>
      <c r="HV44" s="1268"/>
      <c r="HW44" s="1268"/>
      <c r="HX44" s="1268"/>
      <c r="HY44" s="1268"/>
      <c r="IA44" s="1268" t="s">
        <v>1039</v>
      </c>
      <c r="IB44" s="1268"/>
      <c r="IC44" s="1268"/>
      <c r="ID44" s="1268"/>
      <c r="IE44" s="1268"/>
      <c r="IF44" s="1268"/>
      <c r="IG44" s="1268"/>
      <c r="IH44" s="1268"/>
      <c r="IJ44" s="1315" t="s">
        <v>128</v>
      </c>
      <c r="IK44" s="1316"/>
      <c r="IL44" s="1316"/>
      <c r="IM44" s="1316"/>
      <c r="IN44" s="1316"/>
      <c r="IO44" s="1316"/>
      <c r="IP44" s="1316"/>
      <c r="IQ44" s="1317"/>
      <c r="IR44" s="52"/>
      <c r="IS44" s="52"/>
      <c r="IT44" s="52"/>
      <c r="IU44" s="52"/>
      <c r="IV44" s="52"/>
      <c r="IW44" s="67"/>
      <c r="IX44" s="52"/>
      <c r="IY44" s="52"/>
      <c r="IZ44" s="52"/>
      <c r="JA44" s="52"/>
      <c r="JB44" s="52"/>
      <c r="JC44" s="52"/>
      <c r="JD44" s="52"/>
      <c r="JE44" s="52"/>
      <c r="JF44" s="52"/>
      <c r="JG44" s="52"/>
      <c r="JH44" s="52"/>
      <c r="JI44" s="52"/>
      <c r="JJ44" s="319"/>
      <c r="JK44" s="207"/>
      <c r="JL44" s="52"/>
      <c r="JM44" s="52"/>
      <c r="JN44" s="52"/>
      <c r="JO44" s="52"/>
      <c r="JP44" s="52"/>
      <c r="JQ44" s="52"/>
      <c r="JR44" s="52"/>
      <c r="JS44" s="52"/>
      <c r="JT44" s="52"/>
      <c r="JU44" s="52"/>
      <c r="JV44" s="52"/>
      <c r="JW44" s="52"/>
      <c r="JX44" s="52"/>
      <c r="JY44" s="52"/>
      <c r="JZ44" s="52"/>
      <c r="KA44" s="52"/>
      <c r="KB44" s="52"/>
      <c r="KC44" s="52"/>
      <c r="KD44" s="1312"/>
      <c r="KE44" s="1312"/>
      <c r="KP44" s="318"/>
      <c r="KQ44" s="207"/>
      <c r="KR44" s="207"/>
      <c r="KS44" s="207"/>
      <c r="KT44" s="207"/>
      <c r="KU44" s="207"/>
      <c r="KV44" s="207"/>
      <c r="KW44" s="207"/>
      <c r="KX44" s="207"/>
      <c r="KY44" s="207"/>
      <c r="LN44" s="318"/>
    </row>
    <row r="45" spans="141:326" x14ac:dyDescent="0.35">
      <c r="EK45" s="313"/>
      <c r="EV45" s="319"/>
      <c r="EW45" s="207"/>
      <c r="EX45" s="207"/>
      <c r="EY45" s="207"/>
      <c r="EZ45" s="207"/>
      <c r="FA45" s="207"/>
      <c r="FB45" s="207"/>
      <c r="FC45" s="371"/>
      <c r="FD45" s="207"/>
      <c r="FE45" s="147"/>
      <c r="FF45" s="6"/>
      <c r="FG45" s="144">
        <v>0.5</v>
      </c>
      <c r="FH45" s="1056" t="s">
        <v>134</v>
      </c>
      <c r="FI45" s="1056"/>
      <c r="FJ45" s="1056"/>
      <c r="FK45" s="1056"/>
      <c r="FL45" s="1056"/>
      <c r="FM45" s="1056"/>
      <c r="FN45" s="1056"/>
      <c r="FO45" s="45"/>
      <c r="FP45" s="154"/>
      <c r="FS45" s="6"/>
      <c r="FT45" s="6"/>
      <c r="FU45" s="6"/>
      <c r="FV45" s="6"/>
      <c r="FW45" s="6"/>
      <c r="FX45" s="6"/>
      <c r="FY45" s="6"/>
      <c r="FZ45" s="6"/>
      <c r="GF45" s="2"/>
      <c r="GI45" s="150"/>
      <c r="GK45" s="174">
        <v>1</v>
      </c>
      <c r="GL45" s="1218" t="s">
        <v>90</v>
      </c>
      <c r="GM45" s="1218"/>
      <c r="GN45" s="1218"/>
      <c r="GO45" s="1218"/>
      <c r="GP45" s="1218"/>
      <c r="GQ45" s="1218"/>
      <c r="GR45" s="1218"/>
      <c r="GT45" s="154"/>
      <c r="HD45" s="2"/>
      <c r="HP45" s="13"/>
      <c r="IA45" s="240">
        <v>1</v>
      </c>
      <c r="IB45" s="1311" t="s">
        <v>116</v>
      </c>
      <c r="IC45" s="1311"/>
      <c r="ID45" s="1311"/>
      <c r="IE45" s="1311"/>
      <c r="IF45" s="1311"/>
      <c r="IG45" s="1311"/>
      <c r="IH45" s="1311"/>
      <c r="IJ45" s="348">
        <v>0.2</v>
      </c>
      <c r="IK45" s="1092" t="s">
        <v>116</v>
      </c>
      <c r="IL45" s="1092"/>
      <c r="IM45" s="1092"/>
      <c r="IN45" s="1092"/>
      <c r="IO45" s="1092"/>
      <c r="IP45" s="1092"/>
      <c r="IQ45" s="1092"/>
      <c r="IR45" s="52"/>
      <c r="IS45" s="52"/>
      <c r="IT45" s="52"/>
      <c r="IU45" s="52"/>
      <c r="IV45" s="52"/>
      <c r="IW45" s="67"/>
      <c r="IX45" s="52"/>
      <c r="IY45" s="52"/>
      <c r="IZ45" s="52"/>
      <c r="JA45" s="52"/>
      <c r="JB45" s="52"/>
      <c r="JC45" s="52"/>
      <c r="JD45" s="52"/>
      <c r="JE45" s="52"/>
      <c r="JF45" s="52"/>
      <c r="JG45" s="52"/>
      <c r="JH45" s="52"/>
      <c r="JI45" s="52"/>
      <c r="JJ45" s="319"/>
      <c r="JK45" s="207"/>
      <c r="JL45" s="52"/>
      <c r="JM45" s="52"/>
      <c r="JN45" s="52"/>
      <c r="JO45" s="52"/>
      <c r="JP45" s="52"/>
      <c r="JQ45" s="52"/>
      <c r="JR45" s="52"/>
      <c r="JS45" s="52"/>
      <c r="JT45" s="52"/>
      <c r="JU45" s="52"/>
      <c r="JV45" s="52"/>
      <c r="JW45" s="52"/>
      <c r="JX45" s="52"/>
      <c r="JY45" s="52"/>
      <c r="JZ45" s="52"/>
      <c r="KA45" s="52"/>
      <c r="KB45" s="52"/>
      <c r="KC45" s="52"/>
      <c r="KD45" s="52"/>
      <c r="KE45" s="52"/>
      <c r="KP45" s="319"/>
      <c r="KQ45" s="319"/>
      <c r="KR45" s="319"/>
      <c r="KS45" s="319"/>
      <c r="KT45" s="319"/>
      <c r="KU45" s="319"/>
      <c r="KV45" s="319"/>
      <c r="KW45" s="319"/>
      <c r="KX45" s="319"/>
      <c r="KY45" s="319"/>
    </row>
    <row r="46" spans="141:326" x14ac:dyDescent="0.35">
      <c r="EK46" s="320"/>
      <c r="EV46" s="320"/>
      <c r="EW46" s="320"/>
      <c r="EX46" s="320"/>
      <c r="EY46" s="320"/>
      <c r="EZ46" s="320"/>
      <c r="FA46" s="320"/>
      <c r="FB46" s="320"/>
      <c r="FC46" s="346"/>
      <c r="FD46" s="320"/>
      <c r="FE46" s="328"/>
      <c r="FF46" s="45"/>
      <c r="FG46" s="1356" t="s">
        <v>135</v>
      </c>
      <c r="FH46" s="1356"/>
      <c r="FI46" s="1356"/>
      <c r="FJ46" s="1356"/>
      <c r="FK46" s="1356"/>
      <c r="FL46" s="1356"/>
      <c r="FM46" s="1356"/>
      <c r="FN46" s="1356"/>
      <c r="FP46" s="154"/>
      <c r="FS46" s="45"/>
      <c r="FT46" s="45"/>
      <c r="FU46" s="45"/>
      <c r="FV46" s="45"/>
      <c r="FW46" s="45"/>
      <c r="FX46" s="45"/>
      <c r="FY46" s="45"/>
      <c r="FZ46" s="45"/>
      <c r="GF46" s="2"/>
      <c r="GI46" s="150"/>
      <c r="GK46" s="1310" t="s">
        <v>820</v>
      </c>
      <c r="GL46" s="1310"/>
      <c r="GM46" s="1310"/>
      <c r="GN46" s="1310"/>
      <c r="GO46" s="1310"/>
      <c r="GP46" s="1310"/>
      <c r="GQ46" s="1310"/>
      <c r="GR46" s="1310"/>
      <c r="GT46" s="154"/>
      <c r="HD46" s="2"/>
      <c r="HP46" s="13"/>
      <c r="IA46" s="1276" t="s">
        <v>524</v>
      </c>
      <c r="IB46" s="1276"/>
      <c r="IC46" s="1276"/>
      <c r="ID46" s="1276"/>
      <c r="IE46" s="1276"/>
      <c r="IF46" s="1276"/>
      <c r="IG46" s="1276"/>
      <c r="IH46" s="1276"/>
      <c r="IJ46" s="1270" t="s">
        <v>133</v>
      </c>
      <c r="IK46" s="1270"/>
      <c r="IL46" s="1270"/>
      <c r="IM46" s="1270"/>
      <c r="IN46" s="1270"/>
      <c r="IO46" s="1270"/>
      <c r="IP46" s="1270"/>
      <c r="IQ46" s="1270"/>
      <c r="IR46" s="52"/>
      <c r="IS46" s="52"/>
      <c r="IT46" s="52"/>
      <c r="IU46" s="52"/>
      <c r="IV46" s="52"/>
      <c r="IW46" s="67"/>
      <c r="IX46" s="52"/>
      <c r="IY46" s="52"/>
      <c r="IZ46" s="52"/>
      <c r="JA46" s="52"/>
      <c r="JB46" s="52"/>
      <c r="JC46" s="52"/>
      <c r="JD46" s="52"/>
      <c r="JE46" s="52"/>
      <c r="JF46" s="52"/>
      <c r="JG46" s="52"/>
      <c r="JH46" s="52"/>
      <c r="JI46" s="52"/>
      <c r="JJ46" s="207"/>
      <c r="JK46" s="207"/>
      <c r="JL46" s="52"/>
      <c r="JM46" s="52"/>
      <c r="JN46" s="52"/>
      <c r="JO46" s="52"/>
      <c r="JP46" s="52"/>
      <c r="JQ46" s="52"/>
      <c r="JR46" s="52"/>
      <c r="JS46" s="52"/>
      <c r="JT46" s="259"/>
      <c r="JU46" s="52"/>
      <c r="JV46" s="52"/>
      <c r="JW46" s="52"/>
      <c r="JX46" s="52"/>
      <c r="JY46" s="52"/>
      <c r="JZ46" s="52"/>
      <c r="KA46" s="52"/>
      <c r="KB46" s="52"/>
      <c r="KC46" s="52"/>
      <c r="KD46" s="1314"/>
      <c r="KE46" s="1314"/>
      <c r="LN46" s="318"/>
    </row>
    <row r="47" spans="141:326" ht="15" customHeight="1" x14ac:dyDescent="0.35">
      <c r="EK47" s="313"/>
      <c r="EV47" s="320"/>
      <c r="EW47" s="313"/>
      <c r="EX47" s="313"/>
      <c r="EY47" s="313"/>
      <c r="EZ47" s="313"/>
      <c r="FA47" s="313"/>
      <c r="FB47" s="313"/>
      <c r="FC47" s="345"/>
      <c r="FD47" s="313"/>
      <c r="FE47" s="262"/>
      <c r="FF47" s="263"/>
      <c r="FG47" s="331"/>
      <c r="FH47" s="331"/>
      <c r="FI47" s="331"/>
      <c r="FJ47" s="331"/>
      <c r="FK47" s="331"/>
      <c r="FL47" s="331"/>
      <c r="FM47" s="331"/>
      <c r="FN47" s="331"/>
      <c r="FO47" s="149"/>
      <c r="FP47" s="183"/>
      <c r="FS47" s="6"/>
      <c r="FT47" s="6"/>
      <c r="FU47" s="7"/>
      <c r="FV47" s="7"/>
      <c r="FW47" s="7"/>
      <c r="FX47" s="7"/>
      <c r="FY47" s="7"/>
      <c r="FZ47" s="7"/>
      <c r="GA47" s="7"/>
      <c r="GB47" s="7"/>
      <c r="GF47" s="2"/>
      <c r="GI47" s="150"/>
      <c r="GK47" s="174"/>
      <c r="GL47" s="1218" t="s">
        <v>90</v>
      </c>
      <c r="GM47" s="1218"/>
      <c r="GN47" s="1218"/>
      <c r="GO47" s="1218"/>
      <c r="GP47" s="1218"/>
      <c r="GQ47" s="1218"/>
      <c r="GR47" s="1218"/>
      <c r="GT47" s="154"/>
      <c r="HD47" s="2"/>
      <c r="HP47" s="13"/>
      <c r="IA47" s="240">
        <v>1</v>
      </c>
      <c r="IB47" s="1311" t="s">
        <v>116</v>
      </c>
      <c r="IC47" s="1311"/>
      <c r="ID47" s="1311"/>
      <c r="IE47" s="1311"/>
      <c r="IF47" s="1311"/>
      <c r="IG47" s="1311"/>
      <c r="IH47" s="1311"/>
      <c r="IR47" s="52"/>
      <c r="IS47" s="52"/>
      <c r="IT47" s="52"/>
      <c r="IU47" s="52"/>
      <c r="IV47" s="52"/>
      <c r="IW47" s="67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N47" s="52"/>
      <c r="JO47" s="52"/>
      <c r="JP47" s="52"/>
      <c r="JQ47" s="52"/>
      <c r="JR47" s="52"/>
      <c r="JS47" s="52"/>
      <c r="JT47" s="259"/>
      <c r="JU47" s="52"/>
      <c r="JV47" s="52"/>
      <c r="JW47" s="52"/>
      <c r="JX47" s="52"/>
      <c r="JY47" s="52"/>
      <c r="JZ47" s="52"/>
      <c r="KA47" s="52"/>
      <c r="KB47" s="52"/>
      <c r="KC47" s="52"/>
      <c r="KD47" s="52"/>
      <c r="KE47" s="52"/>
    </row>
    <row r="48" spans="141:326" ht="15" customHeight="1" x14ac:dyDescent="0.35">
      <c r="EK48" s="320"/>
      <c r="EV48" s="323"/>
      <c r="EW48" s="323"/>
      <c r="EX48" s="323"/>
      <c r="EY48" s="323"/>
      <c r="EZ48" s="323"/>
      <c r="FA48" s="323"/>
      <c r="FB48" s="323"/>
      <c r="FC48" s="360"/>
      <c r="FD48" s="323"/>
      <c r="FE48" s="377"/>
      <c r="FF48" s="377"/>
      <c r="FG48" s="378"/>
      <c r="FH48" s="378"/>
      <c r="FI48" s="378"/>
      <c r="FJ48" s="378"/>
      <c r="FK48" s="378"/>
      <c r="FL48" s="378"/>
      <c r="FM48" s="1160" t="s">
        <v>137</v>
      </c>
      <c r="FN48" s="1161"/>
      <c r="FO48" s="1161"/>
      <c r="FP48" s="1162"/>
      <c r="GF48" s="2"/>
      <c r="GI48" s="150"/>
      <c r="GJ48" s="349"/>
      <c r="GK48" s="1278" t="s">
        <v>131</v>
      </c>
      <c r="GL48" s="1278"/>
      <c r="GM48" s="1278"/>
      <c r="GN48" s="1278"/>
      <c r="GO48" s="1278"/>
      <c r="GP48" s="1278"/>
      <c r="GQ48" s="1278"/>
      <c r="GR48" s="1278"/>
      <c r="GT48" s="154"/>
      <c r="HD48" s="2"/>
      <c r="HP48" s="150"/>
      <c r="IA48" s="1278" t="s">
        <v>177</v>
      </c>
      <c r="IB48" s="1278"/>
      <c r="IC48" s="1278"/>
      <c r="ID48" s="1278"/>
      <c r="IE48" s="1278"/>
      <c r="IF48" s="1278"/>
      <c r="IG48" s="1278"/>
      <c r="IH48" s="1278"/>
      <c r="IR48" s="52"/>
      <c r="IS48" s="52"/>
      <c r="IT48" s="52"/>
      <c r="IU48" s="52"/>
      <c r="IV48" s="52"/>
      <c r="IW48" s="182"/>
      <c r="IX48" s="52"/>
      <c r="IY48" s="52"/>
      <c r="IZ48" s="52"/>
      <c r="JA48" s="52"/>
      <c r="JB48" s="52"/>
      <c r="JC48" s="52"/>
      <c r="JD48" s="52"/>
      <c r="JE48" s="52"/>
      <c r="JF48" s="52"/>
      <c r="JG48" s="52"/>
      <c r="JH48" s="52"/>
      <c r="JI48" s="52"/>
      <c r="JJ48" s="207"/>
      <c r="JK48" s="207"/>
      <c r="JL48" s="52"/>
      <c r="JM48" s="52"/>
      <c r="JN48" s="52"/>
      <c r="JO48" s="52"/>
      <c r="JP48" s="52"/>
      <c r="JQ48" s="52"/>
      <c r="JR48" s="52"/>
      <c r="JS48" s="52"/>
      <c r="JT48" s="52"/>
      <c r="JU48" s="52"/>
      <c r="JV48" s="52"/>
      <c r="JW48" s="52"/>
      <c r="JX48" s="52"/>
      <c r="JY48" s="52"/>
      <c r="JZ48" s="52"/>
      <c r="KA48" s="52"/>
      <c r="KB48" s="52"/>
      <c r="KC48" s="52"/>
      <c r="KD48" s="52"/>
      <c r="KE48" s="52"/>
      <c r="LN48" s="318"/>
    </row>
    <row r="49" spans="141:312" x14ac:dyDescent="0.35">
      <c r="EK49" s="313"/>
      <c r="EV49" s="319"/>
      <c r="EW49" s="207"/>
      <c r="EX49" s="207"/>
      <c r="EY49" s="207"/>
      <c r="EZ49" s="207"/>
      <c r="FA49" s="207"/>
      <c r="FB49" s="207"/>
      <c r="FC49" s="371"/>
      <c r="FD49" s="207"/>
      <c r="FE49" s="207"/>
      <c r="FF49" s="207"/>
      <c r="FG49" s="207"/>
      <c r="FH49" s="320"/>
      <c r="FI49" s="320"/>
      <c r="FJ49" s="320"/>
      <c r="FK49" s="320"/>
      <c r="FL49" s="320"/>
      <c r="FM49" s="320"/>
      <c r="FN49" s="320"/>
      <c r="FO49" s="320"/>
      <c r="GC49" s="259"/>
      <c r="GF49" s="2"/>
      <c r="GI49" s="150"/>
      <c r="GJ49" s="259"/>
      <c r="GT49" s="154"/>
      <c r="HD49" s="2"/>
      <c r="HP49" s="155"/>
      <c r="HQ49" s="149"/>
      <c r="HR49" s="149"/>
      <c r="HS49" s="149"/>
      <c r="HT49" s="149"/>
      <c r="HU49" s="149"/>
      <c r="HV49" s="149"/>
      <c r="HW49" s="149"/>
      <c r="HX49" s="149"/>
      <c r="HY49" s="149"/>
      <c r="HZ49" s="149"/>
      <c r="IA49" s="350"/>
      <c r="IB49" s="350"/>
      <c r="IC49" s="350"/>
      <c r="ID49" s="350"/>
      <c r="IE49" s="350"/>
      <c r="IF49" s="350"/>
      <c r="IG49" s="350"/>
      <c r="IH49" s="350"/>
      <c r="II49" s="149"/>
      <c r="IJ49" s="149"/>
      <c r="IK49" s="149"/>
      <c r="IL49" s="149"/>
      <c r="IM49" s="149"/>
      <c r="IN49" s="149"/>
      <c r="IO49" s="149"/>
      <c r="IP49" s="149"/>
      <c r="IQ49" s="149"/>
      <c r="IR49" s="351"/>
      <c r="IS49" s="351"/>
      <c r="IT49" s="52"/>
      <c r="IU49" s="52"/>
      <c r="IV49" s="52"/>
      <c r="IW49" s="182"/>
      <c r="IX49" s="52"/>
      <c r="IY49" s="52"/>
      <c r="IZ49" s="52"/>
      <c r="JA49" s="52"/>
      <c r="JB49" s="52"/>
      <c r="JC49" s="52"/>
      <c r="JD49" s="52"/>
      <c r="JE49" s="52"/>
      <c r="JF49" s="318"/>
      <c r="JG49" s="207"/>
      <c r="JH49" s="207"/>
      <c r="JI49" s="207"/>
      <c r="JJ49" s="207"/>
      <c r="JK49" s="207"/>
      <c r="JL49" s="207"/>
      <c r="JM49" s="207"/>
      <c r="JN49" s="207"/>
      <c r="JO49" s="207"/>
      <c r="JP49" s="52"/>
      <c r="JQ49" s="52"/>
      <c r="JR49" s="52"/>
      <c r="JS49" s="52"/>
      <c r="JT49" s="52"/>
      <c r="JU49" s="52"/>
      <c r="JV49" s="52"/>
      <c r="JW49" s="52"/>
      <c r="JX49" s="52"/>
      <c r="JY49" s="52"/>
      <c r="JZ49" s="52"/>
      <c r="KA49" s="52"/>
      <c r="KB49" s="52"/>
      <c r="KC49" s="52"/>
      <c r="KD49" s="52"/>
      <c r="KE49" s="52"/>
    </row>
    <row r="50" spans="141:312" x14ac:dyDescent="0.35">
      <c r="EK50" s="320"/>
      <c r="FC50" s="14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21"/>
      <c r="GI50" s="155"/>
      <c r="GJ50" s="259"/>
      <c r="GK50" s="149"/>
      <c r="GL50" s="149"/>
      <c r="GM50" s="149"/>
      <c r="GN50" s="149"/>
      <c r="GO50" s="149"/>
      <c r="GP50" s="149"/>
      <c r="GQ50" s="149"/>
      <c r="GR50" s="149"/>
      <c r="GS50" s="149"/>
      <c r="GT50" s="183"/>
      <c r="HD50" s="2"/>
      <c r="IA50" s="325"/>
      <c r="IB50" s="325"/>
      <c r="IC50" s="325"/>
      <c r="ID50" s="325"/>
      <c r="IE50" s="325"/>
      <c r="IF50" s="325"/>
      <c r="IG50" s="325"/>
      <c r="IH50" s="325"/>
      <c r="IR50" s="52"/>
      <c r="IS50" s="52"/>
      <c r="IT50" s="1282" t="s">
        <v>139</v>
      </c>
      <c r="IU50" s="1282"/>
      <c r="IV50" s="1282"/>
      <c r="IW50" s="1282"/>
      <c r="IX50" s="52"/>
      <c r="IY50" s="52"/>
      <c r="IZ50" s="52"/>
      <c r="JA50" s="52"/>
      <c r="JB50" s="52"/>
      <c r="JC50" s="52"/>
      <c r="JD50" s="52"/>
      <c r="JE50" s="52"/>
      <c r="JF50" s="319"/>
      <c r="JG50" s="319"/>
      <c r="JH50" s="319"/>
      <c r="JI50" s="319"/>
      <c r="JJ50" s="319"/>
      <c r="JK50" s="319"/>
      <c r="JL50" s="319"/>
      <c r="JM50" s="319"/>
      <c r="JN50" s="319"/>
      <c r="JO50" s="319"/>
      <c r="JP50" s="52"/>
      <c r="JQ50" s="52"/>
      <c r="JR50" s="52"/>
      <c r="JS50" s="52"/>
      <c r="JT50" s="52"/>
      <c r="JU50" s="52"/>
      <c r="JV50" s="52"/>
      <c r="JW50" s="52"/>
      <c r="JX50" s="52"/>
      <c r="JY50" s="52"/>
      <c r="JZ50" s="52"/>
      <c r="KA50" s="52"/>
      <c r="KB50" s="52"/>
      <c r="KC50" s="52"/>
      <c r="KD50" s="52"/>
      <c r="KE50" s="52"/>
    </row>
    <row r="51" spans="141:312" ht="15" customHeight="1" x14ac:dyDescent="0.35">
      <c r="EK51" s="313"/>
      <c r="FD51" s="259"/>
      <c r="GJ51" s="352"/>
      <c r="GQ51" s="1313" t="s">
        <v>119</v>
      </c>
      <c r="GR51" s="1313"/>
      <c r="GS51" s="1313"/>
      <c r="GT51" s="1313"/>
      <c r="HD51" s="2"/>
      <c r="IE51" s="319"/>
      <c r="IF51" s="319"/>
      <c r="IG51" s="319"/>
      <c r="IR51" s="52"/>
      <c r="IS51" s="52"/>
      <c r="IX51" s="52"/>
      <c r="IY51" s="52"/>
      <c r="IZ51" s="52"/>
      <c r="JA51" s="52"/>
      <c r="JB51" s="52"/>
      <c r="JC51" s="52"/>
      <c r="JD51" s="52"/>
      <c r="JE51" s="52"/>
      <c r="JF51" s="52"/>
      <c r="JG51" s="52"/>
      <c r="JH51" s="52"/>
      <c r="JI51" s="52"/>
      <c r="JJ51" s="52"/>
      <c r="JK51" s="52"/>
      <c r="JL51" s="52"/>
      <c r="JM51" s="52"/>
      <c r="JN51" s="52"/>
      <c r="JO51" s="52"/>
      <c r="JP51" s="52"/>
      <c r="JQ51" s="52"/>
      <c r="JR51" s="52"/>
      <c r="JS51" s="52"/>
      <c r="JT51" s="52"/>
      <c r="JU51" s="52"/>
      <c r="JV51" s="52"/>
      <c r="JW51" s="52"/>
      <c r="JX51" s="52"/>
      <c r="JY51" s="52"/>
      <c r="JZ51" s="52"/>
      <c r="KA51" s="52"/>
      <c r="KB51" s="52"/>
      <c r="KC51" s="52"/>
      <c r="KD51" s="52"/>
      <c r="KE51" s="52"/>
    </row>
    <row r="52" spans="141:312" ht="15" customHeight="1" x14ac:dyDescent="0.35">
      <c r="EK52" s="313"/>
      <c r="FD52" s="259"/>
      <c r="GJ52" s="259"/>
      <c r="GQ52" s="260"/>
      <c r="GR52" s="260"/>
      <c r="GS52" s="260"/>
      <c r="GT52" s="260"/>
      <c r="HD52" s="154"/>
      <c r="IR52" s="52"/>
      <c r="IS52" s="52"/>
      <c r="IT52" s="260"/>
      <c r="IU52" s="260"/>
      <c r="IV52" s="260"/>
      <c r="IW52" s="260"/>
      <c r="IX52" s="52"/>
      <c r="IY52" s="52"/>
      <c r="IZ52" s="52"/>
      <c r="JA52" s="52"/>
      <c r="JB52" s="52"/>
      <c r="JC52" s="52"/>
      <c r="JD52" s="52"/>
      <c r="JE52" s="52"/>
      <c r="JF52" s="52"/>
      <c r="JG52" s="52"/>
      <c r="JH52" s="52"/>
      <c r="JI52" s="52"/>
      <c r="JJ52" s="52"/>
      <c r="JK52" s="52"/>
      <c r="JL52" s="52"/>
      <c r="JM52" s="52"/>
      <c r="JN52" s="52"/>
      <c r="JO52" s="52"/>
      <c r="JP52" s="52"/>
      <c r="JQ52" s="52"/>
      <c r="JR52" s="52"/>
      <c r="JS52" s="52"/>
      <c r="JT52" s="52"/>
      <c r="JU52" s="52"/>
      <c r="JV52" s="52"/>
      <c r="JW52" s="52"/>
      <c r="JX52" s="52"/>
      <c r="JY52" s="52"/>
      <c r="JZ52" s="52"/>
      <c r="KA52" s="52"/>
      <c r="KB52" s="52"/>
      <c r="KC52" s="52"/>
      <c r="KD52" s="52"/>
      <c r="KE52" s="52"/>
    </row>
    <row r="53" spans="141:312" ht="15" customHeight="1" x14ac:dyDescent="0.35">
      <c r="EK53" s="313"/>
      <c r="FD53" s="259"/>
      <c r="GJ53" s="259"/>
      <c r="GQ53" s="260"/>
      <c r="GR53" s="260"/>
      <c r="GS53" s="260"/>
      <c r="GT53" s="260"/>
      <c r="HD53" s="154"/>
      <c r="IR53" s="52"/>
      <c r="IS53" s="52"/>
      <c r="IX53" s="52"/>
      <c r="IY53" s="52"/>
      <c r="IZ53" s="52"/>
      <c r="JA53" s="52"/>
      <c r="JB53" s="52"/>
      <c r="JC53" s="52"/>
      <c r="JD53" s="52"/>
      <c r="JE53" s="52"/>
      <c r="JF53" s="52"/>
      <c r="JG53" s="52"/>
      <c r="JH53" s="52"/>
      <c r="JI53" s="52"/>
      <c r="JJ53" s="52"/>
      <c r="JK53" s="52"/>
      <c r="JL53" s="52"/>
      <c r="JM53" s="52"/>
      <c r="JN53" s="52"/>
      <c r="JO53" s="52"/>
      <c r="JP53" s="52"/>
      <c r="JQ53" s="52"/>
      <c r="JR53" s="52"/>
      <c r="JS53" s="52"/>
      <c r="JT53" s="52"/>
      <c r="JU53" s="52"/>
      <c r="JV53" s="52"/>
      <c r="JW53" s="52"/>
      <c r="JX53" s="52"/>
      <c r="JY53" s="52"/>
      <c r="JZ53" s="52"/>
      <c r="KA53" s="52"/>
      <c r="KB53" s="52"/>
      <c r="KC53" s="52"/>
      <c r="KD53" s="52"/>
      <c r="KE53" s="52"/>
    </row>
    <row r="54" spans="141:312" ht="15" customHeight="1" x14ac:dyDescent="0.35">
      <c r="EK54" s="313"/>
      <c r="FD54" s="259"/>
      <c r="GJ54" s="259"/>
      <c r="GQ54" s="260"/>
      <c r="GR54" s="260"/>
      <c r="GS54" s="260"/>
      <c r="GT54" s="260"/>
      <c r="HD54" s="154"/>
      <c r="IR54" s="52"/>
      <c r="IS54" s="52"/>
      <c r="IT54" s="260"/>
      <c r="IU54" s="260"/>
      <c r="IV54" s="260"/>
      <c r="IW54" s="260"/>
      <c r="IX54" s="52"/>
      <c r="IY54" s="52"/>
      <c r="IZ54" s="52"/>
      <c r="JA54" s="52"/>
      <c r="JB54" s="52"/>
      <c r="JC54" s="52"/>
      <c r="JD54" s="52"/>
      <c r="JE54" s="52"/>
      <c r="JF54" s="52"/>
      <c r="JG54" s="52"/>
      <c r="JH54" s="52"/>
      <c r="JI54" s="52"/>
      <c r="JJ54" s="52"/>
      <c r="JK54" s="52"/>
      <c r="JL54" s="52"/>
      <c r="JM54" s="52"/>
      <c r="JN54" s="52"/>
      <c r="JO54" s="52"/>
      <c r="JP54" s="52"/>
      <c r="JQ54" s="52"/>
      <c r="JR54" s="52"/>
      <c r="JS54" s="52"/>
      <c r="JT54" s="52"/>
      <c r="JU54" s="52"/>
      <c r="JV54" s="52"/>
      <c r="JW54" s="52"/>
      <c r="JX54" s="52"/>
      <c r="JY54" s="52"/>
      <c r="JZ54" s="52"/>
      <c r="KA54" s="52"/>
      <c r="KB54" s="52"/>
      <c r="KC54" s="52"/>
      <c r="KD54" s="52"/>
      <c r="KE54" s="52"/>
    </row>
    <row r="55" spans="141:312" ht="15" customHeight="1" x14ac:dyDescent="0.35">
      <c r="EK55" s="320"/>
      <c r="FD55" s="259"/>
      <c r="GJ55" s="259"/>
      <c r="HA55" s="174">
        <v>1</v>
      </c>
      <c r="HB55" s="1218" t="s">
        <v>140</v>
      </c>
      <c r="HC55" s="1218"/>
      <c r="HD55" s="1218"/>
      <c r="HE55" s="1218"/>
      <c r="HF55" s="1218"/>
      <c r="HG55" s="1218"/>
      <c r="HH55" s="1218"/>
      <c r="IR55" s="52"/>
      <c r="IS55" s="318"/>
      <c r="IT55" s="207"/>
      <c r="IU55" s="207"/>
      <c r="IV55" s="207"/>
      <c r="IW55" s="207"/>
      <c r="IX55" s="207"/>
      <c r="IY55" s="207"/>
      <c r="IZ55" s="207"/>
      <c r="JA55" s="207"/>
      <c r="JB55" s="207"/>
      <c r="JC55" s="207"/>
      <c r="JD55" s="207"/>
      <c r="JE55" s="52"/>
      <c r="JF55" s="318"/>
      <c r="JG55" s="207"/>
      <c r="JH55" s="207"/>
      <c r="JI55" s="207"/>
      <c r="JJ55" s="207"/>
      <c r="JK55" s="207"/>
      <c r="JL55" s="207"/>
      <c r="JM55" s="207"/>
      <c r="JN55" s="207"/>
      <c r="JO55" s="207"/>
      <c r="JP55" s="52"/>
      <c r="JQ55" s="52"/>
      <c r="JR55" s="318"/>
      <c r="JS55" s="318"/>
      <c r="JT55" s="207"/>
      <c r="JU55" s="207"/>
      <c r="JV55" s="207"/>
      <c r="JW55" s="207"/>
      <c r="JX55" s="207"/>
      <c r="JY55" s="207"/>
      <c r="JZ55" s="207"/>
      <c r="KA55" s="207"/>
      <c r="KB55" s="207"/>
      <c r="KC55" s="207"/>
      <c r="KD55" s="313"/>
      <c r="KE55" s="313"/>
      <c r="KF55" s="313"/>
      <c r="KG55" s="313"/>
      <c r="KH55" s="313"/>
      <c r="KI55" s="313"/>
      <c r="KJ55" s="313"/>
      <c r="KK55" s="313"/>
      <c r="KL55" s="313"/>
      <c r="KM55" s="313"/>
      <c r="KN55" s="313"/>
      <c r="KO55" s="313"/>
      <c r="KP55" s="313"/>
      <c r="KQ55" s="313"/>
      <c r="KR55" s="313"/>
      <c r="KS55" s="313"/>
      <c r="KT55" s="313"/>
      <c r="KU55" s="313"/>
      <c r="KV55" s="313"/>
      <c r="KW55" s="313"/>
      <c r="KX55" s="313"/>
      <c r="KY55" s="313"/>
      <c r="KZ55" s="313"/>
    </row>
    <row r="56" spans="141:312" ht="15" customHeight="1" x14ac:dyDescent="0.35">
      <c r="EK56" s="320"/>
      <c r="GJ56" s="259"/>
      <c r="HA56" s="1310" t="s">
        <v>610</v>
      </c>
      <c r="HB56" s="1310"/>
      <c r="HC56" s="1310"/>
      <c r="HD56" s="1310"/>
      <c r="HE56" s="1310"/>
      <c r="HF56" s="1310"/>
      <c r="HG56" s="1310"/>
      <c r="HH56" s="1310"/>
      <c r="IR56" s="52"/>
      <c r="IS56" s="319"/>
      <c r="IT56" s="319"/>
      <c r="IU56" s="319"/>
      <c r="IV56" s="319"/>
      <c r="IW56" s="319"/>
      <c r="IX56" s="319"/>
      <c r="IY56" s="319"/>
      <c r="IZ56" s="319"/>
      <c r="JA56" s="319"/>
      <c r="JB56" s="319"/>
      <c r="JC56" s="319"/>
      <c r="JD56" s="319"/>
      <c r="JE56" s="52"/>
      <c r="JF56" s="319"/>
      <c r="JG56" s="319"/>
      <c r="JH56" s="319"/>
      <c r="JI56" s="319"/>
      <c r="JJ56" s="319"/>
      <c r="JK56" s="319"/>
      <c r="JL56" s="319"/>
      <c r="JM56" s="319"/>
      <c r="JN56" s="319"/>
      <c r="JO56" s="319"/>
      <c r="JP56" s="52"/>
      <c r="JQ56" s="52"/>
      <c r="JR56" s="219"/>
      <c r="JS56" s="219"/>
      <c r="JT56" s="219"/>
      <c r="JU56" s="219"/>
      <c r="JV56" s="219"/>
      <c r="JW56" s="219"/>
      <c r="JX56" s="219"/>
      <c r="JY56" s="219"/>
      <c r="JZ56" s="219"/>
      <c r="KA56" s="219"/>
      <c r="KB56" s="219"/>
      <c r="KC56" s="219"/>
      <c r="KD56" s="313"/>
      <c r="KE56" s="313"/>
      <c r="KF56" s="320"/>
      <c r="KG56" s="320"/>
      <c r="KH56" s="320"/>
      <c r="KI56" s="320"/>
      <c r="KJ56" s="320"/>
      <c r="KK56" s="320"/>
      <c r="KL56" s="320"/>
      <c r="KM56" s="320"/>
      <c r="KN56" s="320"/>
      <c r="KO56" s="320"/>
      <c r="KP56" s="320"/>
      <c r="KQ56" s="320"/>
      <c r="KR56" s="320"/>
      <c r="KS56" s="320"/>
      <c r="KT56" s="320"/>
      <c r="KU56" s="320"/>
      <c r="KV56" s="320"/>
      <c r="KW56" s="320"/>
      <c r="KX56" s="320"/>
      <c r="KY56" s="320"/>
      <c r="KZ56" s="320"/>
    </row>
    <row r="57" spans="141:312" ht="15" customHeight="1" x14ac:dyDescent="0.35">
      <c r="EK57" s="313"/>
      <c r="GJ57" s="259"/>
      <c r="HD57" s="2"/>
      <c r="IR57" s="52"/>
      <c r="IS57" s="318"/>
      <c r="IT57" s="207"/>
      <c r="IU57" s="207"/>
      <c r="IV57" s="207"/>
      <c r="IW57" s="207"/>
      <c r="IX57" s="207"/>
      <c r="IY57" s="207"/>
      <c r="IZ57" s="207"/>
      <c r="JA57" s="207"/>
      <c r="JB57" s="207"/>
      <c r="JC57" s="207"/>
      <c r="JD57" s="207"/>
      <c r="JE57" s="52"/>
      <c r="JF57" s="318"/>
      <c r="JG57" s="207"/>
      <c r="JH57" s="207"/>
      <c r="JI57" s="207"/>
      <c r="JJ57" s="207"/>
      <c r="JK57" s="207"/>
      <c r="JL57" s="207"/>
      <c r="JM57" s="207"/>
      <c r="JN57" s="207"/>
      <c r="JO57" s="207"/>
      <c r="JP57" s="52"/>
      <c r="JQ57" s="52"/>
      <c r="JR57" s="318"/>
      <c r="JS57" s="318"/>
      <c r="JT57" s="207"/>
      <c r="JU57" s="207"/>
      <c r="JV57" s="207"/>
      <c r="JW57" s="207"/>
      <c r="JX57" s="207"/>
      <c r="JY57" s="207"/>
      <c r="JZ57" s="207"/>
      <c r="KA57" s="207"/>
      <c r="KB57" s="207"/>
      <c r="KC57" s="207"/>
      <c r="KD57" s="52"/>
      <c r="KE57" s="52"/>
    </row>
    <row r="58" spans="141:312" ht="15" customHeight="1" x14ac:dyDescent="0.35">
      <c r="EK58" s="320"/>
      <c r="HA58" s="174">
        <v>1</v>
      </c>
      <c r="HB58" s="1218" t="s">
        <v>142</v>
      </c>
      <c r="HC58" s="1218"/>
      <c r="HD58" s="1218"/>
      <c r="HE58" s="1218"/>
      <c r="HF58" s="1218"/>
      <c r="HG58" s="1218"/>
      <c r="HH58" s="1218"/>
      <c r="IR58" s="52"/>
      <c r="IS58" s="319"/>
      <c r="IT58" s="319"/>
      <c r="IU58" s="319"/>
      <c r="IV58" s="319"/>
      <c r="IW58" s="319"/>
      <c r="IX58" s="319"/>
      <c r="IY58" s="319"/>
      <c r="IZ58" s="319"/>
      <c r="JA58" s="319"/>
      <c r="JB58" s="319"/>
      <c r="JC58" s="319"/>
      <c r="JD58" s="319"/>
      <c r="JE58" s="52"/>
      <c r="JF58" s="319"/>
      <c r="JG58" s="319"/>
      <c r="JH58" s="319"/>
      <c r="JI58" s="319"/>
      <c r="JJ58" s="319"/>
      <c r="JK58" s="319"/>
      <c r="JL58" s="319"/>
      <c r="JM58" s="319"/>
      <c r="JN58" s="319"/>
      <c r="JO58" s="319"/>
      <c r="JP58" s="52"/>
      <c r="JQ58" s="52"/>
      <c r="JR58" s="219"/>
      <c r="JS58" s="219"/>
      <c r="JT58" s="219"/>
      <c r="JU58" s="219"/>
      <c r="JV58" s="219"/>
      <c r="JW58" s="219"/>
      <c r="JX58" s="219"/>
      <c r="JY58" s="219"/>
      <c r="JZ58" s="219"/>
      <c r="KA58" s="219"/>
      <c r="KB58" s="219"/>
      <c r="KC58" s="219"/>
      <c r="KD58" s="52"/>
      <c r="KE58" s="52"/>
    </row>
    <row r="59" spans="141:312" ht="15" customHeight="1" x14ac:dyDescent="0.35">
      <c r="EK59" s="313"/>
      <c r="HA59" s="1268" t="s">
        <v>846</v>
      </c>
      <c r="HB59" s="1268"/>
      <c r="HC59" s="1268"/>
      <c r="HD59" s="1268"/>
      <c r="HE59" s="1268"/>
      <c r="HF59" s="1268"/>
      <c r="HG59" s="1268"/>
      <c r="HH59" s="1268"/>
      <c r="IR59" s="52"/>
      <c r="IS59" s="52"/>
      <c r="IT59" s="52"/>
      <c r="IU59" s="52"/>
      <c r="IV59" s="52"/>
      <c r="IW59" s="52"/>
      <c r="IX59" s="52"/>
      <c r="IY59" s="52"/>
      <c r="IZ59" s="52"/>
      <c r="JA59" s="52"/>
      <c r="JB59" s="52"/>
      <c r="JC59" s="52"/>
      <c r="JD59" s="52"/>
      <c r="JE59" s="52"/>
      <c r="JF59" s="318"/>
      <c r="JG59" s="207"/>
      <c r="JH59" s="207"/>
      <c r="JI59" s="207"/>
      <c r="JJ59" s="207"/>
      <c r="JK59" s="207"/>
      <c r="JL59" s="207"/>
      <c r="JM59" s="207"/>
      <c r="JN59" s="207"/>
      <c r="JO59" s="207"/>
      <c r="JP59" s="52"/>
      <c r="JQ59" s="52"/>
      <c r="JR59" s="52"/>
      <c r="JS59" s="52"/>
      <c r="JT59" s="52"/>
      <c r="JU59" s="52"/>
      <c r="JV59" s="52"/>
      <c r="JW59" s="52"/>
      <c r="JX59" s="52"/>
      <c r="JY59" s="52"/>
      <c r="JZ59" s="52"/>
      <c r="KA59" s="52"/>
      <c r="KB59" s="52"/>
      <c r="KC59" s="52"/>
      <c r="KD59" s="52"/>
      <c r="KE59" s="52"/>
    </row>
    <row r="60" spans="141:312" ht="15" customHeight="1" x14ac:dyDescent="0.35">
      <c r="EK60" s="320"/>
      <c r="HD60" s="2"/>
      <c r="IR60" s="52"/>
      <c r="IS60" s="52"/>
      <c r="IT60" s="52"/>
      <c r="IU60" s="52"/>
      <c r="IV60" s="52"/>
      <c r="IW60" s="52"/>
      <c r="IX60" s="52"/>
      <c r="IY60" s="52"/>
      <c r="IZ60" s="52"/>
      <c r="JA60" s="52"/>
      <c r="JB60" s="52"/>
      <c r="JC60" s="52"/>
      <c r="JD60" s="52"/>
      <c r="JE60" s="52"/>
      <c r="JF60" s="219"/>
      <c r="JG60" s="219"/>
      <c r="JH60" s="219"/>
      <c r="JI60" s="219"/>
      <c r="JJ60" s="219"/>
      <c r="JK60" s="219"/>
      <c r="JL60" s="219"/>
      <c r="JM60" s="219"/>
      <c r="JN60" s="219"/>
      <c r="JO60" s="219"/>
      <c r="JP60" s="52"/>
      <c r="JQ60" s="52"/>
      <c r="JR60" s="52"/>
      <c r="JS60" s="52"/>
      <c r="JT60" s="52"/>
      <c r="JU60" s="52"/>
      <c r="JV60" s="52"/>
      <c r="JW60" s="52"/>
      <c r="JX60" s="52"/>
      <c r="JY60" s="52"/>
      <c r="JZ60" s="52"/>
      <c r="KA60" s="52"/>
      <c r="KB60" s="52"/>
      <c r="KC60" s="52"/>
      <c r="KD60" s="52"/>
      <c r="KE60" s="52"/>
    </row>
    <row r="61" spans="141:312" ht="15" customHeight="1" x14ac:dyDescent="0.35">
      <c r="HD61" s="2"/>
      <c r="IR61" s="52"/>
      <c r="IS61" s="52"/>
      <c r="IT61" s="52"/>
      <c r="IU61" s="52"/>
      <c r="IV61" s="52"/>
      <c r="IW61" s="52"/>
      <c r="IX61" s="52"/>
      <c r="IY61" s="52"/>
      <c r="IZ61" s="52"/>
      <c r="JA61" s="52"/>
      <c r="JB61" s="52"/>
      <c r="JC61" s="52"/>
      <c r="JD61" s="52"/>
      <c r="JE61" s="52"/>
      <c r="JF61" s="318"/>
      <c r="JG61" s="207"/>
      <c r="JH61" s="207"/>
      <c r="JI61" s="207"/>
      <c r="JJ61" s="207"/>
      <c r="JK61" s="207"/>
      <c r="JL61" s="207"/>
      <c r="JM61" s="207"/>
      <c r="JN61" s="207"/>
      <c r="JO61" s="207"/>
      <c r="JP61" s="52"/>
      <c r="JQ61" s="52"/>
      <c r="JR61" s="52"/>
      <c r="JS61" s="52"/>
      <c r="JT61" s="52"/>
      <c r="JU61" s="52"/>
      <c r="JV61" s="52"/>
      <c r="JW61" s="52"/>
      <c r="JX61" s="52"/>
      <c r="JY61" s="52"/>
      <c r="JZ61" s="52"/>
      <c r="KA61" s="52"/>
      <c r="KB61" s="52"/>
      <c r="KC61" s="52"/>
      <c r="KD61" s="52"/>
      <c r="KE61" s="52"/>
    </row>
    <row r="62" spans="141:312" ht="15" customHeight="1" x14ac:dyDescent="0.35">
      <c r="HD62" s="2"/>
      <c r="IE62" s="319"/>
      <c r="IF62" s="319"/>
      <c r="IG62" s="319"/>
      <c r="IR62" s="52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319"/>
      <c r="JG62" s="319"/>
      <c r="JH62" s="319"/>
      <c r="JI62" s="319"/>
      <c r="JJ62" s="319"/>
      <c r="JK62" s="319"/>
      <c r="JL62" s="319"/>
      <c r="JM62" s="319"/>
      <c r="JN62" s="319"/>
      <c r="JO62" s="319"/>
      <c r="JP62" s="52"/>
      <c r="JQ62" s="52"/>
      <c r="JR62" s="52"/>
      <c r="JS62" s="52"/>
      <c r="JT62" s="52"/>
      <c r="JU62" s="52"/>
      <c r="JV62" s="52"/>
      <c r="JW62" s="52"/>
      <c r="JX62" s="52"/>
      <c r="JY62" s="52"/>
      <c r="JZ62" s="52"/>
      <c r="KA62" s="52"/>
      <c r="KB62" s="52"/>
      <c r="KC62" s="52"/>
      <c r="KD62" s="52"/>
      <c r="KE62" s="52"/>
    </row>
    <row r="63" spans="141:312" ht="15" customHeight="1" x14ac:dyDescent="0.35">
      <c r="HA63" s="1365" t="s">
        <v>496</v>
      </c>
      <c r="HB63" s="1365"/>
      <c r="HC63" s="1365"/>
      <c r="HD63" s="1365"/>
      <c r="HE63" s="1365"/>
      <c r="HF63" s="1365"/>
      <c r="HG63" s="1365"/>
      <c r="HH63" s="1365"/>
      <c r="IE63" s="319"/>
      <c r="IF63" s="319"/>
      <c r="IG63" s="319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318"/>
      <c r="JG63" s="207"/>
      <c r="JH63" s="207"/>
      <c r="JI63" s="207"/>
      <c r="JJ63" s="207"/>
      <c r="JK63" s="207"/>
      <c r="JL63" s="207"/>
      <c r="JM63" s="207"/>
      <c r="JN63" s="207"/>
      <c r="JO63" s="207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</row>
    <row r="64" spans="141:312" ht="15" customHeight="1" x14ac:dyDescent="0.35">
      <c r="HA64" s="1365"/>
      <c r="HB64" s="1365"/>
      <c r="HC64" s="1365"/>
      <c r="HD64" s="1365"/>
      <c r="HE64" s="1365"/>
      <c r="HF64" s="1365"/>
      <c r="HG64" s="1365"/>
      <c r="HH64" s="1365"/>
      <c r="IE64" s="319"/>
      <c r="IF64" s="319"/>
      <c r="IG64" s="319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319"/>
      <c r="JG64" s="319"/>
      <c r="JH64" s="319"/>
      <c r="JI64" s="319"/>
      <c r="JJ64" s="319"/>
      <c r="JK64" s="319"/>
      <c r="JL64" s="319"/>
      <c r="JM64" s="319"/>
      <c r="JN64" s="319"/>
      <c r="JO64" s="319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</row>
    <row r="65" spans="63:330" ht="15" customHeight="1" x14ac:dyDescent="0.35">
      <c r="HD65" s="2"/>
      <c r="IE65" s="319"/>
      <c r="IF65" s="319"/>
      <c r="IG65" s="319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313"/>
      <c r="JG65" s="313"/>
      <c r="JH65" s="313"/>
      <c r="JI65" s="313"/>
      <c r="JJ65" s="313"/>
      <c r="JK65" s="313"/>
      <c r="JL65" s="313"/>
      <c r="JM65" s="313"/>
      <c r="JN65" s="313"/>
      <c r="JO65" s="313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</row>
    <row r="66" spans="63:330" ht="15" customHeight="1" x14ac:dyDescent="0.35">
      <c r="HD66" s="2"/>
      <c r="JF66" s="313"/>
      <c r="JG66" s="313"/>
      <c r="JH66" s="313"/>
      <c r="JI66" s="313"/>
      <c r="JJ66" s="313"/>
      <c r="JK66" s="313"/>
      <c r="JL66" s="313"/>
      <c r="JM66" s="313"/>
      <c r="JN66" s="313"/>
      <c r="JO66" s="313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</row>
    <row r="67" spans="63:330" ht="15" customHeight="1" x14ac:dyDescent="0.35">
      <c r="HD67" s="2"/>
      <c r="JF67" s="313"/>
      <c r="JG67" s="313"/>
      <c r="JH67" s="313"/>
      <c r="JI67" s="313"/>
      <c r="JJ67" s="313"/>
      <c r="JK67" s="313"/>
      <c r="JL67" s="313"/>
      <c r="JM67" s="313"/>
      <c r="JN67" s="313"/>
      <c r="JO67" s="313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</row>
    <row r="68" spans="63:330" ht="15" customHeight="1" x14ac:dyDescent="0.35"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HD68" s="2"/>
      <c r="JF68" s="313"/>
      <c r="JG68" s="313"/>
      <c r="JH68" s="313"/>
      <c r="JI68" s="313"/>
      <c r="JJ68" s="313"/>
      <c r="JK68" s="313"/>
      <c r="JL68" s="313"/>
      <c r="JM68" s="313"/>
      <c r="JN68" s="313"/>
      <c r="JO68" s="313"/>
      <c r="JP68" s="52"/>
      <c r="JQ68" s="52"/>
      <c r="KO68" s="319"/>
      <c r="KP68" s="319"/>
      <c r="KQ68" s="319"/>
      <c r="LB68" s="52"/>
      <c r="LC68" s="52"/>
      <c r="LD68" s="52"/>
      <c r="LE68" s="52"/>
      <c r="LF68" s="52"/>
      <c r="LG68" s="52"/>
      <c r="LH68" s="52"/>
      <c r="LM68" s="52"/>
      <c r="LN68" s="52"/>
      <c r="LO68" s="52"/>
    </row>
    <row r="69" spans="63:330" ht="15" customHeight="1" x14ac:dyDescent="0.35">
      <c r="DC69" s="68"/>
      <c r="FQ69" s="357"/>
      <c r="GZ69" s="71"/>
      <c r="HA69" s="4"/>
      <c r="HB69" s="4"/>
      <c r="HC69" s="4"/>
      <c r="HD69" s="12"/>
      <c r="HE69" s="5"/>
      <c r="HF69" s="4"/>
      <c r="HG69" s="224"/>
      <c r="HH69" s="224"/>
      <c r="HI69" s="224"/>
      <c r="HJ69" s="224"/>
      <c r="HK69" s="224"/>
      <c r="HL69" s="224"/>
      <c r="HM69" s="224"/>
      <c r="HN69" s="224"/>
      <c r="HO69" s="224"/>
      <c r="HP69" s="224"/>
      <c r="HQ69" s="224"/>
      <c r="HR69" s="224"/>
      <c r="HS69" s="224"/>
      <c r="HT69" s="224"/>
      <c r="HU69" s="224"/>
      <c r="HV69" s="224"/>
      <c r="HW69" s="224"/>
      <c r="HX69" s="224"/>
      <c r="HY69" s="224"/>
      <c r="HZ69" s="224"/>
      <c r="IA69" s="224"/>
      <c r="IB69" s="224"/>
      <c r="IC69" s="224"/>
      <c r="ID69" s="224"/>
      <c r="IE69" s="224"/>
      <c r="IF69" s="224"/>
      <c r="IG69" s="227"/>
      <c r="IH69" s="71"/>
      <c r="II69" s="224"/>
      <c r="IJ69" s="224"/>
      <c r="IK69" s="224"/>
      <c r="IL69" s="224"/>
      <c r="IM69" s="224"/>
      <c r="IN69" s="224"/>
      <c r="IO69" s="224"/>
      <c r="IP69" s="224"/>
      <c r="IQ69" s="224"/>
      <c r="IR69" s="224"/>
      <c r="IS69" s="224"/>
      <c r="IT69" s="224"/>
      <c r="IU69" s="224"/>
      <c r="IV69" s="224"/>
      <c r="IW69" s="224"/>
      <c r="IX69" s="224"/>
      <c r="IY69" s="224"/>
      <c r="IZ69" s="224"/>
      <c r="JA69" s="224"/>
      <c r="JB69" s="224"/>
      <c r="JC69" s="224"/>
      <c r="JD69" s="224"/>
      <c r="JE69" s="224"/>
      <c r="JF69" s="224"/>
      <c r="JG69" s="224"/>
      <c r="JH69" s="224"/>
      <c r="JI69" s="224"/>
      <c r="JJ69" s="224"/>
      <c r="JK69" s="224"/>
      <c r="JL69" s="224"/>
      <c r="JM69" s="224"/>
      <c r="JN69" s="224"/>
      <c r="JO69" s="224"/>
      <c r="JP69" s="224"/>
      <c r="JQ69" s="224"/>
      <c r="JR69" s="224"/>
      <c r="JS69" s="224"/>
      <c r="JT69" s="224"/>
      <c r="JU69" s="224"/>
      <c r="JV69" s="224"/>
      <c r="JW69" s="224"/>
      <c r="JX69" s="224"/>
      <c r="JY69" s="224"/>
      <c r="JZ69" s="224"/>
      <c r="KA69" s="224"/>
      <c r="KB69" s="224"/>
      <c r="KC69" s="238"/>
      <c r="KO69" s="319"/>
      <c r="KP69" s="319"/>
      <c r="KQ69" s="319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</row>
    <row r="70" spans="63:330" ht="15" customHeight="1" x14ac:dyDescent="0.35">
      <c r="BK70" s="5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205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353">
        <f>SUM(CY71,DJ75,DO81,DT85,DT87,DT89,DT91,DT93,DT95,DT97,DK85,DK87,DK89,DK91,DK93,DA85,DA87,CR85,CR87,CR89,CR91,CR93,CR95,CR97,HW162,CR99,CR101,CI85,CI87,CI89,HW160,CI91,CI93,CI111,CI95,CI97,CR80,CG75,BR80,BW85,BW87,BW89,BW91,BW95,BW97,BW99,BW101,BM85,BM87,BM89,BM91,BM95,BM97,BM99,BM101+DT75)</f>
        <v>55</v>
      </c>
      <c r="ED70" s="5"/>
      <c r="EE70" s="4"/>
      <c r="EF70" s="5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224"/>
      <c r="FI70" s="224"/>
      <c r="FJ70" s="224"/>
      <c r="FK70" s="224"/>
      <c r="FL70" s="224"/>
      <c r="FM70" s="224"/>
      <c r="FN70" s="224"/>
      <c r="FO70" s="224"/>
      <c r="FP70" s="238"/>
      <c r="FQ70" s="224"/>
      <c r="FR70" s="224"/>
      <c r="FS70" s="224"/>
      <c r="FT70" s="224"/>
      <c r="FU70" s="224"/>
      <c r="FV70" s="224"/>
      <c r="FW70" s="224"/>
      <c r="FX70" s="224"/>
      <c r="FY70" s="224"/>
      <c r="FZ70" s="224"/>
      <c r="GA70" s="224"/>
      <c r="GB70" s="224"/>
      <c r="GC70" s="224"/>
      <c r="GD70" s="22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HA70" s="4"/>
      <c r="HB70" s="341">
        <f>SUM(FM71,FI76,FI78,FI80,FR76,FR78,GA76,EZ76,FI84,FI86,FR84,GA84,EZ84,EH91,EH93,EH95,EH97,EQ91,EQ93,EQ95,EQ97,EQ99,EQ101,EZ91,EZ93,EZ95,EZ97,EZ99,EZ101,EZ103,EZ105,EZ107,EZ109,EZ111,EZ113,EZ115,EZ117,EZ119,EZ121,EZ123,EZ125,EZ127,EZ129,EZ131,EZ133,EZ135,EZ137,EZ139,EZ141,EZ143,FI129,FI127,FI125,FI123,FI121,FI119,FI117,FI115,FI113,FI111,FI109,FI107,FI105,FI103,FI101,FI99,FI97,FI95,FI93,FI91,FR91,FR93,FR95,FR97,FR99,FR101,GA99,GA97,GA95,GA93,GA91,GJ91,GJ93,GJ95,GJ97,GJ99,GJ101,GS99,GS97,GS95,GS93,GS91)</f>
        <v>89.4</v>
      </c>
      <c r="HD70" s="2"/>
      <c r="HE70" s="13"/>
      <c r="HG70" s="5"/>
      <c r="HH70" s="224"/>
      <c r="HI70" s="224"/>
      <c r="HJ70" s="224"/>
      <c r="HK70" s="224"/>
      <c r="HL70" s="224"/>
      <c r="HM70" s="224"/>
      <c r="HN70" s="224"/>
      <c r="HO70" s="224"/>
      <c r="HP70" s="224"/>
      <c r="HQ70" s="224"/>
      <c r="HR70" s="224"/>
      <c r="HS70" s="224"/>
      <c r="HT70" s="224"/>
      <c r="HU70" s="224"/>
      <c r="HV70" s="224"/>
      <c r="HW70" s="224"/>
      <c r="HX70" s="224"/>
      <c r="HY70" s="224"/>
      <c r="HZ70" s="224"/>
      <c r="IA70" s="224"/>
      <c r="IB70" s="224"/>
      <c r="IC70" s="224"/>
      <c r="ID70" s="224"/>
      <c r="IE70" s="224"/>
      <c r="IF70" s="224"/>
      <c r="IG70" s="354"/>
      <c r="IH70" s="71"/>
      <c r="II70" s="224"/>
      <c r="IJ70" s="224"/>
      <c r="IK70" s="224"/>
      <c r="IL70" s="224"/>
      <c r="IM70" s="224"/>
      <c r="IN70" s="224"/>
      <c r="IO70" s="224"/>
      <c r="IP70" s="224"/>
      <c r="IQ70" s="224"/>
      <c r="IR70" s="224"/>
      <c r="IS70" s="224"/>
      <c r="IT70" s="224"/>
      <c r="IU70" s="224"/>
      <c r="IV70" s="224"/>
      <c r="IW70" s="224"/>
      <c r="IX70" s="224"/>
      <c r="IY70" s="224"/>
      <c r="IZ70" s="224"/>
      <c r="JA70" s="224"/>
      <c r="JB70" s="224"/>
      <c r="JC70" s="224"/>
      <c r="JD70" s="224"/>
      <c r="JE70" s="224"/>
      <c r="JF70" s="341">
        <f>SUM(IC71,IC75,IM78,IC82,HN82,IR82,HI85,HS85,IC85,IM85,IW85,IW87,IM87,IC87,HS87,HI87,HI89,HS91,IC89,FR162,FR166,IW91,FR160,IC91,HS93,HI91,HI93,HS95,IC93,IM89,IW93,IW95,IM91,IC95,HS97,HI95,HI97,HS99,IC97,IM93,IW97,IW99,IM95,IC99,HS101,HI99,HI101,HS103,IC101,IM97,IW101,IW103,IW105,IW107,IW109,IW111,IW113,IM107,IM109,IM105,IM103,IM101,FR164,IM99,IC103,IC105,FR168,IC107,IC109,IC111,IC113,IW89,HS115,HR111,HS113,HS111,HS109,HS107,HS105,HI103,HI105,HI107,HI109,HI111,HI113,HI115,HS89)</f>
        <v>85.2</v>
      </c>
      <c r="JJ70" s="226"/>
      <c r="JK70" s="224"/>
      <c r="JL70" s="224"/>
      <c r="JM70" s="224"/>
      <c r="JN70" s="224"/>
      <c r="JO70" s="224"/>
      <c r="JP70" s="224"/>
      <c r="JQ70" s="224"/>
      <c r="JR70" s="224"/>
      <c r="JS70" s="224"/>
      <c r="JT70" s="224"/>
      <c r="JU70" s="224"/>
      <c r="JV70" s="224"/>
      <c r="JW70" s="224"/>
      <c r="JX70" s="224"/>
      <c r="JY70" s="224"/>
      <c r="JZ70" s="224"/>
      <c r="KA70" s="224"/>
      <c r="KB70" s="224"/>
      <c r="KC70" s="238"/>
      <c r="KD70" s="224"/>
      <c r="KE70" s="224"/>
      <c r="KF70" s="224"/>
      <c r="KG70" s="224"/>
      <c r="KH70" s="224"/>
      <c r="KI70" s="224"/>
      <c r="KJ70" s="224"/>
      <c r="KK70" s="224"/>
      <c r="KL70" s="224"/>
      <c r="KM70" s="224"/>
      <c r="KN70" s="224"/>
      <c r="KO70" s="224"/>
      <c r="KP70" s="224"/>
      <c r="KQ70" s="224"/>
      <c r="KR70" s="224"/>
      <c r="KS70" s="224"/>
      <c r="KT70" s="224"/>
      <c r="KU70" s="224"/>
      <c r="KV70" s="224"/>
      <c r="KW70" s="341">
        <f>SUM(JZ71+KJ75+JP75+JK78+JU78+KE78+KO80+KE80,JU80,JK80,JK82,JU82,KE82,KO82,KO84,KO86,KO88,KO90,KO92,KO94,KO96,KO98,KO100,KO102,KO104,KE84,KE86,KE88,KE90,KE92,KE94,KE96,KE98,KE100,KE102,JU84,JU86,JU88,JU90,JU92,JU94,JU96,JU98,JU100,JU102,JK84,JK86,JK88,JK90,JK92,JK94,JK96,JK98,JK100)</f>
        <v>54</v>
      </c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</row>
    <row r="71" spans="63:330" ht="15" customHeight="1" x14ac:dyDescent="0.35">
      <c r="BK71" s="13"/>
      <c r="CY71" s="173">
        <v>1</v>
      </c>
      <c r="CZ71" s="1218" t="s">
        <v>4728</v>
      </c>
      <c r="DA71" s="1218"/>
      <c r="DB71" s="1218"/>
      <c r="DC71" s="1218"/>
      <c r="DD71" s="1218"/>
      <c r="DE71" s="1218"/>
      <c r="DF71" s="1218"/>
      <c r="DG71" s="225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ED71" s="150"/>
      <c r="EF71" s="150"/>
      <c r="FM71" s="355">
        <v>0.5</v>
      </c>
      <c r="FN71" s="1286" t="s">
        <v>146</v>
      </c>
      <c r="FO71" s="1286"/>
      <c r="FP71" s="1286"/>
      <c r="FQ71" s="1286"/>
      <c r="FR71" s="1286"/>
      <c r="FS71" s="1286"/>
      <c r="FT71" s="1286"/>
      <c r="HB71" s="154"/>
      <c r="HD71" s="2"/>
      <c r="HE71" s="13"/>
      <c r="HG71" s="13"/>
      <c r="IC71" s="173">
        <v>0.2</v>
      </c>
      <c r="ID71" s="1218" t="s">
        <v>147</v>
      </c>
      <c r="IE71" s="1218"/>
      <c r="IF71" s="1218"/>
      <c r="IG71" s="1218"/>
      <c r="IH71" s="1277"/>
      <c r="II71" s="1218"/>
      <c r="IJ71" s="1218"/>
      <c r="JF71" s="154"/>
      <c r="JJ71" s="150"/>
      <c r="JZ71" s="173">
        <v>1</v>
      </c>
      <c r="KA71" s="1218" t="s">
        <v>154</v>
      </c>
      <c r="KB71" s="1218"/>
      <c r="KC71" s="1218"/>
      <c r="KD71" s="1218"/>
      <c r="KE71" s="1218"/>
      <c r="KF71" s="1218"/>
      <c r="KG71" s="1218"/>
      <c r="KW71" s="154"/>
    </row>
    <row r="72" spans="63:330" ht="15" customHeight="1" x14ac:dyDescent="0.35">
      <c r="BK72" s="13"/>
      <c r="CY72" s="1281" t="s">
        <v>619</v>
      </c>
      <c r="CZ72" s="1281"/>
      <c r="DA72" s="1281"/>
      <c r="DB72" s="1281"/>
      <c r="DC72" s="1281"/>
      <c r="DD72" s="1281"/>
      <c r="DE72" s="1281"/>
      <c r="DF72" s="1281"/>
      <c r="DX72" s="13"/>
      <c r="ED72" s="150"/>
      <c r="EF72" s="150"/>
      <c r="FE72" s="226"/>
      <c r="FF72" s="224"/>
      <c r="FG72" s="224"/>
      <c r="FH72" s="224"/>
      <c r="FI72" s="224"/>
      <c r="FJ72" s="224"/>
      <c r="FK72" s="224"/>
      <c r="FL72" s="224"/>
      <c r="FM72" s="1303" t="s">
        <v>720</v>
      </c>
      <c r="FN72" s="1303"/>
      <c r="FO72" s="1303"/>
      <c r="FP72" s="1303"/>
      <c r="FQ72" s="1303"/>
      <c r="FR72" s="1303"/>
      <c r="FS72" s="1303"/>
      <c r="FT72" s="1303"/>
      <c r="FU72" s="224"/>
      <c r="FV72" s="224"/>
      <c r="FW72" s="224"/>
      <c r="FX72" s="224"/>
      <c r="FY72" s="224"/>
      <c r="FZ72" s="224"/>
      <c r="GA72" s="224"/>
      <c r="GB72" s="224"/>
      <c r="GC72" s="224"/>
      <c r="GD72" s="238"/>
      <c r="HB72" s="154"/>
      <c r="HD72" s="2"/>
      <c r="HE72" s="13"/>
      <c r="HG72" s="13"/>
      <c r="IC72" s="1281" t="s">
        <v>150</v>
      </c>
      <c r="ID72" s="1281"/>
      <c r="IE72" s="1281"/>
      <c r="IF72" s="1281"/>
      <c r="IG72" s="1281"/>
      <c r="IH72" s="1281"/>
      <c r="II72" s="1281"/>
      <c r="IJ72" s="1281"/>
      <c r="JF72" s="154"/>
      <c r="JJ72" s="150"/>
      <c r="JT72" s="226"/>
      <c r="JU72" s="224"/>
      <c r="JV72" s="224"/>
      <c r="JW72" s="224"/>
      <c r="JX72" s="224"/>
      <c r="JY72" s="224"/>
      <c r="JZ72" s="1281" t="s">
        <v>663</v>
      </c>
      <c r="KA72" s="1281"/>
      <c r="KB72" s="1281"/>
      <c r="KC72" s="1281"/>
      <c r="KD72" s="1281"/>
      <c r="KE72" s="1281"/>
      <c r="KF72" s="1281"/>
      <c r="KG72" s="1281"/>
      <c r="KH72" s="224"/>
      <c r="KI72" s="224"/>
      <c r="KJ72" s="224"/>
      <c r="KK72" s="224"/>
      <c r="KL72" s="224"/>
      <c r="KM72" s="238"/>
      <c r="KW72" s="154"/>
      <c r="LP72" s="207"/>
      <c r="LQ72" s="207"/>
      <c r="LR72" s="207"/>
    </row>
    <row r="73" spans="63:330" ht="15" customHeight="1" x14ac:dyDescent="0.35">
      <c r="BK73" s="13"/>
      <c r="DC73" s="14"/>
      <c r="DX73" s="13"/>
      <c r="ED73" s="150"/>
      <c r="EF73" s="150"/>
      <c r="FE73" s="150"/>
      <c r="FP73" s="154"/>
      <c r="GD73" s="154"/>
      <c r="HB73" s="154"/>
      <c r="HD73" s="2"/>
      <c r="HE73" s="13"/>
      <c r="HG73" s="13"/>
      <c r="JF73" s="154"/>
      <c r="JJ73" s="150"/>
      <c r="JT73" s="150"/>
      <c r="KB73" s="207"/>
      <c r="KD73" s="318"/>
      <c r="KM73" s="229"/>
      <c r="KN73" s="207"/>
      <c r="KO73" s="207"/>
      <c r="KR73" s="318"/>
      <c r="KS73" s="207"/>
      <c r="KT73" s="207"/>
      <c r="KU73" s="207"/>
      <c r="KV73" s="207"/>
      <c r="KW73" s="356"/>
      <c r="LE73" s="323"/>
      <c r="LF73" s="323"/>
      <c r="LG73" s="323"/>
      <c r="LH73" s="323"/>
      <c r="LP73" s="219"/>
      <c r="LQ73" s="219"/>
      <c r="LR73" s="219"/>
    </row>
    <row r="74" spans="63:330" x14ac:dyDescent="0.35">
      <c r="BK74" s="13"/>
      <c r="CK74" s="5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14"/>
      <c r="DX74" s="357"/>
      <c r="ED74" s="150"/>
      <c r="EF74" s="150"/>
      <c r="FE74" s="150"/>
      <c r="FM74" s="226"/>
      <c r="FN74" s="224"/>
      <c r="FO74" s="224"/>
      <c r="FP74" s="224"/>
      <c r="FQ74" s="224"/>
      <c r="FR74" s="224"/>
      <c r="FS74" s="224"/>
      <c r="FT74" s="224"/>
      <c r="FU74" s="238"/>
      <c r="GD74" s="154"/>
      <c r="HB74" s="154"/>
      <c r="HD74" s="2"/>
      <c r="HG74" s="13"/>
      <c r="JF74" s="154"/>
      <c r="JJ74" s="150"/>
      <c r="JK74" s="259"/>
      <c r="JT74" s="150"/>
      <c r="KB74" s="319"/>
      <c r="KD74" s="292"/>
      <c r="KM74" s="356"/>
      <c r="KN74" s="323"/>
      <c r="KO74" s="323"/>
      <c r="KR74" s="292"/>
      <c r="KS74" s="323"/>
      <c r="KT74" s="323"/>
      <c r="KU74" s="323"/>
      <c r="KV74" s="323"/>
      <c r="KW74" s="154"/>
    </row>
    <row r="75" spans="63:330" x14ac:dyDescent="0.35">
      <c r="BK75" s="13"/>
      <c r="CG75" s="173">
        <v>1</v>
      </c>
      <c r="CH75" s="1218" t="s">
        <v>145</v>
      </c>
      <c r="CI75" s="1218"/>
      <c r="CJ75" s="1218"/>
      <c r="CK75" s="1218"/>
      <c r="CL75" s="1218"/>
      <c r="CM75" s="1218"/>
      <c r="CN75" s="1218"/>
      <c r="DJ75" s="312">
        <v>1</v>
      </c>
      <c r="DK75" s="1102" t="s">
        <v>4729</v>
      </c>
      <c r="DL75" s="1102"/>
      <c r="DM75" s="1102"/>
      <c r="DN75" s="1102"/>
      <c r="DO75" s="1102"/>
      <c r="DP75" s="1102"/>
      <c r="DQ75" s="1102"/>
      <c r="DR75" s="14"/>
      <c r="DT75" s="174">
        <v>1</v>
      </c>
      <c r="DU75" s="1056" t="s">
        <v>258</v>
      </c>
      <c r="DV75" s="1218"/>
      <c r="DW75" s="1218"/>
      <c r="DX75" s="1218"/>
      <c r="DY75" s="1218"/>
      <c r="DZ75" s="1218"/>
      <c r="EA75" s="1218"/>
      <c r="ED75" s="150"/>
      <c r="EF75" s="150"/>
      <c r="EZ75" s="1298" t="s">
        <v>166</v>
      </c>
      <c r="FA75" s="1298"/>
      <c r="FB75" s="1298"/>
      <c r="FC75" s="1298"/>
      <c r="FD75" s="1298"/>
      <c r="FE75" s="1298"/>
      <c r="FF75" s="1298"/>
      <c r="FG75" s="1298"/>
      <c r="FI75" s="1122" t="s">
        <v>4730</v>
      </c>
      <c r="FJ75" s="1122"/>
      <c r="FK75" s="1122"/>
      <c r="FL75" s="1122"/>
      <c r="FM75" s="1351"/>
      <c r="FN75" s="1351"/>
      <c r="FO75" s="1351"/>
      <c r="FP75" s="1351"/>
      <c r="FR75" s="1122" t="s">
        <v>4731</v>
      </c>
      <c r="FS75" s="1122"/>
      <c r="FT75" s="1122"/>
      <c r="FU75" s="1122"/>
      <c r="FV75" s="1122"/>
      <c r="FW75" s="1122"/>
      <c r="FX75" s="1122"/>
      <c r="FY75" s="1122"/>
      <c r="GA75" s="1297" t="s">
        <v>4732</v>
      </c>
      <c r="GB75" s="1298"/>
      <c r="GC75" s="1298"/>
      <c r="GD75" s="1298"/>
      <c r="GE75" s="1298"/>
      <c r="GF75" s="1298"/>
      <c r="GG75" s="1298"/>
      <c r="GH75" s="1298"/>
      <c r="HB75" s="154"/>
      <c r="HD75" s="2"/>
      <c r="HG75" s="1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58"/>
      <c r="IC75" s="173">
        <v>1</v>
      </c>
      <c r="ID75" s="1218" t="s">
        <v>153</v>
      </c>
      <c r="IE75" s="1218"/>
      <c r="IF75" s="1218"/>
      <c r="IG75" s="1218"/>
      <c r="IH75" s="1218"/>
      <c r="II75" s="1218"/>
      <c r="IJ75" s="1218"/>
      <c r="IK75" s="225"/>
      <c r="IL75" s="3"/>
      <c r="IM75" s="3"/>
      <c r="IN75" s="3"/>
      <c r="IO75" s="3"/>
      <c r="IP75" s="3"/>
      <c r="IQ75" s="3"/>
      <c r="IR75" s="3"/>
      <c r="IS75" s="3"/>
      <c r="IT75" s="3"/>
      <c r="IU75" s="3"/>
      <c r="JF75" s="154"/>
      <c r="JJ75" s="150"/>
      <c r="JK75" s="259"/>
      <c r="JP75" s="173">
        <v>1</v>
      </c>
      <c r="JQ75" s="1172" t="s">
        <v>168</v>
      </c>
      <c r="JR75" s="1173"/>
      <c r="JS75" s="1173"/>
      <c r="JT75" s="1173"/>
      <c r="JU75" s="1173"/>
      <c r="JV75" s="1173"/>
      <c r="JW75" s="1174"/>
      <c r="KI75" s="323"/>
      <c r="KJ75" s="173">
        <v>1</v>
      </c>
      <c r="KK75" s="1172" t="s">
        <v>168</v>
      </c>
      <c r="KL75" s="1172"/>
      <c r="KM75" s="1172"/>
      <c r="KN75" s="1172"/>
      <c r="KO75" s="1172"/>
      <c r="KP75" s="1172"/>
      <c r="KQ75" s="1218"/>
      <c r="KW75" s="154"/>
    </row>
    <row r="76" spans="63:330" x14ac:dyDescent="0.35">
      <c r="BK76" s="13"/>
      <c r="CG76" s="1281" t="s">
        <v>1019</v>
      </c>
      <c r="CH76" s="1281"/>
      <c r="CI76" s="1281"/>
      <c r="CJ76" s="1281"/>
      <c r="CK76" s="1281"/>
      <c r="CL76" s="1281"/>
      <c r="CM76" s="1281"/>
      <c r="CN76" s="1281"/>
      <c r="CO76" s="323"/>
      <c r="DJ76" s="1290" t="s">
        <v>1049</v>
      </c>
      <c r="DK76" s="1291"/>
      <c r="DL76" s="1291"/>
      <c r="DM76" s="1291"/>
      <c r="DN76" s="1291"/>
      <c r="DO76" s="1291"/>
      <c r="DP76" s="1291"/>
      <c r="DQ76" s="1292"/>
      <c r="DS76" s="13"/>
      <c r="DT76" s="1270" t="s">
        <v>4733</v>
      </c>
      <c r="DU76" s="1268"/>
      <c r="DV76" s="1268"/>
      <c r="DW76" s="1268"/>
      <c r="DX76" s="1268"/>
      <c r="DY76" s="1268"/>
      <c r="DZ76" s="1268"/>
      <c r="EA76" s="1268"/>
      <c r="ED76" s="150"/>
      <c r="EF76" s="150"/>
      <c r="EZ76" s="179">
        <v>0.2</v>
      </c>
      <c r="FA76" s="1102" t="s">
        <v>173</v>
      </c>
      <c r="FB76" s="1102"/>
      <c r="FC76" s="1102"/>
      <c r="FD76" s="1102"/>
      <c r="FE76" s="1102"/>
      <c r="FF76" s="1102"/>
      <c r="FG76" s="1102"/>
      <c r="FI76" s="174">
        <v>1</v>
      </c>
      <c r="FJ76" s="1218" t="s">
        <v>151</v>
      </c>
      <c r="FK76" s="1218"/>
      <c r="FL76" s="1218"/>
      <c r="FM76" s="1218"/>
      <c r="FN76" s="1218"/>
      <c r="FO76" s="1218"/>
      <c r="FP76" s="1218"/>
      <c r="FR76" s="174">
        <v>1</v>
      </c>
      <c r="FS76" s="1218" t="s">
        <v>151</v>
      </c>
      <c r="FT76" s="1218"/>
      <c r="FU76" s="1218"/>
      <c r="FV76" s="1218"/>
      <c r="FW76" s="1218"/>
      <c r="FX76" s="1218"/>
      <c r="FY76" s="1218"/>
      <c r="GA76" s="179">
        <v>0.2</v>
      </c>
      <c r="GB76" s="1092" t="s">
        <v>90</v>
      </c>
      <c r="GC76" s="1102"/>
      <c r="GD76" s="1102"/>
      <c r="GE76" s="1102"/>
      <c r="GF76" s="1102"/>
      <c r="GG76" s="1102"/>
      <c r="GH76" s="1102"/>
      <c r="HB76" s="154"/>
      <c r="HD76" s="2"/>
      <c r="HG76" s="13"/>
      <c r="HR76" s="5"/>
      <c r="IC76" s="1281" t="s">
        <v>887</v>
      </c>
      <c r="ID76" s="1281"/>
      <c r="IE76" s="1281"/>
      <c r="IF76" s="1281"/>
      <c r="IG76" s="1281"/>
      <c r="IH76" s="1281"/>
      <c r="II76" s="1281"/>
      <c r="IJ76" s="1281"/>
      <c r="IQ76" s="357"/>
      <c r="IV76" s="13"/>
      <c r="JF76" s="154"/>
      <c r="JJ76" s="150"/>
      <c r="JK76" s="259"/>
      <c r="JP76" s="1347" t="s">
        <v>1030</v>
      </c>
      <c r="JQ76" s="1279"/>
      <c r="JR76" s="1279"/>
      <c r="JS76" s="1279"/>
      <c r="JT76" s="1279"/>
      <c r="JU76" s="1279"/>
      <c r="JV76" s="1279"/>
      <c r="JW76" s="1280"/>
      <c r="KJ76" s="1348" t="s">
        <v>664</v>
      </c>
      <c r="KK76" s="1348"/>
      <c r="KL76" s="1348"/>
      <c r="KM76" s="1348"/>
      <c r="KN76" s="1348"/>
      <c r="KO76" s="1348"/>
      <c r="KP76" s="1348"/>
      <c r="KQ76" s="1349"/>
      <c r="KW76" s="154"/>
    </row>
    <row r="77" spans="63:330" x14ac:dyDescent="0.35">
      <c r="BK77" s="13"/>
      <c r="CI77" s="13"/>
      <c r="DC77" s="234"/>
      <c r="DD77" s="234"/>
      <c r="DE77" s="234"/>
      <c r="DS77" s="13"/>
      <c r="ED77" s="150"/>
      <c r="EF77" s="150"/>
      <c r="EZ77" s="1350" t="s">
        <v>180</v>
      </c>
      <c r="FA77" s="1350"/>
      <c r="FB77" s="1350"/>
      <c r="FC77" s="1350"/>
      <c r="FD77" s="1350"/>
      <c r="FE77" s="1350"/>
      <c r="FF77" s="1350"/>
      <c r="FG77" s="1350"/>
      <c r="FI77" s="1268" t="s">
        <v>843</v>
      </c>
      <c r="FJ77" s="1268"/>
      <c r="FK77" s="1268"/>
      <c r="FL77" s="1268"/>
      <c r="FM77" s="1268"/>
      <c r="FN77" s="1268"/>
      <c r="FO77" s="1268"/>
      <c r="FP77" s="1268"/>
      <c r="FR77" s="1268" t="s">
        <v>547</v>
      </c>
      <c r="FS77" s="1268"/>
      <c r="FT77" s="1268"/>
      <c r="FU77" s="1268"/>
      <c r="FV77" s="1268"/>
      <c r="FW77" s="1268"/>
      <c r="FX77" s="1268"/>
      <c r="FY77" s="1268"/>
      <c r="GA77" s="1269" t="s">
        <v>623</v>
      </c>
      <c r="GB77" s="1350"/>
      <c r="GC77" s="1350"/>
      <c r="GD77" s="1350"/>
      <c r="GE77" s="1350"/>
      <c r="GF77" s="1350"/>
      <c r="GG77" s="1350"/>
      <c r="GH77" s="1350"/>
      <c r="HB77" s="154"/>
      <c r="HD77" s="2"/>
      <c r="HG77" s="13"/>
      <c r="HR77" s="13"/>
      <c r="IG77" s="227"/>
      <c r="IM77" s="1122" t="s">
        <v>4734</v>
      </c>
      <c r="IN77" s="1122"/>
      <c r="IO77" s="1122"/>
      <c r="IP77" s="1122"/>
      <c r="IQ77" s="1122"/>
      <c r="IR77" s="1122"/>
      <c r="IS77" s="1122"/>
      <c r="IT77" s="1122"/>
      <c r="IV77" s="13"/>
      <c r="JF77" s="154"/>
      <c r="JJ77" s="150"/>
      <c r="JK77" s="259"/>
      <c r="JS77" s="154"/>
      <c r="KB77" s="319"/>
      <c r="KD77" s="292"/>
      <c r="KM77" s="356"/>
      <c r="KN77" s="323"/>
      <c r="KO77" s="323"/>
      <c r="KR77" s="292"/>
      <c r="KS77" s="323"/>
      <c r="KT77" s="323"/>
      <c r="KU77" s="323"/>
      <c r="KV77" s="323"/>
      <c r="KW77" s="154"/>
      <c r="LP77" s="207"/>
      <c r="LQ77" s="207"/>
      <c r="LR77" s="207"/>
    </row>
    <row r="78" spans="63:330" x14ac:dyDescent="0.35">
      <c r="BK78" s="1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14"/>
      <c r="CJ78" s="359"/>
      <c r="CK78" s="335"/>
      <c r="CL78" s="335"/>
      <c r="CM78" s="335"/>
      <c r="CN78" s="359"/>
      <c r="CO78" s="335"/>
      <c r="CP78" s="335"/>
      <c r="CQ78" s="335"/>
      <c r="CR78" s="335"/>
      <c r="CS78" s="335"/>
      <c r="CT78" s="335"/>
      <c r="CU78" s="207"/>
      <c r="DC78" s="207"/>
      <c r="DD78" s="207"/>
      <c r="DE78" s="207"/>
      <c r="DS78" s="13"/>
      <c r="ED78" s="150"/>
      <c r="EF78" s="150"/>
      <c r="FI78" s="204">
        <v>1</v>
      </c>
      <c r="FJ78" s="1266" t="s">
        <v>4735</v>
      </c>
      <c r="FK78" s="1266"/>
      <c r="FL78" s="1266"/>
      <c r="FM78" s="1266"/>
      <c r="FN78" s="1266"/>
      <c r="FO78" s="1266"/>
      <c r="FP78" s="1266"/>
      <c r="FQ78" s="224"/>
      <c r="FR78" s="174">
        <v>1</v>
      </c>
      <c r="FS78" s="1056" t="s">
        <v>258</v>
      </c>
      <c r="FT78" s="1218"/>
      <c r="FU78" s="1218"/>
      <c r="FV78" s="1218"/>
      <c r="FW78" s="1218"/>
      <c r="FX78" s="1218"/>
      <c r="FY78" s="1218"/>
      <c r="HB78" s="154"/>
      <c r="HD78" s="2"/>
      <c r="HG78" s="13"/>
      <c r="HR78" s="13"/>
      <c r="IG78" s="13"/>
      <c r="IM78" s="173">
        <v>1</v>
      </c>
      <c r="IN78" s="1218" t="s">
        <v>4736</v>
      </c>
      <c r="IO78" s="1218"/>
      <c r="IP78" s="1218"/>
      <c r="IQ78" s="1218"/>
      <c r="IR78" s="1218"/>
      <c r="IS78" s="1218"/>
      <c r="IT78" s="1218"/>
      <c r="IV78" s="13"/>
      <c r="IW78" s="259"/>
      <c r="JF78" s="154"/>
      <c r="JJ78" s="150"/>
      <c r="JK78" s="173">
        <v>1</v>
      </c>
      <c r="JL78" s="1172" t="s">
        <v>206</v>
      </c>
      <c r="JM78" s="1173"/>
      <c r="JN78" s="1173"/>
      <c r="JO78" s="1173"/>
      <c r="JP78" s="1173"/>
      <c r="JQ78" s="1173"/>
      <c r="JR78" s="1174"/>
      <c r="JS78" s="154"/>
      <c r="JU78" s="173">
        <v>1</v>
      </c>
      <c r="JV78" s="1172" t="s">
        <v>206</v>
      </c>
      <c r="JW78" s="1173"/>
      <c r="JX78" s="1173"/>
      <c r="JY78" s="1173"/>
      <c r="JZ78" s="1173"/>
      <c r="KA78" s="1173"/>
      <c r="KB78" s="1174"/>
      <c r="KD78" s="207"/>
      <c r="KE78" s="173">
        <v>1</v>
      </c>
      <c r="KF78" s="1172" t="s">
        <v>206</v>
      </c>
      <c r="KG78" s="1173"/>
      <c r="KH78" s="1173"/>
      <c r="KI78" s="1173"/>
      <c r="KJ78" s="1173"/>
      <c r="KK78" s="1173"/>
      <c r="KL78" s="1174"/>
      <c r="KM78" s="154"/>
      <c r="KO78" s="173">
        <v>1</v>
      </c>
      <c r="KP78" s="1172" t="s">
        <v>206</v>
      </c>
      <c r="KQ78" s="1173"/>
      <c r="KR78" s="1173"/>
      <c r="KS78" s="1173"/>
      <c r="KT78" s="1173"/>
      <c r="KU78" s="1173"/>
      <c r="KV78" s="1174"/>
      <c r="KW78" s="154"/>
      <c r="LP78" s="319"/>
      <c r="LQ78" s="319"/>
      <c r="LR78" s="319"/>
    </row>
    <row r="79" spans="63:330" x14ac:dyDescent="0.35">
      <c r="BK79" s="13"/>
      <c r="BV79" s="205"/>
      <c r="CT79" s="323"/>
      <c r="CU79" s="360"/>
      <c r="DC79" s="319"/>
      <c r="DD79" s="319"/>
      <c r="DS79" s="13"/>
      <c r="ED79" s="150"/>
      <c r="EF79" s="150"/>
      <c r="FI79" s="1267" t="s">
        <v>865</v>
      </c>
      <c r="FJ79" s="1267"/>
      <c r="FK79" s="1267"/>
      <c r="FL79" s="1267"/>
      <c r="FM79" s="1267"/>
      <c r="FN79" s="1267"/>
      <c r="FO79" s="1267"/>
      <c r="FP79" s="1267"/>
      <c r="FR79" s="1270" t="s">
        <v>550</v>
      </c>
      <c r="FS79" s="1268"/>
      <c r="FT79" s="1268"/>
      <c r="FU79" s="1268"/>
      <c r="FV79" s="1268"/>
      <c r="FW79" s="1268"/>
      <c r="FX79" s="1268"/>
      <c r="FY79" s="1268"/>
      <c r="HB79" s="154"/>
      <c r="HD79" s="2"/>
      <c r="HG79" s="13"/>
      <c r="HR79" s="13"/>
      <c r="IG79" s="13"/>
      <c r="IM79" s="1281" t="s">
        <v>515</v>
      </c>
      <c r="IN79" s="1281"/>
      <c r="IO79" s="1281"/>
      <c r="IP79" s="1281"/>
      <c r="IQ79" s="1281"/>
      <c r="IR79" s="1281"/>
      <c r="IS79" s="1281"/>
      <c r="IT79" s="1281"/>
      <c r="IV79" s="13"/>
      <c r="JF79" s="154"/>
      <c r="JJ79" s="150"/>
      <c r="JK79" s="1271" t="s">
        <v>498</v>
      </c>
      <c r="JL79" s="1279"/>
      <c r="JM79" s="1279"/>
      <c r="JN79" s="1279"/>
      <c r="JO79" s="1279"/>
      <c r="JP79" s="1279"/>
      <c r="JQ79" s="1279"/>
      <c r="JR79" s="1280"/>
      <c r="JS79" s="183"/>
      <c r="JU79" s="1271" t="s">
        <v>507</v>
      </c>
      <c r="JV79" s="1279"/>
      <c r="JW79" s="1279"/>
      <c r="JX79" s="1279"/>
      <c r="JY79" s="1279"/>
      <c r="JZ79" s="1279"/>
      <c r="KA79" s="1279"/>
      <c r="KB79" s="1280"/>
      <c r="KD79" s="219"/>
      <c r="KE79" s="1271" t="s">
        <v>519</v>
      </c>
      <c r="KF79" s="1279"/>
      <c r="KG79" s="1279"/>
      <c r="KH79" s="1279"/>
      <c r="KI79" s="1279"/>
      <c r="KJ79" s="1279"/>
      <c r="KK79" s="1279"/>
      <c r="KL79" s="1280"/>
      <c r="KM79" s="361"/>
      <c r="KN79" s="219"/>
      <c r="KO79" s="1271" t="s">
        <v>533</v>
      </c>
      <c r="KP79" s="1279"/>
      <c r="KQ79" s="1279"/>
      <c r="KR79" s="1279"/>
      <c r="KS79" s="1279"/>
      <c r="KT79" s="1279"/>
      <c r="KU79" s="1279"/>
      <c r="KV79" s="1280"/>
      <c r="KW79" s="154"/>
    </row>
    <row r="80" spans="63:330" x14ac:dyDescent="0.35">
      <c r="BK80" s="13"/>
      <c r="BR80" s="173">
        <v>1</v>
      </c>
      <c r="BS80" s="1218" t="s">
        <v>4737</v>
      </c>
      <c r="BT80" s="1218"/>
      <c r="BU80" s="1218"/>
      <c r="BV80" s="1277"/>
      <c r="BW80" s="1218"/>
      <c r="BX80" s="1218"/>
      <c r="BY80" s="1218"/>
      <c r="CR80" s="173">
        <v>1</v>
      </c>
      <c r="CS80" s="1218" t="s">
        <v>4738</v>
      </c>
      <c r="CT80" s="1218"/>
      <c r="CU80" s="1218"/>
      <c r="CV80" s="1218"/>
      <c r="CW80" s="1218"/>
      <c r="CX80" s="1218"/>
      <c r="CY80" s="1218"/>
      <c r="DS80" s="357"/>
      <c r="ED80" s="150"/>
      <c r="EF80" s="150"/>
      <c r="FI80" s="179">
        <v>1</v>
      </c>
      <c r="FJ80" s="1102" t="s">
        <v>243</v>
      </c>
      <c r="FK80" s="1102"/>
      <c r="FL80" s="1102"/>
      <c r="FM80" s="1102"/>
      <c r="FN80" s="1102"/>
      <c r="FO80" s="1102"/>
      <c r="FP80" s="1102"/>
      <c r="HB80" s="154"/>
      <c r="HD80" s="2"/>
      <c r="HG80" s="13"/>
      <c r="HR80" s="13"/>
      <c r="IG80" s="13"/>
      <c r="IV80" s="13"/>
      <c r="JF80" s="154"/>
      <c r="JJ80" s="150"/>
      <c r="JK80" s="173">
        <v>1</v>
      </c>
      <c r="JL80" s="1172" t="s">
        <v>206</v>
      </c>
      <c r="JM80" s="1173"/>
      <c r="JN80" s="1173"/>
      <c r="JO80" s="1173"/>
      <c r="JP80" s="1173"/>
      <c r="JQ80" s="1173"/>
      <c r="JR80" s="1174"/>
      <c r="JT80" s="224"/>
      <c r="JU80" s="173">
        <v>1</v>
      </c>
      <c r="JV80" s="1172" t="s">
        <v>206</v>
      </c>
      <c r="JW80" s="1173"/>
      <c r="JX80" s="1173"/>
      <c r="JY80" s="1173"/>
      <c r="JZ80" s="1173"/>
      <c r="KA80" s="1173"/>
      <c r="KB80" s="1174"/>
      <c r="KD80" s="207"/>
      <c r="KE80" s="173">
        <v>1</v>
      </c>
      <c r="KF80" s="1172" t="s">
        <v>206</v>
      </c>
      <c r="KG80" s="1173"/>
      <c r="KH80" s="1173"/>
      <c r="KI80" s="1173"/>
      <c r="KJ80" s="1173"/>
      <c r="KK80" s="1173"/>
      <c r="KL80" s="1174"/>
      <c r="KM80" s="207"/>
      <c r="KN80" s="309"/>
      <c r="KO80" s="173">
        <v>1</v>
      </c>
      <c r="KP80" s="1172" t="s">
        <v>206</v>
      </c>
      <c r="KQ80" s="1173"/>
      <c r="KR80" s="1173"/>
      <c r="KS80" s="1173"/>
      <c r="KT80" s="1173"/>
      <c r="KU80" s="1173"/>
      <c r="KV80" s="1174"/>
      <c r="KW80" s="154"/>
      <c r="LP80" s="207"/>
      <c r="LQ80" s="207"/>
      <c r="LR80" s="207"/>
    </row>
    <row r="81" spans="63:330" x14ac:dyDescent="0.35">
      <c r="BK81" s="13"/>
      <c r="BR81" s="1281" t="s">
        <v>543</v>
      </c>
      <c r="BS81" s="1281"/>
      <c r="BT81" s="1281"/>
      <c r="BU81" s="1281"/>
      <c r="BV81" s="1281"/>
      <c r="BW81" s="1281"/>
      <c r="BX81" s="1281"/>
      <c r="BY81" s="1281"/>
      <c r="CR81" s="1281" t="s">
        <v>641</v>
      </c>
      <c r="CS81" s="1281"/>
      <c r="CT81" s="1281"/>
      <c r="CU81" s="1281"/>
      <c r="CV81" s="1281"/>
      <c r="CW81" s="1281"/>
      <c r="CX81" s="1281"/>
      <c r="CY81" s="1281"/>
      <c r="DO81" s="355">
        <v>1</v>
      </c>
      <c r="DP81" s="1286" t="s">
        <v>4739</v>
      </c>
      <c r="DQ81" s="1286"/>
      <c r="DR81" s="1286"/>
      <c r="DS81" s="1286"/>
      <c r="DT81" s="1286"/>
      <c r="DU81" s="1286"/>
      <c r="DV81" s="1286"/>
      <c r="ED81" s="150"/>
      <c r="EF81" s="150"/>
      <c r="FI81" s="1267" t="s">
        <v>746</v>
      </c>
      <c r="FJ81" s="1267"/>
      <c r="FK81" s="1267"/>
      <c r="FL81" s="1267"/>
      <c r="FM81" s="1267"/>
      <c r="FN81" s="1267"/>
      <c r="FO81" s="1267"/>
      <c r="FP81" s="1267"/>
      <c r="HB81" s="154"/>
      <c r="HD81" s="2"/>
      <c r="HG81" s="13"/>
      <c r="HR81" s="357"/>
      <c r="IG81" s="357"/>
      <c r="IV81" s="357"/>
      <c r="JF81" s="154"/>
      <c r="JJ81" s="150"/>
      <c r="JK81" s="1271" t="s">
        <v>597</v>
      </c>
      <c r="JL81" s="1279"/>
      <c r="JM81" s="1279"/>
      <c r="JN81" s="1279"/>
      <c r="JO81" s="1279"/>
      <c r="JP81" s="1279"/>
      <c r="JQ81" s="1279"/>
      <c r="JR81" s="1280"/>
      <c r="JU81" s="1283" t="s">
        <v>131</v>
      </c>
      <c r="JV81" s="1284"/>
      <c r="JW81" s="1284"/>
      <c r="JX81" s="1284"/>
      <c r="JY81" s="1284"/>
      <c r="JZ81" s="1284"/>
      <c r="KA81" s="1284"/>
      <c r="KB81" s="1285"/>
      <c r="KD81" s="219"/>
      <c r="KE81" s="1271" t="s">
        <v>561</v>
      </c>
      <c r="KF81" s="1279"/>
      <c r="KG81" s="1279"/>
      <c r="KH81" s="1279"/>
      <c r="KI81" s="1279"/>
      <c r="KJ81" s="1279"/>
      <c r="KK81" s="1279"/>
      <c r="KL81" s="1280"/>
      <c r="KM81" s="219"/>
      <c r="KN81" s="219"/>
      <c r="KO81" s="1271" t="s">
        <v>596</v>
      </c>
      <c r="KP81" s="1279"/>
      <c r="KQ81" s="1279"/>
      <c r="KR81" s="1279"/>
      <c r="KS81" s="1279"/>
      <c r="KT81" s="1279"/>
      <c r="KU81" s="1279"/>
      <c r="KV81" s="1280"/>
      <c r="KW81" s="154"/>
      <c r="LP81" s="319"/>
      <c r="LQ81" s="319"/>
      <c r="LR81" s="319"/>
    </row>
    <row r="82" spans="63:330" x14ac:dyDescent="0.35">
      <c r="BK82" s="13"/>
      <c r="BQ82" s="3"/>
      <c r="BR82" s="3"/>
      <c r="BS82" s="3"/>
      <c r="BT82" s="3"/>
      <c r="BU82" s="21"/>
      <c r="BV82" s="3"/>
      <c r="BW82" s="3"/>
      <c r="BX82" s="3"/>
      <c r="BY82" s="3"/>
      <c r="CG82" s="323"/>
      <c r="CH82" s="323"/>
      <c r="CI82" s="323"/>
      <c r="CJ82" s="207"/>
      <c r="CK82" s="207"/>
      <c r="CV82" s="155"/>
      <c r="CW82" s="149"/>
      <c r="CX82" s="149"/>
      <c r="CY82" s="149"/>
      <c r="CZ82" s="149"/>
      <c r="DA82" s="149"/>
      <c r="DB82" s="149"/>
      <c r="DC82" s="149"/>
      <c r="DD82" s="149"/>
      <c r="DN82" s="226"/>
      <c r="DO82" s="1303" t="s">
        <v>585</v>
      </c>
      <c r="DP82" s="1303"/>
      <c r="DQ82" s="1303"/>
      <c r="DR82" s="1303"/>
      <c r="DS82" s="1303"/>
      <c r="DT82" s="1303"/>
      <c r="DU82" s="1303"/>
      <c r="DV82" s="1303"/>
      <c r="DW82" s="238"/>
      <c r="ED82" s="150"/>
      <c r="EF82" s="150"/>
      <c r="FE82" s="149"/>
      <c r="FF82" s="149"/>
      <c r="FG82" s="149"/>
      <c r="FH82" s="149"/>
      <c r="FI82" s="149"/>
      <c r="FJ82" s="149"/>
      <c r="FK82" s="149"/>
      <c r="FL82" s="183"/>
      <c r="HB82" s="154"/>
      <c r="HD82" s="2"/>
      <c r="HG82" s="13"/>
      <c r="HN82" s="173">
        <v>1</v>
      </c>
      <c r="HO82" s="1218" t="s">
        <v>167</v>
      </c>
      <c r="HP82" s="1218"/>
      <c r="HQ82" s="1218"/>
      <c r="HR82" s="1218"/>
      <c r="HS82" s="1218"/>
      <c r="HT82" s="1218"/>
      <c r="HU82" s="1218"/>
      <c r="IC82" s="173">
        <v>1</v>
      </c>
      <c r="ID82" s="1218" t="s">
        <v>167</v>
      </c>
      <c r="IE82" s="1218"/>
      <c r="IF82" s="1218"/>
      <c r="IG82" s="1218"/>
      <c r="IH82" s="1218"/>
      <c r="II82" s="1218"/>
      <c r="IJ82" s="1218"/>
      <c r="IR82" s="173">
        <v>1</v>
      </c>
      <c r="IS82" s="1218" t="s">
        <v>167</v>
      </c>
      <c r="IT82" s="1218"/>
      <c r="IU82" s="1218"/>
      <c r="IV82" s="1218"/>
      <c r="IW82" s="1218"/>
      <c r="IX82" s="1218"/>
      <c r="IY82" s="1218"/>
      <c r="JF82" s="154"/>
      <c r="JJ82" s="150"/>
      <c r="JK82" s="173">
        <v>1</v>
      </c>
      <c r="JL82" s="1172" t="s">
        <v>206</v>
      </c>
      <c r="JM82" s="1173"/>
      <c r="JN82" s="1173"/>
      <c r="JO82" s="1173"/>
      <c r="JP82" s="1173"/>
      <c r="JQ82" s="1173"/>
      <c r="JR82" s="1174"/>
      <c r="JU82" s="173">
        <v>1</v>
      </c>
      <c r="JV82" s="1172" t="s">
        <v>206</v>
      </c>
      <c r="JW82" s="1173"/>
      <c r="JX82" s="1173"/>
      <c r="JY82" s="1173"/>
      <c r="JZ82" s="1173"/>
      <c r="KA82" s="1173"/>
      <c r="KB82" s="1174"/>
      <c r="KE82" s="173">
        <v>1</v>
      </c>
      <c r="KF82" s="1172" t="s">
        <v>206</v>
      </c>
      <c r="KG82" s="1173"/>
      <c r="KH82" s="1173"/>
      <c r="KI82" s="1173"/>
      <c r="KJ82" s="1173"/>
      <c r="KK82" s="1173"/>
      <c r="KL82" s="1174"/>
      <c r="KO82" s="173">
        <v>1</v>
      </c>
      <c r="KP82" s="1172" t="s">
        <v>206</v>
      </c>
      <c r="KQ82" s="1173"/>
      <c r="KR82" s="1173"/>
      <c r="KS82" s="1173"/>
      <c r="KT82" s="1173"/>
      <c r="KU82" s="1173"/>
      <c r="KV82" s="1174"/>
      <c r="KW82" s="154"/>
    </row>
    <row r="83" spans="63:330" x14ac:dyDescent="0.35">
      <c r="BK83" s="13"/>
      <c r="BP83" s="21"/>
      <c r="BT83" s="207"/>
      <c r="BU83" s="207"/>
      <c r="BV83" s="207"/>
      <c r="BW83" s="207"/>
      <c r="BX83" s="207"/>
      <c r="BY83" s="207"/>
      <c r="BZ83" s="66"/>
      <c r="CA83" s="3"/>
      <c r="CM83" s="226"/>
      <c r="CN83" s="224"/>
      <c r="CO83" s="224"/>
      <c r="CP83" s="224"/>
      <c r="CQ83" s="224"/>
      <c r="CR83" s="224"/>
      <c r="CS83" s="224"/>
      <c r="CT83" s="224"/>
      <c r="CU83" s="238"/>
      <c r="DE83" s="14"/>
      <c r="DN83" s="150"/>
      <c r="DW83" s="154"/>
      <c r="ED83" s="150"/>
      <c r="EF83" s="150"/>
      <c r="FD83" s="226"/>
      <c r="FM83" s="224"/>
      <c r="FN83" s="224"/>
      <c r="FO83" s="224"/>
      <c r="FP83" s="224"/>
      <c r="FQ83" s="224"/>
      <c r="FR83" s="224"/>
      <c r="FS83" s="224"/>
      <c r="FT83" s="224"/>
      <c r="FU83" s="238"/>
      <c r="FV83" s="224"/>
      <c r="FW83" s="224"/>
      <c r="FX83" s="224"/>
      <c r="FY83" s="224"/>
      <c r="FZ83" s="224"/>
      <c r="GA83" s="224"/>
      <c r="GB83" s="309"/>
      <c r="GC83" s="309"/>
      <c r="GD83" s="310"/>
      <c r="GE83" s="207"/>
      <c r="GF83" s="207"/>
      <c r="GG83" s="207"/>
      <c r="HB83" s="154"/>
      <c r="HD83" s="2"/>
      <c r="HG83" s="13"/>
      <c r="HN83" s="1281" t="s">
        <v>668</v>
      </c>
      <c r="HO83" s="1281"/>
      <c r="HP83" s="1281"/>
      <c r="HQ83" s="1281"/>
      <c r="HR83" s="1281"/>
      <c r="HS83" s="1281"/>
      <c r="HT83" s="1281"/>
      <c r="HU83" s="1281"/>
      <c r="IC83" s="1281" t="s">
        <v>704</v>
      </c>
      <c r="ID83" s="1281"/>
      <c r="IE83" s="1281"/>
      <c r="IF83" s="1281"/>
      <c r="IG83" s="1296"/>
      <c r="IH83" s="1281"/>
      <c r="II83" s="1281"/>
      <c r="IJ83" s="1281"/>
      <c r="IR83" s="1281" t="s">
        <v>797</v>
      </c>
      <c r="IS83" s="1281"/>
      <c r="IT83" s="1281"/>
      <c r="IU83" s="1281"/>
      <c r="IV83" s="1281"/>
      <c r="IW83" s="1281"/>
      <c r="IX83" s="1281"/>
      <c r="IY83" s="1281"/>
      <c r="JF83" s="154"/>
      <c r="JJ83" s="150"/>
      <c r="JK83" s="1271" t="s">
        <v>652</v>
      </c>
      <c r="JL83" s="1279"/>
      <c r="JM83" s="1279"/>
      <c r="JN83" s="1279"/>
      <c r="JO83" s="1279"/>
      <c r="JP83" s="1279"/>
      <c r="JQ83" s="1279"/>
      <c r="JR83" s="1280"/>
      <c r="JU83" s="1271" t="s">
        <v>603</v>
      </c>
      <c r="JV83" s="1279"/>
      <c r="JW83" s="1279"/>
      <c r="JX83" s="1279"/>
      <c r="JY83" s="1279"/>
      <c r="JZ83" s="1279"/>
      <c r="KA83" s="1279"/>
      <c r="KB83" s="1280"/>
      <c r="KE83" s="1271" t="s">
        <v>654</v>
      </c>
      <c r="KF83" s="1279"/>
      <c r="KG83" s="1279"/>
      <c r="KH83" s="1279"/>
      <c r="KI83" s="1279"/>
      <c r="KJ83" s="1279"/>
      <c r="KK83" s="1279"/>
      <c r="KL83" s="1280"/>
      <c r="KO83" s="1283" t="s">
        <v>131</v>
      </c>
      <c r="KP83" s="1284"/>
      <c r="KQ83" s="1284"/>
      <c r="KR83" s="1284"/>
      <c r="KS83" s="1284"/>
      <c r="KT83" s="1284"/>
      <c r="KU83" s="1284"/>
      <c r="KV83" s="1285"/>
      <c r="KW83" s="154"/>
      <c r="LP83" s="207"/>
      <c r="LQ83" s="207"/>
      <c r="LR83" s="207"/>
    </row>
    <row r="84" spans="63:330" x14ac:dyDescent="0.35">
      <c r="BK84" s="13"/>
      <c r="BM84" s="1299" t="s">
        <v>4740</v>
      </c>
      <c r="BN84" s="1300"/>
      <c r="BO84" s="1300"/>
      <c r="BP84" s="1301"/>
      <c r="BQ84" s="1300"/>
      <c r="BR84" s="1300"/>
      <c r="BS84" s="1300"/>
      <c r="BT84" s="1302"/>
      <c r="BW84" s="1299" t="s">
        <v>4741</v>
      </c>
      <c r="BX84" s="1300"/>
      <c r="BY84" s="1300"/>
      <c r="BZ84" s="1301"/>
      <c r="CA84" s="1300"/>
      <c r="CB84" s="1300"/>
      <c r="CC84" s="1300"/>
      <c r="CD84" s="1302"/>
      <c r="CI84" s="1122" t="s">
        <v>156</v>
      </c>
      <c r="CJ84" s="1122"/>
      <c r="CK84" s="1122"/>
      <c r="CL84" s="1122"/>
      <c r="CM84" s="1122"/>
      <c r="CN84" s="1122"/>
      <c r="CO84" s="1122"/>
      <c r="CP84" s="1122"/>
      <c r="CR84" s="1122" t="s">
        <v>156</v>
      </c>
      <c r="CS84" s="1122"/>
      <c r="CT84" s="1122"/>
      <c r="CU84" s="1122"/>
      <c r="CV84" s="1122"/>
      <c r="CW84" s="1122"/>
      <c r="CX84" s="1122"/>
      <c r="CY84" s="1122"/>
      <c r="DA84" s="1299" t="s">
        <v>4734</v>
      </c>
      <c r="DB84" s="1300"/>
      <c r="DC84" s="1300"/>
      <c r="DD84" s="1300"/>
      <c r="DE84" s="1301"/>
      <c r="DF84" s="1300"/>
      <c r="DG84" s="1300"/>
      <c r="DH84" s="1302"/>
      <c r="DK84" s="1297" t="s">
        <v>4742</v>
      </c>
      <c r="DL84" s="1298"/>
      <c r="DM84" s="1298"/>
      <c r="DN84" s="1298"/>
      <c r="DO84" s="1298"/>
      <c r="DP84" s="1298"/>
      <c r="DQ84" s="1298"/>
      <c r="DR84" s="1298"/>
      <c r="DT84" s="1297" t="s">
        <v>4743</v>
      </c>
      <c r="DU84" s="1298"/>
      <c r="DV84" s="1298"/>
      <c r="DW84" s="1298"/>
      <c r="DX84" s="1298"/>
      <c r="DY84" s="1298"/>
      <c r="DZ84" s="1298"/>
      <c r="EA84" s="1298"/>
      <c r="EB84" s="234"/>
      <c r="EC84" s="234"/>
      <c r="ED84" s="315"/>
      <c r="EF84" s="150"/>
      <c r="EZ84" s="174">
        <v>0.5</v>
      </c>
      <c r="FA84" s="1218" t="s">
        <v>259</v>
      </c>
      <c r="FB84" s="1218"/>
      <c r="FC84" s="1218"/>
      <c r="FD84" s="1218"/>
      <c r="FE84" s="1218"/>
      <c r="FF84" s="1218"/>
      <c r="FG84" s="1218"/>
      <c r="FI84" s="308">
        <v>1</v>
      </c>
      <c r="FJ84" s="1362" t="s">
        <v>259</v>
      </c>
      <c r="FK84" s="1363"/>
      <c r="FL84" s="1363"/>
      <c r="FM84" s="1363"/>
      <c r="FN84" s="1363"/>
      <c r="FO84" s="1363"/>
      <c r="FP84" s="1364"/>
      <c r="FR84" s="179">
        <v>1</v>
      </c>
      <c r="FS84" s="1102" t="s">
        <v>259</v>
      </c>
      <c r="FT84" s="1102"/>
      <c r="FU84" s="1102"/>
      <c r="FV84" s="1102"/>
      <c r="FW84" s="1102"/>
      <c r="FX84" s="1102"/>
      <c r="FY84" s="1102"/>
      <c r="GA84" s="174">
        <v>1</v>
      </c>
      <c r="GB84" s="1218" t="s">
        <v>259</v>
      </c>
      <c r="GC84" s="1218"/>
      <c r="GD84" s="1218"/>
      <c r="GE84" s="1218"/>
      <c r="GF84" s="1218"/>
      <c r="GG84" s="1218"/>
      <c r="GH84" s="1218"/>
      <c r="HB84" s="154"/>
      <c r="HE84" s="13"/>
      <c r="HG84" s="13"/>
      <c r="HQ84" s="154"/>
      <c r="IG84" s="354"/>
      <c r="IU84" s="154"/>
      <c r="IV84" s="259"/>
      <c r="JF84" s="154"/>
      <c r="JJ84" s="150"/>
      <c r="JK84" s="173">
        <v>1</v>
      </c>
      <c r="JL84" s="1172" t="s">
        <v>206</v>
      </c>
      <c r="JM84" s="1173"/>
      <c r="JN84" s="1173"/>
      <c r="JO84" s="1173"/>
      <c r="JP84" s="1173"/>
      <c r="JQ84" s="1173"/>
      <c r="JR84" s="1174"/>
      <c r="JS84" s="207"/>
      <c r="JT84" s="207"/>
      <c r="JU84" s="173">
        <v>1</v>
      </c>
      <c r="JV84" s="1172" t="s">
        <v>206</v>
      </c>
      <c r="JW84" s="1173"/>
      <c r="JX84" s="1173"/>
      <c r="JY84" s="1173"/>
      <c r="JZ84" s="1173"/>
      <c r="KA84" s="1173"/>
      <c r="KB84" s="1174"/>
      <c r="KE84" s="173">
        <v>1</v>
      </c>
      <c r="KF84" s="1172" t="s">
        <v>206</v>
      </c>
      <c r="KG84" s="1173"/>
      <c r="KH84" s="1173"/>
      <c r="KI84" s="1173"/>
      <c r="KJ84" s="1173"/>
      <c r="KK84" s="1173"/>
      <c r="KL84" s="1174"/>
      <c r="KO84" s="173">
        <v>1</v>
      </c>
      <c r="KP84" s="1172" t="s">
        <v>206</v>
      </c>
      <c r="KQ84" s="1173"/>
      <c r="KR84" s="1173"/>
      <c r="KS84" s="1173"/>
      <c r="KT84" s="1173"/>
      <c r="KU84" s="1173"/>
      <c r="KV84" s="1174"/>
      <c r="KW84" s="154"/>
      <c r="LP84" s="319"/>
      <c r="LQ84" s="319"/>
      <c r="LR84" s="319"/>
    </row>
    <row r="85" spans="63:330" x14ac:dyDescent="0.35">
      <c r="BK85" s="13"/>
      <c r="BM85" s="312">
        <v>1</v>
      </c>
      <c r="BN85" s="1178" t="s">
        <v>4744</v>
      </c>
      <c r="BO85" s="1179"/>
      <c r="BP85" s="1179"/>
      <c r="BQ85" s="1179"/>
      <c r="BR85" s="1179"/>
      <c r="BS85" s="1179"/>
      <c r="BT85" s="1180"/>
      <c r="BW85" s="312">
        <v>1</v>
      </c>
      <c r="BX85" s="1178" t="s">
        <v>4744</v>
      </c>
      <c r="BY85" s="1179"/>
      <c r="BZ85" s="1179"/>
      <c r="CA85" s="1179"/>
      <c r="CB85" s="1179"/>
      <c r="CC85" s="1179"/>
      <c r="CD85" s="1180"/>
      <c r="CI85" s="362">
        <v>1</v>
      </c>
      <c r="CJ85" s="1293" t="s">
        <v>170</v>
      </c>
      <c r="CK85" s="1294"/>
      <c r="CL85" s="1294"/>
      <c r="CM85" s="1294"/>
      <c r="CN85" s="1294"/>
      <c r="CO85" s="1294"/>
      <c r="CP85" s="1295"/>
      <c r="CR85" s="362">
        <v>1</v>
      </c>
      <c r="CS85" s="1293" t="s">
        <v>170</v>
      </c>
      <c r="CT85" s="1294"/>
      <c r="CU85" s="1294"/>
      <c r="CV85" s="1294"/>
      <c r="CW85" s="1294"/>
      <c r="CX85" s="1294"/>
      <c r="CY85" s="1295"/>
      <c r="DA85" s="363">
        <v>1</v>
      </c>
      <c r="DB85" s="1178" t="s">
        <v>4745</v>
      </c>
      <c r="DC85" s="1178"/>
      <c r="DD85" s="1293"/>
      <c r="DE85" s="1293"/>
      <c r="DF85" s="1178"/>
      <c r="DG85" s="1178"/>
      <c r="DH85" s="1102"/>
      <c r="DK85" s="362">
        <v>1</v>
      </c>
      <c r="DL85" s="1293" t="s">
        <v>170</v>
      </c>
      <c r="DM85" s="1294"/>
      <c r="DN85" s="1294"/>
      <c r="DO85" s="1294"/>
      <c r="DP85" s="1294"/>
      <c r="DQ85" s="1294"/>
      <c r="DR85" s="1295"/>
      <c r="DT85" s="364">
        <v>1</v>
      </c>
      <c r="DU85" s="1293" t="s">
        <v>159</v>
      </c>
      <c r="DV85" s="1293"/>
      <c r="DW85" s="1293"/>
      <c r="DX85" s="1293"/>
      <c r="DY85" s="1293"/>
      <c r="DZ85" s="1293"/>
      <c r="EA85" s="1266"/>
      <c r="EB85" s="207"/>
      <c r="EC85" s="207"/>
      <c r="ED85" s="316"/>
      <c r="EF85" s="150"/>
      <c r="EZ85" s="1268" t="s">
        <v>823</v>
      </c>
      <c r="FA85" s="1268"/>
      <c r="FB85" s="1268"/>
      <c r="FC85" s="1268"/>
      <c r="FD85" s="1268"/>
      <c r="FE85" s="1268"/>
      <c r="FF85" s="1268"/>
      <c r="FG85" s="1268"/>
      <c r="FI85" s="1268" t="s">
        <v>833</v>
      </c>
      <c r="FJ85" s="1305"/>
      <c r="FK85" s="1305"/>
      <c r="FL85" s="1305"/>
      <c r="FM85" s="1305"/>
      <c r="FN85" s="1305"/>
      <c r="FO85" s="1305"/>
      <c r="FP85" s="1305"/>
      <c r="FR85" s="1305" t="s">
        <v>834</v>
      </c>
      <c r="FS85" s="1305"/>
      <c r="FT85" s="1305"/>
      <c r="FU85" s="1305"/>
      <c r="FV85" s="1305"/>
      <c r="FW85" s="1305"/>
      <c r="FX85" s="1305"/>
      <c r="FY85" s="1305"/>
      <c r="GA85" s="1268" t="s">
        <v>838</v>
      </c>
      <c r="GB85" s="1268"/>
      <c r="GC85" s="1268"/>
      <c r="GD85" s="1268"/>
      <c r="GE85" s="1268"/>
      <c r="GF85" s="1268"/>
      <c r="GG85" s="1268"/>
      <c r="GH85" s="1268"/>
      <c r="HB85" s="154"/>
      <c r="HE85" s="13"/>
      <c r="HG85" s="13"/>
      <c r="HI85" s="365">
        <v>1</v>
      </c>
      <c r="HJ85" s="1306" t="s">
        <v>183</v>
      </c>
      <c r="HK85" s="1307"/>
      <c r="HL85" s="1307"/>
      <c r="HM85" s="1307"/>
      <c r="HN85" s="1307"/>
      <c r="HO85" s="1307"/>
      <c r="HP85" s="1308"/>
      <c r="HQ85" s="154"/>
      <c r="HS85" s="366">
        <v>1</v>
      </c>
      <c r="HT85" s="1362" t="s">
        <v>183</v>
      </c>
      <c r="HU85" s="1363"/>
      <c r="HV85" s="1363"/>
      <c r="HW85" s="1363"/>
      <c r="HX85" s="1363"/>
      <c r="HY85" s="1363"/>
      <c r="HZ85" s="1364"/>
      <c r="IC85" s="173">
        <v>1</v>
      </c>
      <c r="ID85" s="1218" t="s">
        <v>183</v>
      </c>
      <c r="IE85" s="1218"/>
      <c r="IF85" s="1218"/>
      <c r="IG85" s="1277"/>
      <c r="IH85" s="1218"/>
      <c r="II85" s="1218"/>
      <c r="IJ85" s="1218"/>
      <c r="IM85" s="173">
        <v>1</v>
      </c>
      <c r="IN85" s="1218" t="s">
        <v>184</v>
      </c>
      <c r="IO85" s="1218"/>
      <c r="IP85" s="1218"/>
      <c r="IQ85" s="1218"/>
      <c r="IR85" s="1218"/>
      <c r="IS85" s="1218"/>
      <c r="IT85" s="1218"/>
      <c r="IU85" s="154"/>
      <c r="IV85" s="259"/>
      <c r="IW85" s="355">
        <v>1</v>
      </c>
      <c r="IX85" s="1286" t="s">
        <v>184</v>
      </c>
      <c r="IY85" s="1286"/>
      <c r="IZ85" s="1286"/>
      <c r="JA85" s="1286"/>
      <c r="JB85" s="1286"/>
      <c r="JC85" s="1286"/>
      <c r="JD85" s="1286"/>
      <c r="JF85" s="154"/>
      <c r="JJ85" s="150"/>
      <c r="JK85" s="1271" t="s">
        <v>671</v>
      </c>
      <c r="JL85" s="1279"/>
      <c r="JM85" s="1279"/>
      <c r="JN85" s="1279"/>
      <c r="JO85" s="1279"/>
      <c r="JP85" s="1279"/>
      <c r="JQ85" s="1279"/>
      <c r="JR85" s="1280"/>
      <c r="JS85" s="207"/>
      <c r="JT85" s="207"/>
      <c r="JU85" s="1271" t="s">
        <v>653</v>
      </c>
      <c r="JV85" s="1279"/>
      <c r="JW85" s="1279"/>
      <c r="JX85" s="1279"/>
      <c r="JY85" s="1279"/>
      <c r="JZ85" s="1279"/>
      <c r="KA85" s="1279"/>
      <c r="KB85" s="1280"/>
      <c r="KC85" s="207"/>
      <c r="KD85" s="207"/>
      <c r="KE85" s="1271" t="s">
        <v>679</v>
      </c>
      <c r="KF85" s="1279"/>
      <c r="KG85" s="1279"/>
      <c r="KH85" s="1279"/>
      <c r="KI85" s="1279"/>
      <c r="KJ85" s="1279"/>
      <c r="KK85" s="1279"/>
      <c r="KL85" s="1280"/>
      <c r="KO85" s="1283" t="s">
        <v>131</v>
      </c>
      <c r="KP85" s="1284"/>
      <c r="KQ85" s="1284"/>
      <c r="KR85" s="1284"/>
      <c r="KS85" s="1284"/>
      <c r="KT85" s="1284"/>
      <c r="KU85" s="1284"/>
      <c r="KV85" s="1285"/>
      <c r="KW85" s="154"/>
      <c r="LP85" s="207"/>
      <c r="LQ85" s="207"/>
      <c r="LR85" s="207"/>
    </row>
    <row r="86" spans="63:330" x14ac:dyDescent="0.35">
      <c r="BK86" s="13"/>
      <c r="BM86" s="1290" t="s">
        <v>1024</v>
      </c>
      <c r="BN86" s="1291"/>
      <c r="BO86" s="1291"/>
      <c r="BP86" s="1291"/>
      <c r="BQ86" s="1291"/>
      <c r="BR86" s="1291"/>
      <c r="BS86" s="1291"/>
      <c r="BT86" s="1292"/>
      <c r="BW86" s="1290" t="s">
        <v>764</v>
      </c>
      <c r="BX86" s="1291"/>
      <c r="BY86" s="1291"/>
      <c r="BZ86" s="1291"/>
      <c r="CA86" s="1291"/>
      <c r="CB86" s="1291"/>
      <c r="CC86" s="1291"/>
      <c r="CD86" s="1292"/>
      <c r="CI86" s="1309" t="s">
        <v>794</v>
      </c>
      <c r="CJ86" s="1291"/>
      <c r="CK86" s="1291"/>
      <c r="CL86" s="1291"/>
      <c r="CM86" s="1291"/>
      <c r="CN86" s="1291"/>
      <c r="CO86" s="1291"/>
      <c r="CP86" s="1292"/>
      <c r="CR86" s="1290" t="s">
        <v>980</v>
      </c>
      <c r="CS86" s="1291"/>
      <c r="CT86" s="1291"/>
      <c r="CU86" s="1291"/>
      <c r="CV86" s="1291"/>
      <c r="CW86" s="1291"/>
      <c r="CX86" s="1291"/>
      <c r="CY86" s="1292"/>
      <c r="DA86" s="1290" t="s">
        <v>945</v>
      </c>
      <c r="DB86" s="1321"/>
      <c r="DC86" s="1321"/>
      <c r="DD86" s="1321"/>
      <c r="DE86" s="1321"/>
      <c r="DF86" s="1321"/>
      <c r="DG86" s="1321"/>
      <c r="DH86" s="1361"/>
      <c r="DK86" s="1290" t="s">
        <v>967</v>
      </c>
      <c r="DL86" s="1291"/>
      <c r="DM86" s="1291"/>
      <c r="DN86" s="1291"/>
      <c r="DO86" s="1291"/>
      <c r="DP86" s="1291"/>
      <c r="DQ86" s="1291"/>
      <c r="DR86" s="1292"/>
      <c r="DT86" s="1290" t="s">
        <v>919</v>
      </c>
      <c r="DU86" s="1290"/>
      <c r="DV86" s="1290"/>
      <c r="DW86" s="1290"/>
      <c r="DX86" s="1290"/>
      <c r="DY86" s="1290"/>
      <c r="DZ86" s="1290"/>
      <c r="EA86" s="1303"/>
      <c r="EB86" s="292"/>
      <c r="EC86" s="292"/>
      <c r="ED86" s="317"/>
      <c r="EF86" s="150"/>
      <c r="FI86" s="174">
        <v>1</v>
      </c>
      <c r="FJ86" s="1218" t="s">
        <v>4746</v>
      </c>
      <c r="FK86" s="1218"/>
      <c r="FL86" s="1218"/>
      <c r="FM86" s="1218"/>
      <c r="FN86" s="1218"/>
      <c r="FO86" s="1218"/>
      <c r="FP86" s="1218"/>
      <c r="HB86" s="154"/>
      <c r="HE86" s="13"/>
      <c r="HG86" s="13"/>
      <c r="HI86" s="1344" t="s">
        <v>731</v>
      </c>
      <c r="HJ86" s="1345"/>
      <c r="HK86" s="1345"/>
      <c r="HL86" s="1345"/>
      <c r="HM86" s="1345"/>
      <c r="HN86" s="1345"/>
      <c r="HO86" s="1345"/>
      <c r="HP86" s="1346"/>
      <c r="HQ86" s="224"/>
      <c r="HR86" s="224"/>
      <c r="HS86" s="1281" t="s">
        <v>870</v>
      </c>
      <c r="HT86" s="1304"/>
      <c r="HU86" s="1304"/>
      <c r="HV86" s="1304"/>
      <c r="HW86" s="1304"/>
      <c r="HX86" s="1304"/>
      <c r="HY86" s="1304"/>
      <c r="HZ86" s="1304"/>
      <c r="IC86" s="1281" t="s">
        <v>898</v>
      </c>
      <c r="ID86" s="1281"/>
      <c r="IE86" s="1281"/>
      <c r="IF86" s="1281"/>
      <c r="IG86" s="1281"/>
      <c r="IH86" s="1281"/>
      <c r="II86" s="1281"/>
      <c r="IJ86" s="1281"/>
      <c r="IM86" s="1268" t="s">
        <v>511</v>
      </c>
      <c r="IN86" s="1268"/>
      <c r="IO86" s="1268"/>
      <c r="IP86" s="1268"/>
      <c r="IQ86" s="1268"/>
      <c r="IR86" s="1268"/>
      <c r="IS86" s="1268"/>
      <c r="IT86" s="1268"/>
      <c r="IU86" s="224"/>
      <c r="IV86" s="352"/>
      <c r="IW86" s="1344" t="s">
        <v>755</v>
      </c>
      <c r="IX86" s="1345"/>
      <c r="IY86" s="1345"/>
      <c r="IZ86" s="1345"/>
      <c r="JA86" s="1345"/>
      <c r="JB86" s="1345"/>
      <c r="JC86" s="1345"/>
      <c r="JD86" s="1346"/>
      <c r="JF86" s="154"/>
      <c r="JJ86" s="150"/>
      <c r="JK86" s="173">
        <v>1</v>
      </c>
      <c r="JL86" s="1172" t="s">
        <v>206</v>
      </c>
      <c r="JM86" s="1173"/>
      <c r="JN86" s="1173"/>
      <c r="JO86" s="1173"/>
      <c r="JP86" s="1173"/>
      <c r="JQ86" s="1173"/>
      <c r="JR86" s="1174"/>
      <c r="JS86" s="319"/>
      <c r="JT86" s="319"/>
      <c r="JU86" s="173">
        <v>1</v>
      </c>
      <c r="JV86" s="1172" t="s">
        <v>206</v>
      </c>
      <c r="JW86" s="1173"/>
      <c r="JX86" s="1173"/>
      <c r="JY86" s="1173"/>
      <c r="JZ86" s="1173"/>
      <c r="KA86" s="1173"/>
      <c r="KB86" s="1174"/>
      <c r="KC86" s="319"/>
      <c r="KD86" s="319"/>
      <c r="KE86" s="173">
        <v>1</v>
      </c>
      <c r="KF86" s="1172" t="s">
        <v>206</v>
      </c>
      <c r="KG86" s="1173"/>
      <c r="KH86" s="1173"/>
      <c r="KI86" s="1173"/>
      <c r="KJ86" s="1173"/>
      <c r="KK86" s="1173"/>
      <c r="KL86" s="1174"/>
      <c r="KO86" s="173">
        <v>1</v>
      </c>
      <c r="KP86" s="1172" t="s">
        <v>206</v>
      </c>
      <c r="KQ86" s="1173"/>
      <c r="KR86" s="1173"/>
      <c r="KS86" s="1173"/>
      <c r="KT86" s="1173"/>
      <c r="KU86" s="1173"/>
      <c r="KV86" s="1174"/>
      <c r="KW86" s="154"/>
      <c r="LP86" s="319"/>
      <c r="LQ86" s="319"/>
      <c r="LR86" s="319"/>
    </row>
    <row r="87" spans="63:330" x14ac:dyDescent="0.35">
      <c r="BK87" s="13"/>
      <c r="BM87" s="312">
        <v>1</v>
      </c>
      <c r="BN87" s="1178" t="s">
        <v>4747</v>
      </c>
      <c r="BO87" s="1179"/>
      <c r="BP87" s="1179"/>
      <c r="BQ87" s="1179"/>
      <c r="BR87" s="1179"/>
      <c r="BS87" s="1179"/>
      <c r="BT87" s="1180"/>
      <c r="BW87" s="312">
        <v>1</v>
      </c>
      <c r="BX87" s="1178" t="s">
        <v>4747</v>
      </c>
      <c r="BY87" s="1179"/>
      <c r="BZ87" s="1179"/>
      <c r="CA87" s="1179"/>
      <c r="CB87" s="1179"/>
      <c r="CC87" s="1179"/>
      <c r="CD87" s="1180"/>
      <c r="CI87" s="367">
        <v>1</v>
      </c>
      <c r="CJ87" s="1179" t="s">
        <v>170</v>
      </c>
      <c r="CK87" s="1179"/>
      <c r="CL87" s="1179"/>
      <c r="CM87" s="1179"/>
      <c r="CN87" s="1179"/>
      <c r="CO87" s="1179"/>
      <c r="CP87" s="1180"/>
      <c r="CR87" s="367">
        <v>1</v>
      </c>
      <c r="CS87" s="1178" t="s">
        <v>170</v>
      </c>
      <c r="CT87" s="1179"/>
      <c r="CU87" s="1179"/>
      <c r="CV87" s="1179"/>
      <c r="CW87" s="1179"/>
      <c r="CX87" s="1179"/>
      <c r="CY87" s="1180"/>
      <c r="DA87" s="312">
        <v>1</v>
      </c>
      <c r="DB87" s="1178" t="s">
        <v>4745</v>
      </c>
      <c r="DC87" s="1178"/>
      <c r="DD87" s="1178"/>
      <c r="DE87" s="1178"/>
      <c r="DF87" s="1178"/>
      <c r="DG87" s="1178"/>
      <c r="DH87" s="1102"/>
      <c r="DK87" s="367">
        <v>1</v>
      </c>
      <c r="DL87" s="1178" t="s">
        <v>4748</v>
      </c>
      <c r="DM87" s="1179"/>
      <c r="DN87" s="1179"/>
      <c r="DO87" s="1179"/>
      <c r="DP87" s="1179"/>
      <c r="DQ87" s="1179"/>
      <c r="DR87" s="1180"/>
      <c r="DT87" s="312">
        <v>1</v>
      </c>
      <c r="DU87" s="1178" t="s">
        <v>169</v>
      </c>
      <c r="DV87" s="1178"/>
      <c r="DW87" s="1178"/>
      <c r="DX87" s="1178"/>
      <c r="DY87" s="1178"/>
      <c r="DZ87" s="1178"/>
      <c r="EA87" s="1102"/>
      <c r="EB87" s="207"/>
      <c r="EC87" s="207"/>
      <c r="ED87" s="316"/>
      <c r="EF87" s="150"/>
      <c r="FI87" s="1268" t="s">
        <v>894</v>
      </c>
      <c r="FJ87" s="1268"/>
      <c r="FK87" s="1268"/>
      <c r="FL87" s="1268"/>
      <c r="FM87" s="1268"/>
      <c r="FN87" s="1268"/>
      <c r="FO87" s="1268"/>
      <c r="FP87" s="1268"/>
      <c r="HB87" s="154"/>
      <c r="HE87" s="13"/>
      <c r="HG87" s="13"/>
      <c r="HI87" s="368">
        <v>1</v>
      </c>
      <c r="HJ87" s="1277" t="s">
        <v>183</v>
      </c>
      <c r="HK87" s="1277"/>
      <c r="HL87" s="1277"/>
      <c r="HM87" s="1277"/>
      <c r="HN87" s="1277"/>
      <c r="HO87" s="1277"/>
      <c r="HP87" s="1277"/>
      <c r="HS87" s="368">
        <v>1</v>
      </c>
      <c r="HT87" s="1277" t="s">
        <v>183</v>
      </c>
      <c r="HU87" s="1277"/>
      <c r="HV87" s="1277"/>
      <c r="HW87" s="1277"/>
      <c r="HX87" s="1277"/>
      <c r="HY87" s="1277"/>
      <c r="HZ87" s="1277"/>
      <c r="IC87" s="173">
        <v>1</v>
      </c>
      <c r="ID87" s="1218" t="s">
        <v>183</v>
      </c>
      <c r="IE87" s="1218"/>
      <c r="IF87" s="1218"/>
      <c r="IG87" s="1218"/>
      <c r="IH87" s="1218"/>
      <c r="II87" s="1218"/>
      <c r="IJ87" s="1218"/>
      <c r="IM87" s="173">
        <v>1</v>
      </c>
      <c r="IN87" s="1218" t="s">
        <v>184</v>
      </c>
      <c r="IO87" s="1218"/>
      <c r="IP87" s="1218"/>
      <c r="IQ87" s="1218"/>
      <c r="IR87" s="1218"/>
      <c r="IS87" s="1218"/>
      <c r="IT87" s="1218"/>
      <c r="IV87" s="259"/>
      <c r="IW87" s="368">
        <v>1</v>
      </c>
      <c r="IX87" s="1277" t="s">
        <v>184</v>
      </c>
      <c r="IY87" s="1277"/>
      <c r="IZ87" s="1277"/>
      <c r="JA87" s="1277"/>
      <c r="JB87" s="1277"/>
      <c r="JC87" s="1277"/>
      <c r="JD87" s="1277"/>
      <c r="JF87" s="154"/>
      <c r="JJ87" s="150"/>
      <c r="JK87" s="1271" t="s">
        <v>691</v>
      </c>
      <c r="JL87" s="1279"/>
      <c r="JM87" s="1279"/>
      <c r="JN87" s="1279"/>
      <c r="JO87" s="1279"/>
      <c r="JP87" s="1279"/>
      <c r="JQ87" s="1279"/>
      <c r="JR87" s="1280"/>
      <c r="JS87" s="207"/>
      <c r="JT87" s="207"/>
      <c r="JU87" s="1271" t="s">
        <v>678</v>
      </c>
      <c r="JV87" s="1279"/>
      <c r="JW87" s="1279"/>
      <c r="JX87" s="1279"/>
      <c r="JY87" s="1279"/>
      <c r="JZ87" s="1279"/>
      <c r="KA87" s="1279"/>
      <c r="KB87" s="1280"/>
      <c r="KC87" s="207"/>
      <c r="KD87" s="207"/>
      <c r="KE87" s="1271" t="s">
        <v>734</v>
      </c>
      <c r="KF87" s="1279"/>
      <c r="KG87" s="1279"/>
      <c r="KH87" s="1279"/>
      <c r="KI87" s="1279"/>
      <c r="KJ87" s="1279"/>
      <c r="KK87" s="1279"/>
      <c r="KL87" s="1280"/>
      <c r="KO87" s="1271" t="s">
        <v>689</v>
      </c>
      <c r="KP87" s="1279"/>
      <c r="KQ87" s="1279"/>
      <c r="KR87" s="1279"/>
      <c r="KS87" s="1279"/>
      <c r="KT87" s="1279"/>
      <c r="KU87" s="1279"/>
      <c r="KV87" s="1280"/>
      <c r="KW87" s="154"/>
      <c r="LP87" s="207"/>
      <c r="LQ87" s="207"/>
      <c r="LR87" s="207"/>
    </row>
    <row r="88" spans="63:330" x14ac:dyDescent="0.35">
      <c r="BK88" s="13"/>
      <c r="BM88" s="1357" t="s">
        <v>985</v>
      </c>
      <c r="BN88" s="1358"/>
      <c r="BO88" s="1358"/>
      <c r="BP88" s="1358"/>
      <c r="BQ88" s="1358"/>
      <c r="BR88" s="1358"/>
      <c r="BS88" s="1358"/>
      <c r="BT88" s="1359"/>
      <c r="BW88" s="1322" t="s">
        <v>608</v>
      </c>
      <c r="BX88" s="1323"/>
      <c r="BY88" s="1323"/>
      <c r="BZ88" s="1323"/>
      <c r="CA88" s="1323"/>
      <c r="CB88" s="1323"/>
      <c r="CC88" s="1323"/>
      <c r="CD88" s="1324"/>
      <c r="CI88" s="1321" t="s">
        <v>798</v>
      </c>
      <c r="CJ88" s="1291"/>
      <c r="CK88" s="1291"/>
      <c r="CL88" s="1291"/>
      <c r="CM88" s="1291"/>
      <c r="CN88" s="1291"/>
      <c r="CO88" s="1291"/>
      <c r="CP88" s="1292"/>
      <c r="CR88" s="1331" t="s">
        <v>785</v>
      </c>
      <c r="CS88" s="1332"/>
      <c r="CT88" s="1332"/>
      <c r="CU88" s="1332"/>
      <c r="CV88" s="1332"/>
      <c r="CW88" s="1332"/>
      <c r="CX88" s="1332"/>
      <c r="CY88" s="1333"/>
      <c r="DA88" s="1290" t="s">
        <v>899</v>
      </c>
      <c r="DB88" s="1290"/>
      <c r="DC88" s="1290"/>
      <c r="DD88" s="1290"/>
      <c r="DE88" s="1290"/>
      <c r="DF88" s="1290"/>
      <c r="DG88" s="1290"/>
      <c r="DH88" s="1303"/>
      <c r="DK88" s="1290" t="s">
        <v>937</v>
      </c>
      <c r="DL88" s="1291"/>
      <c r="DM88" s="1291"/>
      <c r="DN88" s="1291"/>
      <c r="DO88" s="1291"/>
      <c r="DP88" s="1291"/>
      <c r="DQ88" s="1291"/>
      <c r="DR88" s="1292"/>
      <c r="DT88" s="1290" t="s">
        <v>729</v>
      </c>
      <c r="DU88" s="1290"/>
      <c r="DV88" s="1290"/>
      <c r="DW88" s="1290"/>
      <c r="DX88" s="1290"/>
      <c r="DY88" s="1290"/>
      <c r="DZ88" s="1290"/>
      <c r="EA88" s="1303"/>
      <c r="EB88" s="292"/>
      <c r="EC88" s="292"/>
      <c r="ED88" s="317"/>
      <c r="EF88" s="150"/>
      <c r="HB88" s="154"/>
      <c r="HE88" s="13"/>
      <c r="HG88" s="13"/>
      <c r="HI88" s="1281" t="s">
        <v>587</v>
      </c>
      <c r="HJ88" s="1281"/>
      <c r="HK88" s="1281"/>
      <c r="HL88" s="1281"/>
      <c r="HM88" s="1281"/>
      <c r="HN88" s="1281"/>
      <c r="HO88" s="1281"/>
      <c r="HP88" s="1281"/>
      <c r="HS88" s="1281" t="s">
        <v>877</v>
      </c>
      <c r="HT88" s="1281"/>
      <c r="HU88" s="1281"/>
      <c r="HV88" s="1281"/>
      <c r="HW88" s="1281"/>
      <c r="HX88" s="1281"/>
      <c r="HY88" s="1281"/>
      <c r="HZ88" s="1281"/>
      <c r="IC88" s="1281" t="s">
        <v>904</v>
      </c>
      <c r="ID88" s="1281"/>
      <c r="IE88" s="1281"/>
      <c r="IF88" s="1281"/>
      <c r="IG88" s="1281"/>
      <c r="IH88" s="1281"/>
      <c r="II88" s="1281"/>
      <c r="IJ88" s="1281"/>
      <c r="IM88" s="1268" t="s">
        <v>520</v>
      </c>
      <c r="IN88" s="1268"/>
      <c r="IO88" s="1268"/>
      <c r="IP88" s="1268"/>
      <c r="IQ88" s="1268"/>
      <c r="IR88" s="1268"/>
      <c r="IS88" s="1268"/>
      <c r="IT88" s="1268"/>
      <c r="IV88" s="259"/>
      <c r="IW88" s="1281" t="s">
        <v>780</v>
      </c>
      <c r="IX88" s="1281"/>
      <c r="IY88" s="1281"/>
      <c r="IZ88" s="1281"/>
      <c r="JA88" s="1281"/>
      <c r="JB88" s="1281"/>
      <c r="JC88" s="1281"/>
      <c r="JD88" s="1281"/>
      <c r="JF88" s="154"/>
      <c r="JJ88" s="150"/>
      <c r="JK88" s="173">
        <v>1</v>
      </c>
      <c r="JL88" s="1172" t="s">
        <v>206</v>
      </c>
      <c r="JM88" s="1173"/>
      <c r="JN88" s="1173"/>
      <c r="JO88" s="1173"/>
      <c r="JP88" s="1173"/>
      <c r="JQ88" s="1173"/>
      <c r="JR88" s="1174"/>
      <c r="JS88" s="319"/>
      <c r="JT88" s="319"/>
      <c r="JU88" s="173">
        <v>1</v>
      </c>
      <c r="JV88" s="1172" t="s">
        <v>206</v>
      </c>
      <c r="JW88" s="1173"/>
      <c r="JX88" s="1173"/>
      <c r="JY88" s="1173"/>
      <c r="JZ88" s="1173"/>
      <c r="KA88" s="1173"/>
      <c r="KB88" s="1174"/>
      <c r="KC88" s="319"/>
      <c r="KD88" s="319"/>
      <c r="KE88" s="173">
        <v>1</v>
      </c>
      <c r="KF88" s="1172" t="s">
        <v>206</v>
      </c>
      <c r="KG88" s="1173"/>
      <c r="KH88" s="1173"/>
      <c r="KI88" s="1173"/>
      <c r="KJ88" s="1173"/>
      <c r="KK88" s="1173"/>
      <c r="KL88" s="1174"/>
      <c r="KO88" s="173">
        <v>1</v>
      </c>
      <c r="KP88" s="1172" t="s">
        <v>206</v>
      </c>
      <c r="KQ88" s="1173"/>
      <c r="KR88" s="1173"/>
      <c r="KS88" s="1173"/>
      <c r="KT88" s="1173"/>
      <c r="KU88" s="1173"/>
      <c r="KV88" s="1174"/>
      <c r="KW88" s="154"/>
      <c r="LP88" s="319"/>
      <c r="LQ88" s="319"/>
      <c r="LR88" s="319"/>
    </row>
    <row r="89" spans="63:330" x14ac:dyDescent="0.35">
      <c r="BK89" s="13"/>
      <c r="BM89" s="367">
        <v>1</v>
      </c>
      <c r="BN89" s="1178" t="s">
        <v>4749</v>
      </c>
      <c r="BO89" s="1179"/>
      <c r="BP89" s="1179"/>
      <c r="BQ89" s="1179"/>
      <c r="BR89" s="1179"/>
      <c r="BS89" s="1179"/>
      <c r="BT89" s="1180"/>
      <c r="BW89" s="367">
        <v>1</v>
      </c>
      <c r="BX89" s="1178" t="s">
        <v>4749</v>
      </c>
      <c r="BY89" s="1179"/>
      <c r="BZ89" s="1179"/>
      <c r="CA89" s="1179"/>
      <c r="CB89" s="1179"/>
      <c r="CC89" s="1179"/>
      <c r="CD89" s="1180"/>
      <c r="CI89" s="367">
        <v>1</v>
      </c>
      <c r="CJ89" s="1178" t="s">
        <v>170</v>
      </c>
      <c r="CK89" s="1179"/>
      <c r="CL89" s="1179"/>
      <c r="CM89" s="1179"/>
      <c r="CN89" s="1179"/>
      <c r="CO89" s="1179"/>
      <c r="CP89" s="1180"/>
      <c r="CR89" s="369">
        <v>1</v>
      </c>
      <c r="CS89" s="1337" t="s">
        <v>170</v>
      </c>
      <c r="CT89" s="1338"/>
      <c r="CU89" s="1338"/>
      <c r="CV89" s="1338"/>
      <c r="CW89" s="1338"/>
      <c r="CX89" s="1338"/>
      <c r="CY89" s="1339"/>
      <c r="DK89" s="367">
        <v>1</v>
      </c>
      <c r="DL89" s="1178" t="s">
        <v>4750</v>
      </c>
      <c r="DM89" s="1179"/>
      <c r="DN89" s="1179"/>
      <c r="DO89" s="1179"/>
      <c r="DP89" s="1179"/>
      <c r="DQ89" s="1179"/>
      <c r="DR89" s="1180"/>
      <c r="DT89" s="173">
        <v>1</v>
      </c>
      <c r="DU89" s="1172" t="s">
        <v>169</v>
      </c>
      <c r="DV89" s="1173"/>
      <c r="DW89" s="1173"/>
      <c r="DX89" s="1173"/>
      <c r="DY89" s="1173"/>
      <c r="DZ89" s="1173"/>
      <c r="EA89" s="1174"/>
      <c r="EB89" s="313"/>
      <c r="EC89" s="313"/>
      <c r="ED89" s="150"/>
      <c r="EF89" s="150"/>
      <c r="HB89" s="154"/>
      <c r="HE89" s="13"/>
      <c r="HG89" s="13"/>
      <c r="HI89" s="173">
        <v>1</v>
      </c>
      <c r="HJ89" s="1218" t="s">
        <v>195</v>
      </c>
      <c r="HK89" s="1218"/>
      <c r="HL89" s="1218"/>
      <c r="HM89" s="1218"/>
      <c r="HN89" s="1218"/>
      <c r="HO89" s="1218"/>
      <c r="HP89" s="1218"/>
      <c r="HS89" s="368">
        <v>1</v>
      </c>
      <c r="HT89" s="1277" t="s">
        <v>183</v>
      </c>
      <c r="HU89" s="1277"/>
      <c r="HV89" s="1277"/>
      <c r="HW89" s="1277"/>
      <c r="HX89" s="1277"/>
      <c r="HY89" s="1277"/>
      <c r="HZ89" s="1277"/>
      <c r="IC89" s="173">
        <v>1</v>
      </c>
      <c r="ID89" s="1218" t="s">
        <v>183</v>
      </c>
      <c r="IE89" s="1218"/>
      <c r="IF89" s="1218"/>
      <c r="IG89" s="1218"/>
      <c r="IH89" s="1218"/>
      <c r="II89" s="1218"/>
      <c r="IJ89" s="1218"/>
      <c r="IM89" s="173">
        <v>1</v>
      </c>
      <c r="IN89" s="1218" t="s">
        <v>184</v>
      </c>
      <c r="IO89" s="1218"/>
      <c r="IP89" s="1218"/>
      <c r="IQ89" s="1218"/>
      <c r="IR89" s="1218"/>
      <c r="IS89" s="1218"/>
      <c r="IT89" s="1218"/>
      <c r="IV89" s="259"/>
      <c r="IW89" s="355">
        <v>1</v>
      </c>
      <c r="IX89" s="1286" t="s">
        <v>195</v>
      </c>
      <c r="IY89" s="1286"/>
      <c r="IZ89" s="1286"/>
      <c r="JA89" s="1286"/>
      <c r="JB89" s="1286"/>
      <c r="JC89" s="1286"/>
      <c r="JD89" s="1286"/>
      <c r="JF89" s="154"/>
      <c r="JJ89" s="150"/>
      <c r="JK89" s="1271" t="s">
        <v>4751</v>
      </c>
      <c r="JL89" s="1279"/>
      <c r="JM89" s="1279"/>
      <c r="JN89" s="1279"/>
      <c r="JO89" s="1279"/>
      <c r="JP89" s="1279"/>
      <c r="JQ89" s="1279"/>
      <c r="JR89" s="1280"/>
      <c r="JS89" s="207"/>
      <c r="JT89" s="207"/>
      <c r="JU89" s="1283" t="s">
        <v>131</v>
      </c>
      <c r="JV89" s="1284"/>
      <c r="JW89" s="1284"/>
      <c r="JX89" s="1284"/>
      <c r="JY89" s="1284"/>
      <c r="JZ89" s="1284"/>
      <c r="KA89" s="1284"/>
      <c r="KB89" s="1285"/>
      <c r="KC89" s="370"/>
      <c r="KD89" s="370"/>
      <c r="KE89" s="1271" t="s">
        <v>863</v>
      </c>
      <c r="KF89" s="1279"/>
      <c r="KG89" s="1279"/>
      <c r="KH89" s="1279"/>
      <c r="KI89" s="1279"/>
      <c r="KJ89" s="1279"/>
      <c r="KK89" s="1279"/>
      <c r="KL89" s="1280"/>
      <c r="KO89" s="1271" t="s">
        <v>736</v>
      </c>
      <c r="KP89" s="1279"/>
      <c r="KQ89" s="1279"/>
      <c r="KR89" s="1279"/>
      <c r="KS89" s="1279"/>
      <c r="KT89" s="1279"/>
      <c r="KU89" s="1279"/>
      <c r="KV89" s="1280"/>
      <c r="KW89" s="154"/>
      <c r="LP89" s="207"/>
      <c r="LQ89" s="207"/>
      <c r="LR89" s="207"/>
    </row>
    <row r="90" spans="63:330" x14ac:dyDescent="0.35">
      <c r="BK90" s="13"/>
      <c r="BM90" s="1290" t="s">
        <v>791</v>
      </c>
      <c r="BN90" s="1291"/>
      <c r="BO90" s="1291"/>
      <c r="BP90" s="1291"/>
      <c r="BQ90" s="1291"/>
      <c r="BR90" s="1291"/>
      <c r="BS90" s="1291"/>
      <c r="BT90" s="1292"/>
      <c r="BW90" s="1334" t="s">
        <v>131</v>
      </c>
      <c r="BX90" s="1335"/>
      <c r="BY90" s="1335"/>
      <c r="BZ90" s="1335"/>
      <c r="CA90" s="1335"/>
      <c r="CB90" s="1335"/>
      <c r="CC90" s="1335"/>
      <c r="CD90" s="1336"/>
      <c r="CI90" s="1325" t="s">
        <v>783</v>
      </c>
      <c r="CJ90" s="1326"/>
      <c r="CK90" s="1326"/>
      <c r="CL90" s="1326"/>
      <c r="CM90" s="1326"/>
      <c r="CN90" s="1326"/>
      <c r="CO90" s="1326"/>
      <c r="CP90" s="1327"/>
      <c r="CR90" s="1278" t="s">
        <v>4752</v>
      </c>
      <c r="CS90" s="1278"/>
      <c r="CT90" s="1278"/>
      <c r="CU90" s="1278"/>
      <c r="CV90" s="1278"/>
      <c r="CW90" s="1278"/>
      <c r="CX90" s="1278"/>
      <c r="CY90" s="1278"/>
      <c r="DK90" s="1290" t="s">
        <v>915</v>
      </c>
      <c r="DL90" s="1291"/>
      <c r="DM90" s="1291"/>
      <c r="DN90" s="1291"/>
      <c r="DO90" s="1291"/>
      <c r="DP90" s="1291"/>
      <c r="DQ90" s="1291"/>
      <c r="DR90" s="1292"/>
      <c r="DT90" s="1347" t="s">
        <v>842</v>
      </c>
      <c r="DU90" s="1279"/>
      <c r="DV90" s="1279"/>
      <c r="DW90" s="1279"/>
      <c r="DX90" s="1279"/>
      <c r="DY90" s="1279"/>
      <c r="DZ90" s="1279"/>
      <c r="EA90" s="1280"/>
      <c r="EB90" s="314"/>
      <c r="EC90" s="314"/>
      <c r="ED90" s="150"/>
      <c r="EF90" s="150"/>
      <c r="EH90" s="1052" t="s">
        <v>212</v>
      </c>
      <c r="EI90" s="1052"/>
      <c r="EJ90" s="1052"/>
      <c r="EK90" s="1052"/>
      <c r="EL90" s="1052"/>
      <c r="EM90" s="1052"/>
      <c r="EN90" s="1052"/>
      <c r="EO90" s="1052"/>
      <c r="EQ90" s="1052" t="s">
        <v>4753</v>
      </c>
      <c r="ER90" s="1052"/>
      <c r="ES90" s="1052"/>
      <c r="ET90" s="1052"/>
      <c r="EU90" s="1052"/>
      <c r="EV90" s="1052"/>
      <c r="EW90" s="1052"/>
      <c r="EX90" s="1052"/>
      <c r="EZ90" s="1052" t="s">
        <v>211</v>
      </c>
      <c r="FA90" s="1052"/>
      <c r="FB90" s="1052"/>
      <c r="FC90" s="1052"/>
      <c r="FD90" s="1052"/>
      <c r="FE90" s="1052"/>
      <c r="FF90" s="1052"/>
      <c r="FG90" s="1052"/>
      <c r="FI90" s="1049" t="s">
        <v>214</v>
      </c>
      <c r="FJ90" s="1050"/>
      <c r="FK90" s="1050"/>
      <c r="FL90" s="1050"/>
      <c r="FM90" s="1050"/>
      <c r="FN90" s="1050"/>
      <c r="FO90" s="1050"/>
      <c r="FP90" s="1051"/>
      <c r="FR90" s="1049" t="s">
        <v>271</v>
      </c>
      <c r="FS90" s="1050"/>
      <c r="FT90" s="1050"/>
      <c r="FU90" s="1050"/>
      <c r="FV90" s="1050"/>
      <c r="FW90" s="1050"/>
      <c r="FX90" s="1050"/>
      <c r="FY90" s="1051"/>
      <c r="GA90" s="1049" t="s">
        <v>163</v>
      </c>
      <c r="GB90" s="1050"/>
      <c r="GC90" s="1050"/>
      <c r="GD90" s="1050"/>
      <c r="GE90" s="1050"/>
      <c r="GF90" s="1050"/>
      <c r="GG90" s="1050"/>
      <c r="GH90" s="1051"/>
      <c r="GJ90" s="1049" t="s">
        <v>213</v>
      </c>
      <c r="GK90" s="1050"/>
      <c r="GL90" s="1050"/>
      <c r="GM90" s="1050"/>
      <c r="GN90" s="1050"/>
      <c r="GO90" s="1050"/>
      <c r="GP90" s="1050"/>
      <c r="GQ90" s="1051"/>
      <c r="GS90" s="1049" t="s">
        <v>4754</v>
      </c>
      <c r="GT90" s="1050"/>
      <c r="GU90" s="1050"/>
      <c r="GV90" s="1050"/>
      <c r="GW90" s="1050"/>
      <c r="GX90" s="1050"/>
      <c r="GY90" s="1050"/>
      <c r="GZ90" s="1051"/>
      <c r="HB90" s="154"/>
      <c r="HE90" s="13"/>
      <c r="HG90" s="13"/>
      <c r="HI90" s="1268" t="s">
        <v>509</v>
      </c>
      <c r="HJ90" s="1268"/>
      <c r="HK90" s="1268"/>
      <c r="HL90" s="1268"/>
      <c r="HM90" s="1268"/>
      <c r="HN90" s="1268"/>
      <c r="HO90" s="1268"/>
      <c r="HP90" s="1268"/>
      <c r="HS90" s="1278" t="s">
        <v>131</v>
      </c>
      <c r="HT90" s="1278"/>
      <c r="HU90" s="1278"/>
      <c r="HV90" s="1278"/>
      <c r="HW90" s="1278"/>
      <c r="HX90" s="1278"/>
      <c r="HY90" s="1278"/>
      <c r="HZ90" s="1278"/>
      <c r="IC90" s="1281" t="s">
        <v>1053</v>
      </c>
      <c r="ID90" s="1281"/>
      <c r="IE90" s="1281"/>
      <c r="IF90" s="1281"/>
      <c r="IG90" s="1281"/>
      <c r="IH90" s="1281"/>
      <c r="II90" s="1281"/>
      <c r="IJ90" s="1281"/>
      <c r="IM90" s="1268" t="s">
        <v>595</v>
      </c>
      <c r="IN90" s="1268"/>
      <c r="IO90" s="1268"/>
      <c r="IP90" s="1268"/>
      <c r="IQ90" s="1268"/>
      <c r="IR90" s="1268"/>
      <c r="IS90" s="1268"/>
      <c r="IT90" s="1268"/>
      <c r="IV90" s="259"/>
      <c r="IW90" s="1268" t="s">
        <v>1040</v>
      </c>
      <c r="IX90" s="1268"/>
      <c r="IY90" s="1268"/>
      <c r="IZ90" s="1268"/>
      <c r="JA90" s="1268"/>
      <c r="JB90" s="1268"/>
      <c r="JC90" s="1268"/>
      <c r="JD90" s="1268"/>
      <c r="JF90" s="154"/>
      <c r="JJ90" s="150"/>
      <c r="JK90" s="173">
        <v>1</v>
      </c>
      <c r="JL90" s="1172" t="s">
        <v>206</v>
      </c>
      <c r="JM90" s="1173"/>
      <c r="JN90" s="1173"/>
      <c r="JO90" s="1173"/>
      <c r="JP90" s="1173"/>
      <c r="JQ90" s="1173"/>
      <c r="JR90" s="1174"/>
      <c r="JS90" s="319"/>
      <c r="JT90" s="319"/>
      <c r="JU90" s="173">
        <v>1</v>
      </c>
      <c r="JV90" s="1172" t="s">
        <v>206</v>
      </c>
      <c r="JW90" s="1173"/>
      <c r="JX90" s="1173"/>
      <c r="JY90" s="1173"/>
      <c r="JZ90" s="1173"/>
      <c r="KA90" s="1173"/>
      <c r="KB90" s="1174"/>
      <c r="KC90" s="207"/>
      <c r="KD90" s="207"/>
      <c r="KE90" s="173">
        <v>1</v>
      </c>
      <c r="KF90" s="1172" t="s">
        <v>206</v>
      </c>
      <c r="KG90" s="1173"/>
      <c r="KH90" s="1173"/>
      <c r="KI90" s="1173"/>
      <c r="KJ90" s="1173"/>
      <c r="KK90" s="1173"/>
      <c r="KL90" s="1174"/>
      <c r="KO90" s="173">
        <v>1</v>
      </c>
      <c r="KP90" s="1172" t="s">
        <v>206</v>
      </c>
      <c r="KQ90" s="1173"/>
      <c r="KR90" s="1173"/>
      <c r="KS90" s="1173"/>
      <c r="KT90" s="1173"/>
      <c r="KU90" s="1173"/>
      <c r="KV90" s="1174"/>
      <c r="KW90" s="154"/>
      <c r="LP90" s="207"/>
      <c r="LQ90" s="207"/>
      <c r="LR90" s="207"/>
    </row>
    <row r="91" spans="63:330" x14ac:dyDescent="0.35">
      <c r="BK91" s="13"/>
      <c r="BM91" s="367">
        <v>1</v>
      </c>
      <c r="BN91" s="1178" t="s">
        <v>4755</v>
      </c>
      <c r="BO91" s="1179"/>
      <c r="BP91" s="1179"/>
      <c r="BQ91" s="1179"/>
      <c r="BR91" s="1179"/>
      <c r="BS91" s="1179"/>
      <c r="BT91" s="1180"/>
      <c r="BW91" s="367">
        <v>1</v>
      </c>
      <c r="BX91" s="1178" t="s">
        <v>4755</v>
      </c>
      <c r="BY91" s="1179"/>
      <c r="BZ91" s="1179"/>
      <c r="CA91" s="1179"/>
      <c r="CB91" s="1179"/>
      <c r="CC91" s="1179"/>
      <c r="CD91" s="1180"/>
      <c r="CI91" s="367">
        <v>1</v>
      </c>
      <c r="CJ91" s="1178" t="s">
        <v>4756</v>
      </c>
      <c r="CK91" s="1179"/>
      <c r="CL91" s="1179"/>
      <c r="CM91" s="1179"/>
      <c r="CN91" s="1179"/>
      <c r="CO91" s="1179"/>
      <c r="CP91" s="1180"/>
      <c r="CR91" s="362">
        <v>1</v>
      </c>
      <c r="CS91" s="1293" t="s">
        <v>170</v>
      </c>
      <c r="CT91" s="1294"/>
      <c r="CU91" s="1294"/>
      <c r="CV91" s="1294"/>
      <c r="CW91" s="1294"/>
      <c r="CX91" s="1294"/>
      <c r="CY91" s="1295"/>
      <c r="DK91" s="367">
        <v>1</v>
      </c>
      <c r="DL91" s="1178" t="s">
        <v>4750</v>
      </c>
      <c r="DM91" s="1179"/>
      <c r="DN91" s="1179"/>
      <c r="DO91" s="1179"/>
      <c r="DP91" s="1179"/>
      <c r="DQ91" s="1179"/>
      <c r="DR91" s="1180"/>
      <c r="DT91" s="173">
        <v>1</v>
      </c>
      <c r="DU91" s="1172" t="s">
        <v>169</v>
      </c>
      <c r="DV91" s="1173"/>
      <c r="DW91" s="1173"/>
      <c r="DX91" s="1173"/>
      <c r="DY91" s="1173"/>
      <c r="DZ91" s="1173"/>
      <c r="EA91" s="1174"/>
      <c r="EB91" s="313"/>
      <c r="EC91" s="313"/>
      <c r="ED91" s="150"/>
      <c r="EF91" s="150"/>
      <c r="EH91" s="174">
        <v>1</v>
      </c>
      <c r="EI91" s="1218" t="s">
        <v>4757</v>
      </c>
      <c r="EJ91" s="1218"/>
      <c r="EK91" s="1218"/>
      <c r="EL91" s="1218"/>
      <c r="EM91" s="1218"/>
      <c r="EN91" s="1218"/>
      <c r="EO91" s="1218"/>
      <c r="EQ91" s="144">
        <v>1</v>
      </c>
      <c r="ER91" s="1056" t="s">
        <v>4758</v>
      </c>
      <c r="ES91" s="1056"/>
      <c r="ET91" s="1056"/>
      <c r="EU91" s="1056"/>
      <c r="EV91" s="1056"/>
      <c r="EW91" s="1056"/>
      <c r="EX91" s="1056"/>
      <c r="EZ91" s="233">
        <v>1</v>
      </c>
      <c r="FA91" s="1378" t="s">
        <v>4759</v>
      </c>
      <c r="FB91" s="1378"/>
      <c r="FC91" s="1378"/>
      <c r="FD91" s="1378"/>
      <c r="FE91" s="1378"/>
      <c r="FF91" s="1378"/>
      <c r="FG91" s="1378"/>
      <c r="FI91" s="174">
        <v>1</v>
      </c>
      <c r="FJ91" s="1218" t="s">
        <v>4746</v>
      </c>
      <c r="FK91" s="1218"/>
      <c r="FL91" s="1218"/>
      <c r="FM91" s="1218"/>
      <c r="FN91" s="1218"/>
      <c r="FO91" s="1218"/>
      <c r="FP91" s="1218"/>
      <c r="FR91" s="174">
        <v>1</v>
      </c>
      <c r="FS91" s="1218" t="s">
        <v>4760</v>
      </c>
      <c r="FT91" s="1218"/>
      <c r="FU91" s="1218"/>
      <c r="FV91" s="1218"/>
      <c r="FW91" s="1218"/>
      <c r="FX91" s="1218"/>
      <c r="FY91" s="1218"/>
      <c r="GA91" s="174">
        <v>1</v>
      </c>
      <c r="GB91" s="1218" t="s">
        <v>4761</v>
      </c>
      <c r="GC91" s="1218"/>
      <c r="GD91" s="1218"/>
      <c r="GE91" s="1218"/>
      <c r="GF91" s="1218"/>
      <c r="GG91" s="1218"/>
      <c r="GH91" s="1218"/>
      <c r="GJ91" s="174">
        <v>1</v>
      </c>
      <c r="GK91" s="1218" t="s">
        <v>219</v>
      </c>
      <c r="GL91" s="1218"/>
      <c r="GM91" s="1218"/>
      <c r="GN91" s="1218"/>
      <c r="GO91" s="1218"/>
      <c r="GP91" s="1218"/>
      <c r="GQ91" s="1218"/>
      <c r="GS91" s="174">
        <v>1</v>
      </c>
      <c r="GT91" s="1218" t="s">
        <v>4762</v>
      </c>
      <c r="GU91" s="1218"/>
      <c r="GV91" s="1218"/>
      <c r="GW91" s="1218"/>
      <c r="GX91" s="1218"/>
      <c r="GY91" s="1218"/>
      <c r="GZ91" s="1218"/>
      <c r="HB91" s="154"/>
      <c r="HE91" s="13"/>
      <c r="HG91" s="13"/>
      <c r="HI91" s="173">
        <v>1</v>
      </c>
      <c r="HJ91" s="1218" t="s">
        <v>195</v>
      </c>
      <c r="HK91" s="1218"/>
      <c r="HL91" s="1218"/>
      <c r="HM91" s="1218"/>
      <c r="HN91" s="1218"/>
      <c r="HO91" s="1218"/>
      <c r="HP91" s="1218"/>
      <c r="HS91" s="173">
        <v>1</v>
      </c>
      <c r="HT91" s="1218" t="s">
        <v>195</v>
      </c>
      <c r="HU91" s="1218"/>
      <c r="HV91" s="1218"/>
      <c r="HW91" s="1218"/>
      <c r="HX91" s="1218"/>
      <c r="HY91" s="1218"/>
      <c r="HZ91" s="1218"/>
      <c r="IC91" s="173">
        <v>1</v>
      </c>
      <c r="ID91" s="1218" t="s">
        <v>195</v>
      </c>
      <c r="IE91" s="1218"/>
      <c r="IF91" s="1218"/>
      <c r="IG91" s="1218"/>
      <c r="IH91" s="1218"/>
      <c r="II91" s="1218"/>
      <c r="IJ91" s="1218"/>
      <c r="IM91" s="173">
        <v>1</v>
      </c>
      <c r="IN91" s="1218" t="s">
        <v>184</v>
      </c>
      <c r="IO91" s="1218"/>
      <c r="IP91" s="1218"/>
      <c r="IQ91" s="1218"/>
      <c r="IR91" s="1218"/>
      <c r="IS91" s="1218"/>
      <c r="IT91" s="1218"/>
      <c r="IV91" s="259"/>
      <c r="IW91" s="173">
        <v>1</v>
      </c>
      <c r="IX91" s="1218" t="s">
        <v>184</v>
      </c>
      <c r="IY91" s="1218"/>
      <c r="IZ91" s="1218"/>
      <c r="JA91" s="1218"/>
      <c r="JB91" s="1218"/>
      <c r="JC91" s="1218"/>
      <c r="JD91" s="1218"/>
      <c r="JF91" s="154"/>
      <c r="JJ91" s="150"/>
      <c r="JK91" s="1271" t="s">
        <v>830</v>
      </c>
      <c r="JL91" s="1279"/>
      <c r="JM91" s="1279"/>
      <c r="JN91" s="1279"/>
      <c r="JO91" s="1279"/>
      <c r="JP91" s="1279"/>
      <c r="JQ91" s="1279"/>
      <c r="JR91" s="1280"/>
      <c r="JS91" s="207"/>
      <c r="JT91" s="207"/>
      <c r="JU91" s="1271" t="s">
        <v>778</v>
      </c>
      <c r="JV91" s="1279"/>
      <c r="JW91" s="1279"/>
      <c r="JX91" s="1279"/>
      <c r="JY91" s="1279"/>
      <c r="JZ91" s="1279"/>
      <c r="KA91" s="1279"/>
      <c r="KB91" s="1280"/>
      <c r="KC91" s="319"/>
      <c r="KD91" s="319"/>
      <c r="KE91" s="1271" t="s">
        <v>912</v>
      </c>
      <c r="KF91" s="1279"/>
      <c r="KG91" s="1279"/>
      <c r="KH91" s="1279"/>
      <c r="KI91" s="1279"/>
      <c r="KJ91" s="1279"/>
      <c r="KK91" s="1279"/>
      <c r="KL91" s="1280"/>
      <c r="KO91" s="1271" t="s">
        <v>817</v>
      </c>
      <c r="KP91" s="1279"/>
      <c r="KQ91" s="1279"/>
      <c r="KR91" s="1279"/>
      <c r="KS91" s="1279"/>
      <c r="KT91" s="1279"/>
      <c r="KU91" s="1279"/>
      <c r="KV91" s="1280"/>
      <c r="KW91" s="154"/>
      <c r="LP91" s="319"/>
      <c r="LQ91" s="319"/>
      <c r="LR91" s="319"/>
    </row>
    <row r="92" spans="63:330" x14ac:dyDescent="0.35">
      <c r="BK92" s="13"/>
      <c r="BM92" s="1290" t="s">
        <v>723</v>
      </c>
      <c r="BN92" s="1291"/>
      <c r="BO92" s="1291"/>
      <c r="BP92" s="1352"/>
      <c r="BQ92" s="1291"/>
      <c r="BR92" s="1291"/>
      <c r="BS92" s="1291"/>
      <c r="BT92" s="1292"/>
      <c r="BW92" s="1328" t="s">
        <v>131</v>
      </c>
      <c r="BX92" s="1329"/>
      <c r="BY92" s="1329"/>
      <c r="BZ92" s="1360"/>
      <c r="CA92" s="1329"/>
      <c r="CB92" s="1329"/>
      <c r="CC92" s="1329"/>
      <c r="CD92" s="1330"/>
      <c r="CI92" s="1328" t="s">
        <v>131</v>
      </c>
      <c r="CJ92" s="1329"/>
      <c r="CK92" s="1329"/>
      <c r="CL92" s="1329"/>
      <c r="CM92" s="1329"/>
      <c r="CN92" s="1329"/>
      <c r="CO92" s="1329"/>
      <c r="CP92" s="1330"/>
      <c r="CR92" s="1328" t="s">
        <v>4752</v>
      </c>
      <c r="CS92" s="1329"/>
      <c r="CT92" s="1329"/>
      <c r="CU92" s="1329"/>
      <c r="CV92" s="1329"/>
      <c r="CW92" s="1329"/>
      <c r="CX92" s="1329"/>
      <c r="CY92" s="1330"/>
      <c r="DK92" s="1290" t="s">
        <v>723</v>
      </c>
      <c r="DL92" s="1291"/>
      <c r="DM92" s="1291"/>
      <c r="DN92" s="1291"/>
      <c r="DO92" s="1291"/>
      <c r="DP92" s="1291"/>
      <c r="DQ92" s="1291"/>
      <c r="DR92" s="1292"/>
      <c r="DT92" s="1347" t="s">
        <v>1044</v>
      </c>
      <c r="DU92" s="1279"/>
      <c r="DV92" s="1279"/>
      <c r="DW92" s="1279"/>
      <c r="DX92" s="1279"/>
      <c r="DY92" s="1279"/>
      <c r="DZ92" s="1279"/>
      <c r="EA92" s="1280"/>
      <c r="EB92" s="314"/>
      <c r="EC92" s="314"/>
      <c r="ED92" s="150"/>
      <c r="EF92" s="150"/>
      <c r="EH92" s="1268" t="s">
        <v>871</v>
      </c>
      <c r="EI92" s="1268"/>
      <c r="EJ92" s="1268"/>
      <c r="EK92" s="1268"/>
      <c r="EL92" s="1268"/>
      <c r="EM92" s="1268"/>
      <c r="EN92" s="1268"/>
      <c r="EO92" s="1268"/>
      <c r="EQ92" s="1270" t="s">
        <v>819</v>
      </c>
      <c r="ER92" s="1270"/>
      <c r="ES92" s="1270"/>
      <c r="ET92" s="1270"/>
      <c r="EU92" s="1270"/>
      <c r="EV92" s="1270"/>
      <c r="EW92" s="1270"/>
      <c r="EX92" s="1270"/>
      <c r="EZ92" s="1270" t="s">
        <v>1000</v>
      </c>
      <c r="FA92" s="1270"/>
      <c r="FB92" s="1270"/>
      <c r="FC92" s="1270"/>
      <c r="FD92" s="1270"/>
      <c r="FE92" s="1270"/>
      <c r="FF92" s="1270"/>
      <c r="FG92" s="1270"/>
      <c r="FI92" s="1268" t="s">
        <v>960</v>
      </c>
      <c r="FJ92" s="1268"/>
      <c r="FK92" s="1268"/>
      <c r="FL92" s="1268"/>
      <c r="FM92" s="1268"/>
      <c r="FN92" s="1268"/>
      <c r="FO92" s="1268"/>
      <c r="FP92" s="1268"/>
      <c r="FR92" s="1268" t="s">
        <v>803</v>
      </c>
      <c r="FS92" s="1268"/>
      <c r="FT92" s="1268"/>
      <c r="FU92" s="1268"/>
      <c r="FV92" s="1268"/>
      <c r="FW92" s="1268"/>
      <c r="FX92" s="1268"/>
      <c r="FY92" s="1268"/>
      <c r="GA92" s="1268" t="s">
        <v>840</v>
      </c>
      <c r="GB92" s="1268"/>
      <c r="GC92" s="1268"/>
      <c r="GD92" s="1268"/>
      <c r="GE92" s="1268"/>
      <c r="GF92" s="1268"/>
      <c r="GG92" s="1268"/>
      <c r="GH92" s="1268"/>
      <c r="GJ92" s="1268" t="s">
        <v>809</v>
      </c>
      <c r="GK92" s="1268"/>
      <c r="GL92" s="1268"/>
      <c r="GM92" s="1268"/>
      <c r="GN92" s="1268"/>
      <c r="GO92" s="1268"/>
      <c r="GP92" s="1268"/>
      <c r="GQ92" s="1268"/>
      <c r="GS92" s="1268" t="s">
        <v>844</v>
      </c>
      <c r="GT92" s="1268"/>
      <c r="GU92" s="1268"/>
      <c r="GV92" s="1268"/>
      <c r="GW92" s="1268"/>
      <c r="GX92" s="1268"/>
      <c r="GY92" s="1268"/>
      <c r="GZ92" s="1268"/>
      <c r="HB92" s="154"/>
      <c r="HE92" s="13"/>
      <c r="HG92" s="13"/>
      <c r="HI92" s="1268" t="s">
        <v>545</v>
      </c>
      <c r="HJ92" s="1268"/>
      <c r="HK92" s="1268"/>
      <c r="HL92" s="1268"/>
      <c r="HM92" s="1268"/>
      <c r="HN92" s="1268"/>
      <c r="HO92" s="1268"/>
      <c r="HP92" s="1268"/>
      <c r="HS92" s="1268" t="s">
        <v>702</v>
      </c>
      <c r="HT92" s="1268"/>
      <c r="HU92" s="1268"/>
      <c r="HV92" s="1268"/>
      <c r="HW92" s="1268"/>
      <c r="HX92" s="1268"/>
      <c r="HY92" s="1268"/>
      <c r="HZ92" s="1268"/>
      <c r="IC92" s="1268" t="s">
        <v>828</v>
      </c>
      <c r="ID92" s="1268"/>
      <c r="IE92" s="1268"/>
      <c r="IF92" s="1268"/>
      <c r="IG92" s="1268"/>
      <c r="IH92" s="1268"/>
      <c r="II92" s="1268"/>
      <c r="IJ92" s="1268"/>
      <c r="IM92" s="1268" t="s">
        <v>601</v>
      </c>
      <c r="IN92" s="1268"/>
      <c r="IO92" s="1268"/>
      <c r="IP92" s="1268"/>
      <c r="IQ92" s="1268"/>
      <c r="IR92" s="1268"/>
      <c r="IS92" s="1268"/>
      <c r="IT92" s="1268"/>
      <c r="IV92" s="259"/>
      <c r="IW92" s="1281" t="s">
        <v>839</v>
      </c>
      <c r="IX92" s="1281"/>
      <c r="IY92" s="1281"/>
      <c r="IZ92" s="1281"/>
      <c r="JA92" s="1281"/>
      <c r="JB92" s="1281"/>
      <c r="JC92" s="1281"/>
      <c r="JD92" s="1281"/>
      <c r="JF92" s="154"/>
      <c r="JJ92" s="150"/>
      <c r="JK92" s="173">
        <v>1</v>
      </c>
      <c r="JL92" s="1172" t="s">
        <v>206</v>
      </c>
      <c r="JM92" s="1173"/>
      <c r="JN92" s="1173"/>
      <c r="JO92" s="1173"/>
      <c r="JP92" s="1173"/>
      <c r="JQ92" s="1173"/>
      <c r="JR92" s="1174"/>
      <c r="JS92" s="319"/>
      <c r="JT92" s="319"/>
      <c r="JU92" s="173">
        <v>1</v>
      </c>
      <c r="JV92" s="1172" t="s">
        <v>206</v>
      </c>
      <c r="JW92" s="1173"/>
      <c r="JX92" s="1173"/>
      <c r="JY92" s="1173"/>
      <c r="JZ92" s="1173"/>
      <c r="KA92" s="1173"/>
      <c r="KB92" s="1174"/>
      <c r="KE92" s="173">
        <v>1</v>
      </c>
      <c r="KF92" s="1172" t="s">
        <v>206</v>
      </c>
      <c r="KG92" s="1173"/>
      <c r="KH92" s="1173"/>
      <c r="KI92" s="1173"/>
      <c r="KJ92" s="1173"/>
      <c r="KK92" s="1173"/>
      <c r="KL92" s="1174"/>
      <c r="KO92" s="173">
        <v>1</v>
      </c>
      <c r="KP92" s="1172" t="s">
        <v>206</v>
      </c>
      <c r="KQ92" s="1173"/>
      <c r="KR92" s="1173"/>
      <c r="KS92" s="1173"/>
      <c r="KT92" s="1173"/>
      <c r="KU92" s="1173"/>
      <c r="KV92" s="1174"/>
      <c r="KW92" s="154"/>
      <c r="LP92" s="207"/>
      <c r="LQ92" s="207"/>
      <c r="LR92" s="207"/>
    </row>
    <row r="93" spans="63:330" x14ac:dyDescent="0.35">
      <c r="BK93" s="13"/>
      <c r="BP93" s="66"/>
      <c r="BZ93" s="66"/>
      <c r="CI93" s="367">
        <v>1</v>
      </c>
      <c r="CJ93" s="1178" t="s">
        <v>4756</v>
      </c>
      <c r="CK93" s="1179"/>
      <c r="CL93" s="1179"/>
      <c r="CM93" s="1179"/>
      <c r="CN93" s="1179"/>
      <c r="CO93" s="1179"/>
      <c r="CP93" s="1180"/>
      <c r="CR93" s="367">
        <v>1</v>
      </c>
      <c r="CS93" s="1178" t="s">
        <v>4756</v>
      </c>
      <c r="CT93" s="1179"/>
      <c r="CU93" s="1179"/>
      <c r="CV93" s="1179"/>
      <c r="CW93" s="1179"/>
      <c r="CX93" s="1179"/>
      <c r="CY93" s="1180"/>
      <c r="DK93" s="367">
        <v>1</v>
      </c>
      <c r="DL93" s="1178" t="s">
        <v>4763</v>
      </c>
      <c r="DM93" s="1179"/>
      <c r="DN93" s="1179"/>
      <c r="DO93" s="1179"/>
      <c r="DP93" s="1179"/>
      <c r="DQ93" s="1179"/>
      <c r="DR93" s="1180"/>
      <c r="DT93" s="173">
        <v>1</v>
      </c>
      <c r="DU93" s="1172" t="s">
        <v>181</v>
      </c>
      <c r="DV93" s="1173"/>
      <c r="DW93" s="1173"/>
      <c r="DX93" s="1173"/>
      <c r="DY93" s="1173"/>
      <c r="DZ93" s="1173"/>
      <c r="EA93" s="1174"/>
      <c r="EB93" s="313"/>
      <c r="EC93" s="313"/>
      <c r="ED93" s="150"/>
      <c r="EF93" s="150"/>
      <c r="EH93" s="174">
        <v>1</v>
      </c>
      <c r="EI93" s="1218" t="s">
        <v>4757</v>
      </c>
      <c r="EJ93" s="1218"/>
      <c r="EK93" s="1218"/>
      <c r="EL93" s="1218"/>
      <c r="EM93" s="1218"/>
      <c r="EN93" s="1218"/>
      <c r="EO93" s="1218"/>
      <c r="EQ93" s="144">
        <v>1</v>
      </c>
      <c r="ER93" s="1056" t="s">
        <v>4758</v>
      </c>
      <c r="ES93" s="1056"/>
      <c r="ET93" s="1056"/>
      <c r="EU93" s="1056"/>
      <c r="EV93" s="1056"/>
      <c r="EW93" s="1056"/>
      <c r="EX93" s="1056"/>
      <c r="EZ93" s="174">
        <v>1</v>
      </c>
      <c r="FA93" s="1218" t="s">
        <v>227</v>
      </c>
      <c r="FB93" s="1218"/>
      <c r="FC93" s="1218"/>
      <c r="FD93" s="1218"/>
      <c r="FE93" s="1218"/>
      <c r="FF93" s="1218"/>
      <c r="FG93" s="1218"/>
      <c r="FI93" s="174">
        <v>1</v>
      </c>
      <c r="FJ93" s="1218" t="s">
        <v>4764</v>
      </c>
      <c r="FK93" s="1218"/>
      <c r="FL93" s="1218"/>
      <c r="FM93" s="1218"/>
      <c r="FN93" s="1218"/>
      <c r="FO93" s="1218"/>
      <c r="FP93" s="1218"/>
      <c r="FR93" s="174">
        <v>1</v>
      </c>
      <c r="FS93" s="1218" t="s">
        <v>4760</v>
      </c>
      <c r="FT93" s="1218"/>
      <c r="FU93" s="1218"/>
      <c r="FV93" s="1218"/>
      <c r="FW93" s="1218"/>
      <c r="FX93" s="1218"/>
      <c r="FY93" s="1218"/>
      <c r="GA93" s="174">
        <v>1</v>
      </c>
      <c r="GB93" s="1056" t="s">
        <v>171</v>
      </c>
      <c r="GC93" s="1056"/>
      <c r="GD93" s="1056"/>
      <c r="GE93" s="1056"/>
      <c r="GF93" s="1056"/>
      <c r="GG93" s="1056"/>
      <c r="GH93" s="1056"/>
      <c r="GJ93" s="174">
        <v>1</v>
      </c>
      <c r="GK93" s="1218" t="s">
        <v>219</v>
      </c>
      <c r="GL93" s="1218"/>
      <c r="GM93" s="1218"/>
      <c r="GN93" s="1218"/>
      <c r="GO93" s="1218"/>
      <c r="GP93" s="1218"/>
      <c r="GQ93" s="1218"/>
      <c r="GS93" s="174">
        <v>1</v>
      </c>
      <c r="GT93" s="1218" t="s">
        <v>4762</v>
      </c>
      <c r="GU93" s="1218"/>
      <c r="GV93" s="1218"/>
      <c r="GW93" s="1218"/>
      <c r="GX93" s="1218"/>
      <c r="GY93" s="1218"/>
      <c r="GZ93" s="1218"/>
      <c r="HB93" s="154"/>
      <c r="HE93" s="13"/>
      <c r="HG93" s="13"/>
      <c r="HI93" s="173">
        <v>1</v>
      </c>
      <c r="HJ93" s="1218" t="s">
        <v>195</v>
      </c>
      <c r="HK93" s="1218"/>
      <c r="HL93" s="1218"/>
      <c r="HM93" s="1218"/>
      <c r="HN93" s="1218"/>
      <c r="HO93" s="1218"/>
      <c r="HP93" s="1218"/>
      <c r="HS93" s="173">
        <v>1</v>
      </c>
      <c r="HT93" s="1218" t="s">
        <v>195</v>
      </c>
      <c r="HU93" s="1218"/>
      <c r="HV93" s="1218"/>
      <c r="HW93" s="1218"/>
      <c r="HX93" s="1218"/>
      <c r="HY93" s="1218"/>
      <c r="HZ93" s="1218"/>
      <c r="IC93" s="173">
        <v>1</v>
      </c>
      <c r="ID93" s="1218" t="s">
        <v>195</v>
      </c>
      <c r="IE93" s="1218"/>
      <c r="IF93" s="1218"/>
      <c r="IG93" s="1218"/>
      <c r="IH93" s="1218"/>
      <c r="II93" s="1218"/>
      <c r="IJ93" s="1218"/>
      <c r="IM93" s="173">
        <v>1</v>
      </c>
      <c r="IN93" s="1218" t="s">
        <v>184</v>
      </c>
      <c r="IO93" s="1218"/>
      <c r="IP93" s="1218"/>
      <c r="IQ93" s="1218"/>
      <c r="IR93" s="1218"/>
      <c r="IS93" s="1218"/>
      <c r="IT93" s="1218"/>
      <c r="IV93" s="259"/>
      <c r="IW93" s="173">
        <v>1</v>
      </c>
      <c r="IX93" s="1218" t="s">
        <v>184</v>
      </c>
      <c r="IY93" s="1218"/>
      <c r="IZ93" s="1218"/>
      <c r="JA93" s="1218"/>
      <c r="JB93" s="1218"/>
      <c r="JC93" s="1218"/>
      <c r="JD93" s="1218"/>
      <c r="JF93" s="154"/>
      <c r="JJ93" s="150"/>
      <c r="JK93" s="1271" t="s">
        <v>900</v>
      </c>
      <c r="JL93" s="1279"/>
      <c r="JM93" s="1279"/>
      <c r="JN93" s="1279"/>
      <c r="JO93" s="1279"/>
      <c r="JP93" s="1279"/>
      <c r="JQ93" s="1279"/>
      <c r="JR93" s="1280"/>
      <c r="JU93" s="1271" t="s">
        <v>849</v>
      </c>
      <c r="JV93" s="1279"/>
      <c r="JW93" s="1279"/>
      <c r="JX93" s="1279"/>
      <c r="JY93" s="1279"/>
      <c r="JZ93" s="1279"/>
      <c r="KA93" s="1279"/>
      <c r="KB93" s="1280"/>
      <c r="KC93" s="207"/>
      <c r="KD93" s="207"/>
      <c r="KE93" s="1271" t="s">
        <v>1010</v>
      </c>
      <c r="KF93" s="1272"/>
      <c r="KG93" s="1279"/>
      <c r="KH93" s="1279"/>
      <c r="KI93" s="1279"/>
      <c r="KJ93" s="1279"/>
      <c r="KK93" s="1279"/>
      <c r="KL93" s="1280"/>
      <c r="KO93" s="1271" t="s">
        <v>884</v>
      </c>
      <c r="KP93" s="1279"/>
      <c r="KQ93" s="1279"/>
      <c r="KR93" s="1279"/>
      <c r="KS93" s="1279"/>
      <c r="KT93" s="1279"/>
      <c r="KU93" s="1279"/>
      <c r="KV93" s="1280"/>
      <c r="KW93" s="154"/>
      <c r="LP93" s="319"/>
      <c r="LQ93" s="319"/>
      <c r="LR93" s="319"/>
    </row>
    <row r="94" spans="63:330" x14ac:dyDescent="0.35">
      <c r="BK94" s="13"/>
      <c r="BM94" s="1299" t="s">
        <v>4765</v>
      </c>
      <c r="BN94" s="1300"/>
      <c r="BO94" s="1300"/>
      <c r="BP94" s="1301"/>
      <c r="BQ94" s="1300"/>
      <c r="BR94" s="1300"/>
      <c r="BS94" s="1300"/>
      <c r="BT94" s="1302"/>
      <c r="BW94" s="1299" t="s">
        <v>4766</v>
      </c>
      <c r="BX94" s="1300"/>
      <c r="BY94" s="1300"/>
      <c r="BZ94" s="1301"/>
      <c r="CA94" s="1300"/>
      <c r="CB94" s="1300"/>
      <c r="CC94" s="1300"/>
      <c r="CD94" s="1302"/>
      <c r="CI94" s="1290" t="s">
        <v>714</v>
      </c>
      <c r="CJ94" s="1291"/>
      <c r="CK94" s="1291"/>
      <c r="CL94" s="1291"/>
      <c r="CM94" s="1291"/>
      <c r="CN94" s="1291"/>
      <c r="CO94" s="1291"/>
      <c r="CP94" s="1292"/>
      <c r="CR94" s="1328" t="s">
        <v>131</v>
      </c>
      <c r="CS94" s="1329"/>
      <c r="CT94" s="1329"/>
      <c r="CU94" s="1329"/>
      <c r="CV94" s="1329"/>
      <c r="CW94" s="1329"/>
      <c r="CX94" s="1329"/>
      <c r="CY94" s="1330"/>
      <c r="DK94" s="1290" t="s">
        <v>752</v>
      </c>
      <c r="DL94" s="1291"/>
      <c r="DM94" s="1291"/>
      <c r="DN94" s="1291"/>
      <c r="DO94" s="1291"/>
      <c r="DP94" s="1291"/>
      <c r="DQ94" s="1291"/>
      <c r="DR94" s="1292"/>
      <c r="DT94" s="1347" t="s">
        <v>621</v>
      </c>
      <c r="DU94" s="1279"/>
      <c r="DV94" s="1279"/>
      <c r="DW94" s="1279"/>
      <c r="DX94" s="1279"/>
      <c r="DY94" s="1279"/>
      <c r="DZ94" s="1279"/>
      <c r="EA94" s="1280"/>
      <c r="EB94" s="314"/>
      <c r="EC94" s="314"/>
      <c r="ED94" s="150"/>
      <c r="EF94" s="150"/>
      <c r="EH94" s="1268" t="s">
        <v>875</v>
      </c>
      <c r="EI94" s="1268"/>
      <c r="EJ94" s="1268"/>
      <c r="EK94" s="1268"/>
      <c r="EL94" s="1268"/>
      <c r="EM94" s="1268"/>
      <c r="EN94" s="1268"/>
      <c r="EO94" s="1268"/>
      <c r="EQ94" s="1270" t="s">
        <v>821</v>
      </c>
      <c r="ER94" s="1270"/>
      <c r="ES94" s="1270"/>
      <c r="ET94" s="1270"/>
      <c r="EU94" s="1270"/>
      <c r="EV94" s="1270"/>
      <c r="EW94" s="1270"/>
      <c r="EX94" s="1270"/>
      <c r="EZ94" s="1268" t="s">
        <v>962</v>
      </c>
      <c r="FA94" s="1268"/>
      <c r="FB94" s="1268"/>
      <c r="FC94" s="1268"/>
      <c r="FD94" s="1268"/>
      <c r="FE94" s="1268"/>
      <c r="FF94" s="1268"/>
      <c r="FG94" s="1268"/>
      <c r="FI94" s="1268" t="s">
        <v>901</v>
      </c>
      <c r="FJ94" s="1268"/>
      <c r="FK94" s="1268"/>
      <c r="FL94" s="1268"/>
      <c r="FM94" s="1268"/>
      <c r="FN94" s="1268"/>
      <c r="FO94" s="1268"/>
      <c r="FP94" s="1268"/>
      <c r="FR94" s="1268" t="s">
        <v>805</v>
      </c>
      <c r="FS94" s="1268"/>
      <c r="FT94" s="1268"/>
      <c r="FU94" s="1268"/>
      <c r="FV94" s="1268"/>
      <c r="FW94" s="1268"/>
      <c r="FX94" s="1268"/>
      <c r="FY94" s="1268"/>
      <c r="GA94" s="1270" t="s">
        <v>879</v>
      </c>
      <c r="GB94" s="1270"/>
      <c r="GC94" s="1270"/>
      <c r="GD94" s="1270"/>
      <c r="GE94" s="1270"/>
      <c r="GF94" s="1270"/>
      <c r="GG94" s="1270"/>
      <c r="GH94" s="1270"/>
      <c r="GJ94" s="1268" t="s">
        <v>813</v>
      </c>
      <c r="GK94" s="1268"/>
      <c r="GL94" s="1268"/>
      <c r="GM94" s="1268"/>
      <c r="GN94" s="1268"/>
      <c r="GO94" s="1268"/>
      <c r="GP94" s="1268"/>
      <c r="GQ94" s="1268"/>
      <c r="GS94" s="1268" t="s">
        <v>845</v>
      </c>
      <c r="GT94" s="1268"/>
      <c r="GU94" s="1268"/>
      <c r="GV94" s="1268"/>
      <c r="GW94" s="1268"/>
      <c r="GX94" s="1268"/>
      <c r="GY94" s="1268"/>
      <c r="GZ94" s="1268"/>
      <c r="HB94" s="154"/>
      <c r="HE94" s="13"/>
      <c r="HG94" s="13"/>
      <c r="HI94" s="1268" t="s">
        <v>572</v>
      </c>
      <c r="HJ94" s="1268"/>
      <c r="HK94" s="1268"/>
      <c r="HL94" s="1268"/>
      <c r="HM94" s="1268"/>
      <c r="HN94" s="1268"/>
      <c r="HO94" s="1268"/>
      <c r="HP94" s="1268"/>
      <c r="HS94" s="1268" t="s">
        <v>716</v>
      </c>
      <c r="HT94" s="1268"/>
      <c r="HU94" s="1268"/>
      <c r="HV94" s="1268"/>
      <c r="HW94" s="1268"/>
      <c r="HX94" s="1268"/>
      <c r="HY94" s="1268"/>
      <c r="HZ94" s="1268"/>
      <c r="IC94" s="1268" t="s">
        <v>854</v>
      </c>
      <c r="ID94" s="1268"/>
      <c r="IE94" s="1268"/>
      <c r="IF94" s="1268"/>
      <c r="IG94" s="1268"/>
      <c r="IH94" s="1268"/>
      <c r="II94" s="1268"/>
      <c r="IJ94" s="1268"/>
      <c r="IM94" s="1268" t="s">
        <v>614</v>
      </c>
      <c r="IN94" s="1268"/>
      <c r="IO94" s="1268"/>
      <c r="IP94" s="1268"/>
      <c r="IQ94" s="1268"/>
      <c r="IR94" s="1268"/>
      <c r="IS94" s="1268"/>
      <c r="IT94" s="1268"/>
      <c r="IV94" s="259"/>
      <c r="IW94" s="1281" t="s">
        <v>881</v>
      </c>
      <c r="IX94" s="1281"/>
      <c r="IY94" s="1281"/>
      <c r="IZ94" s="1281"/>
      <c r="JA94" s="1281"/>
      <c r="JB94" s="1281"/>
      <c r="JC94" s="1281"/>
      <c r="JD94" s="1281"/>
      <c r="JF94" s="154"/>
      <c r="JJ94" s="150"/>
      <c r="JK94" s="173">
        <v>1</v>
      </c>
      <c r="JL94" s="1172" t="s">
        <v>206</v>
      </c>
      <c r="JM94" s="1173"/>
      <c r="JN94" s="1173"/>
      <c r="JO94" s="1173"/>
      <c r="JP94" s="1173"/>
      <c r="JQ94" s="1173"/>
      <c r="JR94" s="1174"/>
      <c r="JU94" s="173">
        <v>1</v>
      </c>
      <c r="JV94" s="1172" t="s">
        <v>206</v>
      </c>
      <c r="JW94" s="1173"/>
      <c r="JX94" s="1173"/>
      <c r="JY94" s="1173"/>
      <c r="JZ94" s="1173"/>
      <c r="KA94" s="1173"/>
      <c r="KB94" s="1174"/>
      <c r="KC94" s="319"/>
      <c r="KD94" s="319"/>
      <c r="KE94" s="173">
        <v>1</v>
      </c>
      <c r="KF94" s="1172" t="s">
        <v>206</v>
      </c>
      <c r="KG94" s="1173"/>
      <c r="KH94" s="1173"/>
      <c r="KI94" s="1173"/>
      <c r="KJ94" s="1173"/>
      <c r="KK94" s="1173"/>
      <c r="KL94" s="1174"/>
      <c r="KO94" s="173">
        <v>1</v>
      </c>
      <c r="KP94" s="1172" t="s">
        <v>206</v>
      </c>
      <c r="KQ94" s="1173"/>
      <c r="KR94" s="1173"/>
      <c r="KS94" s="1173"/>
      <c r="KT94" s="1173"/>
      <c r="KU94" s="1173"/>
      <c r="KV94" s="1174"/>
      <c r="KW94" s="154"/>
      <c r="LP94" s="207"/>
      <c r="LQ94" s="207"/>
      <c r="LR94" s="207"/>
    </row>
    <row r="95" spans="63:330" x14ac:dyDescent="0.35">
      <c r="BK95" s="13"/>
      <c r="BM95" s="312">
        <v>1</v>
      </c>
      <c r="BN95" s="1178" t="s">
        <v>4744</v>
      </c>
      <c r="BO95" s="1179"/>
      <c r="BP95" s="1179"/>
      <c r="BQ95" s="1179"/>
      <c r="BR95" s="1179"/>
      <c r="BS95" s="1179"/>
      <c r="BT95" s="1180"/>
      <c r="BW95" s="312">
        <v>1</v>
      </c>
      <c r="BX95" s="1178" t="s">
        <v>4744</v>
      </c>
      <c r="BY95" s="1179"/>
      <c r="BZ95" s="1179"/>
      <c r="CA95" s="1179"/>
      <c r="CB95" s="1179"/>
      <c r="CC95" s="1179"/>
      <c r="CD95" s="1180"/>
      <c r="CI95" s="367">
        <v>1</v>
      </c>
      <c r="CJ95" s="1178" t="s">
        <v>4756</v>
      </c>
      <c r="CK95" s="1179"/>
      <c r="CL95" s="1179"/>
      <c r="CM95" s="1179"/>
      <c r="CN95" s="1179"/>
      <c r="CO95" s="1179"/>
      <c r="CP95" s="1180"/>
      <c r="CR95" s="367">
        <v>1</v>
      </c>
      <c r="CS95" s="1178" t="s">
        <v>4756</v>
      </c>
      <c r="CT95" s="1179"/>
      <c r="CU95" s="1179"/>
      <c r="CV95" s="1179"/>
      <c r="CW95" s="1179"/>
      <c r="CX95" s="1179"/>
      <c r="CY95" s="1180"/>
      <c r="DT95" s="173">
        <v>1</v>
      </c>
      <c r="DU95" s="1172" t="s">
        <v>181</v>
      </c>
      <c r="DV95" s="1173"/>
      <c r="DW95" s="1173"/>
      <c r="DX95" s="1173"/>
      <c r="DY95" s="1173"/>
      <c r="DZ95" s="1173"/>
      <c r="EA95" s="1174"/>
      <c r="EB95" s="313"/>
      <c r="EC95" s="313"/>
      <c r="ED95" s="150"/>
      <c r="EF95" s="150"/>
      <c r="EH95" s="174">
        <v>1</v>
      </c>
      <c r="EI95" s="1218" t="s">
        <v>4767</v>
      </c>
      <c r="EJ95" s="1218"/>
      <c r="EK95" s="1218"/>
      <c r="EL95" s="1218"/>
      <c r="EM95" s="1218"/>
      <c r="EN95" s="1218"/>
      <c r="EO95" s="1218"/>
      <c r="EQ95" s="144">
        <v>1</v>
      </c>
      <c r="ER95" s="1056" t="s">
        <v>4758</v>
      </c>
      <c r="ES95" s="1056"/>
      <c r="ET95" s="1056"/>
      <c r="EU95" s="1056"/>
      <c r="EV95" s="1056"/>
      <c r="EW95" s="1056"/>
      <c r="EX95" s="1056"/>
      <c r="EZ95" s="174">
        <v>1</v>
      </c>
      <c r="FA95" s="1218" t="s">
        <v>227</v>
      </c>
      <c r="FB95" s="1218"/>
      <c r="FC95" s="1218"/>
      <c r="FD95" s="1218"/>
      <c r="FE95" s="1218"/>
      <c r="FF95" s="1218"/>
      <c r="FG95" s="1218"/>
      <c r="FI95" s="174">
        <v>1</v>
      </c>
      <c r="FJ95" s="1218" t="s">
        <v>4764</v>
      </c>
      <c r="FK95" s="1218"/>
      <c r="FL95" s="1218"/>
      <c r="FM95" s="1218"/>
      <c r="FN95" s="1218"/>
      <c r="FO95" s="1218"/>
      <c r="FP95" s="1218"/>
      <c r="FR95" s="174">
        <v>1</v>
      </c>
      <c r="FS95" s="1218" t="s">
        <v>4768</v>
      </c>
      <c r="FT95" s="1218"/>
      <c r="FU95" s="1218"/>
      <c r="FV95" s="1218"/>
      <c r="FW95" s="1218"/>
      <c r="FX95" s="1218"/>
      <c r="FY95" s="1218"/>
      <c r="GA95" s="174">
        <v>1</v>
      </c>
      <c r="GB95" s="1056" t="s">
        <v>171</v>
      </c>
      <c r="GC95" s="1056"/>
      <c r="GD95" s="1056"/>
      <c r="GE95" s="1056"/>
      <c r="GF95" s="1056"/>
      <c r="GG95" s="1056"/>
      <c r="GH95" s="1056"/>
      <c r="GJ95" s="174">
        <v>1</v>
      </c>
      <c r="GK95" s="1218" t="s">
        <v>219</v>
      </c>
      <c r="GL95" s="1218"/>
      <c r="GM95" s="1218"/>
      <c r="GN95" s="1218"/>
      <c r="GO95" s="1218"/>
      <c r="GP95" s="1218"/>
      <c r="GQ95" s="1218"/>
      <c r="GS95" s="174">
        <v>1</v>
      </c>
      <c r="GT95" s="1218" t="s">
        <v>4762</v>
      </c>
      <c r="GU95" s="1218"/>
      <c r="GV95" s="1218"/>
      <c r="GW95" s="1218"/>
      <c r="GX95" s="1218"/>
      <c r="GY95" s="1218"/>
      <c r="GZ95" s="1218"/>
      <c r="HB95" s="154"/>
      <c r="HE95" s="13"/>
      <c r="HG95" s="13"/>
      <c r="HI95" s="173">
        <v>1</v>
      </c>
      <c r="HJ95" s="1218" t="s">
        <v>195</v>
      </c>
      <c r="HK95" s="1218"/>
      <c r="HL95" s="1218"/>
      <c r="HM95" s="1218"/>
      <c r="HN95" s="1218"/>
      <c r="HO95" s="1218"/>
      <c r="HP95" s="1218"/>
      <c r="HS95" s="173">
        <v>1</v>
      </c>
      <c r="HT95" s="1218" t="s">
        <v>195</v>
      </c>
      <c r="HU95" s="1218"/>
      <c r="HV95" s="1218"/>
      <c r="HW95" s="1218"/>
      <c r="HX95" s="1218"/>
      <c r="HY95" s="1218"/>
      <c r="HZ95" s="1218"/>
      <c r="IC95" s="173">
        <v>1</v>
      </c>
      <c r="ID95" s="1218" t="s">
        <v>195</v>
      </c>
      <c r="IE95" s="1218"/>
      <c r="IF95" s="1218"/>
      <c r="IG95" s="1218"/>
      <c r="IH95" s="1218"/>
      <c r="II95" s="1218"/>
      <c r="IJ95" s="1218"/>
      <c r="IM95" s="173">
        <v>1</v>
      </c>
      <c r="IN95" s="1218" t="s">
        <v>184</v>
      </c>
      <c r="IO95" s="1218"/>
      <c r="IP95" s="1218"/>
      <c r="IQ95" s="1218"/>
      <c r="IR95" s="1218"/>
      <c r="IS95" s="1218"/>
      <c r="IT95" s="1218"/>
      <c r="IV95" s="259"/>
      <c r="IW95" s="173">
        <v>1</v>
      </c>
      <c r="IX95" s="1218" t="s">
        <v>184</v>
      </c>
      <c r="IY95" s="1218"/>
      <c r="IZ95" s="1218"/>
      <c r="JA95" s="1218"/>
      <c r="JB95" s="1218"/>
      <c r="JC95" s="1218"/>
      <c r="JD95" s="1218"/>
      <c r="JF95" s="154"/>
      <c r="JJ95" s="150"/>
      <c r="JK95" s="1271" t="s">
        <v>914</v>
      </c>
      <c r="JL95" s="1279"/>
      <c r="JM95" s="1279"/>
      <c r="JN95" s="1279"/>
      <c r="JO95" s="1279"/>
      <c r="JP95" s="1279"/>
      <c r="JQ95" s="1279"/>
      <c r="JR95" s="1280"/>
      <c r="JU95" s="1271" t="s">
        <v>911</v>
      </c>
      <c r="JV95" s="1279"/>
      <c r="JW95" s="1279"/>
      <c r="JX95" s="1279"/>
      <c r="JY95" s="1279"/>
      <c r="JZ95" s="1279"/>
      <c r="KA95" s="1279"/>
      <c r="KB95" s="1280"/>
      <c r="KC95" s="207"/>
      <c r="KD95" s="207"/>
      <c r="KE95" s="1271" t="s">
        <v>1012</v>
      </c>
      <c r="KF95" s="1272"/>
      <c r="KG95" s="1279"/>
      <c r="KH95" s="1279"/>
      <c r="KI95" s="1279"/>
      <c r="KJ95" s="1279"/>
      <c r="KK95" s="1279"/>
      <c r="KL95" s="1280"/>
      <c r="KO95" s="1271" t="s">
        <v>913</v>
      </c>
      <c r="KP95" s="1279"/>
      <c r="KQ95" s="1279"/>
      <c r="KR95" s="1279"/>
      <c r="KS95" s="1279"/>
      <c r="KT95" s="1279"/>
      <c r="KU95" s="1279"/>
      <c r="KV95" s="1280"/>
      <c r="KW95" s="154"/>
      <c r="LP95" s="319"/>
      <c r="LQ95" s="319"/>
      <c r="LR95" s="319"/>
    </row>
    <row r="96" spans="63:330" x14ac:dyDescent="0.35">
      <c r="BK96" s="13"/>
      <c r="BM96" s="1290" t="s">
        <v>666</v>
      </c>
      <c r="BN96" s="1291"/>
      <c r="BO96" s="1291"/>
      <c r="BP96" s="1291"/>
      <c r="BQ96" s="1291"/>
      <c r="BR96" s="1291"/>
      <c r="BS96" s="1291"/>
      <c r="BT96" s="1292"/>
      <c r="BW96" s="1290" t="s">
        <v>1056</v>
      </c>
      <c r="BX96" s="1291"/>
      <c r="BY96" s="1291"/>
      <c r="BZ96" s="1291"/>
      <c r="CA96" s="1291"/>
      <c r="CB96" s="1291"/>
      <c r="CC96" s="1291"/>
      <c r="CD96" s="1292"/>
      <c r="CI96" s="1290" t="s">
        <v>857</v>
      </c>
      <c r="CJ96" s="1291"/>
      <c r="CK96" s="1291"/>
      <c r="CL96" s="1291"/>
      <c r="CM96" s="1291"/>
      <c r="CN96" s="1291"/>
      <c r="CO96" s="1291"/>
      <c r="CP96" s="1292"/>
      <c r="CR96" s="1290" t="s">
        <v>1032</v>
      </c>
      <c r="CS96" s="1291"/>
      <c r="CT96" s="1291"/>
      <c r="CU96" s="1291"/>
      <c r="CV96" s="1291"/>
      <c r="CW96" s="1291"/>
      <c r="CX96" s="1291"/>
      <c r="CY96" s="1292"/>
      <c r="DT96" s="1347" t="s">
        <v>818</v>
      </c>
      <c r="DU96" s="1279"/>
      <c r="DV96" s="1279"/>
      <c r="DW96" s="1279"/>
      <c r="DX96" s="1279"/>
      <c r="DY96" s="1279"/>
      <c r="DZ96" s="1279"/>
      <c r="EA96" s="1280"/>
      <c r="EB96" s="314"/>
      <c r="EC96" s="314"/>
      <c r="ED96" s="150"/>
      <c r="EF96" s="150"/>
      <c r="EH96" s="1268" t="s">
        <v>562</v>
      </c>
      <c r="EI96" s="1268"/>
      <c r="EJ96" s="1268"/>
      <c r="EK96" s="1268"/>
      <c r="EL96" s="1268"/>
      <c r="EM96" s="1268"/>
      <c r="EN96" s="1268"/>
      <c r="EO96" s="1268"/>
      <c r="EQ96" s="1270" t="s">
        <v>822</v>
      </c>
      <c r="ER96" s="1270"/>
      <c r="ES96" s="1270"/>
      <c r="ET96" s="1270"/>
      <c r="EU96" s="1270"/>
      <c r="EV96" s="1270"/>
      <c r="EW96" s="1270"/>
      <c r="EX96" s="1270"/>
      <c r="EZ96" s="1268" t="s">
        <v>963</v>
      </c>
      <c r="FA96" s="1268"/>
      <c r="FB96" s="1268"/>
      <c r="FC96" s="1268"/>
      <c r="FD96" s="1268"/>
      <c r="FE96" s="1268"/>
      <c r="FF96" s="1268"/>
      <c r="FG96" s="1268"/>
      <c r="FI96" s="1268" t="s">
        <v>903</v>
      </c>
      <c r="FJ96" s="1268"/>
      <c r="FK96" s="1268"/>
      <c r="FL96" s="1268"/>
      <c r="FM96" s="1268"/>
      <c r="FN96" s="1268"/>
      <c r="FO96" s="1268"/>
      <c r="FP96" s="1268"/>
      <c r="FR96" s="1268" t="s">
        <v>710</v>
      </c>
      <c r="FS96" s="1268"/>
      <c r="FT96" s="1268"/>
      <c r="FU96" s="1268"/>
      <c r="FV96" s="1268"/>
      <c r="FW96" s="1268"/>
      <c r="FX96" s="1268"/>
      <c r="FY96" s="1268"/>
      <c r="GA96" s="1270" t="s">
        <v>889</v>
      </c>
      <c r="GB96" s="1270"/>
      <c r="GC96" s="1270"/>
      <c r="GD96" s="1270"/>
      <c r="GE96" s="1270"/>
      <c r="GF96" s="1270"/>
      <c r="GG96" s="1270"/>
      <c r="GH96" s="1270"/>
      <c r="GJ96" s="1268" t="s">
        <v>814</v>
      </c>
      <c r="GK96" s="1268"/>
      <c r="GL96" s="1268"/>
      <c r="GM96" s="1268"/>
      <c r="GN96" s="1268"/>
      <c r="GO96" s="1268"/>
      <c r="GP96" s="1268"/>
      <c r="GQ96" s="1268"/>
      <c r="GS96" s="1268" t="s">
        <v>853</v>
      </c>
      <c r="GT96" s="1268"/>
      <c r="GU96" s="1268"/>
      <c r="GV96" s="1268"/>
      <c r="GW96" s="1268"/>
      <c r="GX96" s="1268"/>
      <c r="GY96" s="1268"/>
      <c r="GZ96" s="1268"/>
      <c r="HB96" s="154"/>
      <c r="HE96" s="13"/>
      <c r="HG96" s="13"/>
      <c r="HI96" s="1268" t="s">
        <v>583</v>
      </c>
      <c r="HJ96" s="1268"/>
      <c r="HK96" s="1268"/>
      <c r="HL96" s="1268"/>
      <c r="HM96" s="1268"/>
      <c r="HN96" s="1268"/>
      <c r="HO96" s="1268"/>
      <c r="HP96" s="1268"/>
      <c r="HS96" s="1268" t="s">
        <v>727</v>
      </c>
      <c r="HT96" s="1268"/>
      <c r="HU96" s="1268"/>
      <c r="HV96" s="1268"/>
      <c r="HW96" s="1268"/>
      <c r="HX96" s="1268"/>
      <c r="HY96" s="1268"/>
      <c r="HZ96" s="1268"/>
      <c r="IC96" s="1268" t="s">
        <v>891</v>
      </c>
      <c r="ID96" s="1268"/>
      <c r="IE96" s="1268"/>
      <c r="IF96" s="1268"/>
      <c r="IG96" s="1268"/>
      <c r="IH96" s="1268"/>
      <c r="II96" s="1268"/>
      <c r="IJ96" s="1268"/>
      <c r="IM96" s="1268" t="s">
        <v>632</v>
      </c>
      <c r="IN96" s="1268"/>
      <c r="IO96" s="1268"/>
      <c r="IP96" s="1268"/>
      <c r="IQ96" s="1268"/>
      <c r="IR96" s="1268"/>
      <c r="IS96" s="1268"/>
      <c r="IT96" s="1268"/>
      <c r="IV96" s="259"/>
      <c r="IW96" s="1281" t="s">
        <v>888</v>
      </c>
      <c r="IX96" s="1281"/>
      <c r="IY96" s="1281"/>
      <c r="IZ96" s="1281"/>
      <c r="JA96" s="1281"/>
      <c r="JB96" s="1281"/>
      <c r="JC96" s="1281"/>
      <c r="JD96" s="1281"/>
      <c r="JF96" s="154"/>
      <c r="JJ96" s="150"/>
      <c r="JK96" s="173">
        <v>1</v>
      </c>
      <c r="JL96" s="1172" t="s">
        <v>206</v>
      </c>
      <c r="JM96" s="1173"/>
      <c r="JN96" s="1173"/>
      <c r="JO96" s="1173"/>
      <c r="JP96" s="1173"/>
      <c r="JQ96" s="1173"/>
      <c r="JR96" s="1174"/>
      <c r="JU96" s="173">
        <v>1</v>
      </c>
      <c r="JV96" s="1172" t="s">
        <v>206</v>
      </c>
      <c r="JW96" s="1173"/>
      <c r="JX96" s="1173"/>
      <c r="JY96" s="1173"/>
      <c r="JZ96" s="1173"/>
      <c r="KA96" s="1173"/>
      <c r="KB96" s="1174"/>
      <c r="KC96" s="319"/>
      <c r="KD96" s="319"/>
      <c r="KE96" s="173">
        <v>1</v>
      </c>
      <c r="KF96" s="1172" t="s">
        <v>206</v>
      </c>
      <c r="KG96" s="1173"/>
      <c r="KH96" s="1173"/>
      <c r="KI96" s="1173"/>
      <c r="KJ96" s="1173"/>
      <c r="KK96" s="1173"/>
      <c r="KL96" s="1174"/>
      <c r="KO96" s="173">
        <v>1</v>
      </c>
      <c r="KP96" s="1172" t="s">
        <v>206</v>
      </c>
      <c r="KQ96" s="1173"/>
      <c r="KR96" s="1173"/>
      <c r="KS96" s="1173"/>
      <c r="KT96" s="1173"/>
      <c r="KU96" s="1173"/>
      <c r="KV96" s="1174"/>
      <c r="KW96" s="154"/>
      <c r="LP96" s="207"/>
      <c r="LQ96" s="207"/>
      <c r="LR96" s="207"/>
    </row>
    <row r="97" spans="63:330" x14ac:dyDescent="0.35">
      <c r="BK97" s="13"/>
      <c r="BM97" s="312">
        <v>1</v>
      </c>
      <c r="BN97" s="1178" t="s">
        <v>4747</v>
      </c>
      <c r="BO97" s="1179"/>
      <c r="BP97" s="1179"/>
      <c r="BQ97" s="1179"/>
      <c r="BR97" s="1179"/>
      <c r="BS97" s="1179"/>
      <c r="BT97" s="1180"/>
      <c r="BW97" s="312">
        <v>1</v>
      </c>
      <c r="BX97" s="1178" t="s">
        <v>4747</v>
      </c>
      <c r="BY97" s="1179"/>
      <c r="BZ97" s="1179"/>
      <c r="CA97" s="1179"/>
      <c r="CB97" s="1179"/>
      <c r="CC97" s="1179"/>
      <c r="CD97" s="1180"/>
      <c r="CI97" s="367">
        <v>1</v>
      </c>
      <c r="CJ97" s="1178" t="s">
        <v>4756</v>
      </c>
      <c r="CK97" s="1179"/>
      <c r="CL97" s="1179"/>
      <c r="CM97" s="1179"/>
      <c r="CN97" s="1179"/>
      <c r="CO97" s="1179"/>
      <c r="CP97" s="1180"/>
      <c r="CR97" s="367">
        <v>1</v>
      </c>
      <c r="CS97" s="1178" t="s">
        <v>4756</v>
      </c>
      <c r="CT97" s="1179"/>
      <c r="CU97" s="1179"/>
      <c r="CV97" s="1179"/>
      <c r="CW97" s="1179"/>
      <c r="CX97" s="1179"/>
      <c r="CY97" s="1180"/>
      <c r="DT97" s="173">
        <v>1</v>
      </c>
      <c r="DU97" s="1172" t="s">
        <v>181</v>
      </c>
      <c r="DV97" s="1173"/>
      <c r="DW97" s="1173"/>
      <c r="DX97" s="1173"/>
      <c r="DY97" s="1173"/>
      <c r="DZ97" s="1173"/>
      <c r="EA97" s="1174"/>
      <c r="EB97" s="313"/>
      <c r="EC97" s="313"/>
      <c r="ED97" s="150"/>
      <c r="EF97" s="150"/>
      <c r="EH97" s="174">
        <v>1</v>
      </c>
      <c r="EI97" s="1218" t="s">
        <v>4767</v>
      </c>
      <c r="EJ97" s="1218"/>
      <c r="EK97" s="1218"/>
      <c r="EL97" s="1218"/>
      <c r="EM97" s="1218"/>
      <c r="EN97" s="1218"/>
      <c r="EO97" s="1218"/>
      <c r="EQ97" s="174">
        <v>1</v>
      </c>
      <c r="ER97" s="1218" t="s">
        <v>4769</v>
      </c>
      <c r="ES97" s="1218"/>
      <c r="ET97" s="1218"/>
      <c r="EU97" s="1218"/>
      <c r="EV97" s="1218"/>
      <c r="EW97" s="1218"/>
      <c r="EX97" s="1218"/>
      <c r="EZ97" s="174">
        <v>1</v>
      </c>
      <c r="FA97" s="1218" t="s">
        <v>227</v>
      </c>
      <c r="FB97" s="1218"/>
      <c r="FC97" s="1218"/>
      <c r="FD97" s="1218"/>
      <c r="FE97" s="1218"/>
      <c r="FF97" s="1218"/>
      <c r="FG97" s="1218"/>
      <c r="FI97" s="174">
        <v>1</v>
      </c>
      <c r="FJ97" s="1218" t="s">
        <v>4764</v>
      </c>
      <c r="FK97" s="1218"/>
      <c r="FL97" s="1218"/>
      <c r="FM97" s="1218"/>
      <c r="FN97" s="1218"/>
      <c r="FO97" s="1218"/>
      <c r="FP97" s="1218"/>
      <c r="FR97" s="174">
        <v>1</v>
      </c>
      <c r="FS97" s="1218" t="s">
        <v>4770</v>
      </c>
      <c r="FT97" s="1218"/>
      <c r="FU97" s="1218"/>
      <c r="FV97" s="1218"/>
      <c r="FW97" s="1218"/>
      <c r="FX97" s="1218"/>
      <c r="FY97" s="1218"/>
      <c r="GA97" s="174">
        <v>1</v>
      </c>
      <c r="GB97" s="1056" t="s">
        <v>171</v>
      </c>
      <c r="GC97" s="1056"/>
      <c r="GD97" s="1056"/>
      <c r="GE97" s="1056"/>
      <c r="GF97" s="1056"/>
      <c r="GG97" s="1056"/>
      <c r="GH97" s="1056"/>
      <c r="GJ97" s="174">
        <v>1</v>
      </c>
      <c r="GK97" s="1218" t="s">
        <v>4771</v>
      </c>
      <c r="GL97" s="1218"/>
      <c r="GM97" s="1218"/>
      <c r="GN97" s="1218"/>
      <c r="GO97" s="1218"/>
      <c r="GP97" s="1218"/>
      <c r="GQ97" s="1218"/>
      <c r="GS97" s="174">
        <v>1</v>
      </c>
      <c r="GT97" s="1218" t="s">
        <v>4762</v>
      </c>
      <c r="GU97" s="1218"/>
      <c r="GV97" s="1218"/>
      <c r="GW97" s="1218"/>
      <c r="GX97" s="1218"/>
      <c r="GY97" s="1218"/>
      <c r="GZ97" s="1218"/>
      <c r="HB97" s="154"/>
      <c r="HE97" s="13"/>
      <c r="HG97" s="13"/>
      <c r="HI97" s="173">
        <v>1</v>
      </c>
      <c r="HJ97" s="1218" t="s">
        <v>195</v>
      </c>
      <c r="HK97" s="1218"/>
      <c r="HL97" s="1218"/>
      <c r="HM97" s="1218"/>
      <c r="HN97" s="1218"/>
      <c r="HO97" s="1218"/>
      <c r="HP97" s="1218"/>
      <c r="HS97" s="173">
        <v>1</v>
      </c>
      <c r="HT97" s="1218" t="s">
        <v>195</v>
      </c>
      <c r="HU97" s="1218"/>
      <c r="HV97" s="1218"/>
      <c r="HW97" s="1218"/>
      <c r="HX97" s="1218"/>
      <c r="HY97" s="1218"/>
      <c r="HZ97" s="1218"/>
      <c r="IC97" s="173">
        <v>1</v>
      </c>
      <c r="ID97" s="1218" t="s">
        <v>195</v>
      </c>
      <c r="IE97" s="1218"/>
      <c r="IF97" s="1218"/>
      <c r="IG97" s="1218"/>
      <c r="IH97" s="1218"/>
      <c r="II97" s="1218"/>
      <c r="IJ97" s="1218"/>
      <c r="IM97" s="173">
        <v>1</v>
      </c>
      <c r="IN97" s="1218" t="s">
        <v>184</v>
      </c>
      <c r="IO97" s="1218"/>
      <c r="IP97" s="1218"/>
      <c r="IQ97" s="1218"/>
      <c r="IR97" s="1218"/>
      <c r="IS97" s="1218"/>
      <c r="IT97" s="1218"/>
      <c r="IV97" s="259"/>
      <c r="IW97" s="173">
        <v>1</v>
      </c>
      <c r="IX97" s="1218" t="s">
        <v>184</v>
      </c>
      <c r="IY97" s="1218"/>
      <c r="IZ97" s="1218"/>
      <c r="JA97" s="1218"/>
      <c r="JB97" s="1218"/>
      <c r="JC97" s="1218"/>
      <c r="JD97" s="1218"/>
      <c r="JF97" s="154"/>
      <c r="JJ97" s="150"/>
      <c r="JK97" s="1271" t="s">
        <v>971</v>
      </c>
      <c r="JL97" s="1272"/>
      <c r="JM97" s="1279"/>
      <c r="JN97" s="1279"/>
      <c r="JO97" s="1279"/>
      <c r="JP97" s="1279"/>
      <c r="JQ97" s="1279"/>
      <c r="JR97" s="1280"/>
      <c r="JU97" s="1271" t="s">
        <v>922</v>
      </c>
      <c r="JV97" s="1279"/>
      <c r="JW97" s="1279"/>
      <c r="JX97" s="1279"/>
      <c r="JY97" s="1279"/>
      <c r="JZ97" s="1279"/>
      <c r="KA97" s="1279"/>
      <c r="KB97" s="1280"/>
      <c r="KC97" s="207"/>
      <c r="KD97" s="207"/>
      <c r="KE97" s="1271" t="s">
        <v>1013</v>
      </c>
      <c r="KF97" s="1272"/>
      <c r="KG97" s="1279"/>
      <c r="KH97" s="1279"/>
      <c r="KI97" s="1279"/>
      <c r="KJ97" s="1279"/>
      <c r="KK97" s="1279"/>
      <c r="KL97" s="1280"/>
      <c r="KO97" s="1271" t="s">
        <v>1018</v>
      </c>
      <c r="KP97" s="1272"/>
      <c r="KQ97" s="1279"/>
      <c r="KR97" s="1279"/>
      <c r="KS97" s="1279"/>
      <c r="KT97" s="1279"/>
      <c r="KU97" s="1279"/>
      <c r="KV97" s="1280"/>
      <c r="KW97" s="154"/>
      <c r="LP97" s="319"/>
      <c r="LQ97" s="319"/>
      <c r="LR97" s="319"/>
    </row>
    <row r="98" spans="63:330" x14ac:dyDescent="0.35">
      <c r="BK98" s="13"/>
      <c r="BM98" s="1290" t="s">
        <v>861</v>
      </c>
      <c r="BN98" s="1291"/>
      <c r="BO98" s="1291"/>
      <c r="BP98" s="1291"/>
      <c r="BQ98" s="1291"/>
      <c r="BR98" s="1291"/>
      <c r="BS98" s="1291"/>
      <c r="BT98" s="1292"/>
      <c r="BW98" s="1331" t="s">
        <v>513</v>
      </c>
      <c r="BX98" s="1332"/>
      <c r="BY98" s="1332"/>
      <c r="BZ98" s="1332"/>
      <c r="CA98" s="1332"/>
      <c r="CB98" s="1332"/>
      <c r="CC98" s="1332"/>
      <c r="CD98" s="1333"/>
      <c r="CI98" s="1290" t="s">
        <v>972</v>
      </c>
      <c r="CJ98" s="1291"/>
      <c r="CK98" s="1291"/>
      <c r="CL98" s="1291"/>
      <c r="CM98" s="1291"/>
      <c r="CN98" s="1291"/>
      <c r="CO98" s="1291"/>
      <c r="CP98" s="1292"/>
      <c r="CR98" s="1290" t="s">
        <v>786</v>
      </c>
      <c r="CS98" s="1291"/>
      <c r="CT98" s="1291"/>
      <c r="CU98" s="1291"/>
      <c r="CV98" s="1291"/>
      <c r="CW98" s="1291"/>
      <c r="CX98" s="1291"/>
      <c r="CY98" s="1292"/>
      <c r="DT98" s="1347" t="s">
        <v>932</v>
      </c>
      <c r="DU98" s="1279"/>
      <c r="DV98" s="1279"/>
      <c r="DW98" s="1279"/>
      <c r="DX98" s="1279"/>
      <c r="DY98" s="1279"/>
      <c r="DZ98" s="1279"/>
      <c r="EA98" s="1280"/>
      <c r="EB98" s="314"/>
      <c r="EC98" s="314"/>
      <c r="ED98" s="150"/>
      <c r="EF98" s="150"/>
      <c r="EH98" s="1268" t="s">
        <v>566</v>
      </c>
      <c r="EI98" s="1268"/>
      <c r="EJ98" s="1268"/>
      <c r="EK98" s="1268"/>
      <c r="EL98" s="1268"/>
      <c r="EM98" s="1268"/>
      <c r="EN98" s="1268"/>
      <c r="EO98" s="1268"/>
      <c r="EQ98" s="1268" t="s">
        <v>554</v>
      </c>
      <c r="ER98" s="1268"/>
      <c r="ES98" s="1268"/>
      <c r="ET98" s="1268"/>
      <c r="EU98" s="1268"/>
      <c r="EV98" s="1268"/>
      <c r="EW98" s="1268"/>
      <c r="EX98" s="1268"/>
      <c r="EZ98" s="1268" t="s">
        <v>964</v>
      </c>
      <c r="FA98" s="1268"/>
      <c r="FB98" s="1268"/>
      <c r="FC98" s="1268"/>
      <c r="FD98" s="1268"/>
      <c r="FE98" s="1268"/>
      <c r="FF98" s="1268"/>
      <c r="FG98" s="1268"/>
      <c r="FI98" s="1268" t="s">
        <v>952</v>
      </c>
      <c r="FJ98" s="1268"/>
      <c r="FK98" s="1268"/>
      <c r="FL98" s="1268"/>
      <c r="FM98" s="1268"/>
      <c r="FN98" s="1268"/>
      <c r="FO98" s="1268"/>
      <c r="FP98" s="1268"/>
      <c r="FR98" s="1356" t="s">
        <v>766</v>
      </c>
      <c r="FS98" s="1356"/>
      <c r="FT98" s="1356"/>
      <c r="FU98" s="1356"/>
      <c r="FV98" s="1356"/>
      <c r="FW98" s="1356"/>
      <c r="FX98" s="1356"/>
      <c r="FY98" s="1356"/>
      <c r="GA98" s="1270" t="s">
        <v>893</v>
      </c>
      <c r="GB98" s="1270"/>
      <c r="GC98" s="1270"/>
      <c r="GD98" s="1270"/>
      <c r="GE98" s="1270"/>
      <c r="GF98" s="1270"/>
      <c r="GG98" s="1270"/>
      <c r="GH98" s="1270"/>
      <c r="GJ98" s="1268" t="s">
        <v>548</v>
      </c>
      <c r="GK98" s="1268"/>
      <c r="GL98" s="1268"/>
      <c r="GM98" s="1268"/>
      <c r="GN98" s="1268"/>
      <c r="GO98" s="1268"/>
      <c r="GP98" s="1268"/>
      <c r="GQ98" s="1268"/>
      <c r="GS98" s="1268" t="s">
        <v>859</v>
      </c>
      <c r="GT98" s="1268"/>
      <c r="GU98" s="1268"/>
      <c r="GV98" s="1268"/>
      <c r="GW98" s="1268"/>
      <c r="GX98" s="1268"/>
      <c r="GY98" s="1268"/>
      <c r="GZ98" s="1268"/>
      <c r="HB98" s="154"/>
      <c r="HE98" s="13"/>
      <c r="HG98" s="13"/>
      <c r="HI98" s="1268" t="s">
        <v>602</v>
      </c>
      <c r="HJ98" s="1268"/>
      <c r="HK98" s="1268"/>
      <c r="HL98" s="1268"/>
      <c r="HM98" s="1268"/>
      <c r="HN98" s="1268"/>
      <c r="HO98" s="1268"/>
      <c r="HP98" s="1268"/>
      <c r="HS98" s="1268" t="s">
        <v>740</v>
      </c>
      <c r="HT98" s="1268"/>
      <c r="HU98" s="1268"/>
      <c r="HV98" s="1268"/>
      <c r="HW98" s="1268"/>
      <c r="HX98" s="1268"/>
      <c r="HY98" s="1268"/>
      <c r="HZ98" s="1268"/>
      <c r="IC98" s="1268" t="s">
        <v>906</v>
      </c>
      <c r="ID98" s="1268"/>
      <c r="IE98" s="1268"/>
      <c r="IF98" s="1268"/>
      <c r="IG98" s="1268"/>
      <c r="IH98" s="1268"/>
      <c r="II98" s="1268"/>
      <c r="IJ98" s="1268"/>
      <c r="IM98" s="1268" t="s">
        <v>639</v>
      </c>
      <c r="IN98" s="1268"/>
      <c r="IO98" s="1268"/>
      <c r="IP98" s="1268"/>
      <c r="IQ98" s="1268"/>
      <c r="IR98" s="1268"/>
      <c r="IS98" s="1268"/>
      <c r="IT98" s="1268"/>
      <c r="IV98" s="259"/>
      <c r="IW98" s="1268" t="s">
        <v>916</v>
      </c>
      <c r="IX98" s="1268"/>
      <c r="IY98" s="1268"/>
      <c r="IZ98" s="1268"/>
      <c r="JA98" s="1268"/>
      <c r="JB98" s="1268"/>
      <c r="JC98" s="1268"/>
      <c r="JD98" s="1268"/>
      <c r="JF98" s="154"/>
      <c r="JJ98" s="150"/>
      <c r="JK98" s="173">
        <v>1</v>
      </c>
      <c r="JL98" s="1172" t="s">
        <v>206</v>
      </c>
      <c r="JM98" s="1173"/>
      <c r="JN98" s="1173"/>
      <c r="JO98" s="1173"/>
      <c r="JP98" s="1173"/>
      <c r="JQ98" s="1173"/>
      <c r="JR98" s="1174"/>
      <c r="JU98" s="173">
        <v>1</v>
      </c>
      <c r="JV98" s="1172" t="s">
        <v>206</v>
      </c>
      <c r="JW98" s="1173"/>
      <c r="JX98" s="1173"/>
      <c r="JY98" s="1173"/>
      <c r="JZ98" s="1173"/>
      <c r="KA98" s="1173"/>
      <c r="KB98" s="1174"/>
      <c r="KE98" s="173">
        <v>1</v>
      </c>
      <c r="KF98" s="1172" t="s">
        <v>206</v>
      </c>
      <c r="KG98" s="1173"/>
      <c r="KH98" s="1173"/>
      <c r="KI98" s="1173"/>
      <c r="KJ98" s="1173"/>
      <c r="KK98" s="1173"/>
      <c r="KL98" s="1174"/>
      <c r="KO98" s="173">
        <v>1</v>
      </c>
      <c r="KP98" s="1172" t="s">
        <v>185</v>
      </c>
      <c r="KQ98" s="1173"/>
      <c r="KR98" s="1173"/>
      <c r="KS98" s="1173"/>
      <c r="KT98" s="1173"/>
      <c r="KU98" s="1173"/>
      <c r="KV98" s="1174"/>
      <c r="KW98" s="154"/>
      <c r="LP98" s="207"/>
      <c r="LQ98" s="207"/>
      <c r="LR98" s="207"/>
    </row>
    <row r="99" spans="63:330" x14ac:dyDescent="0.35">
      <c r="BK99" s="13"/>
      <c r="BM99" s="367">
        <v>1</v>
      </c>
      <c r="BN99" s="1178" t="s">
        <v>4749</v>
      </c>
      <c r="BO99" s="1179"/>
      <c r="BP99" s="1179"/>
      <c r="BQ99" s="1179"/>
      <c r="BR99" s="1179"/>
      <c r="BS99" s="1179"/>
      <c r="BT99" s="1180"/>
      <c r="BW99" s="367">
        <v>1</v>
      </c>
      <c r="BX99" s="1178" t="s">
        <v>4749</v>
      </c>
      <c r="BY99" s="1179"/>
      <c r="BZ99" s="1179"/>
      <c r="CA99" s="1179"/>
      <c r="CB99" s="1179"/>
      <c r="CC99" s="1179"/>
      <c r="CD99" s="1180"/>
      <c r="CR99" s="367">
        <v>1</v>
      </c>
      <c r="CS99" s="1178" t="s">
        <v>4756</v>
      </c>
      <c r="CT99" s="1179"/>
      <c r="CU99" s="1179"/>
      <c r="CV99" s="1179"/>
      <c r="CW99" s="1179"/>
      <c r="CX99" s="1179"/>
      <c r="CY99" s="1180"/>
      <c r="ED99" s="150"/>
      <c r="EF99" s="150"/>
      <c r="EQ99" s="174">
        <v>1</v>
      </c>
      <c r="ER99" s="1218" t="s">
        <v>4769</v>
      </c>
      <c r="ES99" s="1218"/>
      <c r="ET99" s="1218"/>
      <c r="EU99" s="1218"/>
      <c r="EV99" s="1218"/>
      <c r="EW99" s="1218"/>
      <c r="EX99" s="1218"/>
      <c r="EZ99" s="174">
        <v>1</v>
      </c>
      <c r="FA99" s="1218" t="s">
        <v>227</v>
      </c>
      <c r="FB99" s="1218"/>
      <c r="FC99" s="1218"/>
      <c r="FD99" s="1218"/>
      <c r="FE99" s="1218"/>
      <c r="FF99" s="1218"/>
      <c r="FG99" s="1218"/>
      <c r="FI99" s="174">
        <v>1</v>
      </c>
      <c r="FJ99" s="1218" t="s">
        <v>4764</v>
      </c>
      <c r="FK99" s="1218"/>
      <c r="FL99" s="1218"/>
      <c r="FM99" s="1218"/>
      <c r="FN99" s="1218"/>
      <c r="FO99" s="1218"/>
      <c r="FP99" s="1218"/>
      <c r="FR99" s="174">
        <v>1</v>
      </c>
      <c r="FS99" s="1218" t="s">
        <v>4770</v>
      </c>
      <c r="FT99" s="1218"/>
      <c r="FU99" s="1218"/>
      <c r="FV99" s="1218"/>
      <c r="FW99" s="1218"/>
      <c r="FX99" s="1218"/>
      <c r="FY99" s="1218"/>
      <c r="GA99" s="174">
        <v>1</v>
      </c>
      <c r="GB99" s="1218" t="s">
        <v>4772</v>
      </c>
      <c r="GC99" s="1218"/>
      <c r="GD99" s="1218"/>
      <c r="GE99" s="1218"/>
      <c r="GF99" s="1218"/>
      <c r="GG99" s="1218"/>
      <c r="GH99" s="1218"/>
      <c r="GJ99" s="174">
        <v>1</v>
      </c>
      <c r="GK99" s="1218" t="s">
        <v>4773</v>
      </c>
      <c r="GL99" s="1218"/>
      <c r="GM99" s="1218"/>
      <c r="GN99" s="1218"/>
      <c r="GO99" s="1218"/>
      <c r="GP99" s="1218"/>
      <c r="GQ99" s="1218"/>
      <c r="GS99" s="174">
        <v>1</v>
      </c>
      <c r="GT99" s="1218" t="s">
        <v>4762</v>
      </c>
      <c r="GU99" s="1218"/>
      <c r="GV99" s="1218"/>
      <c r="GW99" s="1218"/>
      <c r="GX99" s="1218"/>
      <c r="GY99" s="1218"/>
      <c r="GZ99" s="1218"/>
      <c r="HB99" s="154"/>
      <c r="HC99" s="207"/>
      <c r="HD99" s="207"/>
      <c r="HE99" s="371"/>
      <c r="HF99" s="207"/>
      <c r="HG99" s="371"/>
      <c r="HI99" s="173">
        <v>1</v>
      </c>
      <c r="HJ99" s="1218" t="s">
        <v>195</v>
      </c>
      <c r="HK99" s="1218"/>
      <c r="HL99" s="1218"/>
      <c r="HM99" s="1218"/>
      <c r="HN99" s="1218"/>
      <c r="HO99" s="1218"/>
      <c r="HP99" s="1218"/>
      <c r="HS99" s="173">
        <v>1</v>
      </c>
      <c r="HT99" s="1218" t="s">
        <v>195</v>
      </c>
      <c r="HU99" s="1218"/>
      <c r="HV99" s="1218"/>
      <c r="HW99" s="1218"/>
      <c r="HX99" s="1218"/>
      <c r="HY99" s="1218"/>
      <c r="HZ99" s="1218"/>
      <c r="IC99" s="173">
        <v>1</v>
      </c>
      <c r="ID99" s="1218" t="s">
        <v>195</v>
      </c>
      <c r="IE99" s="1218"/>
      <c r="IF99" s="1218"/>
      <c r="IG99" s="1218"/>
      <c r="IH99" s="1218"/>
      <c r="II99" s="1218"/>
      <c r="IJ99" s="1218"/>
      <c r="IM99" s="173">
        <v>1</v>
      </c>
      <c r="IN99" s="1218" t="s">
        <v>184</v>
      </c>
      <c r="IO99" s="1218"/>
      <c r="IP99" s="1218"/>
      <c r="IQ99" s="1218"/>
      <c r="IR99" s="1218"/>
      <c r="IS99" s="1218"/>
      <c r="IT99" s="1218"/>
      <c r="IV99" s="259"/>
      <c r="IW99" s="372">
        <v>1</v>
      </c>
      <c r="IX99" s="1311" t="s">
        <v>184</v>
      </c>
      <c r="IY99" s="1311"/>
      <c r="IZ99" s="1311"/>
      <c r="JA99" s="1311"/>
      <c r="JB99" s="1311"/>
      <c r="JC99" s="1311"/>
      <c r="JD99" s="1311"/>
      <c r="JF99" s="154"/>
      <c r="JJ99" s="150"/>
      <c r="JK99" s="1271" t="s">
        <v>999</v>
      </c>
      <c r="JL99" s="1272"/>
      <c r="JM99" s="1279"/>
      <c r="JN99" s="1279"/>
      <c r="JO99" s="1279"/>
      <c r="JP99" s="1279"/>
      <c r="JQ99" s="1279"/>
      <c r="JR99" s="1280"/>
      <c r="JU99" s="1271" t="s">
        <v>948</v>
      </c>
      <c r="JV99" s="1272"/>
      <c r="JW99" s="1279"/>
      <c r="JX99" s="1279"/>
      <c r="JY99" s="1279"/>
      <c r="JZ99" s="1279"/>
      <c r="KA99" s="1279"/>
      <c r="KB99" s="1280"/>
      <c r="KE99" s="1271" t="s">
        <v>1035</v>
      </c>
      <c r="KF99" s="1272"/>
      <c r="KG99" s="1279"/>
      <c r="KH99" s="1279"/>
      <c r="KI99" s="1279"/>
      <c r="KJ99" s="1279"/>
      <c r="KK99" s="1279"/>
      <c r="KL99" s="1280"/>
      <c r="KO99" s="1271" t="s">
        <v>629</v>
      </c>
      <c r="KP99" s="1279"/>
      <c r="KQ99" s="1279"/>
      <c r="KR99" s="1279"/>
      <c r="KS99" s="1279"/>
      <c r="KT99" s="1279"/>
      <c r="KU99" s="1279"/>
      <c r="KV99" s="1280"/>
      <c r="KW99" s="154"/>
      <c r="LP99" s="319"/>
      <c r="LQ99" s="319"/>
      <c r="LR99" s="319"/>
    </row>
    <row r="100" spans="63:330" x14ac:dyDescent="0.35">
      <c r="BK100" s="13"/>
      <c r="BM100" s="1328" t="s">
        <v>131</v>
      </c>
      <c r="BN100" s="1329"/>
      <c r="BO100" s="1329"/>
      <c r="BP100" s="1329"/>
      <c r="BQ100" s="1329"/>
      <c r="BR100" s="1329"/>
      <c r="BS100" s="1329"/>
      <c r="BT100" s="1330"/>
      <c r="BW100" s="1328" t="s">
        <v>131</v>
      </c>
      <c r="BX100" s="1329"/>
      <c r="BY100" s="1329"/>
      <c r="BZ100" s="1329"/>
      <c r="CA100" s="1329"/>
      <c r="CB100" s="1329"/>
      <c r="CC100" s="1329"/>
      <c r="CD100" s="1330"/>
      <c r="CR100" s="1290" t="s">
        <v>924</v>
      </c>
      <c r="CS100" s="1291"/>
      <c r="CT100" s="1291"/>
      <c r="CU100" s="1291"/>
      <c r="CV100" s="1291"/>
      <c r="CW100" s="1291"/>
      <c r="CX100" s="1291"/>
      <c r="CY100" s="1292"/>
      <c r="ED100" s="150"/>
      <c r="EF100" s="150"/>
      <c r="EQ100" s="1268" t="s">
        <v>560</v>
      </c>
      <c r="ER100" s="1268"/>
      <c r="ES100" s="1268"/>
      <c r="ET100" s="1268"/>
      <c r="EU100" s="1268"/>
      <c r="EV100" s="1268"/>
      <c r="EW100" s="1268"/>
      <c r="EX100" s="1268"/>
      <c r="EZ100" s="1268" t="s">
        <v>983</v>
      </c>
      <c r="FA100" s="1268"/>
      <c r="FB100" s="1268"/>
      <c r="FC100" s="1268"/>
      <c r="FD100" s="1268"/>
      <c r="FE100" s="1268"/>
      <c r="FF100" s="1268"/>
      <c r="FG100" s="1268"/>
      <c r="FI100" s="1268" t="s">
        <v>953</v>
      </c>
      <c r="FJ100" s="1268"/>
      <c r="FK100" s="1268"/>
      <c r="FL100" s="1268"/>
      <c r="FM100" s="1268"/>
      <c r="FN100" s="1268"/>
      <c r="FO100" s="1268"/>
      <c r="FP100" s="1268"/>
      <c r="FR100" s="1268" t="s">
        <v>538</v>
      </c>
      <c r="FS100" s="1268"/>
      <c r="FT100" s="1268"/>
      <c r="FU100" s="1268"/>
      <c r="FV100" s="1268"/>
      <c r="FW100" s="1268"/>
      <c r="FX100" s="1268"/>
      <c r="FY100" s="1268"/>
      <c r="GA100" s="1163" t="s">
        <v>131</v>
      </c>
      <c r="GB100" s="1163"/>
      <c r="GC100" s="1163"/>
      <c r="GD100" s="1163"/>
      <c r="GE100" s="1163"/>
      <c r="GF100" s="1163"/>
      <c r="GG100" s="1163"/>
      <c r="GH100" s="1163"/>
      <c r="GJ100" s="1268" t="s">
        <v>799</v>
      </c>
      <c r="GK100" s="1268"/>
      <c r="GL100" s="1268"/>
      <c r="GM100" s="1268"/>
      <c r="GN100" s="1268"/>
      <c r="GO100" s="1268"/>
      <c r="GP100" s="1268"/>
      <c r="GQ100" s="1268"/>
      <c r="GS100" s="1268" t="s">
        <v>864</v>
      </c>
      <c r="GT100" s="1268"/>
      <c r="GU100" s="1268"/>
      <c r="GV100" s="1268"/>
      <c r="GW100" s="1268"/>
      <c r="GX100" s="1268"/>
      <c r="GY100" s="1268"/>
      <c r="GZ100" s="1268"/>
      <c r="HB100" s="154"/>
      <c r="HC100" s="207"/>
      <c r="HD100" s="207"/>
      <c r="HE100" s="371"/>
      <c r="HF100" s="207"/>
      <c r="HG100" s="371"/>
      <c r="HI100" s="1268" t="s">
        <v>607</v>
      </c>
      <c r="HJ100" s="1268"/>
      <c r="HK100" s="1268"/>
      <c r="HL100" s="1268"/>
      <c r="HM100" s="1268"/>
      <c r="HN100" s="1268"/>
      <c r="HO100" s="1268"/>
      <c r="HP100" s="1268"/>
      <c r="HS100" s="1268" t="s">
        <v>750</v>
      </c>
      <c r="HT100" s="1268"/>
      <c r="HU100" s="1268"/>
      <c r="HV100" s="1268"/>
      <c r="HW100" s="1268"/>
      <c r="HX100" s="1268"/>
      <c r="HY100" s="1268"/>
      <c r="HZ100" s="1268"/>
      <c r="IC100" s="1268" t="s">
        <v>909</v>
      </c>
      <c r="ID100" s="1268"/>
      <c r="IE100" s="1268"/>
      <c r="IF100" s="1268"/>
      <c r="IG100" s="1268"/>
      <c r="IH100" s="1268"/>
      <c r="II100" s="1268"/>
      <c r="IJ100" s="1268"/>
      <c r="IM100" s="1268" t="s">
        <v>646</v>
      </c>
      <c r="IN100" s="1268"/>
      <c r="IO100" s="1268"/>
      <c r="IP100" s="1268"/>
      <c r="IQ100" s="1268"/>
      <c r="IR100" s="1268"/>
      <c r="IS100" s="1268"/>
      <c r="IT100" s="1268"/>
      <c r="IV100" s="259"/>
      <c r="IW100" s="1268" t="s">
        <v>918</v>
      </c>
      <c r="IX100" s="1268"/>
      <c r="IY100" s="1268"/>
      <c r="IZ100" s="1268"/>
      <c r="JA100" s="1268"/>
      <c r="JB100" s="1268"/>
      <c r="JC100" s="1268"/>
      <c r="JD100" s="1268"/>
      <c r="JF100" s="154"/>
      <c r="JJ100" s="150"/>
      <c r="JK100" s="173">
        <v>1</v>
      </c>
      <c r="JL100" s="1172" t="s">
        <v>206</v>
      </c>
      <c r="JM100" s="1173"/>
      <c r="JN100" s="1173"/>
      <c r="JO100" s="1173"/>
      <c r="JP100" s="1173"/>
      <c r="JQ100" s="1173"/>
      <c r="JR100" s="1174"/>
      <c r="JU100" s="173">
        <v>1</v>
      </c>
      <c r="JV100" s="1172" t="s">
        <v>206</v>
      </c>
      <c r="JW100" s="1173"/>
      <c r="JX100" s="1173"/>
      <c r="JY100" s="1173"/>
      <c r="JZ100" s="1173"/>
      <c r="KA100" s="1173"/>
      <c r="KB100" s="1174"/>
      <c r="KE100" s="173">
        <v>1</v>
      </c>
      <c r="KF100" s="1172" t="s">
        <v>206</v>
      </c>
      <c r="KG100" s="1173"/>
      <c r="KH100" s="1173"/>
      <c r="KI100" s="1173"/>
      <c r="KJ100" s="1173"/>
      <c r="KK100" s="1173"/>
      <c r="KL100" s="1174"/>
      <c r="KO100" s="173">
        <v>1</v>
      </c>
      <c r="KP100" s="1172" t="s">
        <v>185</v>
      </c>
      <c r="KQ100" s="1173"/>
      <c r="KR100" s="1173"/>
      <c r="KS100" s="1173"/>
      <c r="KT100" s="1173"/>
      <c r="KU100" s="1173"/>
      <c r="KV100" s="1174"/>
      <c r="KW100" s="154"/>
      <c r="LP100" s="320"/>
      <c r="LQ100" s="320"/>
      <c r="LR100" s="320"/>
    </row>
    <row r="101" spans="63:330" x14ac:dyDescent="0.35">
      <c r="BK101" s="13"/>
      <c r="BM101" s="367">
        <v>1</v>
      </c>
      <c r="BN101" s="1178" t="s">
        <v>4755</v>
      </c>
      <c r="BO101" s="1179"/>
      <c r="BP101" s="1179"/>
      <c r="BQ101" s="1179"/>
      <c r="BR101" s="1179"/>
      <c r="BS101" s="1179"/>
      <c r="BT101" s="1180"/>
      <c r="BW101" s="367">
        <v>1</v>
      </c>
      <c r="BX101" s="1178" t="s">
        <v>4755</v>
      </c>
      <c r="BY101" s="1179"/>
      <c r="BZ101" s="1179"/>
      <c r="CA101" s="1179"/>
      <c r="CB101" s="1179"/>
      <c r="CC101" s="1179"/>
      <c r="CD101" s="1180"/>
      <c r="CR101" s="367">
        <v>1</v>
      </c>
      <c r="CS101" s="1178" t="s">
        <v>4756</v>
      </c>
      <c r="CT101" s="1179"/>
      <c r="CU101" s="1179"/>
      <c r="CV101" s="1179"/>
      <c r="CW101" s="1179"/>
      <c r="CX101" s="1179"/>
      <c r="CY101" s="1180"/>
      <c r="ED101" s="150"/>
      <c r="EF101" s="150"/>
      <c r="EQ101" s="144">
        <v>1</v>
      </c>
      <c r="ER101" s="1056" t="s">
        <v>243</v>
      </c>
      <c r="ES101" s="1056"/>
      <c r="ET101" s="1056"/>
      <c r="EU101" s="1056"/>
      <c r="EV101" s="1056"/>
      <c r="EW101" s="1056"/>
      <c r="EX101" s="1056"/>
      <c r="EZ101" s="174">
        <v>1</v>
      </c>
      <c r="FA101" s="1218" t="s">
        <v>227</v>
      </c>
      <c r="FB101" s="1218"/>
      <c r="FC101" s="1218"/>
      <c r="FD101" s="1218"/>
      <c r="FE101" s="1218"/>
      <c r="FF101" s="1218"/>
      <c r="FG101" s="1218"/>
      <c r="FI101" s="174">
        <v>1</v>
      </c>
      <c r="FJ101" s="1218" t="s">
        <v>4764</v>
      </c>
      <c r="FK101" s="1218"/>
      <c r="FL101" s="1218"/>
      <c r="FM101" s="1218"/>
      <c r="FN101" s="1218"/>
      <c r="FO101" s="1218"/>
      <c r="FP101" s="1218"/>
      <c r="FR101" s="144">
        <v>1</v>
      </c>
      <c r="FS101" s="1056" t="s">
        <v>4770</v>
      </c>
      <c r="FT101" s="1056"/>
      <c r="FU101" s="1056"/>
      <c r="FV101" s="1056"/>
      <c r="FW101" s="1056"/>
      <c r="FX101" s="1056"/>
      <c r="FY101" s="1056"/>
      <c r="GJ101" s="144">
        <v>1</v>
      </c>
      <c r="GK101" s="1056" t="s">
        <v>4773</v>
      </c>
      <c r="GL101" s="1056"/>
      <c r="GM101" s="1056"/>
      <c r="GN101" s="1056"/>
      <c r="GO101" s="1056"/>
      <c r="GP101" s="1056"/>
      <c r="GQ101" s="1056"/>
      <c r="GZ101" s="52"/>
      <c r="HB101" s="154"/>
      <c r="HC101" s="207"/>
      <c r="HD101" s="207"/>
      <c r="HE101" s="371"/>
      <c r="HF101" s="207"/>
      <c r="HG101" s="371"/>
      <c r="HI101" s="173">
        <v>1</v>
      </c>
      <c r="HJ101" s="1218" t="s">
        <v>195</v>
      </c>
      <c r="HK101" s="1218"/>
      <c r="HL101" s="1218"/>
      <c r="HM101" s="1218"/>
      <c r="HN101" s="1218"/>
      <c r="HO101" s="1218"/>
      <c r="HP101" s="1218"/>
      <c r="HS101" s="173">
        <v>1</v>
      </c>
      <c r="HT101" s="1218" t="s">
        <v>195</v>
      </c>
      <c r="HU101" s="1218"/>
      <c r="HV101" s="1218"/>
      <c r="HW101" s="1218"/>
      <c r="HX101" s="1218"/>
      <c r="HY101" s="1218"/>
      <c r="HZ101" s="1218"/>
      <c r="IC101" s="173">
        <v>1</v>
      </c>
      <c r="ID101" s="1218" t="s">
        <v>195</v>
      </c>
      <c r="IE101" s="1218"/>
      <c r="IF101" s="1218"/>
      <c r="IG101" s="1218"/>
      <c r="IH101" s="1218"/>
      <c r="II101" s="1218"/>
      <c r="IJ101" s="1218"/>
      <c r="IM101" s="173">
        <v>1</v>
      </c>
      <c r="IN101" s="1218" t="s">
        <v>184</v>
      </c>
      <c r="IO101" s="1218"/>
      <c r="IP101" s="1218"/>
      <c r="IQ101" s="1218"/>
      <c r="IR101" s="1218"/>
      <c r="IS101" s="1218"/>
      <c r="IT101" s="1218"/>
      <c r="IV101" s="259"/>
      <c r="IW101" s="372">
        <v>1</v>
      </c>
      <c r="IX101" s="1311" t="s">
        <v>184</v>
      </c>
      <c r="IY101" s="1311"/>
      <c r="IZ101" s="1311"/>
      <c r="JA101" s="1311"/>
      <c r="JB101" s="1311"/>
      <c r="JC101" s="1311"/>
      <c r="JD101" s="1311"/>
      <c r="JF101" s="154"/>
      <c r="JJ101" s="150"/>
      <c r="JK101" s="1271" t="s">
        <v>1003</v>
      </c>
      <c r="JL101" s="1272"/>
      <c r="JM101" s="1279"/>
      <c r="JN101" s="1279"/>
      <c r="JO101" s="1279"/>
      <c r="JP101" s="1279"/>
      <c r="JQ101" s="1279"/>
      <c r="JR101" s="1280"/>
      <c r="JU101" s="1271" t="s">
        <v>950</v>
      </c>
      <c r="JV101" s="1272"/>
      <c r="JW101" s="1279"/>
      <c r="JX101" s="1279"/>
      <c r="JY101" s="1279"/>
      <c r="JZ101" s="1279"/>
      <c r="KA101" s="1279"/>
      <c r="KB101" s="1280"/>
      <c r="KE101" s="1271" t="s">
        <v>1051</v>
      </c>
      <c r="KF101" s="1272"/>
      <c r="KG101" s="1279"/>
      <c r="KH101" s="1279"/>
      <c r="KI101" s="1279"/>
      <c r="KJ101" s="1279"/>
      <c r="KK101" s="1279"/>
      <c r="KL101" s="1280"/>
      <c r="KO101" s="1271" t="s">
        <v>655</v>
      </c>
      <c r="KP101" s="1279"/>
      <c r="KQ101" s="1279"/>
      <c r="KR101" s="1279"/>
      <c r="KS101" s="1279"/>
      <c r="KT101" s="1279"/>
      <c r="KU101" s="1279"/>
      <c r="KV101" s="1280"/>
      <c r="KW101" s="154"/>
      <c r="LP101" s="320"/>
      <c r="LQ101" s="320"/>
      <c r="LR101" s="320"/>
    </row>
    <row r="102" spans="63:330" x14ac:dyDescent="0.35">
      <c r="BK102" s="13"/>
      <c r="BM102" s="1322" t="s">
        <v>624</v>
      </c>
      <c r="BN102" s="1323"/>
      <c r="BO102" s="1323"/>
      <c r="BP102" s="1323"/>
      <c r="BQ102" s="1323"/>
      <c r="BR102" s="1323"/>
      <c r="BS102" s="1323"/>
      <c r="BT102" s="1324"/>
      <c r="BW102" s="1290" t="s">
        <v>994</v>
      </c>
      <c r="BX102" s="1291"/>
      <c r="BY102" s="1291"/>
      <c r="BZ102" s="1291"/>
      <c r="CA102" s="1291"/>
      <c r="CB102" s="1291"/>
      <c r="CC102" s="1291"/>
      <c r="CD102" s="1292"/>
      <c r="CR102" s="1290" t="s">
        <v>1041</v>
      </c>
      <c r="CS102" s="1291"/>
      <c r="CT102" s="1291"/>
      <c r="CU102" s="1291"/>
      <c r="CV102" s="1291"/>
      <c r="CW102" s="1291"/>
      <c r="CX102" s="1291"/>
      <c r="CY102" s="1292"/>
      <c r="ED102" s="150"/>
      <c r="EF102" s="150"/>
      <c r="EQ102" s="1163" t="s">
        <v>131</v>
      </c>
      <c r="ER102" s="1163"/>
      <c r="ES102" s="1163"/>
      <c r="ET102" s="1163"/>
      <c r="EU102" s="1163"/>
      <c r="EV102" s="1163"/>
      <c r="EW102" s="1163"/>
      <c r="EX102" s="1163"/>
      <c r="EZ102" s="1268" t="s">
        <v>990</v>
      </c>
      <c r="FA102" s="1268"/>
      <c r="FB102" s="1268"/>
      <c r="FC102" s="1268"/>
      <c r="FD102" s="1268"/>
      <c r="FE102" s="1268"/>
      <c r="FF102" s="1268"/>
      <c r="FG102" s="1268"/>
      <c r="FI102" s="1268" t="s">
        <v>955</v>
      </c>
      <c r="FJ102" s="1268"/>
      <c r="FK102" s="1268"/>
      <c r="FL102" s="1268"/>
      <c r="FM102" s="1268"/>
      <c r="FN102" s="1268"/>
      <c r="FO102" s="1268"/>
      <c r="FP102" s="1268"/>
      <c r="FR102" s="1163" t="s">
        <v>131</v>
      </c>
      <c r="FS102" s="1163"/>
      <c r="FT102" s="1163"/>
      <c r="FU102" s="1163"/>
      <c r="FV102" s="1163"/>
      <c r="FW102" s="1163"/>
      <c r="FX102" s="1163"/>
      <c r="FY102" s="1163"/>
      <c r="GJ102" s="1163" t="s">
        <v>131</v>
      </c>
      <c r="GK102" s="1163"/>
      <c r="GL102" s="1163"/>
      <c r="GM102" s="1163"/>
      <c r="GN102" s="1163"/>
      <c r="GO102" s="1163"/>
      <c r="GP102" s="1163"/>
      <c r="GQ102" s="1163"/>
      <c r="HB102" s="154"/>
      <c r="HC102" s="207"/>
      <c r="HD102" s="207"/>
      <c r="HE102" s="371"/>
      <c r="HF102" s="207"/>
      <c r="HG102" s="371"/>
      <c r="HI102" s="1268" t="s">
        <v>637</v>
      </c>
      <c r="HJ102" s="1268"/>
      <c r="HK102" s="1268"/>
      <c r="HL102" s="1268"/>
      <c r="HM102" s="1268"/>
      <c r="HN102" s="1268"/>
      <c r="HO102" s="1268"/>
      <c r="HP102" s="1268"/>
      <c r="HS102" s="1268" t="s">
        <v>770</v>
      </c>
      <c r="HT102" s="1268"/>
      <c r="HU102" s="1268"/>
      <c r="HV102" s="1268"/>
      <c r="HW102" s="1268"/>
      <c r="HX102" s="1268"/>
      <c r="HY102" s="1268"/>
      <c r="HZ102" s="1268"/>
      <c r="IC102" s="1268" t="s">
        <v>920</v>
      </c>
      <c r="ID102" s="1268"/>
      <c r="IE102" s="1268"/>
      <c r="IF102" s="1268"/>
      <c r="IG102" s="1268"/>
      <c r="IH102" s="1268"/>
      <c r="II102" s="1268"/>
      <c r="IJ102" s="1268"/>
      <c r="IM102" s="1268" t="s">
        <v>680</v>
      </c>
      <c r="IN102" s="1268"/>
      <c r="IO102" s="1268"/>
      <c r="IP102" s="1268"/>
      <c r="IQ102" s="1268"/>
      <c r="IR102" s="1268"/>
      <c r="IS102" s="1268"/>
      <c r="IT102" s="1268"/>
      <c r="IV102" s="259"/>
      <c r="IW102" s="1268" t="s">
        <v>938</v>
      </c>
      <c r="IX102" s="1268"/>
      <c r="IY102" s="1268"/>
      <c r="IZ102" s="1268"/>
      <c r="JA102" s="1268"/>
      <c r="JB102" s="1268"/>
      <c r="JC102" s="1268"/>
      <c r="JD102" s="1268"/>
      <c r="JF102" s="154"/>
      <c r="JJ102" s="150"/>
      <c r="JU102" s="173">
        <v>1</v>
      </c>
      <c r="JV102" s="1172" t="s">
        <v>206</v>
      </c>
      <c r="JW102" s="1173"/>
      <c r="JX102" s="1173"/>
      <c r="JY102" s="1173"/>
      <c r="JZ102" s="1173"/>
      <c r="KA102" s="1173"/>
      <c r="KB102" s="1174"/>
      <c r="KE102" s="173">
        <v>1</v>
      </c>
      <c r="KF102" s="1172" t="s">
        <v>206</v>
      </c>
      <c r="KG102" s="1173"/>
      <c r="KH102" s="1173"/>
      <c r="KI102" s="1173"/>
      <c r="KJ102" s="1173"/>
      <c r="KK102" s="1173"/>
      <c r="KL102" s="1174"/>
      <c r="KO102" s="173">
        <v>1</v>
      </c>
      <c r="KP102" s="1172" t="s">
        <v>185</v>
      </c>
      <c r="KQ102" s="1173"/>
      <c r="KR102" s="1173"/>
      <c r="KS102" s="1173"/>
      <c r="KT102" s="1173"/>
      <c r="KU102" s="1173"/>
      <c r="KV102" s="1174"/>
      <c r="KW102" s="154"/>
      <c r="LP102" s="320"/>
      <c r="LQ102" s="320"/>
      <c r="LR102" s="320"/>
    </row>
    <row r="103" spans="63:330" x14ac:dyDescent="0.35">
      <c r="BK103" s="13"/>
      <c r="EC103" s="154"/>
      <c r="ED103" s="150"/>
      <c r="EF103" s="150"/>
      <c r="EZ103" s="174">
        <v>1</v>
      </c>
      <c r="FA103" s="1218" t="s">
        <v>227</v>
      </c>
      <c r="FB103" s="1218"/>
      <c r="FC103" s="1218"/>
      <c r="FD103" s="1218"/>
      <c r="FE103" s="1218"/>
      <c r="FF103" s="1218"/>
      <c r="FG103" s="1218"/>
      <c r="FI103" s="174">
        <v>1</v>
      </c>
      <c r="FJ103" s="1218" t="s">
        <v>4764</v>
      </c>
      <c r="FK103" s="1218"/>
      <c r="FL103" s="1218"/>
      <c r="FM103" s="1218"/>
      <c r="FN103" s="1218"/>
      <c r="FO103" s="1218"/>
      <c r="FP103" s="1218"/>
      <c r="HB103" s="154"/>
      <c r="HC103" s="207"/>
      <c r="HD103" s="207"/>
      <c r="HE103" s="371"/>
      <c r="HF103" s="207"/>
      <c r="HG103" s="371"/>
      <c r="HI103" s="173">
        <v>1</v>
      </c>
      <c r="HJ103" s="1218" t="s">
        <v>195</v>
      </c>
      <c r="HK103" s="1218"/>
      <c r="HL103" s="1218"/>
      <c r="HM103" s="1218"/>
      <c r="HN103" s="1218"/>
      <c r="HO103" s="1218"/>
      <c r="HP103" s="1218"/>
      <c r="HS103" s="173">
        <v>1</v>
      </c>
      <c r="HT103" s="1218" t="s">
        <v>195</v>
      </c>
      <c r="HU103" s="1218"/>
      <c r="HV103" s="1218"/>
      <c r="HW103" s="1218"/>
      <c r="HX103" s="1218"/>
      <c r="HY103" s="1218"/>
      <c r="HZ103" s="1218"/>
      <c r="IC103" s="173">
        <v>1</v>
      </c>
      <c r="ID103" s="1218" t="s">
        <v>195</v>
      </c>
      <c r="IE103" s="1218"/>
      <c r="IF103" s="1218"/>
      <c r="IG103" s="1218"/>
      <c r="IH103" s="1218"/>
      <c r="II103" s="1218"/>
      <c r="IJ103" s="1218"/>
      <c r="IM103" s="173">
        <v>1</v>
      </c>
      <c r="IN103" s="1218" t="s">
        <v>184</v>
      </c>
      <c r="IO103" s="1218"/>
      <c r="IP103" s="1218"/>
      <c r="IQ103" s="1218"/>
      <c r="IR103" s="1218"/>
      <c r="IS103" s="1218"/>
      <c r="IT103" s="1218"/>
      <c r="IV103" s="259"/>
      <c r="IW103" s="372">
        <v>1</v>
      </c>
      <c r="IX103" s="1311" t="s">
        <v>184</v>
      </c>
      <c r="IY103" s="1311"/>
      <c r="IZ103" s="1311"/>
      <c r="JA103" s="1311"/>
      <c r="JB103" s="1311"/>
      <c r="JC103" s="1311"/>
      <c r="JD103" s="1311"/>
      <c r="JF103" s="154"/>
      <c r="JJ103" s="150"/>
      <c r="JU103" s="1271" t="s">
        <v>951</v>
      </c>
      <c r="JV103" s="1272"/>
      <c r="JW103" s="1279"/>
      <c r="JX103" s="1279"/>
      <c r="JY103" s="1279"/>
      <c r="JZ103" s="1279"/>
      <c r="KA103" s="1279"/>
      <c r="KB103" s="1280"/>
      <c r="KE103" s="1271" t="s">
        <v>1055</v>
      </c>
      <c r="KF103" s="1272"/>
      <c r="KG103" s="1279"/>
      <c r="KH103" s="1279"/>
      <c r="KI103" s="1279"/>
      <c r="KJ103" s="1279"/>
      <c r="KK103" s="1279"/>
      <c r="KL103" s="1280"/>
      <c r="KO103" s="1271" t="s">
        <v>709</v>
      </c>
      <c r="KP103" s="1279"/>
      <c r="KQ103" s="1279"/>
      <c r="KR103" s="1279"/>
      <c r="KS103" s="1279"/>
      <c r="KT103" s="1279"/>
      <c r="KU103" s="1279"/>
      <c r="KV103" s="1280"/>
      <c r="KW103" s="154"/>
      <c r="LP103" s="320"/>
      <c r="LQ103" s="320"/>
      <c r="LR103" s="320"/>
    </row>
    <row r="104" spans="63:330" ht="15" customHeight="1" x14ac:dyDescent="0.35">
      <c r="BK104" s="14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58"/>
      <c r="ED104" s="150"/>
      <c r="EF104" s="150"/>
      <c r="EZ104" s="1268" t="s">
        <v>992</v>
      </c>
      <c r="FA104" s="1268"/>
      <c r="FB104" s="1268"/>
      <c r="FC104" s="1268"/>
      <c r="FD104" s="1268"/>
      <c r="FE104" s="1268"/>
      <c r="FF104" s="1268"/>
      <c r="FG104" s="1268"/>
      <c r="FI104" s="1268" t="s">
        <v>897</v>
      </c>
      <c r="FJ104" s="1268"/>
      <c r="FK104" s="1268"/>
      <c r="FL104" s="1268"/>
      <c r="FM104" s="1268"/>
      <c r="FN104" s="1268"/>
      <c r="FO104" s="1268"/>
      <c r="FP104" s="1268"/>
      <c r="HB104" s="154"/>
      <c r="HC104" s="319"/>
      <c r="HD104" s="319"/>
      <c r="HE104" s="340"/>
      <c r="HF104" s="319"/>
      <c r="HG104" s="340"/>
      <c r="HI104" s="1268" t="s">
        <v>649</v>
      </c>
      <c r="HJ104" s="1268"/>
      <c r="HK104" s="1268"/>
      <c r="HL104" s="1268"/>
      <c r="HM104" s="1268"/>
      <c r="HN104" s="1268"/>
      <c r="HO104" s="1268"/>
      <c r="HP104" s="1268"/>
      <c r="HS104" s="1268" t="s">
        <v>787</v>
      </c>
      <c r="HT104" s="1268"/>
      <c r="HU104" s="1268"/>
      <c r="HV104" s="1268"/>
      <c r="HW104" s="1268"/>
      <c r="HX104" s="1268"/>
      <c r="HY104" s="1268"/>
      <c r="HZ104" s="1268"/>
      <c r="IC104" s="1268" t="s">
        <v>959</v>
      </c>
      <c r="ID104" s="1268"/>
      <c r="IE104" s="1268"/>
      <c r="IF104" s="1268"/>
      <c r="IG104" s="1268"/>
      <c r="IH104" s="1268"/>
      <c r="II104" s="1268"/>
      <c r="IJ104" s="1268"/>
      <c r="IM104" s="1268" t="s">
        <v>686</v>
      </c>
      <c r="IN104" s="1268"/>
      <c r="IO104" s="1268"/>
      <c r="IP104" s="1268"/>
      <c r="IQ104" s="1268"/>
      <c r="IR104" s="1268"/>
      <c r="IS104" s="1268"/>
      <c r="IT104" s="1268"/>
      <c r="IV104" s="259"/>
      <c r="IW104" s="1281" t="s">
        <v>975</v>
      </c>
      <c r="IX104" s="1281"/>
      <c r="IY104" s="1281"/>
      <c r="IZ104" s="1281"/>
      <c r="JA104" s="1281"/>
      <c r="JB104" s="1281"/>
      <c r="JC104" s="1281"/>
      <c r="JD104" s="1281"/>
      <c r="JF104" s="373"/>
      <c r="JJ104" s="150"/>
      <c r="KO104" s="173">
        <v>1</v>
      </c>
      <c r="KP104" s="1172" t="s">
        <v>185</v>
      </c>
      <c r="KQ104" s="1173"/>
      <c r="KR104" s="1173"/>
      <c r="KS104" s="1173"/>
      <c r="KT104" s="1173"/>
      <c r="KU104" s="1173"/>
      <c r="KV104" s="1174"/>
      <c r="KW104" s="154"/>
      <c r="LP104" s="207"/>
      <c r="LQ104" s="207"/>
      <c r="LR104" s="207"/>
    </row>
    <row r="105" spans="63:330" x14ac:dyDescent="0.35">
      <c r="DY105" s="1353" t="s">
        <v>4774</v>
      </c>
      <c r="DZ105" s="1354"/>
      <c r="EA105" s="1354"/>
      <c r="EB105" s="1354"/>
      <c r="EC105" s="1355"/>
      <c r="EF105" s="150"/>
      <c r="EZ105" s="174">
        <v>1</v>
      </c>
      <c r="FA105" s="1218" t="s">
        <v>227</v>
      </c>
      <c r="FB105" s="1218"/>
      <c r="FC105" s="1218"/>
      <c r="FD105" s="1218"/>
      <c r="FE105" s="1218"/>
      <c r="FF105" s="1218"/>
      <c r="FG105" s="1218"/>
      <c r="FI105" s="174">
        <v>1</v>
      </c>
      <c r="FJ105" s="1218" t="s">
        <v>4768</v>
      </c>
      <c r="FK105" s="1218"/>
      <c r="FL105" s="1218"/>
      <c r="FM105" s="1218"/>
      <c r="FN105" s="1218"/>
      <c r="FO105" s="1218"/>
      <c r="FP105" s="1218"/>
      <c r="GV105" s="207"/>
      <c r="HB105" s="154"/>
      <c r="HC105" s="319"/>
      <c r="HE105" s="13"/>
      <c r="HG105" s="13"/>
      <c r="HI105" s="173">
        <v>1</v>
      </c>
      <c r="HJ105" s="1218" t="s">
        <v>195</v>
      </c>
      <c r="HK105" s="1218"/>
      <c r="HL105" s="1218"/>
      <c r="HM105" s="1218"/>
      <c r="HN105" s="1218"/>
      <c r="HO105" s="1218"/>
      <c r="HP105" s="1218"/>
      <c r="HS105" s="173">
        <v>1</v>
      </c>
      <c r="HT105" s="1218" t="s">
        <v>195</v>
      </c>
      <c r="HU105" s="1218"/>
      <c r="HV105" s="1218"/>
      <c r="HW105" s="1218"/>
      <c r="HX105" s="1218"/>
      <c r="HY105" s="1218"/>
      <c r="HZ105" s="1218"/>
      <c r="IC105" s="173">
        <v>1</v>
      </c>
      <c r="ID105" s="1218" t="s">
        <v>195</v>
      </c>
      <c r="IE105" s="1218"/>
      <c r="IF105" s="1218"/>
      <c r="IG105" s="1218"/>
      <c r="IH105" s="1218"/>
      <c r="II105" s="1218"/>
      <c r="IJ105" s="1218"/>
      <c r="IM105" s="173">
        <v>1</v>
      </c>
      <c r="IN105" s="1218" t="s">
        <v>184</v>
      </c>
      <c r="IO105" s="1218"/>
      <c r="IP105" s="1218"/>
      <c r="IQ105" s="1218"/>
      <c r="IR105" s="1218"/>
      <c r="IS105" s="1218"/>
      <c r="IT105" s="1218"/>
      <c r="IV105" s="259"/>
      <c r="IW105" s="173">
        <v>1</v>
      </c>
      <c r="IX105" s="1218" t="s">
        <v>184</v>
      </c>
      <c r="IY105" s="1218"/>
      <c r="IZ105" s="1218"/>
      <c r="JA105" s="1218"/>
      <c r="JB105" s="1218"/>
      <c r="JC105" s="1218"/>
      <c r="JD105" s="1218"/>
      <c r="JF105" s="373"/>
      <c r="JJ105" s="150"/>
      <c r="KO105" s="1271" t="s">
        <v>546</v>
      </c>
      <c r="KP105" s="1279"/>
      <c r="KQ105" s="1279"/>
      <c r="KR105" s="1279"/>
      <c r="KS105" s="1279"/>
      <c r="KT105" s="1279"/>
      <c r="KU105" s="1279"/>
      <c r="KV105" s="1280"/>
      <c r="KW105" s="154"/>
    </row>
    <row r="106" spans="63:330" ht="15" customHeight="1" x14ac:dyDescent="0.35">
      <c r="EF106" s="150"/>
      <c r="EZ106" s="1268" t="s">
        <v>996</v>
      </c>
      <c r="FA106" s="1268"/>
      <c r="FB106" s="1268"/>
      <c r="FC106" s="1268"/>
      <c r="FD106" s="1268"/>
      <c r="FE106" s="1268"/>
      <c r="FF106" s="1268"/>
      <c r="FG106" s="1268"/>
      <c r="FI106" s="1271" t="s">
        <v>693</v>
      </c>
      <c r="FJ106" s="1272"/>
      <c r="FK106" s="1272"/>
      <c r="FL106" s="1272"/>
      <c r="FM106" s="1272"/>
      <c r="FN106" s="1272"/>
      <c r="FO106" s="1272"/>
      <c r="FP106" s="1273"/>
      <c r="GV106" s="207"/>
      <c r="HB106" s="154"/>
      <c r="HC106" s="319"/>
      <c r="HE106" s="13"/>
      <c r="HG106" s="13"/>
      <c r="HI106" s="1268" t="s">
        <v>659</v>
      </c>
      <c r="HJ106" s="1268"/>
      <c r="HK106" s="1268"/>
      <c r="HL106" s="1268"/>
      <c r="HM106" s="1268"/>
      <c r="HN106" s="1268"/>
      <c r="HO106" s="1268"/>
      <c r="HP106" s="1268"/>
      <c r="HS106" s="1268" t="s">
        <v>788</v>
      </c>
      <c r="HT106" s="1268"/>
      <c r="HU106" s="1268"/>
      <c r="HV106" s="1268"/>
      <c r="HW106" s="1268"/>
      <c r="HX106" s="1268"/>
      <c r="HY106" s="1268"/>
      <c r="HZ106" s="1268"/>
      <c r="IC106" s="1268" t="s">
        <v>961</v>
      </c>
      <c r="ID106" s="1268"/>
      <c r="IE106" s="1268"/>
      <c r="IF106" s="1268"/>
      <c r="IG106" s="1268"/>
      <c r="IH106" s="1268"/>
      <c r="II106" s="1268"/>
      <c r="IJ106" s="1268"/>
      <c r="IM106" s="1268" t="s">
        <v>725</v>
      </c>
      <c r="IN106" s="1268"/>
      <c r="IO106" s="1268"/>
      <c r="IP106" s="1268"/>
      <c r="IQ106" s="1268"/>
      <c r="IR106" s="1268"/>
      <c r="IS106" s="1268"/>
      <c r="IT106" s="1268"/>
      <c r="IV106" s="259"/>
      <c r="IW106" s="1281" t="s">
        <v>973</v>
      </c>
      <c r="IX106" s="1281"/>
      <c r="IY106" s="1281"/>
      <c r="IZ106" s="1281"/>
      <c r="JA106" s="1281"/>
      <c r="JB106" s="1281"/>
      <c r="JC106" s="1281"/>
      <c r="JD106" s="1281"/>
      <c r="JF106" s="373"/>
      <c r="JJ106" s="150"/>
      <c r="KW106" s="154"/>
    </row>
    <row r="107" spans="63:330" x14ac:dyDescent="0.35">
      <c r="EF107" s="150"/>
      <c r="EZ107" s="174">
        <v>1</v>
      </c>
      <c r="FA107" s="1218" t="s">
        <v>227</v>
      </c>
      <c r="FB107" s="1218"/>
      <c r="FC107" s="1218"/>
      <c r="FD107" s="1218"/>
      <c r="FE107" s="1218"/>
      <c r="FF107" s="1218"/>
      <c r="FG107" s="1218"/>
      <c r="FI107" s="174">
        <v>1</v>
      </c>
      <c r="FJ107" s="1218" t="s">
        <v>4768</v>
      </c>
      <c r="FK107" s="1218"/>
      <c r="FL107" s="1218"/>
      <c r="FM107" s="1218"/>
      <c r="FN107" s="1218"/>
      <c r="FO107" s="1218"/>
      <c r="FP107" s="1218"/>
      <c r="GV107" s="207"/>
      <c r="HB107" s="154"/>
      <c r="HC107" s="319"/>
      <c r="HE107" s="13"/>
      <c r="HG107" s="13"/>
      <c r="HI107" s="173">
        <v>1</v>
      </c>
      <c r="HJ107" s="1218" t="s">
        <v>195</v>
      </c>
      <c r="HK107" s="1218"/>
      <c r="HL107" s="1218"/>
      <c r="HM107" s="1218"/>
      <c r="HN107" s="1218"/>
      <c r="HO107" s="1218"/>
      <c r="HP107" s="1218"/>
      <c r="HS107" s="173">
        <v>1</v>
      </c>
      <c r="HT107" s="1218" t="s">
        <v>195</v>
      </c>
      <c r="HU107" s="1218"/>
      <c r="HV107" s="1218"/>
      <c r="HW107" s="1218"/>
      <c r="HX107" s="1218"/>
      <c r="HY107" s="1218"/>
      <c r="HZ107" s="1218"/>
      <c r="IC107" s="173">
        <v>1</v>
      </c>
      <c r="ID107" s="1218" t="s">
        <v>195</v>
      </c>
      <c r="IE107" s="1218"/>
      <c r="IF107" s="1218"/>
      <c r="IG107" s="1218"/>
      <c r="IH107" s="1218"/>
      <c r="II107" s="1218"/>
      <c r="IJ107" s="1218"/>
      <c r="IM107" s="173">
        <v>1</v>
      </c>
      <c r="IN107" s="1218" t="s">
        <v>184</v>
      </c>
      <c r="IO107" s="1218"/>
      <c r="IP107" s="1218"/>
      <c r="IQ107" s="1218"/>
      <c r="IR107" s="1218"/>
      <c r="IS107" s="1218"/>
      <c r="IT107" s="1218"/>
      <c r="IV107" s="259"/>
      <c r="IW107" s="173">
        <v>1</v>
      </c>
      <c r="IX107" s="1218" t="s">
        <v>184</v>
      </c>
      <c r="IY107" s="1218"/>
      <c r="IZ107" s="1218"/>
      <c r="JA107" s="1218"/>
      <c r="JB107" s="1218"/>
      <c r="JC107" s="1218"/>
      <c r="JD107" s="1218"/>
      <c r="JF107" s="373"/>
      <c r="JJ107" s="14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21"/>
    </row>
    <row r="108" spans="63:330" x14ac:dyDescent="0.35">
      <c r="EF108" s="150"/>
      <c r="EZ108" s="1268" t="s">
        <v>1004</v>
      </c>
      <c r="FA108" s="1268"/>
      <c r="FB108" s="1268"/>
      <c r="FC108" s="1268"/>
      <c r="FD108" s="1268"/>
      <c r="FE108" s="1268"/>
      <c r="FF108" s="1268"/>
      <c r="FG108" s="1268"/>
      <c r="FI108" s="1268" t="s">
        <v>703</v>
      </c>
      <c r="FJ108" s="1268"/>
      <c r="FK108" s="1268"/>
      <c r="FL108" s="1268"/>
      <c r="FM108" s="1268"/>
      <c r="FN108" s="1268"/>
      <c r="FO108" s="1268"/>
      <c r="FP108" s="1268"/>
      <c r="GV108" s="207"/>
      <c r="HB108" s="154"/>
      <c r="HC108" s="319"/>
      <c r="HE108" s="13"/>
      <c r="HG108" s="13"/>
      <c r="HI108" s="1271" t="s">
        <v>676</v>
      </c>
      <c r="HJ108" s="1272"/>
      <c r="HK108" s="1272"/>
      <c r="HL108" s="1272"/>
      <c r="HM108" s="1272"/>
      <c r="HN108" s="1272"/>
      <c r="HO108" s="1272"/>
      <c r="HP108" s="1273"/>
      <c r="HS108" s="1268" t="s">
        <v>790</v>
      </c>
      <c r="HT108" s="1268"/>
      <c r="HU108" s="1268"/>
      <c r="HV108" s="1268"/>
      <c r="HW108" s="1268"/>
      <c r="HX108" s="1268"/>
      <c r="HY108" s="1268"/>
      <c r="HZ108" s="1268"/>
      <c r="IC108" s="1349" t="s">
        <v>131</v>
      </c>
      <c r="ID108" s="1268"/>
      <c r="IE108" s="1268"/>
      <c r="IF108" s="1268"/>
      <c r="IG108" s="1268"/>
      <c r="IH108" s="1268"/>
      <c r="II108" s="1268"/>
      <c r="IJ108" s="1268"/>
      <c r="IM108" s="1276" t="s">
        <v>732</v>
      </c>
      <c r="IN108" s="1276"/>
      <c r="IO108" s="1276"/>
      <c r="IP108" s="1276"/>
      <c r="IQ108" s="1276"/>
      <c r="IR108" s="1276"/>
      <c r="IS108" s="1276"/>
      <c r="IT108" s="1276"/>
      <c r="IV108" s="259"/>
      <c r="IW108" s="1281" t="s">
        <v>991</v>
      </c>
      <c r="IX108" s="1281"/>
      <c r="IY108" s="1281"/>
      <c r="IZ108" s="1281"/>
      <c r="JA108" s="1281"/>
      <c r="JB108" s="1281"/>
      <c r="JC108" s="1281"/>
      <c r="JD108" s="1281"/>
      <c r="JF108" s="373"/>
      <c r="KT108" s="1070" t="s">
        <v>251</v>
      </c>
      <c r="KU108" s="1070"/>
      <c r="KV108" s="1070"/>
      <c r="KW108" s="1282"/>
    </row>
    <row r="109" spans="63:330" x14ac:dyDescent="0.35">
      <c r="EF109" s="150"/>
      <c r="EZ109" s="144">
        <v>1</v>
      </c>
      <c r="FA109" s="1056" t="s">
        <v>227</v>
      </c>
      <c r="FB109" s="1056"/>
      <c r="FC109" s="1056"/>
      <c r="FD109" s="1056"/>
      <c r="FE109" s="1056"/>
      <c r="FF109" s="1056"/>
      <c r="FG109" s="1056"/>
      <c r="FI109" s="174">
        <v>1</v>
      </c>
      <c r="FJ109" s="1218" t="s">
        <v>4768</v>
      </c>
      <c r="FK109" s="1218"/>
      <c r="FL109" s="1218"/>
      <c r="FM109" s="1218"/>
      <c r="FN109" s="1218"/>
      <c r="FO109" s="1218"/>
      <c r="FP109" s="1218"/>
      <c r="GV109" s="207"/>
      <c r="HB109" s="154"/>
      <c r="HC109" s="319"/>
      <c r="HE109" s="13"/>
      <c r="HG109" s="13"/>
      <c r="HI109" s="173">
        <v>1</v>
      </c>
      <c r="HJ109" s="1218" t="s">
        <v>195</v>
      </c>
      <c r="HK109" s="1218"/>
      <c r="HL109" s="1218"/>
      <c r="HM109" s="1218"/>
      <c r="HN109" s="1218"/>
      <c r="HO109" s="1218"/>
      <c r="HP109" s="1218"/>
      <c r="HS109" s="173">
        <v>1</v>
      </c>
      <c r="HT109" s="1218" t="s">
        <v>195</v>
      </c>
      <c r="HU109" s="1218"/>
      <c r="HV109" s="1218"/>
      <c r="HW109" s="1218"/>
      <c r="HX109" s="1218"/>
      <c r="HY109" s="1218"/>
      <c r="HZ109" s="1218"/>
      <c r="IC109" s="173">
        <v>1</v>
      </c>
      <c r="ID109" s="1218" t="s">
        <v>195</v>
      </c>
      <c r="IE109" s="1218"/>
      <c r="IF109" s="1218"/>
      <c r="IG109" s="1218"/>
      <c r="IH109" s="1218"/>
      <c r="II109" s="1218"/>
      <c r="IJ109" s="1218"/>
      <c r="IM109" s="173">
        <v>1</v>
      </c>
      <c r="IN109" s="1218" t="s">
        <v>184</v>
      </c>
      <c r="IO109" s="1218"/>
      <c r="IP109" s="1218"/>
      <c r="IQ109" s="1218"/>
      <c r="IR109" s="1218"/>
      <c r="IS109" s="1218"/>
      <c r="IT109" s="1218"/>
      <c r="IV109" s="259"/>
      <c r="IW109" s="173">
        <v>1</v>
      </c>
      <c r="IX109" s="1218" t="s">
        <v>184</v>
      </c>
      <c r="IY109" s="1218"/>
      <c r="IZ109" s="1218"/>
      <c r="JA109" s="1218"/>
      <c r="JB109" s="1218"/>
      <c r="JC109" s="1218"/>
      <c r="JD109" s="1218"/>
      <c r="JF109" s="373"/>
    </row>
    <row r="110" spans="63:330" ht="15" customHeight="1" x14ac:dyDescent="0.35">
      <c r="EF110" s="150"/>
      <c r="EZ110" s="1270" t="s">
        <v>531</v>
      </c>
      <c r="FA110" s="1270"/>
      <c r="FB110" s="1270"/>
      <c r="FC110" s="1270"/>
      <c r="FD110" s="1270"/>
      <c r="FE110" s="1270"/>
      <c r="FF110" s="1270"/>
      <c r="FG110" s="1270"/>
      <c r="FI110" s="1268" t="s">
        <v>707</v>
      </c>
      <c r="FJ110" s="1268"/>
      <c r="FK110" s="1268"/>
      <c r="FL110" s="1268"/>
      <c r="FM110" s="1268"/>
      <c r="FN110" s="1268"/>
      <c r="FO110" s="1268"/>
      <c r="FP110" s="1268"/>
      <c r="GV110" s="319"/>
      <c r="HB110" s="154"/>
      <c r="HC110" s="319"/>
      <c r="HE110" s="13"/>
      <c r="HG110" s="13"/>
      <c r="HI110" s="1268" t="s">
        <v>987</v>
      </c>
      <c r="HJ110" s="1268"/>
      <c r="HK110" s="1268"/>
      <c r="HL110" s="1268"/>
      <c r="HM110" s="1268"/>
      <c r="HN110" s="1268"/>
      <c r="HO110" s="1268"/>
      <c r="HP110" s="1268"/>
      <c r="HS110" s="1268" t="s">
        <v>826</v>
      </c>
      <c r="HT110" s="1268"/>
      <c r="HU110" s="1268"/>
      <c r="HV110" s="1268"/>
      <c r="HW110" s="1268"/>
      <c r="HX110" s="1268"/>
      <c r="HY110" s="1268"/>
      <c r="HZ110" s="1268"/>
      <c r="IC110" s="1268" t="s">
        <v>1022</v>
      </c>
      <c r="ID110" s="1268"/>
      <c r="IE110" s="1268"/>
      <c r="IF110" s="1268"/>
      <c r="IG110" s="1268"/>
      <c r="IH110" s="1268"/>
      <c r="II110" s="1268"/>
      <c r="IJ110" s="1268"/>
      <c r="IM110" s="1278" t="s">
        <v>131</v>
      </c>
      <c r="IN110" s="1278"/>
      <c r="IO110" s="1278"/>
      <c r="IP110" s="1278"/>
      <c r="IQ110" s="1278"/>
      <c r="IR110" s="1278"/>
      <c r="IS110" s="1278"/>
      <c r="IT110" s="1278"/>
      <c r="IV110" s="259"/>
      <c r="IW110" s="1281" t="s">
        <v>1006</v>
      </c>
      <c r="IX110" s="1281"/>
      <c r="IY110" s="1281"/>
      <c r="IZ110" s="1281"/>
      <c r="JA110" s="1281"/>
      <c r="JB110" s="1281"/>
      <c r="JC110" s="1281"/>
      <c r="JD110" s="1281"/>
      <c r="JF110" s="373"/>
      <c r="KC110" s="323"/>
      <c r="KD110" s="323"/>
      <c r="KQ110" s="314"/>
      <c r="KR110" s="324"/>
      <c r="LL110" s="207"/>
      <c r="LM110" s="207"/>
      <c r="LN110" s="207"/>
    </row>
    <row r="111" spans="63:330" ht="15" customHeight="1" x14ac:dyDescent="0.35">
      <c r="CI111" s="374"/>
      <c r="CJ111" s="207"/>
      <c r="CK111" s="207"/>
      <c r="CL111" s="207"/>
      <c r="CM111" s="207"/>
      <c r="CN111" s="207"/>
      <c r="CO111" s="207"/>
      <c r="CP111" s="207"/>
      <c r="EF111" s="150"/>
      <c r="EZ111" s="174">
        <v>1</v>
      </c>
      <c r="FA111" s="1218" t="s">
        <v>218</v>
      </c>
      <c r="FB111" s="1218"/>
      <c r="FC111" s="1218"/>
      <c r="FD111" s="1218"/>
      <c r="FE111" s="1218"/>
      <c r="FF111" s="1218"/>
      <c r="FG111" s="1218"/>
      <c r="FI111" s="174">
        <v>1</v>
      </c>
      <c r="FJ111" s="1218" t="s">
        <v>243</v>
      </c>
      <c r="FK111" s="1218"/>
      <c r="FL111" s="1218"/>
      <c r="FM111" s="1218"/>
      <c r="FN111" s="1218"/>
      <c r="FO111" s="1218"/>
      <c r="FP111" s="1218"/>
      <c r="GV111" s="319"/>
      <c r="HB111" s="154"/>
      <c r="HC111" s="319"/>
      <c r="HE111" s="13"/>
      <c r="HG111" s="13"/>
      <c r="HI111" s="173">
        <v>1</v>
      </c>
      <c r="HJ111" s="1218" t="s">
        <v>195</v>
      </c>
      <c r="HK111" s="1218"/>
      <c r="HL111" s="1218"/>
      <c r="HM111" s="1218"/>
      <c r="HN111" s="1218"/>
      <c r="HO111" s="1218"/>
      <c r="HP111" s="1218"/>
      <c r="HS111" s="173">
        <v>1</v>
      </c>
      <c r="HT111" s="1218" t="s">
        <v>195</v>
      </c>
      <c r="HU111" s="1218"/>
      <c r="HV111" s="1218"/>
      <c r="HW111" s="1218"/>
      <c r="HX111" s="1218"/>
      <c r="HY111" s="1218"/>
      <c r="HZ111" s="1218"/>
      <c r="IC111" s="173">
        <v>1</v>
      </c>
      <c r="ID111" s="1218" t="s">
        <v>195</v>
      </c>
      <c r="IE111" s="1218"/>
      <c r="IF111" s="1218"/>
      <c r="IG111" s="1218"/>
      <c r="IH111" s="1218"/>
      <c r="II111" s="1218"/>
      <c r="IJ111" s="1218"/>
      <c r="IM111" s="173">
        <v>1</v>
      </c>
      <c r="IN111" s="1286" t="s">
        <v>195</v>
      </c>
      <c r="IO111" s="1286"/>
      <c r="IP111" s="1286"/>
      <c r="IQ111" s="1286"/>
      <c r="IR111" s="1286"/>
      <c r="IS111" s="1286"/>
      <c r="IT111" s="1286"/>
      <c r="IV111" s="259"/>
      <c r="IW111" s="173">
        <v>1</v>
      </c>
      <c r="IX111" s="1218" t="s">
        <v>184</v>
      </c>
      <c r="IY111" s="1218"/>
      <c r="IZ111" s="1218"/>
      <c r="JA111" s="1218"/>
      <c r="JB111" s="1218"/>
      <c r="JC111" s="1218"/>
      <c r="JD111" s="1218"/>
      <c r="JF111" s="373"/>
      <c r="KC111" s="323"/>
      <c r="KD111" s="323"/>
      <c r="KE111" s="323"/>
      <c r="KF111" s="323"/>
      <c r="KG111" s="323"/>
      <c r="KQ111" s="314"/>
      <c r="KR111" s="324"/>
      <c r="KS111" s="324"/>
      <c r="KT111" s="324"/>
      <c r="KU111" s="324"/>
      <c r="KV111" s="324"/>
      <c r="KW111" s="324"/>
      <c r="KX111" s="324"/>
      <c r="LL111" s="207"/>
      <c r="LM111" s="207"/>
      <c r="LN111" s="207"/>
    </row>
    <row r="112" spans="63:330" x14ac:dyDescent="0.35">
      <c r="CI112" s="292"/>
      <c r="CJ112" s="292"/>
      <c r="CK112" s="292"/>
      <c r="CL112" s="292"/>
      <c r="CM112" s="292"/>
      <c r="CN112" s="292"/>
      <c r="CO112" s="292"/>
      <c r="CP112" s="292"/>
      <c r="EF112" s="150"/>
      <c r="EZ112" s="1268" t="s">
        <v>1011</v>
      </c>
      <c r="FA112" s="1268"/>
      <c r="FB112" s="1268"/>
      <c r="FC112" s="1268"/>
      <c r="FD112" s="1268"/>
      <c r="FE112" s="1268"/>
      <c r="FF112" s="1268"/>
      <c r="FG112" s="1268"/>
      <c r="FI112" s="1276" t="s">
        <v>730</v>
      </c>
      <c r="FJ112" s="1276"/>
      <c r="FK112" s="1276"/>
      <c r="FL112" s="1276"/>
      <c r="FM112" s="1276"/>
      <c r="FN112" s="1276"/>
      <c r="FO112" s="1276"/>
      <c r="FP112" s="1276"/>
      <c r="GV112" s="319"/>
      <c r="HB112" s="154"/>
      <c r="HE112" s="13"/>
      <c r="HG112" s="13"/>
      <c r="HI112" s="1268" t="s">
        <v>989</v>
      </c>
      <c r="HJ112" s="1268"/>
      <c r="HK112" s="1268"/>
      <c r="HL112" s="1268"/>
      <c r="HM112" s="1268"/>
      <c r="HN112" s="1268"/>
      <c r="HO112" s="1268"/>
      <c r="HP112" s="1268"/>
      <c r="HS112" s="1268" t="s">
        <v>1001</v>
      </c>
      <c r="HT112" s="1268"/>
      <c r="HU112" s="1268"/>
      <c r="HV112" s="1268"/>
      <c r="HW112" s="1268"/>
      <c r="HX112" s="1268"/>
      <c r="HY112" s="1268"/>
      <c r="HZ112" s="1268"/>
      <c r="IC112" s="1268" t="s">
        <v>1029</v>
      </c>
      <c r="ID112" s="1268"/>
      <c r="IE112" s="1268"/>
      <c r="IF112" s="1268"/>
      <c r="IG112" s="1268"/>
      <c r="IH112" s="1268"/>
      <c r="II112" s="1268"/>
      <c r="IJ112" s="1268"/>
      <c r="IM112" s="1278" t="s">
        <v>131</v>
      </c>
      <c r="IN112" s="1278"/>
      <c r="IO112" s="1278"/>
      <c r="IP112" s="1278"/>
      <c r="IQ112" s="1278"/>
      <c r="IR112" s="1278"/>
      <c r="IS112" s="1278"/>
      <c r="IT112" s="1278"/>
      <c r="IW112" s="1278" t="s">
        <v>131</v>
      </c>
      <c r="IX112" s="1281"/>
      <c r="IY112" s="1281"/>
      <c r="IZ112" s="1281"/>
      <c r="JA112" s="1281"/>
      <c r="JB112" s="1281"/>
      <c r="JC112" s="1281"/>
      <c r="JD112" s="1281"/>
      <c r="JF112" s="373"/>
      <c r="KD112" s="292"/>
      <c r="KE112" s="323"/>
      <c r="KF112" s="323"/>
      <c r="KG112" s="323"/>
      <c r="KH112" s="323"/>
      <c r="KI112" s="323"/>
      <c r="KJ112" s="323"/>
      <c r="KK112" s="323"/>
      <c r="KU112" s="314"/>
      <c r="KV112" s="324"/>
      <c r="KW112" s="324"/>
      <c r="KX112" s="324"/>
      <c r="KY112" s="324"/>
      <c r="KZ112" s="324"/>
      <c r="LA112" s="324"/>
      <c r="LB112" s="324"/>
      <c r="LP112" s="319"/>
      <c r="LQ112" s="319"/>
      <c r="LR112" s="319"/>
    </row>
    <row r="113" spans="42:330" x14ac:dyDescent="0.35">
      <c r="EF113" s="150"/>
      <c r="EZ113" s="174">
        <v>1</v>
      </c>
      <c r="FA113" s="1218" t="s">
        <v>218</v>
      </c>
      <c r="FB113" s="1218"/>
      <c r="FC113" s="1218"/>
      <c r="FD113" s="1218"/>
      <c r="FE113" s="1218"/>
      <c r="FF113" s="1218"/>
      <c r="FG113" s="1218"/>
      <c r="FI113" s="179">
        <v>1</v>
      </c>
      <c r="FJ113" s="1102" t="s">
        <v>243</v>
      </c>
      <c r="FK113" s="1102"/>
      <c r="FL113" s="1102"/>
      <c r="FM113" s="1102"/>
      <c r="FN113" s="1102"/>
      <c r="FO113" s="1102"/>
      <c r="FP113" s="1102"/>
      <c r="GV113" s="319"/>
      <c r="HB113" s="154"/>
      <c r="HE113" s="13"/>
      <c r="HG113" s="13"/>
      <c r="HI113" s="173">
        <v>1</v>
      </c>
      <c r="HJ113" s="1218" t="s">
        <v>195</v>
      </c>
      <c r="HK113" s="1218"/>
      <c r="HL113" s="1218"/>
      <c r="HM113" s="1218"/>
      <c r="HN113" s="1218"/>
      <c r="HO113" s="1218"/>
      <c r="HP113" s="1218"/>
      <c r="HS113" s="173">
        <v>1</v>
      </c>
      <c r="HT113" s="1218" t="s">
        <v>195</v>
      </c>
      <c r="HU113" s="1218"/>
      <c r="HV113" s="1218"/>
      <c r="HW113" s="1218"/>
      <c r="HX113" s="1218"/>
      <c r="HY113" s="1218"/>
      <c r="HZ113" s="1218"/>
      <c r="IC113" s="355">
        <v>1</v>
      </c>
      <c r="ID113" s="1286" t="s">
        <v>195</v>
      </c>
      <c r="IE113" s="1286"/>
      <c r="IF113" s="1286"/>
      <c r="IG113" s="1286"/>
      <c r="IH113" s="1286"/>
      <c r="II113" s="1286"/>
      <c r="IJ113" s="1286"/>
      <c r="IM113" s="173">
        <v>1</v>
      </c>
      <c r="IN113" s="1286" t="s">
        <v>195</v>
      </c>
      <c r="IO113" s="1286"/>
      <c r="IP113" s="1286"/>
      <c r="IQ113" s="1286"/>
      <c r="IR113" s="1286"/>
      <c r="IS113" s="1286"/>
      <c r="IT113" s="1286"/>
      <c r="IW113" s="173">
        <v>1</v>
      </c>
      <c r="IX113" s="1218" t="s">
        <v>184</v>
      </c>
      <c r="IY113" s="1218"/>
      <c r="IZ113" s="1218"/>
      <c r="JA113" s="1218"/>
      <c r="JB113" s="1218"/>
      <c r="JC113" s="1218"/>
      <c r="JD113" s="1218"/>
      <c r="JF113" s="373"/>
      <c r="KD113" s="292"/>
      <c r="KE113" s="323"/>
      <c r="KF113" s="323"/>
      <c r="KG113" s="323"/>
      <c r="KH113" s="323"/>
      <c r="KI113" s="323"/>
      <c r="KJ113" s="323"/>
      <c r="KK113" s="323"/>
      <c r="KQ113" s="314"/>
      <c r="KR113" s="324"/>
      <c r="KS113" s="324"/>
      <c r="LP113" s="207"/>
      <c r="LQ113" s="207"/>
      <c r="LR113" s="207"/>
    </row>
    <row r="114" spans="42:330" ht="15" customHeight="1" x14ac:dyDescent="0.35">
      <c r="EF114" s="150"/>
      <c r="EZ114" s="1268" t="s">
        <v>1020</v>
      </c>
      <c r="FA114" s="1268"/>
      <c r="FB114" s="1268"/>
      <c r="FC114" s="1268"/>
      <c r="FD114" s="1268"/>
      <c r="FE114" s="1268"/>
      <c r="FF114" s="1268"/>
      <c r="FG114" s="1268"/>
      <c r="FI114" s="1269" t="s">
        <v>769</v>
      </c>
      <c r="FJ114" s="1269"/>
      <c r="FK114" s="1269"/>
      <c r="FL114" s="1269"/>
      <c r="FM114" s="1269"/>
      <c r="FN114" s="1269"/>
      <c r="FO114" s="1269"/>
      <c r="FP114" s="1269"/>
      <c r="GV114" s="319"/>
      <c r="HB114" s="154"/>
      <c r="HE114" s="13"/>
      <c r="HG114" s="13"/>
      <c r="HI114" s="1268" t="s">
        <v>995</v>
      </c>
      <c r="HJ114" s="1268"/>
      <c r="HK114" s="1268"/>
      <c r="HL114" s="1268"/>
      <c r="HM114" s="1268"/>
      <c r="HN114" s="1268"/>
      <c r="HO114" s="1268"/>
      <c r="HP114" s="1268"/>
      <c r="HS114" s="1278" t="s">
        <v>131</v>
      </c>
      <c r="HT114" s="1268"/>
      <c r="HU114" s="1268"/>
      <c r="HV114" s="1268"/>
      <c r="HW114" s="1268"/>
      <c r="HX114" s="1268"/>
      <c r="HY114" s="1268"/>
      <c r="HZ114" s="1268"/>
      <c r="IC114" s="1349" t="s">
        <v>131</v>
      </c>
      <c r="ID114" s="1349"/>
      <c r="IE114" s="1349"/>
      <c r="IF114" s="1349"/>
      <c r="IG114" s="1349"/>
      <c r="IH114" s="1349"/>
      <c r="II114" s="1349"/>
      <c r="IJ114" s="1349"/>
      <c r="IM114" s="1278" t="s">
        <v>131</v>
      </c>
      <c r="IN114" s="1278"/>
      <c r="IO114" s="1278"/>
      <c r="IP114" s="1278"/>
      <c r="IQ114" s="1278"/>
      <c r="IR114" s="1278"/>
      <c r="IS114" s="1278"/>
      <c r="IT114" s="1278"/>
      <c r="IW114" s="1268" t="s">
        <v>749</v>
      </c>
      <c r="IX114" s="1268"/>
      <c r="IY114" s="1268"/>
      <c r="IZ114" s="1268"/>
      <c r="JA114" s="1268"/>
      <c r="JB114" s="1268"/>
      <c r="JC114" s="1268"/>
      <c r="JD114" s="1268"/>
      <c r="JF114" s="375"/>
      <c r="LP114" s="319"/>
      <c r="LQ114" s="319"/>
      <c r="LR114" s="319"/>
    </row>
    <row r="115" spans="42:330" x14ac:dyDescent="0.35">
      <c r="EF115" s="150"/>
      <c r="EZ115" s="174">
        <v>1</v>
      </c>
      <c r="FA115" s="1218" t="s">
        <v>218</v>
      </c>
      <c r="FB115" s="1218"/>
      <c r="FC115" s="1218"/>
      <c r="FD115" s="1218"/>
      <c r="FE115" s="1218"/>
      <c r="FF115" s="1218"/>
      <c r="FG115" s="1218"/>
      <c r="FI115" s="327">
        <v>1</v>
      </c>
      <c r="FJ115" s="1277" t="s">
        <v>243</v>
      </c>
      <c r="FK115" s="1277"/>
      <c r="FL115" s="1277"/>
      <c r="FM115" s="1277"/>
      <c r="FN115" s="1277"/>
      <c r="FO115" s="1277"/>
      <c r="FP115" s="1277"/>
      <c r="GV115" s="319"/>
      <c r="HB115" s="154"/>
      <c r="HE115" s="13"/>
      <c r="HG115" s="13"/>
      <c r="HI115" s="173">
        <v>1</v>
      </c>
      <c r="HJ115" s="1218" t="s">
        <v>195</v>
      </c>
      <c r="HK115" s="1218"/>
      <c r="HL115" s="1218"/>
      <c r="HM115" s="1218"/>
      <c r="HN115" s="1218"/>
      <c r="HO115" s="1218"/>
      <c r="HP115" s="1218"/>
      <c r="HS115" s="173">
        <v>1</v>
      </c>
      <c r="HT115" s="1218" t="s">
        <v>195</v>
      </c>
      <c r="HU115" s="1218"/>
      <c r="HV115" s="1218"/>
      <c r="HW115" s="1218"/>
      <c r="HX115" s="1218"/>
      <c r="HY115" s="1218"/>
      <c r="HZ115" s="1218"/>
      <c r="IC115" s="173">
        <v>1</v>
      </c>
      <c r="ID115" s="1286" t="s">
        <v>195</v>
      </c>
      <c r="IE115" s="1286"/>
      <c r="IF115" s="1286"/>
      <c r="IG115" s="1286"/>
      <c r="IH115" s="1286"/>
      <c r="II115" s="1286"/>
      <c r="IJ115" s="1286"/>
      <c r="IM115" s="173">
        <v>1</v>
      </c>
      <c r="IN115" s="1286" t="s">
        <v>195</v>
      </c>
      <c r="IO115" s="1286"/>
      <c r="IP115" s="1286"/>
      <c r="IQ115" s="1286"/>
      <c r="IR115" s="1286"/>
      <c r="IS115" s="1286"/>
      <c r="IT115" s="1286"/>
      <c r="IV115" s="319"/>
      <c r="IW115" s="173">
        <v>1</v>
      </c>
      <c r="IX115" s="1286" t="s">
        <v>195</v>
      </c>
      <c r="IY115" s="1286"/>
      <c r="IZ115" s="1286"/>
      <c r="JA115" s="1286"/>
      <c r="JB115" s="1286"/>
      <c r="JC115" s="1286"/>
      <c r="JD115" s="1286"/>
      <c r="JF115" s="2"/>
      <c r="JO115" s="207"/>
      <c r="JP115" s="207"/>
      <c r="JQ115" s="207"/>
      <c r="LP115" s="207"/>
      <c r="LQ115" s="207"/>
      <c r="LR115" s="207"/>
    </row>
    <row r="116" spans="42:330" ht="14.5" customHeight="1" x14ac:dyDescent="0.35">
      <c r="AP116" s="319"/>
      <c r="AQ116" s="319"/>
      <c r="EF116" s="150"/>
      <c r="EZ116" s="1268" t="s">
        <v>1021</v>
      </c>
      <c r="FA116" s="1268"/>
      <c r="FB116" s="1268"/>
      <c r="FC116" s="1268"/>
      <c r="FD116" s="1268"/>
      <c r="FE116" s="1268"/>
      <c r="FF116" s="1268"/>
      <c r="FG116" s="1268"/>
      <c r="FI116" s="1268" t="s">
        <v>569</v>
      </c>
      <c r="FJ116" s="1268"/>
      <c r="FK116" s="1268"/>
      <c r="FL116" s="1268"/>
      <c r="FM116" s="1268"/>
      <c r="FN116" s="1268"/>
      <c r="FO116" s="1268"/>
      <c r="FP116" s="1268"/>
      <c r="GN116" s="319"/>
      <c r="GO116" s="319"/>
      <c r="GP116" s="319"/>
      <c r="GQ116" s="319"/>
      <c r="GR116" s="319"/>
      <c r="GS116" s="319"/>
      <c r="GT116" s="319"/>
      <c r="GU116" s="319"/>
      <c r="GV116" s="319"/>
      <c r="HB116" s="154"/>
      <c r="HE116" s="13"/>
      <c r="HG116" s="13"/>
      <c r="HI116" s="1268" t="s">
        <v>1033</v>
      </c>
      <c r="HJ116" s="1268"/>
      <c r="HK116" s="1268"/>
      <c r="HL116" s="1268"/>
      <c r="HM116" s="1268"/>
      <c r="HN116" s="1268"/>
      <c r="HO116" s="1268"/>
      <c r="HP116" s="1268"/>
      <c r="HS116" s="1268" t="s">
        <v>1007</v>
      </c>
      <c r="HT116" s="1268"/>
      <c r="HU116" s="1268"/>
      <c r="HV116" s="1268"/>
      <c r="HW116" s="1268"/>
      <c r="HX116" s="1268"/>
      <c r="HY116" s="1268"/>
      <c r="HZ116" s="1268"/>
      <c r="IC116" s="1278" t="s">
        <v>131</v>
      </c>
      <c r="ID116" s="1278"/>
      <c r="IE116" s="1278"/>
      <c r="IF116" s="1278"/>
      <c r="IG116" s="1278"/>
      <c r="IH116" s="1278"/>
      <c r="II116" s="1278"/>
      <c r="IJ116" s="1278"/>
      <c r="IM116" s="1278" t="s">
        <v>131</v>
      </c>
      <c r="IN116" s="1278"/>
      <c r="IO116" s="1278"/>
      <c r="IP116" s="1278"/>
      <c r="IQ116" s="1278"/>
      <c r="IR116" s="1278"/>
      <c r="IS116" s="1278"/>
      <c r="IT116" s="1278"/>
      <c r="IV116" s="313"/>
      <c r="IW116" s="1278" t="s">
        <v>131</v>
      </c>
      <c r="IX116" s="1278"/>
      <c r="IY116" s="1278"/>
      <c r="IZ116" s="1278"/>
      <c r="JA116" s="1278"/>
      <c r="JB116" s="1278"/>
      <c r="JC116" s="1278"/>
      <c r="JD116" s="1278"/>
      <c r="JF116" s="2"/>
      <c r="JO116" s="319"/>
      <c r="JP116" s="319"/>
      <c r="JQ116" s="319"/>
      <c r="LP116" s="319"/>
      <c r="LQ116" s="319"/>
      <c r="LR116" s="319"/>
    </row>
    <row r="117" spans="42:330" x14ac:dyDescent="0.35">
      <c r="AP117" s="207"/>
      <c r="AQ117" s="207"/>
      <c r="EF117" s="150"/>
      <c r="EZ117" s="174">
        <v>1</v>
      </c>
      <c r="FA117" s="1218" t="s">
        <v>218</v>
      </c>
      <c r="FB117" s="1218"/>
      <c r="FC117" s="1218"/>
      <c r="FD117" s="1218"/>
      <c r="FE117" s="1218"/>
      <c r="FF117" s="1218"/>
      <c r="FG117" s="1218"/>
      <c r="FI117" s="174">
        <v>1</v>
      </c>
      <c r="FJ117" s="1218" t="s">
        <v>243</v>
      </c>
      <c r="FK117" s="1218"/>
      <c r="FL117" s="1218"/>
      <c r="FM117" s="1218"/>
      <c r="FN117" s="1218"/>
      <c r="FO117" s="1218"/>
      <c r="FP117" s="1218"/>
      <c r="GL117" s="54"/>
      <c r="GM117" s="319"/>
      <c r="GN117" s="319"/>
      <c r="GO117" s="319"/>
      <c r="GP117" s="319"/>
      <c r="GQ117" s="319"/>
      <c r="GR117" s="319"/>
      <c r="GS117" s="319"/>
      <c r="GT117" s="319"/>
      <c r="GU117" s="319"/>
      <c r="GV117" s="319"/>
      <c r="HB117" s="154"/>
      <c r="HE117" s="13"/>
      <c r="HG117" s="13"/>
      <c r="HQ117" s="259"/>
      <c r="JF117" s="2"/>
      <c r="JN117" s="313"/>
      <c r="JO117" s="207"/>
      <c r="JP117" s="207"/>
      <c r="JQ117" s="207"/>
      <c r="LP117" s="207"/>
      <c r="LQ117" s="207"/>
      <c r="LR117" s="207"/>
    </row>
    <row r="118" spans="42:330" ht="15" customHeight="1" x14ac:dyDescent="0.35">
      <c r="AP118" s="319"/>
      <c r="AQ118" s="319"/>
      <c r="EF118" s="150"/>
      <c r="EZ118" s="1268" t="s">
        <v>1026</v>
      </c>
      <c r="FA118" s="1268"/>
      <c r="FB118" s="1268"/>
      <c r="FC118" s="1268"/>
      <c r="FD118" s="1268"/>
      <c r="FE118" s="1268"/>
      <c r="FF118" s="1268"/>
      <c r="FG118" s="1268"/>
      <c r="FI118" s="1268" t="s">
        <v>571</v>
      </c>
      <c r="FJ118" s="1268"/>
      <c r="FK118" s="1268"/>
      <c r="FL118" s="1268"/>
      <c r="FM118" s="1268"/>
      <c r="FN118" s="1268"/>
      <c r="FO118" s="1268"/>
      <c r="FP118" s="1268"/>
      <c r="GP118" s="320"/>
      <c r="HB118" s="154"/>
      <c r="HE118" s="13"/>
      <c r="HG118" s="14"/>
      <c r="HH118" s="3"/>
      <c r="HI118" s="3"/>
      <c r="HJ118" s="3"/>
      <c r="HK118" s="3"/>
      <c r="HL118" s="3"/>
      <c r="HM118" s="3"/>
      <c r="HN118" s="3"/>
      <c r="HO118" s="3"/>
      <c r="HP118" s="3"/>
      <c r="HQ118" s="376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21"/>
      <c r="JN118" s="319"/>
      <c r="JO118" s="319"/>
      <c r="JP118" s="319"/>
      <c r="JQ118" s="319"/>
      <c r="LP118" s="319"/>
      <c r="LQ118" s="319"/>
      <c r="LR118" s="319"/>
    </row>
    <row r="119" spans="42:330" ht="15" customHeight="1" x14ac:dyDescent="0.35">
      <c r="EF119" s="150"/>
      <c r="EZ119" s="174">
        <v>1</v>
      </c>
      <c r="FA119" s="1218" t="s">
        <v>218</v>
      </c>
      <c r="FB119" s="1218"/>
      <c r="FC119" s="1218"/>
      <c r="FD119" s="1218"/>
      <c r="FE119" s="1218"/>
      <c r="FF119" s="1218"/>
      <c r="FG119" s="1218"/>
      <c r="FI119" s="174">
        <v>1</v>
      </c>
      <c r="FJ119" s="1218" t="s">
        <v>243</v>
      </c>
      <c r="FK119" s="1218"/>
      <c r="FL119" s="1218"/>
      <c r="FM119" s="1218"/>
      <c r="FN119" s="1218"/>
      <c r="FO119" s="1218"/>
      <c r="FP119" s="1218"/>
      <c r="HB119" s="154"/>
      <c r="HE119" s="13"/>
      <c r="JC119" s="1070" t="s">
        <v>244</v>
      </c>
      <c r="JD119" s="1071"/>
      <c r="JE119" s="1071"/>
      <c r="JF119" s="1072"/>
      <c r="JN119" s="313"/>
      <c r="JO119" s="207"/>
      <c r="JP119" s="207"/>
      <c r="JQ119" s="207"/>
      <c r="LP119" s="207"/>
      <c r="LQ119" s="207"/>
      <c r="LR119" s="207"/>
    </row>
    <row r="120" spans="42:330" ht="14.5" customHeight="1" x14ac:dyDescent="0.35">
      <c r="EF120" s="150"/>
      <c r="EZ120" s="1268" t="s">
        <v>1052</v>
      </c>
      <c r="FA120" s="1268"/>
      <c r="FB120" s="1268"/>
      <c r="FC120" s="1268"/>
      <c r="FD120" s="1268"/>
      <c r="FE120" s="1268"/>
      <c r="FF120" s="1268"/>
      <c r="FG120" s="1268"/>
      <c r="FI120" s="1268" t="s">
        <v>575</v>
      </c>
      <c r="FJ120" s="1268"/>
      <c r="FK120" s="1268"/>
      <c r="FL120" s="1268"/>
      <c r="FM120" s="1268"/>
      <c r="FN120" s="1268"/>
      <c r="FO120" s="1268"/>
      <c r="FP120" s="1268"/>
      <c r="FY120" s="325"/>
      <c r="FZ120" s="325"/>
      <c r="HB120" s="154"/>
      <c r="HE120" s="13"/>
      <c r="JN120" s="319"/>
      <c r="JS120" s="319"/>
      <c r="JT120" s="319"/>
      <c r="KK120" s="219"/>
      <c r="LH120" s="319"/>
      <c r="LI120" s="319"/>
      <c r="LJ120" s="319"/>
      <c r="LK120" s="319"/>
      <c r="LL120" s="319"/>
      <c r="LM120" s="319"/>
      <c r="LN120" s="319"/>
      <c r="LO120" s="319"/>
      <c r="LP120" s="319"/>
      <c r="LQ120" s="319"/>
      <c r="LR120" s="319"/>
    </row>
    <row r="121" spans="42:330" ht="15" customHeight="1" x14ac:dyDescent="0.35">
      <c r="EF121" s="150"/>
      <c r="EZ121" s="174">
        <v>1</v>
      </c>
      <c r="FA121" s="1218" t="s">
        <v>234</v>
      </c>
      <c r="FB121" s="1218"/>
      <c r="FC121" s="1218"/>
      <c r="FD121" s="1218"/>
      <c r="FE121" s="1218"/>
      <c r="FF121" s="1218"/>
      <c r="FG121" s="1218"/>
      <c r="FI121" s="174">
        <v>1</v>
      </c>
      <c r="FJ121" s="1218" t="s">
        <v>243</v>
      </c>
      <c r="FK121" s="1218"/>
      <c r="FL121" s="1218"/>
      <c r="FM121" s="1218"/>
      <c r="FN121" s="1218"/>
      <c r="FO121" s="1218"/>
      <c r="FP121" s="1218"/>
      <c r="HB121" s="154"/>
      <c r="HE121" s="13"/>
      <c r="JN121" s="313"/>
      <c r="JO121" s="207"/>
      <c r="JP121" s="207"/>
      <c r="JQ121" s="207"/>
      <c r="LH121" s="207"/>
      <c r="LI121" s="207"/>
      <c r="LJ121" s="207"/>
      <c r="LK121" s="207"/>
      <c r="LL121" s="207"/>
      <c r="LM121" s="207"/>
      <c r="LN121" s="207"/>
      <c r="LO121" s="207"/>
      <c r="LP121" s="207"/>
      <c r="LQ121" s="207"/>
      <c r="LR121" s="207"/>
    </row>
    <row r="122" spans="42:330" ht="15" customHeight="1" x14ac:dyDescent="0.35">
      <c r="EF122" s="150"/>
      <c r="EZ122" s="1268" t="s">
        <v>617</v>
      </c>
      <c r="FA122" s="1268"/>
      <c r="FB122" s="1268"/>
      <c r="FC122" s="1268"/>
      <c r="FD122" s="1268"/>
      <c r="FE122" s="1268"/>
      <c r="FF122" s="1268"/>
      <c r="FG122" s="1268"/>
      <c r="FI122" s="1268" t="s">
        <v>580</v>
      </c>
      <c r="FJ122" s="1268"/>
      <c r="FK122" s="1268"/>
      <c r="FL122" s="1268"/>
      <c r="FM122" s="1268"/>
      <c r="FN122" s="1268"/>
      <c r="FO122" s="1268"/>
      <c r="FP122" s="1268"/>
      <c r="HB122" s="154"/>
      <c r="HE122" s="13"/>
      <c r="JN122" s="319"/>
      <c r="JO122" s="319"/>
      <c r="JP122" s="319"/>
      <c r="JQ122" s="319"/>
    </row>
    <row r="123" spans="42:330" ht="15" customHeight="1" x14ac:dyDescent="0.35">
      <c r="EF123" s="150"/>
      <c r="EZ123" s="174">
        <v>1</v>
      </c>
      <c r="FA123" s="1218" t="s">
        <v>234</v>
      </c>
      <c r="FB123" s="1218"/>
      <c r="FC123" s="1218"/>
      <c r="FD123" s="1218"/>
      <c r="FE123" s="1218"/>
      <c r="FF123" s="1218"/>
      <c r="FG123" s="1218"/>
      <c r="FI123" s="174">
        <v>1</v>
      </c>
      <c r="FJ123" s="1218" t="s">
        <v>243</v>
      </c>
      <c r="FK123" s="1218"/>
      <c r="FL123" s="1218"/>
      <c r="FM123" s="1218"/>
      <c r="FN123" s="1218"/>
      <c r="FO123" s="1218"/>
      <c r="FP123" s="1218"/>
      <c r="HB123" s="154"/>
      <c r="HE123" s="13"/>
      <c r="JN123" s="313"/>
      <c r="JO123" s="207"/>
      <c r="JP123" s="207"/>
      <c r="JQ123" s="207"/>
    </row>
    <row r="124" spans="42:330" ht="15" customHeight="1" x14ac:dyDescent="0.35">
      <c r="EF124" s="150"/>
      <c r="EZ124" s="1268" t="s">
        <v>627</v>
      </c>
      <c r="FA124" s="1268"/>
      <c r="FB124" s="1268"/>
      <c r="FC124" s="1268"/>
      <c r="FD124" s="1268"/>
      <c r="FE124" s="1268"/>
      <c r="FF124" s="1268"/>
      <c r="FG124" s="1268"/>
      <c r="FI124" s="1268" t="s">
        <v>581</v>
      </c>
      <c r="FJ124" s="1268"/>
      <c r="FK124" s="1268"/>
      <c r="FL124" s="1268"/>
      <c r="FM124" s="1268"/>
      <c r="FN124" s="1268"/>
      <c r="FO124" s="1268"/>
      <c r="FP124" s="1268"/>
      <c r="HB124" s="154"/>
      <c r="HE124" s="13"/>
      <c r="JN124" s="219"/>
      <c r="JO124" s="219"/>
      <c r="JP124" s="219"/>
      <c r="JQ124" s="219"/>
    </row>
    <row r="125" spans="42:330" ht="15" customHeight="1" x14ac:dyDescent="0.35">
      <c r="AR125" s="319"/>
      <c r="AS125" s="319"/>
      <c r="AT125" s="319"/>
      <c r="AU125" s="319"/>
      <c r="AV125" s="319"/>
      <c r="AW125" s="323"/>
      <c r="AX125" s="323"/>
      <c r="DY125" s="207"/>
      <c r="DZ125" s="207"/>
      <c r="EA125" s="207"/>
      <c r="EB125" s="207"/>
      <c r="EC125" s="207"/>
      <c r="EF125" s="150"/>
      <c r="EZ125" s="174">
        <v>1</v>
      </c>
      <c r="FA125" s="1218" t="s">
        <v>234</v>
      </c>
      <c r="FB125" s="1218"/>
      <c r="FC125" s="1218"/>
      <c r="FD125" s="1218"/>
      <c r="FE125" s="1218"/>
      <c r="FF125" s="1218"/>
      <c r="FG125" s="1218"/>
      <c r="FI125" s="174">
        <v>1</v>
      </c>
      <c r="FJ125" s="1218" t="s">
        <v>243</v>
      </c>
      <c r="FK125" s="1218"/>
      <c r="FL125" s="1218"/>
      <c r="FM125" s="1218"/>
      <c r="FN125" s="1218"/>
      <c r="FO125" s="1218"/>
      <c r="FP125" s="1218"/>
      <c r="HB125" s="154"/>
      <c r="HE125" s="13"/>
    </row>
    <row r="126" spans="42:330" ht="15" customHeight="1" x14ac:dyDescent="0.35">
      <c r="AU126" s="318"/>
      <c r="AV126" s="207"/>
      <c r="AW126" s="207"/>
      <c r="AX126" s="207"/>
      <c r="DY126" s="219"/>
      <c r="DZ126" s="219"/>
      <c r="EA126" s="219"/>
      <c r="EB126" s="219"/>
      <c r="EC126" s="219"/>
      <c r="EF126" s="150"/>
      <c r="EZ126" s="1268" t="s">
        <v>661</v>
      </c>
      <c r="FA126" s="1268"/>
      <c r="FB126" s="1268"/>
      <c r="FC126" s="1268"/>
      <c r="FD126" s="1268"/>
      <c r="FE126" s="1268"/>
      <c r="FF126" s="1268"/>
      <c r="FG126" s="1268"/>
      <c r="FI126" s="1268" t="s">
        <v>588</v>
      </c>
      <c r="FJ126" s="1268"/>
      <c r="FK126" s="1268"/>
      <c r="FL126" s="1268"/>
      <c r="FM126" s="1268"/>
      <c r="FN126" s="1268"/>
      <c r="FO126" s="1268"/>
      <c r="FP126" s="1268"/>
      <c r="HB126" s="154"/>
      <c r="HE126" s="13"/>
    </row>
    <row r="127" spans="42:330" ht="15" customHeight="1" x14ac:dyDescent="0.35">
      <c r="AU127" s="292"/>
      <c r="AV127" s="323"/>
      <c r="AW127" s="323"/>
      <c r="AX127" s="323"/>
      <c r="EF127" s="13"/>
      <c r="EZ127" s="174">
        <v>1</v>
      </c>
      <c r="FA127" s="1218" t="s">
        <v>234</v>
      </c>
      <c r="FB127" s="1218"/>
      <c r="FC127" s="1218"/>
      <c r="FD127" s="1218"/>
      <c r="FE127" s="1218"/>
      <c r="FF127" s="1218"/>
      <c r="FG127" s="1218"/>
      <c r="FI127" s="174">
        <v>1</v>
      </c>
      <c r="FJ127" s="1218" t="s">
        <v>243</v>
      </c>
      <c r="FK127" s="1218"/>
      <c r="FL127" s="1218"/>
      <c r="FM127" s="1218"/>
      <c r="FN127" s="1218"/>
      <c r="FO127" s="1218"/>
      <c r="FP127" s="1218"/>
      <c r="HB127" s="154"/>
      <c r="HE127" s="13"/>
    </row>
    <row r="128" spans="42:330" ht="15" customHeight="1" x14ac:dyDescent="0.35">
      <c r="AP128" s="234"/>
      <c r="AQ128" s="234"/>
      <c r="EF128" s="13"/>
      <c r="EZ128" s="1268" t="s">
        <v>669</v>
      </c>
      <c r="FA128" s="1268"/>
      <c r="FB128" s="1268"/>
      <c r="FC128" s="1268"/>
      <c r="FD128" s="1268"/>
      <c r="FE128" s="1268"/>
      <c r="FF128" s="1268"/>
      <c r="FG128" s="1268"/>
      <c r="FI128" s="1274" t="s">
        <v>131</v>
      </c>
      <c r="FJ128" s="1274"/>
      <c r="FK128" s="1274"/>
      <c r="FL128" s="1274"/>
      <c r="FM128" s="1274"/>
      <c r="FN128" s="1274"/>
      <c r="FO128" s="1274"/>
      <c r="FP128" s="1274"/>
      <c r="HB128" s="154"/>
      <c r="HE128" s="13"/>
    </row>
    <row r="129" spans="42:213" ht="15" customHeight="1" x14ac:dyDescent="0.35">
      <c r="AP129" s="207"/>
      <c r="AQ129" s="207"/>
      <c r="EF129" s="13"/>
      <c r="EZ129" s="174">
        <v>1</v>
      </c>
      <c r="FA129" s="1218" t="s">
        <v>4775</v>
      </c>
      <c r="FB129" s="1218"/>
      <c r="FC129" s="1218"/>
      <c r="FD129" s="1218"/>
      <c r="FE129" s="1218"/>
      <c r="FF129" s="1218"/>
      <c r="FG129" s="1218"/>
      <c r="FI129" s="179">
        <v>1</v>
      </c>
      <c r="FJ129" s="1102" t="s">
        <v>243</v>
      </c>
      <c r="FK129" s="1102"/>
      <c r="FL129" s="1102"/>
      <c r="FM129" s="1102"/>
      <c r="FN129" s="1102"/>
      <c r="FO129" s="1102"/>
      <c r="FP129" s="1102"/>
      <c r="HB129" s="154"/>
      <c r="HE129" s="13"/>
    </row>
    <row r="130" spans="42:213" ht="15" customHeight="1" x14ac:dyDescent="0.35">
      <c r="AP130" s="319"/>
      <c r="AQ130" s="319"/>
      <c r="EF130" s="13"/>
      <c r="EZ130" s="1268" t="s">
        <v>684</v>
      </c>
      <c r="FA130" s="1268"/>
      <c r="FB130" s="1268"/>
      <c r="FC130" s="1268"/>
      <c r="FD130" s="1268"/>
      <c r="FE130" s="1268"/>
      <c r="FF130" s="1268"/>
      <c r="FG130" s="1268"/>
      <c r="FI130" s="1275" t="s">
        <v>131</v>
      </c>
      <c r="FJ130" s="1275"/>
      <c r="FK130" s="1275"/>
      <c r="FL130" s="1275"/>
      <c r="FM130" s="1275"/>
      <c r="FN130" s="1275"/>
      <c r="FO130" s="1275"/>
      <c r="FP130" s="1275"/>
      <c r="HB130" s="154"/>
      <c r="HE130" s="13"/>
    </row>
    <row r="131" spans="42:213" ht="15" customHeight="1" x14ac:dyDescent="0.35">
      <c r="AP131" s="207"/>
      <c r="AQ131" s="207"/>
      <c r="EF131" s="13"/>
      <c r="EZ131" s="174">
        <v>1</v>
      </c>
      <c r="FA131" s="1218" t="s">
        <v>243</v>
      </c>
      <c r="FB131" s="1218"/>
      <c r="FC131" s="1218"/>
      <c r="FD131" s="1218"/>
      <c r="FE131" s="1218"/>
      <c r="FF131" s="1218"/>
      <c r="FG131" s="1218"/>
      <c r="FH131" s="207"/>
      <c r="FI131" s="207"/>
      <c r="FJ131" s="207"/>
      <c r="FK131" s="207"/>
      <c r="FL131" s="207"/>
      <c r="HB131" s="154"/>
      <c r="HE131" s="13"/>
    </row>
    <row r="132" spans="42:213" ht="15" customHeight="1" x14ac:dyDescent="0.35">
      <c r="AP132" s="219"/>
      <c r="AQ132" s="219"/>
      <c r="EF132" s="13"/>
      <c r="EZ132" s="1268" t="s">
        <v>772</v>
      </c>
      <c r="FA132" s="1268"/>
      <c r="FB132" s="1268"/>
      <c r="FC132" s="1268"/>
      <c r="FD132" s="1268"/>
      <c r="FE132" s="1268"/>
      <c r="FF132" s="1268"/>
      <c r="FG132" s="1268"/>
      <c r="FH132" s="80"/>
      <c r="FI132" s="80"/>
      <c r="FJ132" s="80"/>
      <c r="FK132" s="80"/>
      <c r="FL132" s="80"/>
      <c r="HB132" s="154"/>
      <c r="HE132" s="13"/>
    </row>
    <row r="133" spans="42:213" ht="15" customHeight="1" x14ac:dyDescent="0.35">
      <c r="AP133" s="207"/>
      <c r="AQ133" s="207"/>
      <c r="EF133" s="13"/>
      <c r="EZ133" s="144">
        <v>1</v>
      </c>
      <c r="FA133" s="1056" t="s">
        <v>243</v>
      </c>
      <c r="FB133" s="1056"/>
      <c r="FC133" s="1056"/>
      <c r="FD133" s="1056"/>
      <c r="FE133" s="1056"/>
      <c r="FF133" s="1056"/>
      <c r="FG133" s="1056"/>
      <c r="HB133" s="154"/>
      <c r="HE133" s="13"/>
    </row>
    <row r="134" spans="42:213" ht="15" customHeight="1" x14ac:dyDescent="0.35">
      <c r="EF134" s="13"/>
      <c r="EZ134" s="1268" t="s">
        <v>758</v>
      </c>
      <c r="FA134" s="1268"/>
      <c r="FB134" s="1268"/>
      <c r="FC134" s="1268"/>
      <c r="FD134" s="1268"/>
      <c r="FE134" s="1268"/>
      <c r="FF134" s="1268"/>
      <c r="FG134" s="1268"/>
      <c r="HC134" s="13"/>
      <c r="HE134" s="13"/>
    </row>
    <row r="135" spans="42:213" ht="15" customHeight="1" x14ac:dyDescent="0.35">
      <c r="EF135" s="13"/>
      <c r="EZ135" s="144">
        <v>1</v>
      </c>
      <c r="FA135" s="1056" t="s">
        <v>243</v>
      </c>
      <c r="FB135" s="1056"/>
      <c r="FC135" s="1056"/>
      <c r="FD135" s="1056"/>
      <c r="FE135" s="1056"/>
      <c r="FF135" s="1056"/>
      <c r="FG135" s="1056"/>
      <c r="HC135" s="13"/>
      <c r="HE135" s="13"/>
    </row>
    <row r="136" spans="42:213" ht="15" customHeight="1" x14ac:dyDescent="0.35">
      <c r="EF136" s="13"/>
      <c r="EZ136" s="1379" t="s">
        <v>131</v>
      </c>
      <c r="FA136" s="1379"/>
      <c r="FB136" s="1379"/>
      <c r="FC136" s="1379"/>
      <c r="FD136" s="1379"/>
      <c r="FE136" s="1379"/>
      <c r="FF136" s="1379"/>
      <c r="FG136" s="1379"/>
      <c r="HC136" s="13"/>
      <c r="HE136" s="13"/>
    </row>
    <row r="137" spans="42:213" ht="15" customHeight="1" x14ac:dyDescent="0.35">
      <c r="EF137" s="13"/>
      <c r="EZ137" s="144">
        <v>1</v>
      </c>
      <c r="FA137" s="1056" t="s">
        <v>243</v>
      </c>
      <c r="FB137" s="1056"/>
      <c r="FC137" s="1056"/>
      <c r="FD137" s="1056"/>
      <c r="FE137" s="1056"/>
      <c r="FF137" s="1056"/>
      <c r="FG137" s="1056"/>
      <c r="HC137" s="13"/>
      <c r="HE137" s="13"/>
    </row>
    <row r="138" spans="42:213" ht="15" customHeight="1" x14ac:dyDescent="0.35">
      <c r="EF138" s="13"/>
      <c r="EZ138" s="1270" t="s">
        <v>579</v>
      </c>
      <c r="FA138" s="1270"/>
      <c r="FB138" s="1270"/>
      <c r="FC138" s="1270"/>
      <c r="FD138" s="1270"/>
      <c r="FE138" s="1270"/>
      <c r="FF138" s="1270"/>
      <c r="FG138" s="1270"/>
      <c r="HC138" s="13"/>
      <c r="HE138" s="13"/>
    </row>
    <row r="139" spans="42:213" ht="15" customHeight="1" x14ac:dyDescent="0.35">
      <c r="EF139" s="13"/>
      <c r="EZ139" s="174">
        <v>1</v>
      </c>
      <c r="FA139" s="1218" t="s">
        <v>243</v>
      </c>
      <c r="FB139" s="1218"/>
      <c r="FC139" s="1218"/>
      <c r="FD139" s="1218"/>
      <c r="FE139" s="1218"/>
      <c r="FF139" s="1218"/>
      <c r="FG139" s="1218"/>
      <c r="HC139" s="13"/>
      <c r="HE139" s="13"/>
    </row>
    <row r="140" spans="42:213" ht="15" customHeight="1" x14ac:dyDescent="0.35">
      <c r="EF140" s="13"/>
      <c r="EZ140" s="1268" t="s">
        <v>748</v>
      </c>
      <c r="FA140" s="1268"/>
      <c r="FB140" s="1268"/>
      <c r="FC140" s="1268"/>
      <c r="FD140" s="1268"/>
      <c r="FE140" s="1268"/>
      <c r="FF140" s="1268"/>
      <c r="FG140" s="1268"/>
      <c r="HC140" s="13"/>
      <c r="HE140" s="13"/>
    </row>
    <row r="141" spans="42:213" ht="15" customHeight="1" x14ac:dyDescent="0.35">
      <c r="EF141" s="13"/>
      <c r="EZ141" s="174">
        <v>1</v>
      </c>
      <c r="FA141" s="1218" t="s">
        <v>243</v>
      </c>
      <c r="FB141" s="1218"/>
      <c r="FC141" s="1218"/>
      <c r="FD141" s="1218"/>
      <c r="FE141" s="1218"/>
      <c r="FF141" s="1218"/>
      <c r="FG141" s="1218"/>
      <c r="HC141" s="13"/>
      <c r="HE141" s="13"/>
    </row>
    <row r="142" spans="42:213" ht="15" customHeight="1" x14ac:dyDescent="0.35">
      <c r="BR142" s="219"/>
      <c r="BS142" s="219"/>
      <c r="BT142" s="219"/>
      <c r="BU142" s="323"/>
      <c r="BV142" s="323"/>
      <c r="EF142" s="13"/>
      <c r="EZ142" s="1268" t="s">
        <v>757</v>
      </c>
      <c r="FA142" s="1268"/>
      <c r="FB142" s="1268"/>
      <c r="FC142" s="1268"/>
      <c r="FD142" s="1268"/>
      <c r="FE142" s="1268"/>
      <c r="FF142" s="1268"/>
      <c r="FG142" s="1268"/>
      <c r="HC142" s="13"/>
      <c r="HE142" s="13"/>
    </row>
    <row r="143" spans="42:213" ht="15" customHeight="1" x14ac:dyDescent="0.35">
      <c r="BU143" s="207"/>
      <c r="BV143" s="207"/>
      <c r="EF143" s="13"/>
      <c r="EZ143" s="174">
        <v>1</v>
      </c>
      <c r="FA143" s="1218" t="s">
        <v>243</v>
      </c>
      <c r="FB143" s="1218"/>
      <c r="FC143" s="1218"/>
      <c r="FD143" s="1218"/>
      <c r="FE143" s="1218"/>
      <c r="FF143" s="1218"/>
      <c r="FG143" s="1218"/>
      <c r="HC143" s="13"/>
      <c r="HE143" s="13"/>
    </row>
    <row r="144" spans="42:213" ht="15" customHeight="1" x14ac:dyDescent="0.35">
      <c r="EF144" s="13"/>
      <c r="EZ144" s="1268" t="s">
        <v>742</v>
      </c>
      <c r="FA144" s="1268"/>
      <c r="FB144" s="1268"/>
      <c r="FC144" s="1268"/>
      <c r="FD144" s="1268"/>
      <c r="FE144" s="1268"/>
      <c r="FF144" s="1268"/>
      <c r="FG144" s="1268"/>
      <c r="HC144" s="13"/>
      <c r="HE144" s="13"/>
    </row>
    <row r="145" spans="69:240" ht="15" customHeight="1" x14ac:dyDescent="0.35">
      <c r="BQ145" s="292"/>
      <c r="EF145" s="13"/>
      <c r="HC145" s="13"/>
      <c r="HE145" s="13"/>
    </row>
    <row r="146" spans="69:240" ht="15" customHeight="1" x14ac:dyDescent="0.35">
      <c r="BQ146" s="222"/>
      <c r="EF146" s="14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21"/>
      <c r="HC146" s="13"/>
      <c r="HE146" s="13"/>
    </row>
    <row r="147" spans="69:240" ht="15" customHeight="1" x14ac:dyDescent="0.35">
      <c r="BQ147" s="219"/>
      <c r="GY147" s="1132" t="s">
        <v>248</v>
      </c>
      <c r="GZ147" s="1071"/>
      <c r="HA147" s="1071"/>
      <c r="HB147" s="1072"/>
      <c r="HE147" s="13"/>
    </row>
    <row r="148" spans="69:240" ht="15" customHeight="1" x14ac:dyDescent="0.35">
      <c r="HE148" s="13"/>
    </row>
    <row r="149" spans="69:240" ht="15" customHeight="1" x14ac:dyDescent="0.35">
      <c r="HE149" s="357"/>
    </row>
    <row r="150" spans="69:240" ht="15" customHeight="1" x14ac:dyDescent="0.35">
      <c r="HA150" s="1056" t="s">
        <v>4776</v>
      </c>
      <c r="HB150" s="1056"/>
      <c r="HC150" s="1056"/>
      <c r="HD150" s="1056"/>
      <c r="HE150" s="1056"/>
      <c r="HF150" s="1056"/>
      <c r="HG150" s="1056"/>
      <c r="HH150" s="1056"/>
    </row>
    <row r="151" spans="69:240" ht="15" customHeight="1" x14ac:dyDescent="0.35">
      <c r="HA151" s="1056"/>
      <c r="HB151" s="1056"/>
      <c r="HC151" s="1056"/>
      <c r="HD151" s="1056"/>
      <c r="HE151" s="1056"/>
      <c r="HF151" s="1056"/>
      <c r="HG151" s="1056"/>
      <c r="HH151" s="1056"/>
    </row>
    <row r="152" spans="69:240" ht="15" customHeight="1" x14ac:dyDescent="0.35">
      <c r="HE152" s="227"/>
    </row>
    <row r="153" spans="69:240" ht="15" customHeight="1" x14ac:dyDescent="0.35">
      <c r="HE153" s="13"/>
    </row>
    <row r="154" spans="69:240" ht="15" customHeight="1" x14ac:dyDescent="0.35">
      <c r="HE154" s="357"/>
    </row>
    <row r="155" spans="69:240" ht="15" customHeight="1" x14ac:dyDescent="0.35">
      <c r="HA155" s="144">
        <v>0.5</v>
      </c>
      <c r="HB155" s="1056" t="s">
        <v>259</v>
      </c>
      <c r="HC155" s="1056"/>
      <c r="HD155" s="1056"/>
      <c r="HE155" s="1056"/>
      <c r="HF155" s="1056"/>
      <c r="HG155" s="1056"/>
      <c r="HH155" s="1056"/>
    </row>
    <row r="156" spans="69:240" ht="15" customHeight="1" x14ac:dyDescent="0.35">
      <c r="HA156" s="1270" t="s">
        <v>823</v>
      </c>
      <c r="HB156" s="1270"/>
      <c r="HC156" s="1270"/>
      <c r="HD156" s="1270"/>
      <c r="HE156" s="1270"/>
      <c r="HF156" s="1270"/>
      <c r="HG156" s="1270"/>
      <c r="HH156" s="1270"/>
    </row>
    <row r="157" spans="69:240" ht="15" customHeight="1" x14ac:dyDescent="0.35">
      <c r="HE157" s="354"/>
    </row>
    <row r="158" spans="69:240" ht="15" customHeight="1" x14ac:dyDescent="0.35">
      <c r="FP158" s="226"/>
      <c r="FQ158" s="224"/>
      <c r="FR158" s="224"/>
      <c r="FS158" s="224"/>
      <c r="FT158" s="224"/>
      <c r="FU158" s="224"/>
      <c r="FV158" s="224"/>
      <c r="FW158" s="224"/>
      <c r="FX158" s="224"/>
      <c r="FY158" s="224"/>
      <c r="FZ158" s="224"/>
      <c r="GA158" s="386">
        <f>SUM(FR160,FR162,FR164,FR166,FR168)</f>
        <v>5</v>
      </c>
      <c r="GC158" s="226"/>
      <c r="GD158" s="224"/>
      <c r="GE158" s="224"/>
      <c r="GF158" s="224"/>
      <c r="GG158" s="224"/>
      <c r="GH158" s="224"/>
      <c r="GI158" s="224"/>
      <c r="GJ158" s="224"/>
      <c r="GK158" s="224"/>
      <c r="GL158" s="224"/>
      <c r="GM158" s="224"/>
      <c r="GN158" s="386">
        <f>SUM(GE160,GE162,GE164,GE166,GE168)</f>
        <v>5</v>
      </c>
      <c r="GP158" s="226"/>
      <c r="GQ158" s="224"/>
      <c r="GR158" s="224"/>
      <c r="GS158" s="224"/>
      <c r="GT158" s="224"/>
      <c r="GU158" s="224"/>
      <c r="GV158" s="224"/>
      <c r="GW158" s="224"/>
      <c r="GX158" s="224"/>
      <c r="GY158" s="224"/>
      <c r="GZ158" s="224"/>
      <c r="HA158" s="224"/>
      <c r="HB158" s="224"/>
      <c r="HC158" s="224"/>
      <c r="HD158" s="224"/>
      <c r="HE158" s="224"/>
      <c r="HF158" s="224"/>
      <c r="HG158" s="224"/>
      <c r="HH158" s="224"/>
      <c r="HI158" s="224"/>
      <c r="HJ158" s="224"/>
      <c r="HK158" s="224"/>
      <c r="HL158" s="224"/>
      <c r="HM158" s="224"/>
      <c r="HN158" s="224"/>
      <c r="HO158" s="224"/>
      <c r="HP158" s="224"/>
      <c r="HQ158" s="224"/>
      <c r="HR158" s="224"/>
      <c r="HS158" s="386">
        <f>SUM(HJ160,HJ162,HA160,HA162,GR162,GR160)</f>
        <v>6</v>
      </c>
      <c r="HU158" s="226"/>
      <c r="HV158" s="224"/>
      <c r="HW158" s="224"/>
      <c r="HX158" s="224"/>
      <c r="HY158" s="224"/>
      <c r="HZ158" s="224"/>
      <c r="IA158" s="224"/>
      <c r="IB158" s="224"/>
      <c r="IC158" s="224"/>
      <c r="ID158" s="224"/>
      <c r="IE158" s="224"/>
      <c r="IF158" s="386">
        <f>SUM(HW160,HW162,HW164,HW166,HW168)</f>
        <v>2</v>
      </c>
    </row>
    <row r="159" spans="69:240" ht="15" customHeight="1" x14ac:dyDescent="0.35">
      <c r="FP159" s="150"/>
      <c r="FR159" s="1287" t="s">
        <v>4777</v>
      </c>
      <c r="FS159" s="1288"/>
      <c r="FT159" s="1288"/>
      <c r="FU159" s="1288"/>
      <c r="FV159" s="1288"/>
      <c r="FW159" s="1288"/>
      <c r="FX159" s="1288"/>
      <c r="FY159" s="1289"/>
      <c r="GA159" s="154"/>
      <c r="GC159" s="150"/>
      <c r="GE159" s="1287" t="s">
        <v>4778</v>
      </c>
      <c r="GF159" s="1288"/>
      <c r="GG159" s="1288"/>
      <c r="GH159" s="1288"/>
      <c r="GI159" s="1288"/>
      <c r="GJ159" s="1288"/>
      <c r="GK159" s="1288"/>
      <c r="GL159" s="1289"/>
      <c r="GN159" s="154"/>
      <c r="GP159" s="150"/>
      <c r="GR159" s="1049" t="s">
        <v>214</v>
      </c>
      <c r="GS159" s="1050"/>
      <c r="GT159" s="1050"/>
      <c r="GU159" s="1050"/>
      <c r="GV159" s="1050"/>
      <c r="GW159" s="1050"/>
      <c r="GX159" s="1050"/>
      <c r="GY159" s="1051"/>
      <c r="HA159" s="1052" t="s">
        <v>211</v>
      </c>
      <c r="HB159" s="1052"/>
      <c r="HC159" s="1052"/>
      <c r="HD159" s="1052"/>
      <c r="HE159" s="1052"/>
      <c r="HF159" s="1052"/>
      <c r="HG159" s="1052"/>
      <c r="HH159" s="1052"/>
      <c r="HJ159" s="1049" t="s">
        <v>271</v>
      </c>
      <c r="HK159" s="1050"/>
      <c r="HL159" s="1050"/>
      <c r="HM159" s="1050"/>
      <c r="HN159" s="1050"/>
      <c r="HO159" s="1050"/>
      <c r="HP159" s="1050"/>
      <c r="HQ159" s="1051"/>
      <c r="HS159" s="154"/>
      <c r="HU159" s="150"/>
      <c r="HW159" s="1287" t="s">
        <v>265</v>
      </c>
      <c r="HX159" s="1288"/>
      <c r="HY159" s="1288"/>
      <c r="HZ159" s="1288"/>
      <c r="IA159" s="1288"/>
      <c r="IB159" s="1288"/>
      <c r="IC159" s="1288"/>
      <c r="ID159" s="1289"/>
      <c r="IF159" s="154"/>
    </row>
    <row r="160" spans="69:240" ht="15" customHeight="1" x14ac:dyDescent="0.35">
      <c r="FP160" s="150"/>
      <c r="FR160" s="173">
        <v>1</v>
      </c>
      <c r="FS160" s="1218" t="s">
        <v>184</v>
      </c>
      <c r="FT160" s="1218"/>
      <c r="FU160" s="1218"/>
      <c r="FV160" s="1218"/>
      <c r="FW160" s="1218"/>
      <c r="FX160" s="1218"/>
      <c r="FY160" s="1218"/>
      <c r="GA160" s="154"/>
      <c r="GC160" s="150"/>
      <c r="GE160" s="173">
        <v>1</v>
      </c>
      <c r="GF160" s="1172" t="s">
        <v>206</v>
      </c>
      <c r="GG160" s="1173"/>
      <c r="GH160" s="1173"/>
      <c r="GI160" s="1173"/>
      <c r="GJ160" s="1173"/>
      <c r="GK160" s="1173"/>
      <c r="GL160" s="1174"/>
      <c r="GN160" s="154"/>
      <c r="GP160" s="150"/>
      <c r="GR160" s="174">
        <v>1</v>
      </c>
      <c r="GS160" s="1218" t="s">
        <v>4768</v>
      </c>
      <c r="GT160" s="1218"/>
      <c r="GU160" s="1218"/>
      <c r="GV160" s="1218"/>
      <c r="GW160" s="1218"/>
      <c r="GX160" s="1218"/>
      <c r="GY160" s="1218"/>
      <c r="HA160" s="174">
        <v>1</v>
      </c>
      <c r="HB160" s="1218" t="s">
        <v>218</v>
      </c>
      <c r="HC160" s="1218"/>
      <c r="HD160" s="1218"/>
      <c r="HE160" s="1218"/>
      <c r="HF160" s="1218"/>
      <c r="HG160" s="1218"/>
      <c r="HH160" s="1218"/>
      <c r="HJ160" s="174">
        <v>1</v>
      </c>
      <c r="HK160" s="1218" t="s">
        <v>4768</v>
      </c>
      <c r="HL160" s="1218"/>
      <c r="HM160" s="1218"/>
      <c r="HN160" s="1218"/>
      <c r="HO160" s="1218"/>
      <c r="HP160" s="1218"/>
      <c r="HQ160" s="1218"/>
      <c r="HS160" s="154"/>
      <c r="HU160" s="150"/>
      <c r="HW160" s="367">
        <v>1</v>
      </c>
      <c r="HX160" s="1178" t="s">
        <v>170</v>
      </c>
      <c r="HY160" s="1179"/>
      <c r="HZ160" s="1179"/>
      <c r="IA160" s="1179"/>
      <c r="IB160" s="1179"/>
      <c r="IC160" s="1179"/>
      <c r="ID160" s="1180"/>
      <c r="IF160" s="154"/>
    </row>
    <row r="161" spans="172:240" ht="15" customHeight="1" x14ac:dyDescent="0.35">
      <c r="FP161" s="150"/>
      <c r="FR161" s="1268" t="s">
        <v>556</v>
      </c>
      <c r="FS161" s="1268"/>
      <c r="FT161" s="1268"/>
      <c r="FU161" s="1268"/>
      <c r="FV161" s="1268"/>
      <c r="FW161" s="1268"/>
      <c r="FX161" s="1268"/>
      <c r="FY161" s="1268"/>
      <c r="GA161" s="154"/>
      <c r="GC161" s="150"/>
      <c r="GE161" s="1271" t="s">
        <v>931</v>
      </c>
      <c r="GF161" s="1279"/>
      <c r="GG161" s="1279"/>
      <c r="GH161" s="1279"/>
      <c r="GI161" s="1279"/>
      <c r="GJ161" s="1279"/>
      <c r="GK161" s="1279"/>
      <c r="GL161" s="1280"/>
      <c r="GN161" s="154"/>
      <c r="GP161" s="150"/>
      <c r="GR161" s="1268" t="s">
        <v>685</v>
      </c>
      <c r="GS161" s="1268"/>
      <c r="GT161" s="1268"/>
      <c r="GU161" s="1268"/>
      <c r="GV161" s="1268"/>
      <c r="GW161" s="1268"/>
      <c r="GX161" s="1268"/>
      <c r="GY161" s="1268"/>
      <c r="HA161" s="1268" t="s">
        <v>1054</v>
      </c>
      <c r="HB161" s="1268"/>
      <c r="HC161" s="1268"/>
      <c r="HD161" s="1268"/>
      <c r="HE161" s="1268"/>
      <c r="HF161" s="1268"/>
      <c r="HG161" s="1268"/>
      <c r="HH161" s="1268"/>
      <c r="HJ161" s="1268" t="s">
        <v>712</v>
      </c>
      <c r="HK161" s="1268"/>
      <c r="HL161" s="1268"/>
      <c r="HM161" s="1268"/>
      <c r="HN161" s="1268"/>
      <c r="HO161" s="1268"/>
      <c r="HP161" s="1268"/>
      <c r="HQ161" s="1268"/>
      <c r="HS161" s="154"/>
      <c r="HU161" s="150"/>
      <c r="HW161" s="1290" t="s">
        <v>1015</v>
      </c>
      <c r="HX161" s="1291"/>
      <c r="HY161" s="1291"/>
      <c r="HZ161" s="1291"/>
      <c r="IA161" s="1291"/>
      <c r="IB161" s="1291"/>
      <c r="IC161" s="1291"/>
      <c r="ID161" s="1292"/>
      <c r="IF161" s="154"/>
    </row>
    <row r="162" spans="172:240" ht="15" customHeight="1" x14ac:dyDescent="0.35">
      <c r="FP162" s="150"/>
      <c r="FR162" s="173">
        <v>1</v>
      </c>
      <c r="FS162" s="1218" t="s">
        <v>184</v>
      </c>
      <c r="FT162" s="1218"/>
      <c r="FU162" s="1218"/>
      <c r="FV162" s="1218"/>
      <c r="FW162" s="1218"/>
      <c r="FX162" s="1218"/>
      <c r="FY162" s="1218"/>
      <c r="GA162" s="154"/>
      <c r="GC162" s="150"/>
      <c r="GE162" s="173">
        <v>1</v>
      </c>
      <c r="GF162" s="1172" t="s">
        <v>206</v>
      </c>
      <c r="GG162" s="1173"/>
      <c r="GH162" s="1173"/>
      <c r="GI162" s="1173"/>
      <c r="GJ162" s="1173"/>
      <c r="GK162" s="1173"/>
      <c r="GL162" s="1174"/>
      <c r="GN162" s="154"/>
      <c r="GP162" s="150"/>
      <c r="GR162" s="144">
        <v>1</v>
      </c>
      <c r="GS162" s="1056" t="s">
        <v>4779</v>
      </c>
      <c r="GT162" s="1056"/>
      <c r="GU162" s="1056"/>
      <c r="GV162" s="1056"/>
      <c r="GW162" s="1056"/>
      <c r="GX162" s="1056"/>
      <c r="GY162" s="1056"/>
      <c r="HA162" s="174">
        <v>1</v>
      </c>
      <c r="HB162" s="1218" t="s">
        <v>234</v>
      </c>
      <c r="HC162" s="1218"/>
      <c r="HD162" s="1218"/>
      <c r="HE162" s="1218"/>
      <c r="HF162" s="1218"/>
      <c r="HG162" s="1218"/>
      <c r="HH162" s="1218"/>
      <c r="HJ162" s="174">
        <v>1</v>
      </c>
      <c r="HK162" s="1218" t="s">
        <v>4770</v>
      </c>
      <c r="HL162" s="1218"/>
      <c r="HM162" s="1218"/>
      <c r="HN162" s="1218"/>
      <c r="HO162" s="1218"/>
      <c r="HP162" s="1218"/>
      <c r="HQ162" s="1218"/>
      <c r="HS162" s="154"/>
      <c r="HU162" s="150"/>
      <c r="HW162" s="367">
        <v>1</v>
      </c>
      <c r="HX162" s="1178" t="s">
        <v>4756</v>
      </c>
      <c r="HY162" s="1179"/>
      <c r="HZ162" s="1179"/>
      <c r="IA162" s="1179"/>
      <c r="IB162" s="1179"/>
      <c r="IC162" s="1179"/>
      <c r="ID162" s="1180"/>
      <c r="IF162" s="154"/>
    </row>
    <row r="163" spans="172:240" ht="15" customHeight="1" x14ac:dyDescent="0.35">
      <c r="FP163" s="150"/>
      <c r="FR163" s="1268" t="s">
        <v>521</v>
      </c>
      <c r="FS163" s="1268"/>
      <c r="FT163" s="1268"/>
      <c r="FU163" s="1268"/>
      <c r="FV163" s="1268"/>
      <c r="FW163" s="1268"/>
      <c r="FX163" s="1268"/>
      <c r="FY163" s="1268"/>
      <c r="GA163" s="154"/>
      <c r="GC163" s="150"/>
      <c r="GE163" s="1271" t="s">
        <v>930</v>
      </c>
      <c r="GF163" s="1279"/>
      <c r="GG163" s="1279"/>
      <c r="GH163" s="1279"/>
      <c r="GI163" s="1279"/>
      <c r="GJ163" s="1279"/>
      <c r="GK163" s="1279"/>
      <c r="GL163" s="1280"/>
      <c r="GN163" s="154"/>
      <c r="GP163" s="150"/>
      <c r="GR163" s="1270" t="s">
        <v>611</v>
      </c>
      <c r="GS163" s="1270"/>
      <c r="GT163" s="1270"/>
      <c r="GU163" s="1270"/>
      <c r="GV163" s="1270"/>
      <c r="GW163" s="1270"/>
      <c r="GX163" s="1270"/>
      <c r="GY163" s="1270"/>
      <c r="HA163" s="1268" t="s">
        <v>672</v>
      </c>
      <c r="HB163" s="1268"/>
      <c r="HC163" s="1268"/>
      <c r="HD163" s="1268"/>
      <c r="HE163" s="1268"/>
      <c r="HF163" s="1268"/>
      <c r="HG163" s="1268"/>
      <c r="HH163" s="1268"/>
      <c r="HJ163" s="1268" t="s">
        <v>504</v>
      </c>
      <c r="HK163" s="1268"/>
      <c r="HL163" s="1268"/>
      <c r="HM163" s="1268"/>
      <c r="HN163" s="1268"/>
      <c r="HO163" s="1268"/>
      <c r="HP163" s="1268"/>
      <c r="HQ163" s="1268"/>
      <c r="HS163" s="154"/>
      <c r="HU163" s="150"/>
      <c r="HW163" s="1290" t="s">
        <v>862</v>
      </c>
      <c r="HX163" s="1291"/>
      <c r="HY163" s="1291"/>
      <c r="HZ163" s="1291"/>
      <c r="IA163" s="1291"/>
      <c r="IB163" s="1291"/>
      <c r="IC163" s="1291"/>
      <c r="ID163" s="1292"/>
      <c r="IF163" s="154"/>
    </row>
    <row r="164" spans="172:240" ht="15" customHeight="1" x14ac:dyDescent="0.35">
      <c r="FP164" s="150"/>
      <c r="FR164" s="173">
        <v>1</v>
      </c>
      <c r="FS164" s="1218" t="s">
        <v>184</v>
      </c>
      <c r="FT164" s="1218"/>
      <c r="FU164" s="1218"/>
      <c r="FV164" s="1218"/>
      <c r="FW164" s="1218"/>
      <c r="FX164" s="1218"/>
      <c r="FY164" s="1218"/>
      <c r="GA164" s="154"/>
      <c r="GC164" s="150"/>
      <c r="GE164" s="173">
        <v>1</v>
      </c>
      <c r="GF164" s="1172" t="s">
        <v>206</v>
      </c>
      <c r="GG164" s="1173"/>
      <c r="GH164" s="1173"/>
      <c r="GI164" s="1173"/>
      <c r="GJ164" s="1173"/>
      <c r="GK164" s="1173"/>
      <c r="GL164" s="1174"/>
      <c r="GN164" s="154"/>
      <c r="GP164" s="155"/>
      <c r="GQ164" s="149"/>
      <c r="GR164" s="149"/>
      <c r="GS164" s="149"/>
      <c r="GT164" s="149"/>
      <c r="GU164" s="149"/>
      <c r="GV164" s="149"/>
      <c r="GW164" s="149"/>
      <c r="GX164" s="149"/>
      <c r="GY164" s="149"/>
      <c r="GZ164" s="149"/>
      <c r="HA164" s="149"/>
      <c r="HB164" s="149"/>
      <c r="HC164" s="149"/>
      <c r="HD164" s="149"/>
      <c r="HE164" s="149"/>
      <c r="HF164" s="149"/>
      <c r="HG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83"/>
      <c r="HU164" s="155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83"/>
    </row>
    <row r="165" spans="172:240" ht="15" customHeight="1" x14ac:dyDescent="0.35">
      <c r="FP165" s="150"/>
      <c r="FR165" s="1268" t="s">
        <v>673</v>
      </c>
      <c r="FS165" s="1268"/>
      <c r="FT165" s="1268"/>
      <c r="FU165" s="1268"/>
      <c r="FV165" s="1268"/>
      <c r="FW165" s="1268"/>
      <c r="FX165" s="1268"/>
      <c r="FY165" s="1268"/>
      <c r="GA165" s="154"/>
      <c r="GC165" s="150"/>
      <c r="GE165" s="1271" t="s">
        <v>618</v>
      </c>
      <c r="GF165" s="1279"/>
      <c r="GG165" s="1279"/>
      <c r="GH165" s="1279"/>
      <c r="GI165" s="1279"/>
      <c r="GJ165" s="1279"/>
      <c r="GK165" s="1279"/>
      <c r="GL165" s="1280"/>
      <c r="GN165" s="154"/>
      <c r="HE165" s="227"/>
      <c r="HP165" s="1070" t="s">
        <v>248</v>
      </c>
      <c r="HQ165" s="1071"/>
      <c r="HR165" s="1071"/>
      <c r="HS165" s="1072"/>
      <c r="IC165" s="1070" t="s">
        <v>4774</v>
      </c>
      <c r="ID165" s="1071"/>
      <c r="IE165" s="1071"/>
      <c r="IF165" s="1072"/>
    </row>
    <row r="166" spans="172:240" ht="15" customHeight="1" x14ac:dyDescent="0.35">
      <c r="FP166" s="150"/>
      <c r="FR166" s="173">
        <v>1</v>
      </c>
      <c r="FS166" s="1218" t="s">
        <v>184</v>
      </c>
      <c r="FT166" s="1218"/>
      <c r="FU166" s="1218"/>
      <c r="FV166" s="1218"/>
      <c r="FW166" s="1218"/>
      <c r="FX166" s="1218"/>
      <c r="FY166" s="1218"/>
      <c r="GA166" s="154"/>
      <c r="GC166" s="150"/>
      <c r="GE166" s="173">
        <v>1</v>
      </c>
      <c r="GF166" s="1172" t="s">
        <v>206</v>
      </c>
      <c r="GG166" s="1173"/>
      <c r="GH166" s="1173"/>
      <c r="GI166" s="1173"/>
      <c r="GJ166" s="1173"/>
      <c r="GK166" s="1173"/>
      <c r="GL166" s="1174"/>
      <c r="GN166" s="154"/>
      <c r="HE166" s="13"/>
      <c r="HT166" s="207"/>
      <c r="HU166" s="207"/>
    </row>
    <row r="167" spans="172:240" ht="15" customHeight="1" x14ac:dyDescent="0.35">
      <c r="FP167" s="150"/>
      <c r="FR167" s="1281" t="s">
        <v>829</v>
      </c>
      <c r="FS167" s="1281"/>
      <c r="FT167" s="1281"/>
      <c r="FU167" s="1281"/>
      <c r="FV167" s="1281"/>
      <c r="FW167" s="1281"/>
      <c r="FX167" s="1281"/>
      <c r="FY167" s="1281"/>
      <c r="GA167" s="154"/>
      <c r="GC167" s="150"/>
      <c r="GE167" s="1271" t="s">
        <v>784</v>
      </c>
      <c r="GF167" s="1279"/>
      <c r="GG167" s="1279"/>
      <c r="GH167" s="1279"/>
      <c r="GI167" s="1279"/>
      <c r="GJ167" s="1279"/>
      <c r="GK167" s="1279"/>
      <c r="GL167" s="1280"/>
      <c r="GN167" s="154"/>
      <c r="HE167" s="13"/>
      <c r="HT167" s="207"/>
      <c r="HU167" s="207"/>
      <c r="HV167" s="207"/>
    </row>
    <row r="168" spans="172:240" ht="15" customHeight="1" x14ac:dyDescent="0.35">
      <c r="FP168" s="150"/>
      <c r="FR168" s="173">
        <v>1</v>
      </c>
      <c r="FS168" s="1218" t="s">
        <v>195</v>
      </c>
      <c r="FT168" s="1218"/>
      <c r="FU168" s="1218"/>
      <c r="FV168" s="1218"/>
      <c r="FW168" s="1218"/>
      <c r="FX168" s="1218"/>
      <c r="FY168" s="1218"/>
      <c r="GA168" s="154"/>
      <c r="GC168" s="150"/>
      <c r="GE168" s="173">
        <v>1</v>
      </c>
      <c r="GF168" s="1172" t="s">
        <v>206</v>
      </c>
      <c r="GG168" s="1173"/>
      <c r="GH168" s="1173"/>
      <c r="GI168" s="1173"/>
      <c r="GJ168" s="1173"/>
      <c r="GK168" s="1173"/>
      <c r="GL168" s="1174"/>
      <c r="GN168" s="154"/>
      <c r="HE168" s="13"/>
    </row>
    <row r="169" spans="172:240" ht="15" customHeight="1" x14ac:dyDescent="0.35">
      <c r="FP169" s="150"/>
      <c r="FR169" s="1349" t="s">
        <v>131</v>
      </c>
      <c r="FS169" s="1349"/>
      <c r="FT169" s="1349"/>
      <c r="FU169" s="1349"/>
      <c r="FV169" s="1349"/>
      <c r="FW169" s="1349"/>
      <c r="FX169" s="1349"/>
      <c r="FY169" s="1349"/>
      <c r="GA169" s="154"/>
      <c r="GC169" s="150"/>
      <c r="GE169" s="1283" t="s">
        <v>131</v>
      </c>
      <c r="GF169" s="1284"/>
      <c r="GG169" s="1284"/>
      <c r="GH169" s="1284"/>
      <c r="GI169" s="1284"/>
      <c r="GJ169" s="1284"/>
      <c r="GK169" s="1284"/>
      <c r="GL169" s="1285"/>
      <c r="GN169" s="154"/>
      <c r="HE169" s="13"/>
    </row>
    <row r="170" spans="172:240" ht="15" customHeight="1" x14ac:dyDescent="0.35">
      <c r="FP170" s="155"/>
      <c r="FQ170" s="149"/>
      <c r="FR170" s="149"/>
      <c r="FS170" s="149"/>
      <c r="FT170" s="149"/>
      <c r="FU170" s="149"/>
      <c r="FV170" s="149"/>
      <c r="FW170" s="149"/>
      <c r="FX170" s="149"/>
      <c r="FY170" s="149"/>
      <c r="FZ170" s="149"/>
      <c r="GA170" s="183"/>
      <c r="GC170" s="155"/>
      <c r="GD170" s="149"/>
      <c r="GE170" s="149"/>
      <c r="GF170" s="149"/>
      <c r="GG170" s="149"/>
      <c r="GH170" s="149"/>
      <c r="GI170" s="149"/>
      <c r="GJ170" s="149"/>
      <c r="GK170" s="149"/>
      <c r="GL170" s="149"/>
      <c r="GM170" s="149"/>
      <c r="GN170" s="183"/>
      <c r="HE170" s="13"/>
    </row>
    <row r="171" spans="172:240" ht="15" customHeight="1" x14ac:dyDescent="0.35">
      <c r="FX171" s="1070" t="s">
        <v>244</v>
      </c>
      <c r="FY171" s="1071"/>
      <c r="FZ171" s="1071"/>
      <c r="GA171" s="1072"/>
      <c r="GK171" s="1070" t="s">
        <v>251</v>
      </c>
      <c r="GL171" s="1071"/>
      <c r="GM171" s="1071"/>
      <c r="GN171" s="1072"/>
      <c r="HE171" s="13"/>
    </row>
    <row r="172" spans="172:240" ht="15" customHeight="1" x14ac:dyDescent="0.35">
      <c r="HE172" s="13"/>
    </row>
    <row r="173" spans="172:240" ht="15" customHeight="1" x14ac:dyDescent="0.35">
      <c r="HE173" s="13"/>
    </row>
    <row r="174" spans="172:240" ht="15" customHeight="1" x14ac:dyDescent="0.35">
      <c r="HE174" s="13"/>
    </row>
    <row r="175" spans="172:240" ht="15" customHeight="1" x14ac:dyDescent="0.35">
      <c r="HE175" s="357"/>
    </row>
    <row r="176" spans="172:240" ht="15" customHeight="1" x14ac:dyDescent="0.35">
      <c r="HA176" s="1218" t="s">
        <v>4780</v>
      </c>
      <c r="HB176" s="1218"/>
      <c r="HC176" s="1218"/>
      <c r="HD176" s="1218"/>
      <c r="HE176" s="1218"/>
      <c r="HF176" s="1218"/>
      <c r="HG176" s="1218"/>
      <c r="HH176" s="1218"/>
    </row>
    <row r="177" spans="207:218" ht="15" customHeight="1" x14ac:dyDescent="0.35">
      <c r="HA177" s="1218"/>
      <c r="HB177" s="1218"/>
      <c r="HC177" s="1218"/>
      <c r="HD177" s="1218"/>
      <c r="HE177" s="1218"/>
      <c r="HF177" s="1218"/>
      <c r="HG177" s="1218"/>
      <c r="HH177" s="1218"/>
    </row>
    <row r="178" spans="207:218" ht="15" customHeight="1" x14ac:dyDescent="0.35">
      <c r="HE178" s="227"/>
    </row>
    <row r="179" spans="207:218" ht="15" customHeight="1" x14ac:dyDescent="0.35">
      <c r="HE179" s="13"/>
    </row>
    <row r="180" spans="207:218" ht="15" customHeight="1" x14ac:dyDescent="0.35">
      <c r="HE180" s="357"/>
    </row>
    <row r="181" spans="207:218" ht="15" customHeight="1" x14ac:dyDescent="0.35">
      <c r="GY181" s="226"/>
      <c r="GZ181" s="224"/>
      <c r="HA181" s="224"/>
      <c r="HB181" s="224"/>
      <c r="HC181" s="224"/>
      <c r="HD181" s="224"/>
      <c r="HE181" s="224"/>
      <c r="HF181" s="224"/>
      <c r="HG181" s="224"/>
      <c r="HH181" s="224"/>
      <c r="HI181" s="224"/>
      <c r="HJ181" s="387">
        <f>HA183</f>
        <v>1</v>
      </c>
    </row>
    <row r="182" spans="207:218" ht="15" customHeight="1" x14ac:dyDescent="0.35">
      <c r="GY182" s="150"/>
      <c r="HA182" s="1287" t="s">
        <v>4778</v>
      </c>
      <c r="HB182" s="1288"/>
      <c r="HC182" s="1288"/>
      <c r="HD182" s="1288"/>
      <c r="HE182" s="1288"/>
      <c r="HF182" s="1288"/>
      <c r="HG182" s="1288"/>
      <c r="HH182" s="1289"/>
      <c r="HJ182" s="154"/>
    </row>
    <row r="183" spans="207:218" ht="15" customHeight="1" x14ac:dyDescent="0.35">
      <c r="GY183" s="150"/>
      <c r="HA183" s="173">
        <v>1</v>
      </c>
      <c r="HB183" s="1172" t="s">
        <v>206</v>
      </c>
      <c r="HC183" s="1173"/>
      <c r="HD183" s="1173"/>
      <c r="HE183" s="1173"/>
      <c r="HF183" s="1173"/>
      <c r="HG183" s="1173"/>
      <c r="HH183" s="1174"/>
      <c r="HJ183" s="154"/>
    </row>
    <row r="184" spans="207:218" ht="15" customHeight="1" x14ac:dyDescent="0.35">
      <c r="GY184" s="150"/>
      <c r="HA184" s="1271" t="s">
        <v>535</v>
      </c>
      <c r="HB184" s="1279"/>
      <c r="HC184" s="1279"/>
      <c r="HD184" s="1279"/>
      <c r="HE184" s="1279"/>
      <c r="HF184" s="1279"/>
      <c r="HG184" s="1279"/>
      <c r="HH184" s="1280"/>
      <c r="HJ184" s="154"/>
    </row>
    <row r="185" spans="207:218" ht="15" customHeight="1" x14ac:dyDescent="0.35">
      <c r="GY185" s="155"/>
      <c r="GZ185" s="149"/>
      <c r="HA185" s="149"/>
      <c r="HB185" s="149"/>
      <c r="HC185" s="149"/>
      <c r="HD185" s="149"/>
      <c r="HE185" s="149"/>
      <c r="HF185" s="149"/>
      <c r="HG185" s="149"/>
      <c r="HH185" s="149"/>
      <c r="HI185" s="149"/>
      <c r="HJ185" s="183"/>
    </row>
    <row r="186" spans="207:218" ht="15" customHeight="1" x14ac:dyDescent="0.35"/>
    <row r="187" spans="207:218" ht="15" customHeight="1" x14ac:dyDescent="0.35"/>
    <row r="188" spans="207:218" ht="15" customHeight="1" x14ac:dyDescent="0.35"/>
    <row r="189" spans="207:218" ht="15" customHeight="1" x14ac:dyDescent="0.35"/>
    <row r="190" spans="207:218" ht="15" customHeight="1" x14ac:dyDescent="0.35"/>
    <row r="191" spans="207:218" ht="15" customHeight="1" x14ac:dyDescent="0.35"/>
    <row r="192" spans="207:218" ht="15" customHeight="1" x14ac:dyDescent="0.35"/>
    <row r="193" ht="15" customHeight="1" x14ac:dyDescent="0.35"/>
    <row r="194" ht="15" customHeight="1" x14ac:dyDescent="0.35"/>
  </sheetData>
  <mergeCells count="756">
    <mergeCell ref="HA176:HH177"/>
    <mergeCell ref="HA182:HH182"/>
    <mergeCell ref="GF168:GL168"/>
    <mergeCell ref="GE169:GL169"/>
    <mergeCell ref="FR159:FY159"/>
    <mergeCell ref="GK171:GN171"/>
    <mergeCell ref="FX171:GA171"/>
    <mergeCell ref="GS90:GZ90"/>
    <mergeCell ref="FR169:FY169"/>
    <mergeCell ref="GA94:GH94"/>
    <mergeCell ref="GE159:GL159"/>
    <mergeCell ref="FR167:FY167"/>
    <mergeCell ref="GE165:GL165"/>
    <mergeCell ref="GE161:GL161"/>
    <mergeCell ref="FS162:FY162"/>
    <mergeCell ref="FR163:FY163"/>
    <mergeCell ref="FS160:FY160"/>
    <mergeCell ref="FR161:FY161"/>
    <mergeCell ref="GJ92:GQ92"/>
    <mergeCell ref="GK93:GQ93"/>
    <mergeCell ref="FS95:FY95"/>
    <mergeCell ref="GB95:GH95"/>
    <mergeCell ref="GA96:GH96"/>
    <mergeCell ref="GB97:GH97"/>
    <mergeCell ref="GY147:HB147"/>
    <mergeCell ref="EZ90:FG90"/>
    <mergeCell ref="EQ90:EX90"/>
    <mergeCell ref="FI90:FP90"/>
    <mergeCell ref="FA91:FG91"/>
    <mergeCell ref="EZ92:FG92"/>
    <mergeCell ref="FA133:FG133"/>
    <mergeCell ref="EZ134:FG134"/>
    <mergeCell ref="FA135:FG135"/>
    <mergeCell ref="FA109:FG109"/>
    <mergeCell ref="EZ110:FG110"/>
    <mergeCell ref="ER91:EX91"/>
    <mergeCell ref="EQ92:EX92"/>
    <mergeCell ref="ER93:EX93"/>
    <mergeCell ref="FJ121:FP121"/>
    <mergeCell ref="FI122:FP122"/>
    <mergeCell ref="GK91:GQ91"/>
    <mergeCell ref="GB93:GH93"/>
    <mergeCell ref="GB99:GH99"/>
    <mergeCell ref="GA100:GH100"/>
    <mergeCell ref="GT95:GZ95"/>
    <mergeCell ref="GA92:GH92"/>
    <mergeCell ref="EZ136:FG136"/>
    <mergeCell ref="FA137:FG137"/>
    <mergeCell ref="ER30:EX30"/>
    <mergeCell ref="EQ31:EX31"/>
    <mergeCell ref="ER32:EX32"/>
    <mergeCell ref="EQ33:EX33"/>
    <mergeCell ref="FH39:FN39"/>
    <mergeCell ref="FV39:GB39"/>
    <mergeCell ref="FG40:FN40"/>
    <mergeCell ref="FU40:GB40"/>
    <mergeCell ref="FH41:FN41"/>
    <mergeCell ref="FV41:GB41"/>
    <mergeCell ref="EW35:EZ35"/>
    <mergeCell ref="HA63:HH64"/>
    <mergeCell ref="GL43:GR43"/>
    <mergeCell ref="GK44:GR44"/>
    <mergeCell ref="FO30:FU30"/>
    <mergeCell ref="FN31:FU31"/>
    <mergeCell ref="FH35:FN35"/>
    <mergeCell ref="FV35:GB35"/>
    <mergeCell ref="FG36:FN36"/>
    <mergeCell ref="FU36:GB36"/>
    <mergeCell ref="FH37:FN37"/>
    <mergeCell ref="FV37:GB37"/>
    <mergeCell ref="FG38:FN38"/>
    <mergeCell ref="FU38:GB38"/>
    <mergeCell ref="GK31:GR31"/>
    <mergeCell ref="FG44:FN44"/>
    <mergeCell ref="FU42:GB42"/>
    <mergeCell ref="FH45:FN45"/>
    <mergeCell ref="FG46:FN46"/>
    <mergeCell ref="GA44:GD44"/>
    <mergeCell ref="FM48:FP48"/>
    <mergeCell ref="FG42:FN42"/>
    <mergeCell ref="FH43:FN43"/>
    <mergeCell ref="IJ40:IQ40"/>
    <mergeCell ref="IA40:IH40"/>
    <mergeCell ref="HR40:HY40"/>
    <mergeCell ref="DB85:DH85"/>
    <mergeCell ref="DA86:DH86"/>
    <mergeCell ref="DB87:DH87"/>
    <mergeCell ref="DA88:DH88"/>
    <mergeCell ref="DP81:DV81"/>
    <mergeCell ref="GK40:GR40"/>
    <mergeCell ref="HS41:HY41"/>
    <mergeCell ref="IB41:IH41"/>
    <mergeCell ref="IK41:IQ41"/>
    <mergeCell ref="EZ75:FG75"/>
    <mergeCell ref="CZ71:DF71"/>
    <mergeCell ref="CY72:DF72"/>
    <mergeCell ref="HI86:HP86"/>
    <mergeCell ref="DL85:DR85"/>
    <mergeCell ref="DK86:DR86"/>
    <mergeCell ref="HO82:HU82"/>
    <mergeCell ref="HT85:HZ85"/>
    <mergeCell ref="FR77:FY77"/>
    <mergeCell ref="FI77:FP77"/>
    <mergeCell ref="FJ76:FP76"/>
    <mergeCell ref="FJ84:FP84"/>
    <mergeCell ref="BS80:BY80"/>
    <mergeCell ref="BR81:BY81"/>
    <mergeCell ref="CR102:CY102"/>
    <mergeCell ref="CS95:CY95"/>
    <mergeCell ref="CR96:CY96"/>
    <mergeCell ref="CS97:CY97"/>
    <mergeCell ref="CR98:CY98"/>
    <mergeCell ref="HX162:ID162"/>
    <mergeCell ref="HW163:ID163"/>
    <mergeCell ref="CS99:CY99"/>
    <mergeCell ref="CR100:CY100"/>
    <mergeCell ref="CS101:CY101"/>
    <mergeCell ref="CS93:CY93"/>
    <mergeCell ref="BX85:CD85"/>
    <mergeCell ref="BN85:BT85"/>
    <mergeCell ref="BM86:BT86"/>
    <mergeCell ref="BN87:BT87"/>
    <mergeCell ref="BM88:BT88"/>
    <mergeCell ref="BN89:BT89"/>
    <mergeCell ref="BM84:BT84"/>
    <mergeCell ref="BX91:CD91"/>
    <mergeCell ref="BW92:CD92"/>
    <mergeCell ref="BM94:BT94"/>
    <mergeCell ref="BN95:BT95"/>
    <mergeCell ref="IX89:JD89"/>
    <mergeCell ref="IW90:JD90"/>
    <mergeCell ref="IX101:JD101"/>
    <mergeCell ref="IW102:JD102"/>
    <mergeCell ref="HJ107:HP107"/>
    <mergeCell ref="HI108:HP108"/>
    <mergeCell ref="HT109:HZ109"/>
    <mergeCell ref="HS110:HZ110"/>
    <mergeCell ref="ID107:IJ107"/>
    <mergeCell ref="IC108:IJ108"/>
    <mergeCell ref="IM102:IT102"/>
    <mergeCell ref="IN103:IT103"/>
    <mergeCell ref="IM104:IT104"/>
    <mergeCell ref="HJ109:HP109"/>
    <mergeCell ref="HI110:HP110"/>
    <mergeCell ref="IC104:IJ104"/>
    <mergeCell ref="IX97:JD97"/>
    <mergeCell ref="IN89:IT89"/>
    <mergeCell ref="IM90:IT90"/>
    <mergeCell ref="IN91:IT91"/>
    <mergeCell ref="HS94:HZ94"/>
    <mergeCell ref="HT95:HZ95"/>
    <mergeCell ref="ID91:IJ91"/>
    <mergeCell ref="IC92:IJ92"/>
    <mergeCell ref="JV102:KB102"/>
    <mergeCell ref="JU103:KB103"/>
    <mergeCell ref="ID99:IJ99"/>
    <mergeCell ref="IX99:JD99"/>
    <mergeCell ref="IW100:JD100"/>
    <mergeCell ref="IN101:IT101"/>
    <mergeCell ref="HI100:HP100"/>
    <mergeCell ref="KF102:KL102"/>
    <mergeCell ref="KE103:KL103"/>
    <mergeCell ref="HS102:HZ102"/>
    <mergeCell ref="JC119:JF119"/>
    <mergeCell ref="HI104:HP104"/>
    <mergeCell ref="HJ105:HP105"/>
    <mergeCell ref="HI106:HP106"/>
    <mergeCell ref="HS106:HZ106"/>
    <mergeCell ref="HT107:HZ107"/>
    <mergeCell ref="HS108:HZ108"/>
    <mergeCell ref="IC106:IJ106"/>
    <mergeCell ref="FS168:FY168"/>
    <mergeCell ref="IN109:IT109"/>
    <mergeCell ref="IM110:IT110"/>
    <mergeCell ref="ID105:IJ105"/>
    <mergeCell ref="FR165:FY165"/>
    <mergeCell ref="IN105:IT105"/>
    <mergeCell ref="IM106:IT106"/>
    <mergeCell ref="IN107:IT107"/>
    <mergeCell ref="HT113:HZ113"/>
    <mergeCell ref="HS114:HZ114"/>
    <mergeCell ref="HT115:HZ115"/>
    <mergeCell ref="HS116:HZ116"/>
    <mergeCell ref="ID113:IJ113"/>
    <mergeCell ref="IC114:IJ114"/>
    <mergeCell ref="GR159:GY159"/>
    <mergeCell ref="GS162:GY162"/>
    <mergeCell ref="IW88:JD88"/>
    <mergeCell ref="FS166:FY166"/>
    <mergeCell ref="ID95:IJ95"/>
    <mergeCell ref="IC96:IJ96"/>
    <mergeCell ref="IX91:JD91"/>
    <mergeCell ref="IW92:JD92"/>
    <mergeCell ref="ID97:IJ97"/>
    <mergeCell ref="IC88:IJ88"/>
    <mergeCell ref="IC98:IJ98"/>
    <mergeCell ref="IM112:IT112"/>
    <mergeCell ref="IN113:IT113"/>
    <mergeCell ref="IM114:IT114"/>
    <mergeCell ref="IN115:IT115"/>
    <mergeCell ref="IM116:IT116"/>
    <mergeCell ref="ID115:IJ115"/>
    <mergeCell ref="IC116:IJ116"/>
    <mergeCell ref="IW116:JD116"/>
    <mergeCell ref="IW114:JD114"/>
    <mergeCell ref="FS164:FY164"/>
    <mergeCell ref="HA150:HH151"/>
    <mergeCell ref="HB155:HH155"/>
    <mergeCell ref="HA156:HH156"/>
    <mergeCell ref="HA159:HH159"/>
    <mergeCell ref="HJ159:HQ159"/>
    <mergeCell ref="IX113:JD113"/>
    <mergeCell ref="IX111:JD111"/>
    <mergeCell ref="IW112:JD112"/>
    <mergeCell ref="ID101:IJ101"/>
    <mergeCell ref="IM108:IT108"/>
    <mergeCell ref="IM100:IT100"/>
    <mergeCell ref="BW98:CD98"/>
    <mergeCell ref="IX109:JD109"/>
    <mergeCell ref="IW110:JD110"/>
    <mergeCell ref="IW98:JD98"/>
    <mergeCell ref="FS101:FY101"/>
    <mergeCell ref="FR102:FY102"/>
    <mergeCell ref="IX103:JD103"/>
    <mergeCell ref="IN99:IT99"/>
    <mergeCell ref="HI102:HP102"/>
    <mergeCell ref="HJ103:HP103"/>
    <mergeCell ref="HS104:HZ104"/>
    <mergeCell ref="HT111:HZ111"/>
    <mergeCell ref="IN111:IT111"/>
    <mergeCell ref="GA98:GH98"/>
    <mergeCell ref="IC110:IJ110"/>
    <mergeCell ref="ID111:IJ111"/>
    <mergeCell ref="HS112:HZ112"/>
    <mergeCell ref="ID109:IJ109"/>
    <mergeCell ref="DY105:EC105"/>
    <mergeCell ref="BM96:BT96"/>
    <mergeCell ref="BN97:BT97"/>
    <mergeCell ref="BM98:BT98"/>
    <mergeCell ref="BN99:BT99"/>
    <mergeCell ref="BM100:BT100"/>
    <mergeCell ref="BW96:CD96"/>
    <mergeCell ref="BX97:CD97"/>
    <mergeCell ref="IC112:IJ112"/>
    <mergeCell ref="FR96:FY96"/>
    <mergeCell ref="DT96:EA96"/>
    <mergeCell ref="DU97:EA97"/>
    <mergeCell ref="EQ102:EX102"/>
    <mergeCell ref="FR100:FY100"/>
    <mergeCell ref="EI97:EO97"/>
    <mergeCell ref="EH98:EO98"/>
    <mergeCell ref="BX99:CD99"/>
    <mergeCell ref="BW100:CD100"/>
    <mergeCell ref="BX101:CD101"/>
    <mergeCell ref="CI96:CP96"/>
    <mergeCell ref="HS96:HZ96"/>
    <mergeCell ref="FS97:FY97"/>
    <mergeCell ref="FR98:FY98"/>
    <mergeCell ref="FS99:FY99"/>
    <mergeCell ref="BN101:BT101"/>
    <mergeCell ref="BM102:BT102"/>
    <mergeCell ref="HJ101:HP101"/>
    <mergeCell ref="HT103:HZ103"/>
    <mergeCell ref="GT91:GZ91"/>
    <mergeCell ref="GS92:GZ92"/>
    <mergeCell ref="GT93:GZ93"/>
    <mergeCell ref="GS94:GZ94"/>
    <mergeCell ref="DU93:EA93"/>
    <mergeCell ref="DT94:EA94"/>
    <mergeCell ref="DU95:EA95"/>
    <mergeCell ref="DT98:EA98"/>
    <mergeCell ref="BN91:BT91"/>
    <mergeCell ref="BM92:BT92"/>
    <mergeCell ref="HT97:HZ97"/>
    <mergeCell ref="HS98:HZ98"/>
    <mergeCell ref="HT99:HZ99"/>
    <mergeCell ref="HS100:HZ100"/>
    <mergeCell ref="BW102:CD102"/>
    <mergeCell ref="CJ97:CP97"/>
    <mergeCell ref="CI98:CP98"/>
    <mergeCell ref="HT91:HZ91"/>
    <mergeCell ref="DL91:DR91"/>
    <mergeCell ref="GB91:GH91"/>
    <mergeCell ref="FR79:FY79"/>
    <mergeCell ref="ER95:EX95"/>
    <mergeCell ref="EQ96:EX96"/>
    <mergeCell ref="DT84:EA84"/>
    <mergeCell ref="DU85:EA85"/>
    <mergeCell ref="DT86:EA86"/>
    <mergeCell ref="DU87:EA87"/>
    <mergeCell ref="DT88:EA88"/>
    <mergeCell ref="DU89:EA89"/>
    <mergeCell ref="DT90:EA90"/>
    <mergeCell ref="DU91:EA91"/>
    <mergeCell ref="DT92:EA92"/>
    <mergeCell ref="FS84:FY84"/>
    <mergeCell ref="EQ94:EX94"/>
    <mergeCell ref="FS91:FY91"/>
    <mergeCell ref="FR92:FY92"/>
    <mergeCell ref="FS93:FY93"/>
    <mergeCell ref="FR94:FY94"/>
    <mergeCell ref="GB84:GH84"/>
    <mergeCell ref="EZ94:FG94"/>
    <mergeCell ref="EH90:EO90"/>
    <mergeCell ref="FS76:FY76"/>
    <mergeCell ref="FS78:FY78"/>
    <mergeCell ref="GA75:GH75"/>
    <mergeCell ref="GB76:GH76"/>
    <mergeCell ref="GA77:GH77"/>
    <mergeCell ref="CH75:CN75"/>
    <mergeCell ref="CG76:CN76"/>
    <mergeCell ref="DK75:DQ75"/>
    <mergeCell ref="DJ76:DQ76"/>
    <mergeCell ref="FA76:FG76"/>
    <mergeCell ref="EZ77:FG77"/>
    <mergeCell ref="FI75:FP75"/>
    <mergeCell ref="FR75:FY75"/>
    <mergeCell ref="DU75:EA75"/>
    <mergeCell ref="DT76:EA76"/>
    <mergeCell ref="DK92:DR92"/>
    <mergeCell ref="CI92:CP92"/>
    <mergeCell ref="CJ93:CP93"/>
    <mergeCell ref="CI94:CP94"/>
    <mergeCell ref="CJ91:CP91"/>
    <mergeCell ref="DK94:DR94"/>
    <mergeCell ref="JK85:JR85"/>
    <mergeCell ref="JL86:JR86"/>
    <mergeCell ref="KP78:KV78"/>
    <mergeCell ref="JP76:JW76"/>
    <mergeCell ref="JQ75:JW75"/>
    <mergeCell ref="JV78:KB78"/>
    <mergeCell ref="KJ76:KQ76"/>
    <mergeCell ref="KA71:KG71"/>
    <mergeCell ref="JZ72:KG72"/>
    <mergeCell ref="JU79:KB79"/>
    <mergeCell ref="JV80:KB80"/>
    <mergeCell ref="JU81:KB81"/>
    <mergeCell ref="JV82:KB82"/>
    <mergeCell ref="JU83:KB83"/>
    <mergeCell ref="JV84:KB84"/>
    <mergeCell ref="JU85:KB85"/>
    <mergeCell ref="KF78:KL78"/>
    <mergeCell ref="KE79:KL79"/>
    <mergeCell ref="KF82:KL82"/>
    <mergeCell ref="KE83:KL83"/>
    <mergeCell ref="KF84:KL84"/>
    <mergeCell ref="KE85:KL85"/>
    <mergeCell ref="KF86:KL86"/>
    <mergeCell ref="IB47:IH47"/>
    <mergeCell ref="IA48:IH48"/>
    <mergeCell ref="IW106:JD106"/>
    <mergeCell ref="IX107:JD107"/>
    <mergeCell ref="IW108:JD108"/>
    <mergeCell ref="IW86:JD86"/>
    <mergeCell ref="HI88:HP88"/>
    <mergeCell ref="HS88:HZ88"/>
    <mergeCell ref="HJ95:HP95"/>
    <mergeCell ref="HI96:HP96"/>
    <mergeCell ref="IW104:JD104"/>
    <mergeCell ref="IX105:JD105"/>
    <mergeCell ref="IC86:IJ86"/>
    <mergeCell ref="ID87:IJ87"/>
    <mergeCell ref="ID75:IJ75"/>
    <mergeCell ref="IC76:IJ76"/>
    <mergeCell ref="HI92:HP92"/>
    <mergeCell ref="HJ93:HP93"/>
    <mergeCell ref="HI94:HP94"/>
    <mergeCell ref="HJ91:HP91"/>
    <mergeCell ref="HT105:HZ105"/>
    <mergeCell ref="IC102:IJ102"/>
    <mergeCell ref="ID103:IJ103"/>
    <mergeCell ref="IW96:JD96"/>
    <mergeCell ref="JU36:KB36"/>
    <mergeCell ref="GL37:GR37"/>
    <mergeCell ref="IB37:IH37"/>
    <mergeCell ref="JV37:KB37"/>
    <mergeCell ref="IA35:IH35"/>
    <mergeCell ref="JV35:KB35"/>
    <mergeCell ref="GK38:GR38"/>
    <mergeCell ref="IA38:IH38"/>
    <mergeCell ref="JI38:JL38"/>
    <mergeCell ref="GK36:GR36"/>
    <mergeCell ref="JC36:JJ36"/>
    <mergeCell ref="GL35:GR35"/>
    <mergeCell ref="JD35:JJ35"/>
    <mergeCell ref="JU38:KB38"/>
    <mergeCell ref="JU33:KB33"/>
    <mergeCell ref="GK34:GR34"/>
    <mergeCell ref="IB34:IH34"/>
    <mergeCell ref="IO32:IU32"/>
    <mergeCell ref="JD32:JJ32"/>
    <mergeCell ref="JV32:KB32"/>
    <mergeCell ref="GL33:GR33"/>
    <mergeCell ref="IN33:IU33"/>
    <mergeCell ref="JC33:JJ33"/>
    <mergeCell ref="HB21:HH21"/>
    <mergeCell ref="HA22:HH22"/>
    <mergeCell ref="HB27:HH27"/>
    <mergeCell ref="IB27:IH27"/>
    <mergeCell ref="JM27:JS27"/>
    <mergeCell ref="HA28:HH28"/>
    <mergeCell ref="IA28:IH28"/>
    <mergeCell ref="JL28:JS28"/>
    <mergeCell ref="GL30:GR30"/>
    <mergeCell ref="BM90:BT90"/>
    <mergeCell ref="CS89:CY89"/>
    <mergeCell ref="CR90:CY90"/>
    <mergeCell ref="CS91:CY91"/>
    <mergeCell ref="CR92:CY92"/>
    <mergeCell ref="HJ97:HP97"/>
    <mergeCell ref="HI98:HP98"/>
    <mergeCell ref="HJ99:HP99"/>
    <mergeCell ref="HT101:HZ101"/>
    <mergeCell ref="HS92:HZ92"/>
    <mergeCell ref="HT93:HZ93"/>
    <mergeCell ref="GA90:GH90"/>
    <mergeCell ref="FR90:FY90"/>
    <mergeCell ref="GJ90:GQ90"/>
    <mergeCell ref="ER97:EX97"/>
    <mergeCell ref="EQ98:EX98"/>
    <mergeCell ref="ER99:EX99"/>
    <mergeCell ref="EQ100:EX100"/>
    <mergeCell ref="EI95:EO95"/>
    <mergeCell ref="EH96:EO96"/>
    <mergeCell ref="ER101:EX101"/>
    <mergeCell ref="GJ94:GQ94"/>
    <mergeCell ref="GK95:GQ95"/>
    <mergeCell ref="GJ96:GQ96"/>
    <mergeCell ref="CI88:CP88"/>
    <mergeCell ref="BW86:CD86"/>
    <mergeCell ref="BX87:CD87"/>
    <mergeCell ref="BW88:CD88"/>
    <mergeCell ref="DL93:DR93"/>
    <mergeCell ref="CJ95:CP95"/>
    <mergeCell ref="CI90:CP90"/>
    <mergeCell ref="CJ89:CP89"/>
    <mergeCell ref="CR94:CY94"/>
    <mergeCell ref="CR88:CY88"/>
    <mergeCell ref="DL87:DR87"/>
    <mergeCell ref="DK88:DR88"/>
    <mergeCell ref="BW90:CD90"/>
    <mergeCell ref="BX89:CD89"/>
    <mergeCell ref="BW94:CD94"/>
    <mergeCell ref="BX95:CD95"/>
    <mergeCell ref="DL89:DR89"/>
    <mergeCell ref="DK90:DR90"/>
    <mergeCell ref="BW84:CD84"/>
    <mergeCell ref="IB45:IH45"/>
    <mergeCell ref="KD44:KE44"/>
    <mergeCell ref="GQ51:GT51"/>
    <mergeCell ref="HS43:HY43"/>
    <mergeCell ref="IB43:IH43"/>
    <mergeCell ref="IK43:IQ43"/>
    <mergeCell ref="KA42:KD42"/>
    <mergeCell ref="KD46:KE46"/>
    <mergeCell ref="CR81:CY81"/>
    <mergeCell ref="CS80:CY80"/>
    <mergeCell ref="CI84:CP84"/>
    <mergeCell ref="HR44:HY44"/>
    <mergeCell ref="IA44:IH44"/>
    <mergeCell ref="IJ44:IQ44"/>
    <mergeCell ref="JL78:JR78"/>
    <mergeCell ref="JK79:JR79"/>
    <mergeCell ref="JL84:JR84"/>
    <mergeCell ref="HR42:HY42"/>
    <mergeCell ref="IA42:IH42"/>
    <mergeCell ref="IJ42:IQ42"/>
    <mergeCell ref="IA46:IH46"/>
    <mergeCell ref="FN71:FT71"/>
    <mergeCell ref="FM72:FT72"/>
    <mergeCell ref="CJ85:CP85"/>
    <mergeCell ref="CI86:CP86"/>
    <mergeCell ref="GL39:GR39"/>
    <mergeCell ref="JV39:KB39"/>
    <mergeCell ref="ID89:IJ89"/>
    <mergeCell ref="IT50:IW50"/>
    <mergeCell ref="IN87:IT87"/>
    <mergeCell ref="IM88:IT88"/>
    <mergeCell ref="HB55:HH55"/>
    <mergeCell ref="HA56:HH56"/>
    <mergeCell ref="HB58:HH58"/>
    <mergeCell ref="HA59:HH59"/>
    <mergeCell ref="JU40:KB40"/>
    <mergeCell ref="GL41:GR41"/>
    <mergeCell ref="GK42:GR42"/>
    <mergeCell ref="FA84:FG84"/>
    <mergeCell ref="IN78:IT78"/>
    <mergeCell ref="IM79:IT79"/>
    <mergeCell ref="GL45:GR45"/>
    <mergeCell ref="GK46:GR46"/>
    <mergeCell ref="GL47:GR47"/>
    <mergeCell ref="GK48:GR48"/>
    <mergeCell ref="HT89:HZ89"/>
    <mergeCell ref="CJ87:CP87"/>
    <mergeCell ref="CS85:CY85"/>
    <mergeCell ref="CR86:CY86"/>
    <mergeCell ref="CS87:CY87"/>
    <mergeCell ref="IR83:IY83"/>
    <mergeCell ref="ID82:IJ82"/>
    <mergeCell ref="IC83:IJ83"/>
    <mergeCell ref="DK84:DR84"/>
    <mergeCell ref="HJ87:HP87"/>
    <mergeCell ref="HT87:HZ87"/>
    <mergeCell ref="DA84:DH84"/>
    <mergeCell ref="CR84:CY84"/>
    <mergeCell ref="IX87:JD87"/>
    <mergeCell ref="IN85:IT85"/>
    <mergeCell ref="IM86:IT86"/>
    <mergeCell ref="DO82:DV82"/>
    <mergeCell ref="HS86:HZ86"/>
    <mergeCell ref="FI85:FP85"/>
    <mergeCell ref="FR85:FY85"/>
    <mergeCell ref="GA85:GH85"/>
    <mergeCell ref="EZ85:FG85"/>
    <mergeCell ref="ID85:IJ85"/>
    <mergeCell ref="IS82:IY82"/>
    <mergeCell ref="HN83:HU83"/>
    <mergeCell ref="HJ85:HP85"/>
    <mergeCell ref="KP88:KV88"/>
    <mergeCell ref="KO89:KV89"/>
    <mergeCell ref="KP90:KV90"/>
    <mergeCell ref="KO91:KV91"/>
    <mergeCell ref="KK75:KQ75"/>
    <mergeCell ref="IC90:IJ90"/>
    <mergeCell ref="IX85:JD85"/>
    <mergeCell ref="IK45:IQ45"/>
    <mergeCell ref="IJ46:IQ46"/>
    <mergeCell ref="KO85:KV85"/>
    <mergeCell ref="JK83:JR83"/>
    <mergeCell ref="JV86:KB86"/>
    <mergeCell ref="IM77:IT77"/>
    <mergeCell ref="KO79:KV79"/>
    <mergeCell ref="KP80:KV80"/>
    <mergeCell ref="KO81:KV81"/>
    <mergeCell ref="KP82:KV82"/>
    <mergeCell ref="KO83:KV83"/>
    <mergeCell ref="KP84:KV84"/>
    <mergeCell ref="KP86:KV86"/>
    <mergeCell ref="KO87:KV87"/>
    <mergeCell ref="JK87:JR87"/>
    <mergeCell ref="ID71:IJ71"/>
    <mergeCell ref="IC72:IJ72"/>
    <mergeCell ref="KE87:KL87"/>
    <mergeCell ref="GF166:GL166"/>
    <mergeCell ref="GE167:GL167"/>
    <mergeCell ref="KF88:KL88"/>
    <mergeCell ref="KE89:KL89"/>
    <mergeCell ref="KF90:KL90"/>
    <mergeCell ref="KE91:KL91"/>
    <mergeCell ref="GF162:GL162"/>
    <mergeCell ref="GE163:GL163"/>
    <mergeCell ref="JL92:JR92"/>
    <mergeCell ref="JU87:KB87"/>
    <mergeCell ref="JL88:JR88"/>
    <mergeCell ref="JK89:JR89"/>
    <mergeCell ref="JL90:JR90"/>
    <mergeCell ref="JK91:JR91"/>
    <mergeCell ref="JU91:KB91"/>
    <mergeCell ref="JV92:KB92"/>
    <mergeCell ref="JU93:KB93"/>
    <mergeCell ref="JV88:KB88"/>
    <mergeCell ref="GF164:GL164"/>
    <mergeCell ref="HW161:ID161"/>
    <mergeCell ref="HX160:ID160"/>
    <mergeCell ref="KF94:KL94"/>
    <mergeCell ref="KE95:KL95"/>
    <mergeCell ref="HB183:HH183"/>
    <mergeCell ref="HA184:HH184"/>
    <mergeCell ref="JL80:JR80"/>
    <mergeCell ref="JK81:JR81"/>
    <mergeCell ref="JL82:JR82"/>
    <mergeCell ref="KO95:KV95"/>
    <mergeCell ref="JV94:KB94"/>
    <mergeCell ref="JU95:KB95"/>
    <mergeCell ref="KP94:KV94"/>
    <mergeCell ref="JU89:KB89"/>
    <mergeCell ref="JV90:KB90"/>
    <mergeCell ref="KP92:KV92"/>
    <mergeCell ref="KO93:KV93"/>
    <mergeCell ref="KF80:KL80"/>
    <mergeCell ref="KE81:KL81"/>
    <mergeCell ref="IX115:JD115"/>
    <mergeCell ref="HW159:ID159"/>
    <mergeCell ref="JK97:JR97"/>
    <mergeCell ref="JL98:JR98"/>
    <mergeCell ref="JK99:JR99"/>
    <mergeCell ref="JL100:JR100"/>
    <mergeCell ref="JK101:JR101"/>
    <mergeCell ref="KF92:KL92"/>
    <mergeCell ref="KE93:KL93"/>
    <mergeCell ref="KP98:KV98"/>
    <mergeCell ref="KO99:KV99"/>
    <mergeCell ref="KP100:KV100"/>
    <mergeCell ref="JV96:KB96"/>
    <mergeCell ref="GF160:GL160"/>
    <mergeCell ref="KP96:KV96"/>
    <mergeCell ref="KO97:KV97"/>
    <mergeCell ref="KF98:KL98"/>
    <mergeCell ref="KE99:KL99"/>
    <mergeCell ref="JV98:KB98"/>
    <mergeCell ref="JU99:KB99"/>
    <mergeCell ref="JV100:KB100"/>
    <mergeCell ref="JU101:KB101"/>
    <mergeCell ref="KO101:KV101"/>
    <mergeCell ref="KP102:KV102"/>
    <mergeCell ref="KO103:KV103"/>
    <mergeCell ref="KP104:KV104"/>
    <mergeCell ref="KO105:KV105"/>
    <mergeCell ref="GS96:GZ96"/>
    <mergeCell ref="IC100:IJ100"/>
    <mergeCell ref="KT108:KW108"/>
    <mergeCell ref="JU97:KB97"/>
    <mergeCell ref="HI114:HP114"/>
    <mergeCell ref="HJ111:HP111"/>
    <mergeCell ref="KF96:KL96"/>
    <mergeCell ref="KE97:KL97"/>
    <mergeCell ref="KE101:KL101"/>
    <mergeCell ref="IM92:IT92"/>
    <mergeCell ref="IN93:IT93"/>
    <mergeCell ref="IM94:IT94"/>
    <mergeCell ref="IN95:IT95"/>
    <mergeCell ref="IM96:IT96"/>
    <mergeCell ref="IN97:IT97"/>
    <mergeCell ref="IM98:IT98"/>
    <mergeCell ref="JK93:JR93"/>
    <mergeCell ref="IX93:JD93"/>
    <mergeCell ref="IW94:JD94"/>
    <mergeCell ref="IX95:JD95"/>
    <mergeCell ref="JL94:JR94"/>
    <mergeCell ref="JK95:JR95"/>
    <mergeCell ref="KF100:KL100"/>
    <mergeCell ref="JL96:JR96"/>
    <mergeCell ref="HJ89:HP89"/>
    <mergeCell ref="HI90:HP90"/>
    <mergeCell ref="HS90:HZ90"/>
    <mergeCell ref="ID93:IJ93"/>
    <mergeCell ref="IC94:IJ94"/>
    <mergeCell ref="HK162:HQ162"/>
    <mergeCell ref="GK97:GQ97"/>
    <mergeCell ref="HJ163:HQ163"/>
    <mergeCell ref="GJ98:GQ98"/>
    <mergeCell ref="GK99:GQ99"/>
    <mergeCell ref="GK101:GQ101"/>
    <mergeCell ref="GR163:GY163"/>
    <mergeCell ref="HB162:HH162"/>
    <mergeCell ref="HA163:HH163"/>
    <mergeCell ref="GS160:GY160"/>
    <mergeCell ref="GR161:GY161"/>
    <mergeCell ref="HK160:HQ160"/>
    <mergeCell ref="HJ161:HQ161"/>
    <mergeCell ref="GT97:GZ97"/>
    <mergeCell ref="GS98:GZ98"/>
    <mergeCell ref="HB160:HH160"/>
    <mergeCell ref="HA161:HH161"/>
    <mergeCell ref="HI112:HP112"/>
    <mergeCell ref="HJ113:HP113"/>
    <mergeCell ref="HI116:HP116"/>
    <mergeCell ref="HJ115:HP115"/>
    <mergeCell ref="FA121:FG121"/>
    <mergeCell ref="EZ122:FG122"/>
    <mergeCell ref="FA123:FG123"/>
    <mergeCell ref="EZ124:FG124"/>
    <mergeCell ref="FA125:FG125"/>
    <mergeCell ref="EZ126:FG126"/>
    <mergeCell ref="GJ100:GQ100"/>
    <mergeCell ref="FI104:FP104"/>
    <mergeCell ref="EZ102:FG102"/>
    <mergeCell ref="FA103:FG103"/>
    <mergeCell ref="FJ117:FP117"/>
    <mergeCell ref="FI118:FP118"/>
    <mergeCell ref="FJ119:FP119"/>
    <mergeCell ref="FI120:FP120"/>
    <mergeCell ref="FJ127:FP127"/>
    <mergeCell ref="FI128:FP128"/>
    <mergeCell ref="FJ129:FP129"/>
    <mergeCell ref="FI130:FP130"/>
    <mergeCell ref="EZ108:FG108"/>
    <mergeCell ref="FA111:FG111"/>
    <mergeCell ref="EZ112:FG112"/>
    <mergeCell ref="FA113:FG113"/>
    <mergeCell ref="FJ111:FP111"/>
    <mergeCell ref="FI112:FP112"/>
    <mergeCell ref="FJ115:FP115"/>
    <mergeCell ref="FI116:FP116"/>
    <mergeCell ref="EZ138:FG138"/>
    <mergeCell ref="FA127:FG127"/>
    <mergeCell ref="EZ128:FG128"/>
    <mergeCell ref="GJ102:GQ102"/>
    <mergeCell ref="GT99:GZ99"/>
    <mergeCell ref="GS100:GZ100"/>
    <mergeCell ref="FJ101:FP101"/>
    <mergeCell ref="EZ114:FG114"/>
    <mergeCell ref="FA115:FG115"/>
    <mergeCell ref="EZ116:FG116"/>
    <mergeCell ref="FA117:FG117"/>
    <mergeCell ref="EZ118:FG118"/>
    <mergeCell ref="FA129:FG129"/>
    <mergeCell ref="EZ130:FG130"/>
    <mergeCell ref="FJ105:FP105"/>
    <mergeCell ref="FI106:FP106"/>
    <mergeCell ref="FJ107:FP107"/>
    <mergeCell ref="FI108:FP108"/>
    <mergeCell ref="FJ109:FP109"/>
    <mergeCell ref="FI110:FP110"/>
    <mergeCell ref="FJ123:FP123"/>
    <mergeCell ref="FI124:FP124"/>
    <mergeCell ref="FJ125:FP125"/>
    <mergeCell ref="FI126:FP126"/>
    <mergeCell ref="FA143:FG143"/>
    <mergeCell ref="EZ144:FG144"/>
    <mergeCell ref="FJ80:FP80"/>
    <mergeCell ref="FI81:FP81"/>
    <mergeCell ref="FA139:FG139"/>
    <mergeCell ref="EZ140:FG140"/>
    <mergeCell ref="FA141:FG141"/>
    <mergeCell ref="EZ142:FG142"/>
    <mergeCell ref="FJ113:FP113"/>
    <mergeCell ref="FI114:FP114"/>
    <mergeCell ref="FA131:FG131"/>
    <mergeCell ref="EZ132:FG132"/>
    <mergeCell ref="EZ96:FG96"/>
    <mergeCell ref="FA97:FG97"/>
    <mergeCell ref="EZ98:FG98"/>
    <mergeCell ref="FA99:FG99"/>
    <mergeCell ref="EZ100:FG100"/>
    <mergeCell ref="FA101:FG101"/>
    <mergeCell ref="EZ106:FG106"/>
    <mergeCell ref="FA107:FG107"/>
    <mergeCell ref="FA119:FG119"/>
    <mergeCell ref="EZ120:FG120"/>
    <mergeCell ref="FI102:FP102"/>
    <mergeCell ref="FJ103:FP103"/>
    <mergeCell ref="HP165:HS165"/>
    <mergeCell ref="IC165:IF165"/>
    <mergeCell ref="FJ78:FP78"/>
    <mergeCell ref="FI79:FP79"/>
    <mergeCell ref="EI91:EO91"/>
    <mergeCell ref="EH92:EO92"/>
    <mergeCell ref="EI93:EO93"/>
    <mergeCell ref="EH94:EO94"/>
    <mergeCell ref="FJ86:FP86"/>
    <mergeCell ref="FI87:FP87"/>
    <mergeCell ref="FJ91:FP91"/>
    <mergeCell ref="FI92:FP92"/>
    <mergeCell ref="FA93:FG93"/>
    <mergeCell ref="EZ104:FG104"/>
    <mergeCell ref="FA105:FG105"/>
    <mergeCell ref="FJ93:FP93"/>
    <mergeCell ref="FI94:FP94"/>
    <mergeCell ref="FJ95:FP95"/>
    <mergeCell ref="FI96:FP96"/>
    <mergeCell ref="FJ97:FP97"/>
    <mergeCell ref="FI98:FP98"/>
    <mergeCell ref="FJ99:FP99"/>
    <mergeCell ref="FI100:FP100"/>
    <mergeCell ref="FA95:FG95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670A-E160-47C4-A161-BF2EA7A402F2}">
  <sheetPr codeName="Planilha8">
    <tabColor theme="3" tint="0.749992370372631"/>
  </sheetPr>
  <dimension ref="A2:DC66"/>
  <sheetViews>
    <sheetView zoomScale="55" zoomScaleNormal="55" workbookViewId="0">
      <selection activeCell="AQ67" sqref="AQ67"/>
    </sheetView>
  </sheetViews>
  <sheetFormatPr defaultColWidth="3" defaultRowHeight="14.5" x14ac:dyDescent="0.35"/>
  <cols>
    <col min="44" max="44" width="3.54296875" customWidth="1"/>
    <col min="45" max="45" width="3.7265625" customWidth="1"/>
  </cols>
  <sheetData>
    <row r="2" spans="1:107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92"/>
      <c r="AE2" s="92"/>
      <c r="AF2" s="92"/>
      <c r="AG2" s="92"/>
      <c r="AH2" s="92"/>
      <c r="AI2" s="92"/>
      <c r="AJ2" s="92"/>
      <c r="AK2" s="9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</row>
    <row r="3" spans="1:107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58"/>
      <c r="X3" s="1178" t="s">
        <v>65</v>
      </c>
      <c r="Y3" s="1179"/>
      <c r="Z3" s="1179"/>
      <c r="AA3" s="1179"/>
      <c r="AB3" s="1179"/>
      <c r="AC3" s="1179"/>
      <c r="AD3" s="1180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</row>
    <row r="4" spans="1:107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1340" t="s">
        <v>66</v>
      </c>
      <c r="X4" s="1380"/>
      <c r="Y4" s="1380"/>
      <c r="Z4" s="1380"/>
      <c r="AA4" s="1380"/>
      <c r="AB4" s="1380"/>
      <c r="AC4" s="1380"/>
      <c r="AD4" s="1381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</row>
    <row r="5" spans="1:107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8"/>
      <c r="AA5" s="22"/>
      <c r="AB5" s="22"/>
      <c r="AC5" s="25"/>
      <c r="AD5" s="25"/>
      <c r="AE5" s="22"/>
      <c r="AF5" s="22"/>
      <c r="AG5" s="25"/>
      <c r="AH5" s="25"/>
      <c r="AI5" s="25"/>
      <c r="AJ5" s="25"/>
      <c r="AK5" s="25"/>
      <c r="AL5" s="25"/>
      <c r="AM5" s="25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</row>
    <row r="6" spans="1:107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30"/>
      <c r="AA6" s="23"/>
      <c r="AB6" s="24"/>
      <c r="AC6" s="22"/>
      <c r="AD6" s="22"/>
      <c r="AE6" s="27"/>
      <c r="AF6" s="27"/>
      <c r="AG6" s="22"/>
      <c r="AH6" s="22"/>
      <c r="AI6" s="22"/>
      <c r="AJ6" s="22"/>
      <c r="AK6" s="22"/>
      <c r="AL6" s="22"/>
      <c r="AM6" s="22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8"/>
      <c r="BA6" s="33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8"/>
      <c r="BN6" s="22"/>
      <c r="BO6" s="22"/>
      <c r="BP6" s="22"/>
      <c r="BQ6" s="22"/>
      <c r="BR6" s="22"/>
      <c r="BS6" s="22"/>
      <c r="BT6" s="22"/>
      <c r="BU6" s="94"/>
      <c r="BV6" s="92"/>
      <c r="BW6" s="92"/>
      <c r="BX6" s="92"/>
      <c r="BY6" s="92"/>
      <c r="BZ6" s="92"/>
      <c r="CA6" s="92"/>
      <c r="CB6" s="92"/>
      <c r="CC6" s="92"/>
      <c r="CD6" s="92"/>
      <c r="CE6" s="22"/>
      <c r="CF6" s="22"/>
      <c r="CG6" s="22"/>
      <c r="CH6" s="22"/>
      <c r="CI6" s="2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22"/>
      <c r="CU6" s="22"/>
      <c r="CV6" s="22"/>
      <c r="CW6" s="22"/>
      <c r="CX6" s="22"/>
      <c r="CY6" s="22"/>
      <c r="CZ6" s="22"/>
      <c r="DA6" s="22"/>
      <c r="DB6" s="22"/>
      <c r="DC6" s="22"/>
    </row>
    <row r="7" spans="1:107" ht="14.5" customHeight="1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31">
        <v>0.5</v>
      </c>
      <c r="X7" s="1230" t="s">
        <v>363</v>
      </c>
      <c r="Y7" s="1230"/>
      <c r="Z7" s="1230"/>
      <c r="AA7" s="1230"/>
      <c r="AB7" s="1230"/>
      <c r="AC7" s="1230"/>
      <c r="AD7" s="1230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119"/>
      <c r="AX7" s="1230" t="s">
        <v>364</v>
      </c>
      <c r="AY7" s="1230"/>
      <c r="AZ7" s="1230"/>
      <c r="BA7" s="1230"/>
      <c r="BB7" s="1230"/>
      <c r="BC7" s="1230"/>
      <c r="BD7" s="1230"/>
      <c r="BE7" s="22"/>
      <c r="BF7" s="22"/>
      <c r="BG7" s="22"/>
      <c r="BH7" s="22"/>
      <c r="BI7" s="22"/>
      <c r="BJ7" s="114"/>
      <c r="BK7" s="1230" t="s">
        <v>365</v>
      </c>
      <c r="BL7" s="1230"/>
      <c r="BM7" s="1230"/>
      <c r="BN7" s="1230"/>
      <c r="BO7" s="1230"/>
      <c r="BP7" s="1230"/>
      <c r="BQ7" s="1230"/>
      <c r="BR7" s="22"/>
      <c r="BS7" s="22"/>
      <c r="BT7" s="22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22"/>
      <c r="CF7" s="22"/>
      <c r="CG7" s="22"/>
      <c r="CH7" s="22"/>
      <c r="CI7" s="22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22"/>
      <c r="CU7" s="22"/>
      <c r="CV7" s="22"/>
      <c r="CW7" s="22"/>
      <c r="CX7" s="22"/>
      <c r="CY7" s="22"/>
      <c r="CZ7" s="22"/>
      <c r="DA7" s="22"/>
      <c r="DB7" s="22"/>
      <c r="DC7" s="22"/>
    </row>
    <row r="8" spans="1:107" ht="14.5" customHeight="1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1382" t="s">
        <v>70</v>
      </c>
      <c r="X8" s="1382"/>
      <c r="Y8" s="1382"/>
      <c r="Z8" s="1382"/>
      <c r="AA8" s="1382"/>
      <c r="AB8" s="1382"/>
      <c r="AC8" s="1382"/>
      <c r="AD8" s="1382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8"/>
      <c r="AS8" s="22"/>
      <c r="AT8" s="22"/>
      <c r="AU8" s="22"/>
      <c r="AV8" s="22"/>
      <c r="AW8" s="1382" t="s">
        <v>366</v>
      </c>
      <c r="AX8" s="1382"/>
      <c r="AY8" s="1382"/>
      <c r="AZ8" s="1382"/>
      <c r="BA8" s="1382"/>
      <c r="BB8" s="1382"/>
      <c r="BC8" s="1382"/>
      <c r="BD8" s="1382"/>
      <c r="BE8" s="22"/>
      <c r="BF8" s="22"/>
      <c r="BG8" s="22"/>
      <c r="BH8" s="22"/>
      <c r="BI8" s="22"/>
      <c r="BJ8" s="1382" t="s">
        <v>367</v>
      </c>
      <c r="BK8" s="1382"/>
      <c r="BL8" s="1382"/>
      <c r="BM8" s="1382"/>
      <c r="BN8" s="1382"/>
      <c r="BO8" s="1382"/>
      <c r="BP8" s="1382"/>
      <c r="BQ8" s="138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</row>
    <row r="9" spans="1:107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95"/>
      <c r="X9" s="95"/>
      <c r="Y9" s="95"/>
      <c r="Z9" s="120"/>
      <c r="AA9" s="95"/>
      <c r="AB9" s="95"/>
      <c r="AC9" s="95"/>
      <c r="AD9" s="95"/>
      <c r="AE9" s="22"/>
      <c r="AF9" s="22"/>
      <c r="AG9" s="22"/>
      <c r="AH9" s="22"/>
      <c r="AI9" s="22"/>
      <c r="AJ9" s="22"/>
      <c r="AK9" s="22"/>
      <c r="AL9" s="22"/>
      <c r="AM9" s="22"/>
      <c r="AN9" s="107"/>
      <c r="AO9" s="107"/>
      <c r="AP9" s="107"/>
      <c r="AQ9" s="107"/>
      <c r="AR9" s="122"/>
      <c r="AS9" s="22"/>
      <c r="AT9" s="22"/>
      <c r="AU9" s="22"/>
      <c r="AV9" s="22"/>
      <c r="AW9" s="22"/>
      <c r="AX9" s="22"/>
      <c r="AY9" s="24"/>
      <c r="AZ9" s="32"/>
      <c r="BA9" s="24"/>
      <c r="BB9" s="24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3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</row>
    <row r="10" spans="1:107" x14ac:dyDescent="0.3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1232" t="s">
        <v>368</v>
      </c>
      <c r="Q10" s="1232"/>
      <c r="R10" s="1232"/>
      <c r="S10" s="1232"/>
      <c r="T10" s="1232"/>
      <c r="U10" s="1232"/>
      <c r="V10" s="1232"/>
      <c r="W10" s="1232"/>
      <c r="X10" s="1232"/>
      <c r="Y10" s="1232"/>
      <c r="Z10" s="1232"/>
      <c r="AA10" s="1232"/>
      <c r="AB10" s="1232"/>
      <c r="AC10" s="1232"/>
      <c r="AD10" s="1232"/>
      <c r="AE10" s="1232"/>
      <c r="AF10" s="1232"/>
      <c r="AG10" s="1232"/>
      <c r="AH10" s="1232"/>
      <c r="AI10" s="1232"/>
      <c r="AJ10" s="1232"/>
      <c r="AK10" s="1232"/>
      <c r="AL10" s="22"/>
      <c r="AM10" s="22"/>
      <c r="AN10" s="107"/>
      <c r="AO10" s="107"/>
      <c r="AP10" s="107"/>
      <c r="AQ10" s="107"/>
      <c r="AR10" s="122"/>
      <c r="AS10" s="22"/>
      <c r="AT10" s="22"/>
      <c r="AU10" s="22"/>
      <c r="AV10" s="22"/>
      <c r="AW10" s="22"/>
      <c r="AX10" s="30"/>
      <c r="AY10" s="22"/>
      <c r="AZ10" s="22"/>
      <c r="BA10" s="22"/>
      <c r="BB10" s="30"/>
      <c r="BC10" s="22"/>
      <c r="BD10" s="22"/>
      <c r="BE10" s="22"/>
      <c r="BF10" s="22"/>
      <c r="BG10" s="22"/>
      <c r="BH10" s="22"/>
      <c r="BI10" s="22"/>
      <c r="BJ10" s="22"/>
      <c r="BK10" s="30"/>
      <c r="BL10" s="33"/>
      <c r="BM10" s="27"/>
      <c r="BN10" s="27"/>
      <c r="BO10" s="3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</row>
    <row r="11" spans="1:107" ht="14.5" customHeight="1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1232" t="s">
        <v>369</v>
      </c>
      <c r="Q11" s="1232"/>
      <c r="R11" s="1232"/>
      <c r="S11" s="1232"/>
      <c r="T11" s="1232"/>
      <c r="U11" s="1232"/>
      <c r="V11" s="1232"/>
      <c r="W11" s="1232"/>
      <c r="X11" s="1232"/>
      <c r="Y11" s="1232"/>
      <c r="Z11" s="1232"/>
      <c r="AA11" s="1232"/>
      <c r="AB11" s="1232"/>
      <c r="AC11" s="1232"/>
      <c r="AD11" s="1232"/>
      <c r="AE11" s="1232"/>
      <c r="AF11" s="1232"/>
      <c r="AG11" s="1232"/>
      <c r="AH11" s="1232"/>
      <c r="AI11" s="1232"/>
      <c r="AJ11" s="1232"/>
      <c r="AK11" s="1232"/>
      <c r="AL11" s="22"/>
      <c r="AM11" s="22"/>
      <c r="AN11" s="96"/>
      <c r="AO11" s="96"/>
      <c r="AP11" s="96"/>
      <c r="AQ11" s="96"/>
      <c r="AR11" s="123"/>
      <c r="AS11" s="22"/>
      <c r="AT11" s="22"/>
      <c r="AU11" s="22"/>
      <c r="AV11" s="22"/>
      <c r="AW11" s="22"/>
      <c r="AX11" s="1235" t="s">
        <v>370</v>
      </c>
      <c r="AY11" s="1236"/>
      <c r="AZ11" s="22"/>
      <c r="BA11" s="22"/>
      <c r="BB11" s="1235" t="s">
        <v>371</v>
      </c>
      <c r="BC11" s="1236"/>
      <c r="BD11" s="22"/>
      <c r="BE11" s="22"/>
      <c r="BF11" s="22"/>
      <c r="BG11" s="22"/>
      <c r="BH11" s="22"/>
      <c r="BI11" s="22"/>
      <c r="BJ11" s="22"/>
      <c r="BK11" s="1235" t="s">
        <v>113</v>
      </c>
      <c r="BL11" s="1236"/>
      <c r="BM11" s="1234"/>
      <c r="BN11" s="29"/>
      <c r="BO11" s="1235" t="s">
        <v>372</v>
      </c>
      <c r="BP11" s="1236"/>
      <c r="BQ11" s="22"/>
      <c r="BR11" s="22"/>
      <c r="BS11" s="22"/>
      <c r="BT11" s="22"/>
      <c r="BU11" s="22"/>
      <c r="BV11" s="22"/>
      <c r="BW11" s="97"/>
      <c r="BX11" s="97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</row>
    <row r="12" spans="1:107" x14ac:dyDescent="0.3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8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9"/>
      <c r="AS12" s="22"/>
      <c r="AT12" s="22"/>
      <c r="AU12" s="22"/>
      <c r="AV12" s="22"/>
      <c r="AW12" s="22"/>
      <c r="AX12" s="1237"/>
      <c r="AY12" s="1238"/>
      <c r="AZ12" s="22"/>
      <c r="BA12" s="22"/>
      <c r="BB12" s="1237"/>
      <c r="BC12" s="1238"/>
      <c r="BD12" s="22"/>
      <c r="BE12" s="22"/>
      <c r="BF12" s="22"/>
      <c r="BG12" s="22"/>
      <c r="BH12" s="22"/>
      <c r="BI12" s="22"/>
      <c r="BJ12" s="22"/>
      <c r="BK12" s="1237"/>
      <c r="BL12" s="1238"/>
      <c r="BM12" s="1234"/>
      <c r="BN12" s="29"/>
      <c r="BO12" s="1237"/>
      <c r="BP12" s="1238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</row>
    <row r="13" spans="1:107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9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9"/>
      <c r="AS13" s="22"/>
      <c r="AT13" s="22"/>
      <c r="AU13" s="22"/>
      <c r="AV13" s="22"/>
      <c r="AW13" s="22"/>
      <c r="AX13" s="1237"/>
      <c r="AY13" s="1238"/>
      <c r="AZ13" s="22"/>
      <c r="BA13" s="22"/>
      <c r="BB13" s="1237"/>
      <c r="BC13" s="1238"/>
      <c r="BD13" s="22"/>
      <c r="BE13" s="22"/>
      <c r="BF13" s="22"/>
      <c r="BG13" s="22"/>
      <c r="BH13" s="22"/>
      <c r="BI13" s="22"/>
      <c r="BJ13" s="22"/>
      <c r="BK13" s="1237"/>
      <c r="BL13" s="1238"/>
      <c r="BM13" s="1234"/>
      <c r="BN13" s="29"/>
      <c r="BO13" s="1237"/>
      <c r="BP13" s="1238"/>
      <c r="BQ13" s="22"/>
      <c r="BR13" s="22"/>
      <c r="BS13" s="22"/>
      <c r="BT13" s="22"/>
      <c r="BU13" s="22"/>
      <c r="BV13" s="22"/>
      <c r="BW13" s="104"/>
      <c r="BX13" s="104"/>
      <c r="BY13" s="22"/>
      <c r="BZ13" s="22"/>
      <c r="CA13" s="104"/>
      <c r="CB13" s="104"/>
      <c r="CC13" s="22"/>
      <c r="CD13" s="22"/>
      <c r="CE13" s="22"/>
      <c r="CF13" s="22"/>
      <c r="CG13" s="22"/>
      <c r="CH13" s="22"/>
      <c r="CI13" s="22"/>
      <c r="CJ13" s="22"/>
      <c r="CK13" s="22"/>
      <c r="CL13" s="104"/>
      <c r="CM13" s="104"/>
      <c r="CN13" s="111"/>
      <c r="CO13" s="22"/>
      <c r="CP13" s="104"/>
      <c r="CQ13" s="10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</row>
    <row r="14" spans="1:107" x14ac:dyDescent="0.35">
      <c r="A14" s="22"/>
      <c r="B14" s="93"/>
      <c r="C14" s="92"/>
      <c r="D14" s="92"/>
      <c r="E14" s="92"/>
      <c r="F14" s="92"/>
      <c r="G14" s="92"/>
      <c r="H14" s="92"/>
      <c r="I14" s="92"/>
      <c r="J14" s="22"/>
      <c r="K14" s="22"/>
      <c r="L14" s="22"/>
      <c r="M14" s="22"/>
      <c r="N14" s="22"/>
      <c r="O14" s="22"/>
      <c r="P14" s="22"/>
      <c r="Q14" s="33"/>
      <c r="R14" s="118"/>
      <c r="S14" s="115"/>
      <c r="T14" s="115"/>
      <c r="U14" s="115"/>
      <c r="V14" s="115"/>
      <c r="W14" s="115"/>
      <c r="X14" s="115"/>
      <c r="Y14" s="115"/>
      <c r="Z14" s="28"/>
      <c r="AA14" s="23"/>
      <c r="AB14" s="24"/>
      <c r="AC14" s="24"/>
      <c r="AD14" s="27"/>
      <c r="AE14" s="27"/>
      <c r="AF14" s="115"/>
      <c r="AG14" s="115"/>
      <c r="AH14" s="115"/>
      <c r="AI14" s="115"/>
      <c r="AJ14" s="117"/>
      <c r="AK14" s="92"/>
      <c r="AL14" s="92"/>
      <c r="AM14" s="92"/>
      <c r="AN14" s="92"/>
      <c r="AO14" s="22"/>
      <c r="AP14" s="22"/>
      <c r="AQ14" s="22"/>
      <c r="AR14" s="29"/>
      <c r="AS14" s="22"/>
      <c r="AT14" s="22"/>
      <c r="AU14" s="22"/>
      <c r="AV14" s="22"/>
      <c r="AW14" s="22"/>
      <c r="AX14" s="1237"/>
      <c r="AY14" s="1238"/>
      <c r="AZ14" s="22"/>
      <c r="BA14" s="22"/>
      <c r="BB14" s="1237"/>
      <c r="BC14" s="1238"/>
      <c r="BD14" s="94"/>
      <c r="BE14" s="92"/>
      <c r="BF14" s="92"/>
      <c r="BG14" s="92"/>
      <c r="BH14" s="92"/>
      <c r="BI14" s="92"/>
      <c r="BJ14" s="92"/>
      <c r="BK14" s="1237"/>
      <c r="BL14" s="1238"/>
      <c r="BM14" s="1234"/>
      <c r="BN14" s="29"/>
      <c r="BO14" s="1237"/>
      <c r="BP14" s="1238"/>
      <c r="BQ14" s="22"/>
      <c r="BR14" s="22"/>
      <c r="BS14" s="22"/>
      <c r="BT14" s="22"/>
      <c r="BU14" s="22"/>
      <c r="BV14" s="22"/>
      <c r="BW14" s="104"/>
      <c r="BX14" s="104"/>
      <c r="BY14" s="22"/>
      <c r="BZ14" s="22"/>
      <c r="CA14" s="104"/>
      <c r="CB14" s="104"/>
      <c r="CC14" s="22"/>
      <c r="CD14" s="22"/>
      <c r="CE14" s="22"/>
      <c r="CF14" s="22"/>
      <c r="CG14" s="22"/>
      <c r="CH14" s="22"/>
      <c r="CI14" s="22"/>
      <c r="CJ14" s="22"/>
      <c r="CK14" s="22"/>
      <c r="CL14" s="104"/>
      <c r="CM14" s="104"/>
      <c r="CN14" s="111"/>
      <c r="CO14" s="22"/>
      <c r="CP14" s="104"/>
      <c r="CQ14" s="104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</row>
    <row r="15" spans="1:107" ht="14.5" customHeight="1" x14ac:dyDescent="0.35">
      <c r="A15" s="92"/>
      <c r="B15" s="92"/>
      <c r="C15" s="92"/>
      <c r="D15" s="92"/>
      <c r="E15" s="110"/>
      <c r="F15" s="110"/>
      <c r="G15" s="92"/>
      <c r="H15" s="92"/>
      <c r="I15" s="92"/>
      <c r="J15" s="92"/>
      <c r="K15" s="22"/>
      <c r="L15" s="22"/>
      <c r="M15" s="114">
        <v>0.5</v>
      </c>
      <c r="N15" s="1230" t="s">
        <v>73</v>
      </c>
      <c r="O15" s="1230"/>
      <c r="P15" s="1230"/>
      <c r="Q15" s="1230"/>
      <c r="R15" s="1230"/>
      <c r="S15" s="1230"/>
      <c r="T15" s="1230"/>
      <c r="U15" s="110"/>
      <c r="V15" s="110"/>
      <c r="W15" s="269">
        <f>'FG-ORGANOGRAMA-741'!BG13</f>
        <v>0.5</v>
      </c>
      <c r="X15" s="1230" t="s">
        <v>74</v>
      </c>
      <c r="Y15" s="1230"/>
      <c r="Z15" s="1230"/>
      <c r="AA15" s="1230"/>
      <c r="AB15" s="1230"/>
      <c r="AC15" s="1230"/>
      <c r="AD15" s="1230"/>
      <c r="AE15" s="22"/>
      <c r="AF15" s="110"/>
      <c r="AG15" s="269">
        <f>'FG-ORGANOGRAMA-741'!CD13</f>
        <v>1</v>
      </c>
      <c r="AH15" s="1230" t="s">
        <v>373</v>
      </c>
      <c r="AI15" s="1230"/>
      <c r="AJ15" s="1230"/>
      <c r="AK15" s="1230"/>
      <c r="AL15" s="1230"/>
      <c r="AM15" s="1230"/>
      <c r="AN15" s="1230"/>
      <c r="AO15" s="22"/>
      <c r="AP15" s="22"/>
      <c r="AQ15" s="22"/>
      <c r="AR15" s="29"/>
      <c r="AS15" s="22"/>
      <c r="AT15" s="22"/>
      <c r="AU15" s="22"/>
      <c r="AV15" s="22"/>
      <c r="AW15" s="22"/>
      <c r="AX15" s="1237"/>
      <c r="AY15" s="1238"/>
      <c r="AZ15" s="22"/>
      <c r="BA15" s="22"/>
      <c r="BB15" s="1237"/>
      <c r="BC15" s="1238"/>
      <c r="BD15" s="110"/>
      <c r="BE15" s="110"/>
      <c r="BF15" s="110"/>
      <c r="BG15" s="110"/>
      <c r="BH15" s="110"/>
      <c r="BI15" s="110"/>
      <c r="BJ15" s="110"/>
      <c r="BK15" s="1237"/>
      <c r="BL15" s="1238"/>
      <c r="BM15" s="1234"/>
      <c r="BN15" s="29"/>
      <c r="BO15" s="1237"/>
      <c r="BP15" s="1238"/>
      <c r="BQ15" s="22"/>
      <c r="BR15" s="22"/>
      <c r="BS15" s="22"/>
      <c r="BT15" s="22"/>
      <c r="BU15" s="22"/>
      <c r="BV15" s="22"/>
      <c r="BW15" s="104"/>
      <c r="BX15" s="104"/>
      <c r="BY15" s="22"/>
      <c r="BZ15" s="22"/>
      <c r="CA15" s="104"/>
      <c r="CB15" s="104"/>
      <c r="CC15" s="22"/>
      <c r="CD15" s="22"/>
      <c r="CE15" s="22"/>
      <c r="CF15" s="22"/>
      <c r="CG15" s="22"/>
      <c r="CH15" s="22"/>
      <c r="CI15" s="22"/>
      <c r="CJ15" s="22"/>
      <c r="CK15" s="22"/>
      <c r="CL15" s="104"/>
      <c r="CM15" s="104"/>
      <c r="CN15" s="111"/>
      <c r="CO15" s="22"/>
      <c r="CP15" s="104"/>
      <c r="CQ15" s="104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</row>
    <row r="16" spans="1:107" ht="14.5" customHeight="1" x14ac:dyDescent="0.35">
      <c r="A16" s="108"/>
      <c r="B16" s="108"/>
      <c r="C16" s="108"/>
      <c r="D16" s="108"/>
      <c r="E16" s="22"/>
      <c r="F16" s="22"/>
      <c r="G16" s="108"/>
      <c r="H16" s="108"/>
      <c r="I16" s="108"/>
      <c r="J16" s="108"/>
      <c r="K16" s="22"/>
      <c r="L16" s="22"/>
      <c r="M16" s="1245" t="s">
        <v>76</v>
      </c>
      <c r="N16" s="1245"/>
      <c r="O16" s="1245"/>
      <c r="P16" s="1245"/>
      <c r="Q16" s="1245"/>
      <c r="R16" s="1245"/>
      <c r="S16" s="1245"/>
      <c r="T16" s="1245"/>
      <c r="U16" s="22"/>
      <c r="V16" s="22"/>
      <c r="W16" s="1382" t="s">
        <v>77</v>
      </c>
      <c r="X16" s="1382"/>
      <c r="Y16" s="1382"/>
      <c r="Z16" s="1382"/>
      <c r="AA16" s="1382"/>
      <c r="AB16" s="1382"/>
      <c r="AC16" s="1382"/>
      <c r="AD16" s="1382"/>
      <c r="AE16" s="22"/>
      <c r="AF16" s="22"/>
      <c r="AG16" s="1310" t="s">
        <v>593</v>
      </c>
      <c r="AH16" s="1310"/>
      <c r="AI16" s="1310"/>
      <c r="AJ16" s="1310"/>
      <c r="AK16" s="1310"/>
      <c r="AL16" s="1310"/>
      <c r="AM16" s="1310"/>
      <c r="AN16" s="1310"/>
      <c r="AO16" s="22"/>
      <c r="AP16" s="22"/>
      <c r="AQ16" s="22"/>
      <c r="AR16" s="29"/>
      <c r="AS16" s="22"/>
      <c r="AT16" s="22"/>
      <c r="AU16" s="22"/>
      <c r="AV16" s="22"/>
      <c r="AW16" s="22"/>
      <c r="AX16" s="1237"/>
      <c r="AY16" s="1238"/>
      <c r="AZ16" s="22"/>
      <c r="BA16" s="22"/>
      <c r="BB16" s="1237"/>
      <c r="BC16" s="1238"/>
      <c r="BD16" s="22"/>
      <c r="BE16" s="22"/>
      <c r="BF16" s="22"/>
      <c r="BG16" s="22"/>
      <c r="BH16" s="22"/>
      <c r="BI16" s="22"/>
      <c r="BJ16" s="22"/>
      <c r="BK16" s="1237"/>
      <c r="BL16" s="1238"/>
      <c r="BM16" s="1234"/>
      <c r="BN16" s="29"/>
      <c r="BO16" s="1237"/>
      <c r="BP16" s="1238"/>
      <c r="BQ16" s="22"/>
      <c r="BR16" s="22"/>
      <c r="BS16" s="22"/>
      <c r="BT16" s="22"/>
      <c r="BU16" s="22"/>
      <c r="BV16" s="22"/>
      <c r="BW16" s="104"/>
      <c r="BX16" s="104"/>
      <c r="BY16" s="22"/>
      <c r="BZ16" s="22"/>
      <c r="CA16" s="104"/>
      <c r="CB16" s="104"/>
      <c r="CC16" s="22"/>
      <c r="CD16" s="22"/>
      <c r="CE16" s="22"/>
      <c r="CF16" s="22"/>
      <c r="CG16" s="22"/>
      <c r="CH16" s="22"/>
      <c r="CI16" s="22"/>
      <c r="CJ16" s="22"/>
      <c r="CK16" s="22"/>
      <c r="CL16" s="104"/>
      <c r="CM16" s="104"/>
      <c r="CN16" s="111"/>
      <c r="CO16" s="22"/>
      <c r="CP16" s="104"/>
      <c r="CQ16" s="104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</row>
    <row r="17" spans="1:107" x14ac:dyDescent="0.35">
      <c r="A17" s="104"/>
      <c r="B17" s="104"/>
      <c r="C17" s="104"/>
      <c r="D17" s="22"/>
      <c r="E17" s="104"/>
      <c r="F17" s="104"/>
      <c r="G17" s="22"/>
      <c r="H17" s="104"/>
      <c r="I17" s="104"/>
      <c r="J17" s="22"/>
      <c r="K17" s="22"/>
      <c r="L17" s="22"/>
      <c r="M17" s="22"/>
      <c r="N17" s="22"/>
      <c r="O17" s="22"/>
      <c r="P17" s="116"/>
      <c r="Q17" s="104"/>
      <c r="R17" s="104"/>
      <c r="S17" s="104"/>
      <c r="T17" s="22"/>
      <c r="U17" s="104"/>
      <c r="V17" s="104"/>
      <c r="W17" s="22"/>
      <c r="X17" s="116"/>
      <c r="Y17" s="104"/>
      <c r="Z17" s="22"/>
      <c r="AA17" s="32"/>
      <c r="AB17" s="22"/>
      <c r="AC17" s="22"/>
      <c r="AD17" s="22"/>
      <c r="AE17" s="22"/>
      <c r="AF17" s="22"/>
      <c r="AG17" s="22"/>
      <c r="AH17" s="22"/>
      <c r="AI17" s="22"/>
      <c r="AJ17" s="116"/>
      <c r="AK17" s="104"/>
      <c r="AL17" s="22"/>
      <c r="AM17" s="22"/>
      <c r="AN17" s="22"/>
      <c r="AO17" s="22"/>
      <c r="AP17" s="22"/>
      <c r="AQ17" s="22"/>
      <c r="AR17" s="29"/>
      <c r="AS17" s="22"/>
      <c r="AT17" s="22"/>
      <c r="AU17" s="22"/>
      <c r="AV17" s="22"/>
      <c r="AW17" s="22"/>
      <c r="AX17" s="1237"/>
      <c r="AY17" s="1238"/>
      <c r="AZ17" s="22"/>
      <c r="BA17" s="22"/>
      <c r="BB17" s="1237"/>
      <c r="BC17" s="1238"/>
      <c r="BD17" s="22"/>
      <c r="BE17" s="22"/>
      <c r="BF17" s="22"/>
      <c r="BG17" s="22"/>
      <c r="BH17" s="22"/>
      <c r="BI17" s="22"/>
      <c r="BJ17" s="22"/>
      <c r="BK17" s="1237"/>
      <c r="BL17" s="1238"/>
      <c r="BM17" s="1234"/>
      <c r="BN17" s="29"/>
      <c r="BO17" s="1237"/>
      <c r="BP17" s="1238"/>
      <c r="BQ17" s="22"/>
      <c r="BR17" s="22"/>
      <c r="BS17" s="22"/>
      <c r="BT17" s="22"/>
      <c r="BU17" s="22"/>
      <c r="BV17" s="22"/>
      <c r="BW17" s="104"/>
      <c r="BX17" s="104"/>
      <c r="BY17" s="22"/>
      <c r="BZ17" s="22"/>
      <c r="CA17" s="104"/>
      <c r="CB17" s="104"/>
      <c r="CC17" s="22"/>
      <c r="CD17" s="22"/>
      <c r="CE17" s="22"/>
      <c r="CF17" s="22"/>
      <c r="CG17" s="22"/>
      <c r="CH17" s="22"/>
      <c r="CI17" s="22"/>
      <c r="CJ17" s="22"/>
      <c r="CK17" s="22"/>
      <c r="CL17" s="104"/>
      <c r="CM17" s="104"/>
      <c r="CN17" s="111"/>
      <c r="CO17" s="22"/>
      <c r="CP17" s="104"/>
      <c r="CQ17" s="104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</row>
    <row r="18" spans="1:107" ht="14.5" customHeight="1" x14ac:dyDescent="0.35">
      <c r="A18" s="104"/>
      <c r="B18" s="104"/>
      <c r="C18" s="104"/>
      <c r="D18" s="22"/>
      <c r="E18" s="104"/>
      <c r="F18" s="104"/>
      <c r="G18" s="22"/>
      <c r="H18" s="104"/>
      <c r="I18" s="104"/>
      <c r="J18" s="22"/>
      <c r="K18" s="22"/>
      <c r="L18" s="22"/>
      <c r="M18" s="22"/>
      <c r="N18" s="22"/>
      <c r="O18" s="22"/>
      <c r="P18" s="1235" t="s">
        <v>374</v>
      </c>
      <c r="Q18" s="1236"/>
      <c r="R18" s="104"/>
      <c r="S18" s="104"/>
      <c r="T18" s="22"/>
      <c r="U18" s="104"/>
      <c r="V18" s="104"/>
      <c r="W18" s="22"/>
      <c r="X18" s="1235" t="s">
        <v>375</v>
      </c>
      <c r="Y18" s="1236"/>
      <c r="Z18" s="22"/>
      <c r="AA18" s="1235" t="s">
        <v>376</v>
      </c>
      <c r="AB18" s="1236"/>
      <c r="AC18" s="22"/>
      <c r="AD18" s="22"/>
      <c r="AE18" s="22"/>
      <c r="AF18" s="22"/>
      <c r="AG18" s="22"/>
      <c r="AH18" s="22"/>
      <c r="AI18" s="22"/>
      <c r="AJ18" s="1235" t="s">
        <v>377</v>
      </c>
      <c r="AK18" s="1236"/>
      <c r="AL18" s="22"/>
      <c r="AM18" s="22"/>
      <c r="AN18" s="22"/>
      <c r="AO18" s="22"/>
      <c r="AP18" s="22"/>
      <c r="AQ18" s="92"/>
      <c r="AR18" s="29"/>
      <c r="AS18" s="22"/>
      <c r="AT18" s="94"/>
      <c r="AU18" s="92"/>
      <c r="AV18" s="92"/>
      <c r="AW18" s="92"/>
      <c r="AX18" s="1237"/>
      <c r="AY18" s="1238"/>
      <c r="AZ18" s="22"/>
      <c r="BA18" s="22"/>
      <c r="BB18" s="1237"/>
      <c r="BC18" s="1238"/>
      <c r="BD18" s="22"/>
      <c r="BE18" s="22"/>
      <c r="BF18" s="22"/>
      <c r="BG18" s="22"/>
      <c r="BH18" s="22"/>
      <c r="BI18" s="22"/>
      <c r="BJ18" s="22"/>
      <c r="BK18" s="1237"/>
      <c r="BL18" s="1238"/>
      <c r="BM18" s="1234"/>
      <c r="BN18" s="22"/>
      <c r="BO18" s="1237"/>
      <c r="BP18" s="1238"/>
      <c r="BQ18" s="22"/>
      <c r="BR18" s="22"/>
      <c r="BS18" s="22"/>
      <c r="BT18" s="22"/>
      <c r="BU18" s="22"/>
      <c r="BV18" s="22"/>
      <c r="BW18" s="104"/>
      <c r="BX18" s="104"/>
      <c r="BY18" s="22"/>
      <c r="BZ18" s="22"/>
      <c r="CA18" s="104"/>
      <c r="CB18" s="104"/>
      <c r="CC18" s="22"/>
      <c r="CD18" s="22"/>
      <c r="CE18" s="22"/>
      <c r="CF18" s="22"/>
      <c r="CG18" s="22"/>
      <c r="CH18" s="22"/>
      <c r="CI18" s="22"/>
      <c r="CJ18" s="22"/>
      <c r="CK18" s="22"/>
      <c r="CL18" s="104"/>
      <c r="CM18" s="104"/>
      <c r="CN18" s="111"/>
      <c r="CO18" s="22"/>
      <c r="CP18" s="104"/>
      <c r="CQ18" s="104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</row>
    <row r="19" spans="1:107" x14ac:dyDescent="0.35">
      <c r="A19" s="104"/>
      <c r="B19" s="104"/>
      <c r="C19" s="104"/>
      <c r="D19" s="22"/>
      <c r="E19" s="104"/>
      <c r="F19" s="104"/>
      <c r="G19" s="22"/>
      <c r="H19" s="104"/>
      <c r="I19" s="104"/>
      <c r="J19" s="22"/>
      <c r="K19" s="22"/>
      <c r="L19" s="22"/>
      <c r="M19" s="22"/>
      <c r="N19" s="22"/>
      <c r="O19" s="22"/>
      <c r="P19" s="1237"/>
      <c r="Q19" s="1238"/>
      <c r="R19" s="104"/>
      <c r="S19" s="104"/>
      <c r="T19" s="22"/>
      <c r="U19" s="104"/>
      <c r="V19" s="104"/>
      <c r="W19" s="22"/>
      <c r="X19" s="1237"/>
      <c r="Y19" s="1238"/>
      <c r="Z19" s="22"/>
      <c r="AA19" s="1237"/>
      <c r="AB19" s="1238"/>
      <c r="AC19" s="22"/>
      <c r="AD19" s="22"/>
      <c r="AE19" s="22"/>
      <c r="AF19" s="22"/>
      <c r="AG19" s="22"/>
      <c r="AH19" s="22"/>
      <c r="AI19" s="22"/>
      <c r="AJ19" s="1237"/>
      <c r="AK19" s="1238"/>
      <c r="AL19" s="22"/>
      <c r="AM19" s="22"/>
      <c r="AN19" s="22"/>
      <c r="AO19" s="107"/>
      <c r="AP19" s="107"/>
      <c r="AQ19" s="110"/>
      <c r="AR19" s="29"/>
      <c r="AS19" s="22"/>
      <c r="AT19" s="110"/>
      <c r="AU19" s="110"/>
      <c r="AV19" s="110"/>
      <c r="AW19" s="110"/>
      <c r="AX19" s="1239"/>
      <c r="AY19" s="1240"/>
      <c r="AZ19" s="22"/>
      <c r="BA19" s="22"/>
      <c r="BB19" s="1239"/>
      <c r="BC19" s="1240"/>
      <c r="BD19" s="22"/>
      <c r="BE19" s="22"/>
      <c r="BF19" s="22"/>
      <c r="BG19" s="22"/>
      <c r="BH19" s="22"/>
      <c r="BI19" s="22"/>
      <c r="BJ19" s="22"/>
      <c r="BK19" s="1239"/>
      <c r="BL19" s="1240"/>
      <c r="BM19" s="1234"/>
      <c r="BN19" s="22"/>
      <c r="BO19" s="1239"/>
      <c r="BP19" s="1240"/>
      <c r="BQ19" s="22"/>
      <c r="BR19" s="22"/>
      <c r="BS19" s="22"/>
      <c r="BT19" s="22"/>
      <c r="BU19" s="22"/>
      <c r="BV19" s="22"/>
      <c r="BW19" s="104"/>
      <c r="BX19" s="104"/>
      <c r="BY19" s="22"/>
      <c r="BZ19" s="22"/>
      <c r="CA19" s="104"/>
      <c r="CB19" s="104"/>
      <c r="CC19" s="22"/>
      <c r="CD19" s="22"/>
      <c r="CE19" s="22"/>
      <c r="CF19" s="22"/>
      <c r="CG19" s="22"/>
      <c r="CH19" s="22"/>
      <c r="CI19" s="22"/>
      <c r="CJ19" s="22"/>
      <c r="CK19" s="97"/>
      <c r="CL19" s="104"/>
      <c r="CM19" s="104"/>
      <c r="CN19" s="111"/>
      <c r="CO19" s="22"/>
      <c r="CP19" s="104"/>
      <c r="CQ19" s="104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</row>
    <row r="20" spans="1:107" x14ac:dyDescent="0.35">
      <c r="A20" s="104"/>
      <c r="B20" s="104"/>
      <c r="C20" s="104"/>
      <c r="D20" s="22"/>
      <c r="E20" s="104"/>
      <c r="F20" s="104"/>
      <c r="G20" s="22"/>
      <c r="H20" s="104"/>
      <c r="I20" s="104"/>
      <c r="J20" s="22"/>
      <c r="K20" s="22"/>
      <c r="L20" s="22"/>
      <c r="M20" s="22"/>
      <c r="N20" s="22"/>
      <c r="O20" s="22"/>
      <c r="P20" s="1237"/>
      <c r="Q20" s="1238"/>
      <c r="R20" s="104"/>
      <c r="S20" s="104"/>
      <c r="T20" s="22"/>
      <c r="U20" s="104"/>
      <c r="V20" s="104"/>
      <c r="W20" s="22"/>
      <c r="X20" s="1237"/>
      <c r="Y20" s="1238"/>
      <c r="Z20" s="22"/>
      <c r="AA20" s="1237"/>
      <c r="AB20" s="1238"/>
      <c r="AC20" s="22"/>
      <c r="AD20" s="22"/>
      <c r="AE20" s="22"/>
      <c r="AF20" s="22"/>
      <c r="AG20" s="22"/>
      <c r="AH20" s="22"/>
      <c r="AI20" s="22"/>
      <c r="AJ20" s="1237"/>
      <c r="AK20" s="1238"/>
      <c r="AL20" s="22"/>
      <c r="AM20" s="22"/>
      <c r="AN20" s="22"/>
      <c r="AO20" s="107"/>
      <c r="AP20" s="107"/>
      <c r="AQ20" s="22"/>
      <c r="AR20" s="29"/>
      <c r="AS20" s="22"/>
      <c r="AT20" s="22"/>
      <c r="AU20" s="22"/>
      <c r="AV20" s="22"/>
      <c r="AW20" s="22"/>
      <c r="AX20" s="32"/>
      <c r="AY20" s="22"/>
      <c r="AZ20" s="22"/>
      <c r="BA20" s="22"/>
      <c r="BB20" s="32"/>
      <c r="BC20" s="22"/>
      <c r="BD20" s="22"/>
      <c r="BE20" s="104"/>
      <c r="BF20" s="104"/>
      <c r="BG20" s="22"/>
      <c r="BH20" s="22"/>
      <c r="BI20" s="22"/>
      <c r="BJ20" s="22"/>
      <c r="BK20" s="32"/>
      <c r="BL20" s="22"/>
      <c r="BM20" s="22"/>
      <c r="BN20" s="22"/>
      <c r="BO20" s="32"/>
      <c r="BP20" s="22"/>
      <c r="BQ20" s="22"/>
      <c r="BR20" s="22"/>
      <c r="BS20" s="22"/>
      <c r="BT20" s="22"/>
      <c r="BU20" s="22"/>
      <c r="BV20" s="22"/>
      <c r="BW20" s="104"/>
      <c r="BX20" s="104"/>
      <c r="BY20" s="22"/>
      <c r="BZ20" s="22"/>
      <c r="CA20" s="104"/>
      <c r="CB20" s="104"/>
      <c r="CC20" s="22"/>
      <c r="CD20" s="22"/>
      <c r="CE20" s="22"/>
      <c r="CF20" s="22"/>
      <c r="CG20" s="22"/>
      <c r="CH20" s="22"/>
      <c r="CI20" s="22"/>
      <c r="CJ20" s="22"/>
      <c r="CK20" s="22"/>
      <c r="CL20" s="104"/>
      <c r="CM20" s="104"/>
      <c r="CN20" s="111"/>
      <c r="CO20" s="22"/>
      <c r="CP20" s="104"/>
      <c r="CQ20" s="104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</row>
    <row r="21" spans="1:107" x14ac:dyDescent="0.35">
      <c r="A21" s="104"/>
      <c r="B21" s="104"/>
      <c r="C21" s="104"/>
      <c r="D21" s="22"/>
      <c r="E21" s="104"/>
      <c r="F21" s="104"/>
      <c r="G21" s="22"/>
      <c r="H21" s="104"/>
      <c r="I21" s="104"/>
      <c r="J21" s="22"/>
      <c r="K21" s="22"/>
      <c r="L21" s="22"/>
      <c r="M21" s="22"/>
      <c r="N21" s="22"/>
      <c r="O21" s="22"/>
      <c r="P21" s="1237"/>
      <c r="Q21" s="1238"/>
      <c r="R21" s="104"/>
      <c r="S21" s="104"/>
      <c r="T21" s="22"/>
      <c r="U21" s="104"/>
      <c r="V21" s="104"/>
      <c r="W21" s="22"/>
      <c r="X21" s="1237"/>
      <c r="Y21" s="1238"/>
      <c r="Z21" s="22"/>
      <c r="AA21" s="1237"/>
      <c r="AB21" s="1238"/>
      <c r="AC21" s="22"/>
      <c r="AD21" s="22"/>
      <c r="AE21" s="22"/>
      <c r="AF21" s="22"/>
      <c r="AG21" s="22"/>
      <c r="AH21" s="22"/>
      <c r="AI21" s="22"/>
      <c r="AJ21" s="1237"/>
      <c r="AK21" s="1238"/>
      <c r="AL21" s="22"/>
      <c r="AM21" s="22"/>
      <c r="AN21" s="22"/>
      <c r="AO21" s="96"/>
      <c r="AP21" s="96"/>
      <c r="AQ21" s="104"/>
      <c r="AR21" s="29"/>
      <c r="AS21" s="22"/>
      <c r="AT21" s="22"/>
      <c r="AU21" s="22"/>
      <c r="AV21" s="22"/>
      <c r="AW21" s="22"/>
      <c r="AX21" s="1247">
        <f>'FG-ORGANOGRAMA-743'!IW31</f>
        <v>6.0000000000000009</v>
      </c>
      <c r="AY21" s="1248"/>
      <c r="AZ21" s="22"/>
      <c r="BA21" s="22"/>
      <c r="BB21" s="1233">
        <v>0</v>
      </c>
      <c r="BC21" s="1227"/>
      <c r="BD21" s="22"/>
      <c r="BE21" s="104"/>
      <c r="BF21" s="104"/>
      <c r="BG21" s="22"/>
      <c r="BH21" s="22"/>
      <c r="BI21" s="22"/>
      <c r="BJ21" s="22"/>
      <c r="BK21" s="1233">
        <f>'FG-ORGANOGRAMA-743'!JL31</f>
        <v>1</v>
      </c>
      <c r="BL21" s="1227"/>
      <c r="BM21" s="22"/>
      <c r="BN21" s="22"/>
      <c r="BO21" s="1233">
        <f>'FG-ORGANOGRAMA-743'!KD31</f>
        <v>3</v>
      </c>
      <c r="BP21" s="1227"/>
      <c r="BQ21" s="22"/>
      <c r="BR21" s="22"/>
      <c r="BS21" s="22"/>
      <c r="BT21" s="22"/>
      <c r="BU21" s="22"/>
      <c r="BV21" s="22"/>
      <c r="BW21" s="104"/>
      <c r="BX21" s="104"/>
      <c r="BY21" s="22"/>
      <c r="BZ21" s="22"/>
      <c r="CA21" s="104"/>
      <c r="CB21" s="104"/>
      <c r="CC21" s="22"/>
      <c r="CD21" s="22"/>
      <c r="CE21" s="22"/>
      <c r="CF21" s="22"/>
      <c r="CG21" s="22"/>
      <c r="CH21" s="22"/>
      <c r="CI21" s="22"/>
      <c r="CJ21" s="22"/>
      <c r="CK21" s="112"/>
      <c r="CL21" s="104"/>
      <c r="CM21" s="104"/>
      <c r="CN21" s="111"/>
      <c r="CO21" s="22"/>
      <c r="CP21" s="104"/>
      <c r="CQ21" s="104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</row>
    <row r="22" spans="1:107" x14ac:dyDescent="0.35">
      <c r="A22" s="104"/>
      <c r="B22" s="104"/>
      <c r="C22" s="104"/>
      <c r="D22" s="22"/>
      <c r="E22" s="104"/>
      <c r="F22" s="104"/>
      <c r="G22" s="22"/>
      <c r="H22" s="104"/>
      <c r="I22" s="104"/>
      <c r="J22" s="22"/>
      <c r="K22" s="22"/>
      <c r="L22" s="22"/>
      <c r="M22" s="22"/>
      <c r="N22" s="22"/>
      <c r="O22" s="22"/>
      <c r="P22" s="1237"/>
      <c r="Q22" s="1238"/>
      <c r="R22" s="104"/>
      <c r="S22" s="104"/>
      <c r="T22" s="22"/>
      <c r="U22" s="104"/>
      <c r="V22" s="104"/>
      <c r="W22" s="22"/>
      <c r="X22" s="1237"/>
      <c r="Y22" s="1238"/>
      <c r="Z22" s="22"/>
      <c r="AA22" s="1237"/>
      <c r="AB22" s="1238"/>
      <c r="AC22" s="22"/>
      <c r="AD22" s="22"/>
      <c r="AE22" s="22"/>
      <c r="AF22" s="22"/>
      <c r="AG22" s="22"/>
      <c r="AH22" s="22"/>
      <c r="AI22" s="22"/>
      <c r="AJ22" s="1237"/>
      <c r="AK22" s="1238"/>
      <c r="AL22" s="22"/>
      <c r="AM22" s="22"/>
      <c r="AN22" s="22"/>
      <c r="AO22" s="22"/>
      <c r="AP22" s="22"/>
      <c r="AQ22" s="104"/>
      <c r="AR22" s="29"/>
      <c r="AS22" s="22"/>
      <c r="AT22" s="22"/>
      <c r="AU22" s="22"/>
      <c r="AV22" s="22"/>
      <c r="AW22" s="22"/>
      <c r="AX22" s="1249"/>
      <c r="AY22" s="1250"/>
      <c r="AZ22" s="22"/>
      <c r="BA22" s="22"/>
      <c r="BB22" s="1228"/>
      <c r="BC22" s="1229"/>
      <c r="BD22" s="22"/>
      <c r="BE22" s="104"/>
      <c r="BF22" s="104"/>
      <c r="BG22" s="22"/>
      <c r="BH22" s="22"/>
      <c r="BI22" s="22"/>
      <c r="BJ22" s="22"/>
      <c r="BK22" s="1228"/>
      <c r="BL22" s="1229"/>
      <c r="BM22" s="22"/>
      <c r="BN22" s="22"/>
      <c r="BO22" s="1228"/>
      <c r="BP22" s="1229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11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</row>
    <row r="23" spans="1:107" x14ac:dyDescent="0.35">
      <c r="A23" s="104"/>
      <c r="B23" s="104"/>
      <c r="C23" s="104"/>
      <c r="D23" s="22"/>
      <c r="E23" s="104"/>
      <c r="F23" s="104"/>
      <c r="G23" s="22"/>
      <c r="H23" s="104"/>
      <c r="I23" s="104"/>
      <c r="J23" s="22"/>
      <c r="K23" s="22"/>
      <c r="L23" s="22"/>
      <c r="M23" s="22"/>
      <c r="N23" s="22"/>
      <c r="O23" s="22"/>
      <c r="P23" s="1237"/>
      <c r="Q23" s="1238"/>
      <c r="R23" s="104"/>
      <c r="S23" s="104"/>
      <c r="T23" s="22"/>
      <c r="U23" s="104"/>
      <c r="V23" s="104"/>
      <c r="W23" s="22"/>
      <c r="X23" s="1237"/>
      <c r="Y23" s="1238"/>
      <c r="Z23" s="22"/>
      <c r="AA23" s="1237"/>
      <c r="AB23" s="1238"/>
      <c r="AC23" s="22"/>
      <c r="AD23" s="22"/>
      <c r="AE23" s="22"/>
      <c r="AF23" s="22"/>
      <c r="AG23" s="22"/>
      <c r="AH23" s="22"/>
      <c r="AI23" s="22"/>
      <c r="AJ23" s="1237"/>
      <c r="AK23" s="1238"/>
      <c r="AL23" s="22"/>
      <c r="AM23" s="22"/>
      <c r="AN23" s="22"/>
      <c r="AO23" s="22"/>
      <c r="AP23" s="22"/>
      <c r="AQ23" s="104"/>
      <c r="AR23" s="29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104"/>
      <c r="BF23" s="104"/>
      <c r="BG23" s="22"/>
      <c r="BH23" s="22"/>
      <c r="BI23" s="22"/>
      <c r="BJ23" s="22"/>
      <c r="BK23" s="104"/>
      <c r="BL23" s="104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113"/>
      <c r="BX23" s="113"/>
      <c r="BY23" s="22"/>
      <c r="BZ23" s="22"/>
      <c r="CA23" s="106"/>
      <c r="CB23" s="106"/>
      <c r="CC23" s="22"/>
      <c r="CD23" s="22"/>
      <c r="CE23" s="22"/>
      <c r="CF23" s="22"/>
      <c r="CG23" s="22"/>
      <c r="CH23" s="22"/>
      <c r="CI23" s="22"/>
      <c r="CJ23" s="22"/>
      <c r="CK23" s="112"/>
      <c r="CL23" s="106"/>
      <c r="CM23" s="106"/>
      <c r="CN23" s="22"/>
      <c r="CO23" s="22"/>
      <c r="CP23" s="106"/>
      <c r="CQ23" s="106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</row>
    <row r="24" spans="1:107" x14ac:dyDescent="0.35">
      <c r="A24" s="104"/>
      <c r="B24" s="104"/>
      <c r="C24" s="104"/>
      <c r="D24" s="22"/>
      <c r="E24" s="104"/>
      <c r="F24" s="104"/>
      <c r="G24" s="22"/>
      <c r="H24" s="104"/>
      <c r="I24" s="104"/>
      <c r="J24" s="22"/>
      <c r="K24" s="22"/>
      <c r="L24" s="22"/>
      <c r="M24" s="22"/>
      <c r="N24" s="22"/>
      <c r="O24" s="22"/>
      <c r="P24" s="1237"/>
      <c r="Q24" s="1238"/>
      <c r="R24" s="104"/>
      <c r="S24" s="104"/>
      <c r="T24" s="22"/>
      <c r="U24" s="104"/>
      <c r="V24" s="104"/>
      <c r="W24" s="22"/>
      <c r="X24" s="1237"/>
      <c r="Y24" s="1238"/>
      <c r="Z24" s="22"/>
      <c r="AA24" s="1237"/>
      <c r="AB24" s="1238"/>
      <c r="AC24" s="22"/>
      <c r="AD24" s="22"/>
      <c r="AE24" s="22"/>
      <c r="AF24" s="22"/>
      <c r="AG24" s="22"/>
      <c r="AH24" s="22"/>
      <c r="AI24" s="22"/>
      <c r="AJ24" s="1237"/>
      <c r="AK24" s="1238"/>
      <c r="AL24" s="22"/>
      <c r="AM24" s="22"/>
      <c r="AN24" s="22"/>
      <c r="AO24" s="207"/>
      <c r="AP24" s="22"/>
      <c r="AQ24" s="104"/>
      <c r="AR24" s="29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104"/>
      <c r="BF24" s="104"/>
      <c r="BG24" s="22"/>
      <c r="BH24" s="22"/>
      <c r="BI24" s="22"/>
      <c r="BJ24" s="22"/>
      <c r="BK24" s="104"/>
      <c r="BL24" s="104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113"/>
      <c r="BX24" s="113"/>
      <c r="BY24" s="22"/>
      <c r="BZ24" s="22"/>
      <c r="CA24" s="106"/>
      <c r="CB24" s="106"/>
      <c r="CC24" s="22"/>
      <c r="CD24" s="22"/>
      <c r="CE24" s="22"/>
      <c r="CF24" s="22"/>
      <c r="CG24" s="22"/>
      <c r="CH24" s="22"/>
      <c r="CI24" s="22"/>
      <c r="CJ24" s="22"/>
      <c r="CK24" s="112"/>
      <c r="CL24" s="106"/>
      <c r="CM24" s="106"/>
      <c r="CN24" s="22"/>
      <c r="CO24" s="22"/>
      <c r="CP24" s="106"/>
      <c r="CQ24" s="106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</row>
    <row r="25" spans="1:107" x14ac:dyDescent="0.35">
      <c r="A25" s="104"/>
      <c r="B25" s="104"/>
      <c r="C25" s="104"/>
      <c r="D25" s="22"/>
      <c r="E25" s="104"/>
      <c r="F25" s="104"/>
      <c r="G25" s="22"/>
      <c r="H25" s="104"/>
      <c r="I25" s="104"/>
      <c r="J25" s="22"/>
      <c r="K25" s="22"/>
      <c r="L25" s="22"/>
      <c r="M25" s="22"/>
      <c r="N25" s="22"/>
      <c r="O25" s="22"/>
      <c r="P25" s="1237"/>
      <c r="Q25" s="1238"/>
      <c r="R25" s="104"/>
      <c r="S25" s="104"/>
      <c r="T25" s="22"/>
      <c r="U25" s="104"/>
      <c r="V25" s="104"/>
      <c r="W25" s="22"/>
      <c r="X25" s="1237"/>
      <c r="Y25" s="1238"/>
      <c r="Z25" s="22"/>
      <c r="AA25" s="1237"/>
      <c r="AB25" s="1238"/>
      <c r="AC25" s="22"/>
      <c r="AD25" s="22"/>
      <c r="AE25" s="22"/>
      <c r="AF25" s="22"/>
      <c r="AG25" s="22"/>
      <c r="AH25" s="22"/>
      <c r="AI25" s="22"/>
      <c r="AJ25" s="1237"/>
      <c r="AK25" s="1238"/>
      <c r="AL25" s="22"/>
      <c r="AM25" s="22"/>
      <c r="AN25" s="22"/>
      <c r="AO25" s="319"/>
      <c r="AP25" s="22"/>
      <c r="AQ25" s="104"/>
      <c r="AR25" s="29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104"/>
      <c r="BF25" s="104"/>
      <c r="BG25" s="22"/>
      <c r="BH25" s="22"/>
      <c r="BI25" s="22"/>
      <c r="BJ25" s="22"/>
      <c r="BK25" s="104"/>
      <c r="BL25" s="104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11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</row>
    <row r="26" spans="1:107" x14ac:dyDescent="0.35">
      <c r="A26" s="104"/>
      <c r="B26" s="22"/>
      <c r="C26" s="22"/>
      <c r="D26" s="22"/>
      <c r="E26" s="22"/>
      <c r="F26" s="22"/>
      <c r="G26" s="22"/>
      <c r="H26" s="104"/>
      <c r="I26" s="104"/>
      <c r="J26" s="22"/>
      <c r="K26" s="22"/>
      <c r="L26" s="22"/>
      <c r="M26" s="22"/>
      <c r="N26" s="22"/>
      <c r="O26" s="22"/>
      <c r="P26" s="1239"/>
      <c r="Q26" s="1240"/>
      <c r="R26" s="22"/>
      <c r="S26" s="22"/>
      <c r="T26" s="22"/>
      <c r="U26" s="22"/>
      <c r="V26" s="22"/>
      <c r="W26" s="22"/>
      <c r="X26" s="1239"/>
      <c r="Y26" s="1240"/>
      <c r="Z26" s="22"/>
      <c r="AA26" s="1239"/>
      <c r="AB26" s="1240"/>
      <c r="AC26" s="22"/>
      <c r="AD26" s="22"/>
      <c r="AE26" s="22"/>
      <c r="AF26" s="22"/>
      <c r="AG26" s="22"/>
      <c r="AH26" s="22"/>
      <c r="AI26" s="22"/>
      <c r="AJ26" s="1239"/>
      <c r="AK26" s="1240"/>
      <c r="AL26" s="22"/>
      <c r="AM26" s="22"/>
      <c r="AN26" s="22"/>
      <c r="AO26" s="22"/>
      <c r="AP26" s="22"/>
      <c r="AQ26" s="104"/>
      <c r="AR26" s="29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104"/>
      <c r="BF26" s="104"/>
      <c r="BG26" s="22"/>
      <c r="BH26" s="22"/>
      <c r="BI26" s="22"/>
      <c r="BJ26" s="22"/>
      <c r="BK26" s="104"/>
      <c r="BL26" s="104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11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</row>
    <row r="27" spans="1:107" x14ac:dyDescent="0.35">
      <c r="A27" s="22"/>
      <c r="B27" s="109"/>
      <c r="C27" s="106"/>
      <c r="D27" s="22"/>
      <c r="E27" s="105"/>
      <c r="F27" s="106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3"/>
      <c r="R27" s="109"/>
      <c r="S27" s="106"/>
      <c r="T27" s="22"/>
      <c r="U27" s="105"/>
      <c r="V27" s="106"/>
      <c r="W27" s="22"/>
      <c r="X27" s="22"/>
      <c r="Y27" s="23"/>
      <c r="Z27" s="22"/>
      <c r="AA27" s="22"/>
      <c r="AB27" s="23"/>
      <c r="AC27" s="22"/>
      <c r="AD27" s="22"/>
      <c r="AE27" s="22"/>
      <c r="AF27" s="22"/>
      <c r="AG27" s="22"/>
      <c r="AH27" s="22"/>
      <c r="AI27" s="22"/>
      <c r="AJ27" s="22"/>
      <c r="AK27" s="23"/>
      <c r="AL27" s="22"/>
      <c r="AM27" s="22"/>
      <c r="AN27" s="22"/>
      <c r="AO27" s="22"/>
      <c r="AP27" s="22"/>
      <c r="AQ27" s="104"/>
      <c r="AR27" s="29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104"/>
      <c r="BF27" s="104"/>
      <c r="BG27" s="22"/>
      <c r="BH27" s="22"/>
      <c r="BI27" s="22"/>
      <c r="BJ27" s="22"/>
      <c r="BK27" s="104"/>
      <c r="BL27" s="104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11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</row>
    <row r="28" spans="1:107" x14ac:dyDescent="0.35">
      <c r="A28" s="106"/>
      <c r="B28" s="106"/>
      <c r="C28" s="106"/>
      <c r="D28" s="22"/>
      <c r="E28" s="106"/>
      <c r="F28" s="106"/>
      <c r="G28" s="22"/>
      <c r="H28" s="106"/>
      <c r="I28" s="106"/>
      <c r="J28" s="22"/>
      <c r="K28" s="22"/>
      <c r="L28" s="22"/>
      <c r="M28" s="22"/>
      <c r="N28" s="22"/>
      <c r="O28" s="22"/>
      <c r="P28" s="1226">
        <f>'FG-ORGANOGRAMA-743'!EZ29</f>
        <v>1</v>
      </c>
      <c r="Q28" s="1227"/>
      <c r="R28" s="106"/>
      <c r="S28" s="106"/>
      <c r="T28" s="22"/>
      <c r="U28" s="106"/>
      <c r="V28" s="106"/>
      <c r="W28" s="22"/>
      <c r="X28" s="1233">
        <f>'FG-ORGANOGRAMA-743'!FP34</f>
        <v>5</v>
      </c>
      <c r="Y28" s="1227"/>
      <c r="Z28" s="22"/>
      <c r="AA28" s="1233">
        <f>'FG-ORGANOGRAMA-743'!GD34</f>
        <v>3.5</v>
      </c>
      <c r="AB28" s="1227"/>
      <c r="AC28" s="22"/>
      <c r="AD28" s="22"/>
      <c r="AE28" s="22"/>
      <c r="AF28" s="22"/>
      <c r="AG28" s="22"/>
      <c r="AH28" s="22"/>
      <c r="AI28" s="22"/>
      <c r="AJ28" s="1226">
        <f>'FG-ORGANOGRAMA-743'!GT29</f>
        <v>7.5</v>
      </c>
      <c r="AK28" s="1227"/>
      <c r="AL28" s="22"/>
      <c r="AM28" s="22"/>
      <c r="AN28" s="22"/>
      <c r="AO28" s="22"/>
      <c r="AP28" s="22"/>
      <c r="AQ28" s="104"/>
      <c r="AR28" s="29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104"/>
      <c r="BF28" s="104"/>
      <c r="BG28" s="22"/>
      <c r="BH28" s="22"/>
      <c r="BI28" s="22"/>
      <c r="BJ28" s="22"/>
      <c r="BK28" s="104"/>
      <c r="BL28" s="104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11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</row>
    <row r="29" spans="1:107" x14ac:dyDescent="0.35">
      <c r="A29" s="106"/>
      <c r="B29" s="98"/>
      <c r="C29" s="98"/>
      <c r="D29" s="22"/>
      <c r="E29" s="98"/>
      <c r="F29" s="22"/>
      <c r="G29" s="22"/>
      <c r="H29" s="106"/>
      <c r="I29" s="106"/>
      <c r="J29" s="22"/>
      <c r="K29" s="22"/>
      <c r="L29" s="22"/>
      <c r="M29" s="22"/>
      <c r="N29" s="22"/>
      <c r="O29" s="22"/>
      <c r="P29" s="1228"/>
      <c r="Q29" s="1229"/>
      <c r="R29" s="98"/>
      <c r="S29" s="98"/>
      <c r="T29" s="22"/>
      <c r="U29" s="98"/>
      <c r="V29" s="22"/>
      <c r="W29" s="22"/>
      <c r="X29" s="1228"/>
      <c r="Y29" s="1229"/>
      <c r="Z29" s="22"/>
      <c r="AA29" s="1228"/>
      <c r="AB29" s="1229"/>
      <c r="AC29" s="22"/>
      <c r="AD29" s="22"/>
      <c r="AE29" s="22"/>
      <c r="AF29" s="22"/>
      <c r="AG29" s="22"/>
      <c r="AH29" s="22"/>
      <c r="AI29" s="22"/>
      <c r="AJ29" s="1228"/>
      <c r="AK29" s="1229"/>
      <c r="AL29" s="22"/>
      <c r="AM29" s="22"/>
      <c r="AN29" s="22"/>
      <c r="AO29" s="22"/>
      <c r="AP29" s="22"/>
      <c r="AQ29" s="104"/>
      <c r="AR29" s="29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11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</row>
    <row r="30" spans="1:107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9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106"/>
      <c r="BF30" s="106"/>
      <c r="BG30" s="22"/>
      <c r="BH30" s="22"/>
      <c r="BI30" s="22"/>
      <c r="BJ30" s="22"/>
      <c r="BK30" s="106"/>
      <c r="BL30" s="106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</row>
    <row r="31" spans="1:107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9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106"/>
      <c r="BF31" s="106"/>
      <c r="BG31" s="22"/>
      <c r="BH31" s="22"/>
      <c r="BI31" s="22"/>
      <c r="BJ31" s="22"/>
      <c r="BK31" s="106"/>
      <c r="BL31" s="106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</row>
    <row r="32" spans="1:107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106"/>
      <c r="AI32" s="106"/>
      <c r="AJ32" s="22"/>
      <c r="AK32" s="22"/>
      <c r="AL32" s="106"/>
      <c r="AM32" s="106"/>
      <c r="AN32" s="22"/>
      <c r="AO32" s="22"/>
      <c r="AP32" s="106"/>
      <c r="AQ32" s="106"/>
      <c r="AR32" s="29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106"/>
      <c r="BF32" s="106"/>
      <c r="BG32" s="22"/>
      <c r="BH32" s="22"/>
      <c r="BI32" s="22"/>
      <c r="BJ32" s="22"/>
      <c r="BK32" s="106"/>
      <c r="BL32" s="106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</row>
    <row r="33" spans="1:107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106"/>
      <c r="AI33" s="106"/>
      <c r="AJ33" s="22"/>
      <c r="AK33" s="22"/>
      <c r="AL33" s="106"/>
      <c r="AM33" s="106"/>
      <c r="AN33" s="22"/>
      <c r="AO33" s="258">
        <v>1</v>
      </c>
      <c r="AP33" s="1178" t="s">
        <v>140</v>
      </c>
      <c r="AQ33" s="1179"/>
      <c r="AR33" s="1179"/>
      <c r="AS33" s="1179"/>
      <c r="AT33" s="1179"/>
      <c r="AU33" s="1179"/>
      <c r="AV33" s="1180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</row>
    <row r="34" spans="1:107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313"/>
      <c r="X34" s="207"/>
      <c r="Y34" s="207"/>
      <c r="Z34" s="207"/>
      <c r="AA34" s="207"/>
      <c r="AB34" s="207"/>
      <c r="AC34" s="207"/>
      <c r="AD34" s="207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1310" t="s">
        <v>610</v>
      </c>
      <c r="AP34" s="1310"/>
      <c r="AQ34" s="1310"/>
      <c r="AR34" s="1310"/>
      <c r="AS34" s="1310"/>
      <c r="AT34" s="1310"/>
      <c r="AU34" s="1310"/>
      <c r="AV34" s="1310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</row>
    <row r="35" spans="1:107" x14ac:dyDescent="0.35">
      <c r="A35" s="22"/>
      <c r="B35" s="22"/>
      <c r="C35" s="22"/>
      <c r="D35" s="22"/>
      <c r="E35" s="22"/>
      <c r="F35" s="22"/>
      <c r="G35" s="22"/>
      <c r="H35" s="104"/>
      <c r="I35" s="104"/>
      <c r="J35" s="22"/>
      <c r="K35" s="22"/>
      <c r="L35" s="22"/>
      <c r="M35" s="22"/>
      <c r="N35" s="22"/>
      <c r="O35" s="22"/>
      <c r="P35" s="22"/>
      <c r="Q35" s="22"/>
      <c r="R35" s="22"/>
      <c r="S35" s="104"/>
      <c r="T35" s="104"/>
      <c r="U35" s="22"/>
      <c r="V35" s="22"/>
      <c r="W35" s="319"/>
      <c r="X35" s="319"/>
      <c r="Y35" s="319"/>
      <c r="Z35" s="319"/>
      <c r="AA35" s="319"/>
      <c r="AB35" s="319"/>
      <c r="AC35" s="319"/>
      <c r="AD35" s="319"/>
      <c r="AE35" s="22"/>
      <c r="AF35" s="22"/>
      <c r="AG35" s="22"/>
      <c r="AH35" s="22"/>
      <c r="AI35" s="22"/>
      <c r="AJ35" s="22"/>
      <c r="AK35" s="22"/>
      <c r="AL35" s="22"/>
      <c r="AM35" s="104"/>
      <c r="AN35" s="104"/>
      <c r="AO35" s="22"/>
      <c r="AP35" s="22"/>
      <c r="AQ35" s="22"/>
      <c r="AR35" s="32"/>
      <c r="AS35" s="22"/>
      <c r="AT35" s="22"/>
      <c r="AU35" s="22"/>
      <c r="AV35" s="104"/>
      <c r="AW35" s="104"/>
      <c r="AX35" s="104"/>
      <c r="AY35" s="22"/>
      <c r="AZ35" s="104"/>
      <c r="BA35" s="104"/>
      <c r="BB35" s="22"/>
      <c r="BC35" s="22"/>
      <c r="BD35" s="22"/>
      <c r="BE35" s="22"/>
      <c r="BF35" s="22"/>
      <c r="BG35" s="22"/>
      <c r="BH35" s="22"/>
      <c r="BI35" s="22"/>
      <c r="BJ35" s="104"/>
      <c r="BK35" s="104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104"/>
      <c r="BW35" s="104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</row>
    <row r="36" spans="1:107" x14ac:dyDescent="0.35">
      <c r="A36" s="22"/>
      <c r="B36" s="22"/>
      <c r="C36" s="22"/>
      <c r="D36" s="22"/>
      <c r="E36" s="22"/>
      <c r="F36" s="22"/>
      <c r="G36" s="22"/>
      <c r="H36" s="104"/>
      <c r="I36" s="104"/>
      <c r="J36" s="22"/>
      <c r="K36" s="22"/>
      <c r="L36" s="22"/>
      <c r="M36" s="22"/>
      <c r="N36" s="22"/>
      <c r="O36" s="22"/>
      <c r="P36" s="22"/>
      <c r="Q36" s="22"/>
      <c r="R36" s="22"/>
      <c r="S36" s="104"/>
      <c r="T36" s="104"/>
      <c r="U36" s="22"/>
      <c r="V36" s="22"/>
      <c r="W36" s="22"/>
      <c r="X36" s="22"/>
      <c r="Y36" s="22"/>
      <c r="Z36" s="22"/>
      <c r="AA36" s="22"/>
      <c r="AB36" s="22"/>
      <c r="AC36" s="22"/>
      <c r="AD36" s="104"/>
      <c r="AE36" s="22"/>
      <c r="AF36" s="22"/>
      <c r="AG36" s="22"/>
      <c r="AH36" s="22"/>
      <c r="AI36" s="22"/>
      <c r="AJ36" s="22"/>
      <c r="AK36" s="22"/>
      <c r="AL36" s="22"/>
      <c r="AM36" s="104"/>
      <c r="AN36" s="104"/>
      <c r="AO36" s="258">
        <v>1</v>
      </c>
      <c r="AP36" s="1178" t="s">
        <v>142</v>
      </c>
      <c r="AQ36" s="1179"/>
      <c r="AR36" s="1179"/>
      <c r="AS36" s="1179"/>
      <c r="AT36" s="1179"/>
      <c r="AU36" s="1179"/>
      <c r="AV36" s="1180"/>
      <c r="AW36" s="104"/>
      <c r="AX36" s="104"/>
      <c r="AY36" s="22"/>
      <c r="AZ36" s="104"/>
      <c r="BA36" s="104"/>
      <c r="BB36" s="22"/>
      <c r="BC36" s="22"/>
      <c r="BD36" s="22"/>
      <c r="BE36" s="22"/>
      <c r="BF36" s="22"/>
      <c r="BG36" s="22"/>
      <c r="BH36" s="22"/>
      <c r="BI36" s="22"/>
      <c r="BJ36" s="104"/>
      <c r="BK36" s="104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104"/>
      <c r="BW36" s="104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</row>
    <row r="37" spans="1:107" x14ac:dyDescent="0.35">
      <c r="A37" s="22"/>
      <c r="B37" s="22"/>
      <c r="C37" s="22"/>
      <c r="D37" s="22"/>
      <c r="E37" s="22"/>
      <c r="F37" s="22"/>
      <c r="G37" s="22"/>
      <c r="H37" s="104"/>
      <c r="I37" s="104"/>
      <c r="J37" s="22"/>
      <c r="K37" s="22"/>
      <c r="L37" s="22"/>
      <c r="M37" s="22"/>
      <c r="N37" s="22"/>
      <c r="O37" s="22"/>
      <c r="P37" s="22"/>
      <c r="Q37" s="22"/>
      <c r="R37" s="22"/>
      <c r="S37" s="104"/>
      <c r="T37" s="104"/>
      <c r="U37" s="22"/>
      <c r="V37" s="22"/>
      <c r="W37" s="313"/>
      <c r="X37" s="207"/>
      <c r="Y37" s="207"/>
      <c r="Z37" s="207"/>
      <c r="AA37" s="207"/>
      <c r="AB37" s="207"/>
      <c r="AC37" s="207"/>
      <c r="AD37" s="207"/>
      <c r="AE37" s="22"/>
      <c r="AF37" s="22"/>
      <c r="AG37" s="22"/>
      <c r="AH37" s="22"/>
      <c r="AI37" s="22"/>
      <c r="AJ37" s="22"/>
      <c r="AK37" s="22"/>
      <c r="AL37" s="22"/>
      <c r="AM37" s="104"/>
      <c r="AN37" s="104"/>
      <c r="AO37" s="1268" t="s">
        <v>846</v>
      </c>
      <c r="AP37" s="1268"/>
      <c r="AQ37" s="1268"/>
      <c r="AR37" s="1268"/>
      <c r="AS37" s="1268"/>
      <c r="AT37" s="1268"/>
      <c r="AU37" s="1268"/>
      <c r="AV37" s="1268"/>
      <c r="AW37" s="104"/>
      <c r="AX37" s="104"/>
      <c r="AY37" s="22"/>
      <c r="AZ37" s="104"/>
      <c r="BA37" s="104"/>
      <c r="BB37" s="22"/>
      <c r="BC37" s="22"/>
      <c r="BD37" s="22"/>
      <c r="BE37" s="22"/>
      <c r="BF37" s="22"/>
      <c r="BG37" s="22"/>
      <c r="BH37" s="22"/>
      <c r="BI37" s="22"/>
      <c r="BJ37" s="104"/>
      <c r="BK37" s="104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104"/>
      <c r="BW37" s="104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</row>
    <row r="38" spans="1:107" x14ac:dyDescent="0.35">
      <c r="A38" s="22"/>
      <c r="B38" s="22"/>
      <c r="C38" s="22"/>
      <c r="D38" s="22"/>
      <c r="E38" s="22"/>
      <c r="F38" s="22"/>
      <c r="G38" s="22"/>
      <c r="H38" s="104"/>
      <c r="I38" s="104"/>
      <c r="J38" s="22"/>
      <c r="K38" s="22"/>
      <c r="L38" s="22"/>
      <c r="M38" s="22"/>
      <c r="N38" s="22"/>
      <c r="O38" s="22"/>
      <c r="P38" s="22"/>
      <c r="Q38" s="22"/>
      <c r="R38" s="22"/>
      <c r="S38" s="104"/>
      <c r="T38" s="104"/>
      <c r="U38" s="22"/>
      <c r="V38" s="22"/>
      <c r="W38" s="313"/>
      <c r="X38" s="207"/>
      <c r="Y38" s="207"/>
      <c r="Z38" s="207"/>
      <c r="AA38" s="207"/>
      <c r="AB38" s="207"/>
      <c r="AC38" s="207"/>
      <c r="AD38" s="207"/>
      <c r="AE38" s="22"/>
      <c r="AF38" s="22"/>
      <c r="AG38" s="22"/>
      <c r="AH38" s="22"/>
      <c r="AI38" s="22"/>
      <c r="AJ38" s="22"/>
      <c r="AK38" s="22"/>
      <c r="AL38" s="22"/>
      <c r="AM38" s="104"/>
      <c r="AN38" s="104"/>
      <c r="AO38" s="218"/>
      <c r="AP38" s="218"/>
      <c r="AQ38" s="218"/>
      <c r="AR38" s="379"/>
      <c r="AS38" s="218"/>
      <c r="AT38" s="218"/>
      <c r="AU38" s="218"/>
      <c r="AV38" s="218"/>
      <c r="AW38" s="104"/>
      <c r="AX38" s="104"/>
      <c r="AY38" s="22"/>
      <c r="AZ38" s="104"/>
      <c r="BA38" s="104"/>
      <c r="BB38" s="22"/>
      <c r="BC38" s="22"/>
      <c r="BD38" s="22"/>
      <c r="BE38" s="22"/>
      <c r="BF38" s="22"/>
      <c r="BG38" s="22"/>
      <c r="BH38" s="22"/>
      <c r="BI38" s="22"/>
      <c r="BJ38" s="104"/>
      <c r="BK38" s="104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104"/>
      <c r="BW38" s="104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</row>
    <row r="39" spans="1:107" x14ac:dyDescent="0.35">
      <c r="A39" s="22"/>
      <c r="B39" s="22"/>
      <c r="C39" s="22"/>
      <c r="D39" s="22"/>
      <c r="E39" s="22"/>
      <c r="F39" s="22"/>
      <c r="G39" s="22"/>
      <c r="H39" s="104"/>
      <c r="I39" s="104"/>
      <c r="J39" s="22"/>
      <c r="K39" s="22"/>
      <c r="L39" s="22"/>
      <c r="M39" s="22"/>
      <c r="N39" s="22"/>
      <c r="O39" s="22"/>
      <c r="P39" s="22"/>
      <c r="Q39" s="22"/>
      <c r="R39" s="22"/>
      <c r="S39" s="104"/>
      <c r="T39" s="104"/>
      <c r="U39" s="22"/>
      <c r="V39" s="33"/>
      <c r="W39" s="380"/>
      <c r="X39" s="380"/>
      <c r="Y39" s="380"/>
      <c r="Z39" s="380"/>
      <c r="AA39" s="380"/>
      <c r="AB39" s="380"/>
      <c r="AC39" s="380"/>
      <c r="AD39" s="380"/>
      <c r="AE39" s="27"/>
      <c r="AF39" s="27"/>
      <c r="AG39" s="27"/>
      <c r="AH39" s="27"/>
      <c r="AI39" s="27"/>
      <c r="AJ39" s="27"/>
      <c r="AK39" s="27"/>
      <c r="AL39" s="27"/>
      <c r="AM39" s="121"/>
      <c r="AN39" s="121"/>
      <c r="AO39" s="27"/>
      <c r="AP39" s="27"/>
      <c r="AQ39" s="381"/>
      <c r="AR39" s="388"/>
      <c r="AS39" s="381"/>
      <c r="AT39" s="381"/>
      <c r="AU39" s="27"/>
      <c r="AV39" s="27"/>
      <c r="AW39" s="121"/>
      <c r="AX39" s="121"/>
      <c r="AY39" s="27"/>
      <c r="AZ39" s="121"/>
      <c r="BA39" s="121"/>
      <c r="BB39" s="27"/>
      <c r="BC39" s="27"/>
      <c r="BD39" s="27"/>
      <c r="BE39" s="27"/>
      <c r="BF39" s="27"/>
      <c r="BG39" s="27"/>
      <c r="BH39" s="27"/>
      <c r="BI39" s="27"/>
      <c r="BJ39" s="121"/>
      <c r="BK39" s="121"/>
      <c r="BL39" s="27"/>
      <c r="BM39" s="27"/>
      <c r="BN39" s="27"/>
      <c r="BO39" s="28"/>
      <c r="BP39" s="22"/>
      <c r="BQ39" s="22"/>
      <c r="BR39" s="22"/>
      <c r="BS39" s="22"/>
      <c r="BT39" s="22"/>
      <c r="BU39" s="22"/>
      <c r="BV39" s="104"/>
      <c r="BW39" s="104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</row>
    <row r="40" spans="1:107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04"/>
      <c r="P40" s="104"/>
      <c r="Q40" s="22"/>
      <c r="R40" s="22"/>
      <c r="S40" s="22"/>
      <c r="T40" s="1383" t="s">
        <v>4781</v>
      </c>
      <c r="U40" s="1384"/>
      <c r="V40" s="1384"/>
      <c r="W40" s="1385"/>
      <c r="X40" s="22"/>
      <c r="Y40" s="22"/>
      <c r="Z40" s="104"/>
      <c r="AA40" s="104"/>
      <c r="AB40" s="22"/>
      <c r="AC40" s="22"/>
      <c r="AD40" s="22"/>
      <c r="AE40" s="22"/>
      <c r="AF40" s="1386"/>
      <c r="AG40" s="1386"/>
      <c r="AH40" s="1386"/>
      <c r="AI40" s="1386"/>
      <c r="AJ40" s="22"/>
      <c r="AK40" s="22"/>
      <c r="AL40" s="22"/>
      <c r="AM40" s="104"/>
      <c r="AN40" s="382"/>
      <c r="AO40" s="22"/>
      <c r="AP40" s="22"/>
      <c r="AQ40" s="1383" t="s">
        <v>4782</v>
      </c>
      <c r="AR40" s="1387"/>
      <c r="AS40" s="1384"/>
      <c r="AT40" s="1385"/>
      <c r="AU40" s="22"/>
      <c r="AV40" s="22"/>
      <c r="AW40" s="104"/>
      <c r="AX40" s="104"/>
      <c r="AY40" s="22"/>
      <c r="AZ40" s="104"/>
      <c r="BA40" s="104"/>
      <c r="BB40" s="22"/>
      <c r="BC40" s="22"/>
      <c r="BD40" s="22"/>
      <c r="BE40" s="22"/>
      <c r="BF40" s="22"/>
      <c r="BG40" s="22"/>
      <c r="BH40" s="22"/>
      <c r="BI40" s="104"/>
      <c r="BJ40" s="104"/>
      <c r="BK40" s="22"/>
      <c r="BL40" s="22"/>
      <c r="BM40" s="22"/>
      <c r="BN40" s="1383" t="s">
        <v>4783</v>
      </c>
      <c r="BO40" s="1384"/>
      <c r="BP40" s="1384"/>
      <c r="BQ40" s="1385"/>
      <c r="BR40" s="22"/>
      <c r="BS40" s="22"/>
      <c r="BT40" s="104"/>
      <c r="BU40" s="104"/>
      <c r="BV40" s="22"/>
      <c r="BW40" s="22"/>
      <c r="BX40" s="22"/>
      <c r="BY40" s="22"/>
      <c r="BZ40" s="1386"/>
      <c r="CA40" s="1386"/>
      <c r="CB40" s="1386"/>
      <c r="CC40" s="1386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</row>
    <row r="41" spans="1:107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04"/>
      <c r="P41" s="104"/>
      <c r="Q41" s="22"/>
      <c r="R41" s="22"/>
      <c r="S41" s="22"/>
      <c r="T41" s="22"/>
      <c r="U41" s="28"/>
      <c r="V41" s="22"/>
      <c r="W41" s="22"/>
      <c r="X41" s="22"/>
      <c r="Y41" s="22"/>
      <c r="Z41" s="104"/>
      <c r="AA41" s="104"/>
      <c r="AB41" s="22"/>
      <c r="AC41" s="22"/>
      <c r="AD41" s="22"/>
      <c r="AE41" s="22"/>
      <c r="AF41" s="22"/>
      <c r="AG41" s="22"/>
      <c r="AH41" s="22"/>
      <c r="AI41" s="22"/>
      <c r="AJ41" s="22"/>
      <c r="AK41" s="383"/>
      <c r="AL41" s="383"/>
      <c r="AM41" s="383"/>
      <c r="AN41" s="383"/>
      <c r="AO41" s="22"/>
      <c r="AP41" s="22"/>
      <c r="AQ41" s="22"/>
      <c r="AR41" s="389"/>
      <c r="AS41" s="382"/>
      <c r="AT41" s="382"/>
      <c r="AU41" s="22"/>
      <c r="AV41" s="22"/>
      <c r="AW41" s="104"/>
      <c r="AX41" s="104"/>
      <c r="AY41" s="22"/>
      <c r="AZ41" s="104"/>
      <c r="BA41" s="104"/>
      <c r="BB41" s="22"/>
      <c r="BC41" s="22"/>
      <c r="BD41" s="22"/>
      <c r="BE41" s="22"/>
      <c r="BF41" s="22"/>
      <c r="BG41" s="22"/>
      <c r="BH41" s="22"/>
      <c r="BI41" s="104"/>
      <c r="BJ41" s="104"/>
      <c r="BK41" s="22"/>
      <c r="BL41" s="22"/>
      <c r="BM41" s="22"/>
      <c r="BN41" s="22"/>
      <c r="BO41" s="28"/>
      <c r="BP41" s="22"/>
      <c r="BQ41" s="22"/>
      <c r="BR41" s="22"/>
      <c r="BS41" s="22"/>
      <c r="BT41" s="104"/>
      <c r="BU41" s="104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</row>
    <row r="42" spans="1:107" x14ac:dyDescent="0.35">
      <c r="A42" s="22"/>
      <c r="B42" s="22"/>
      <c r="C42" s="22"/>
      <c r="D42" s="22"/>
      <c r="E42" s="22"/>
      <c r="F42" s="22"/>
      <c r="G42" s="22"/>
      <c r="H42" s="207"/>
      <c r="I42" s="207"/>
      <c r="J42" s="207"/>
      <c r="K42" s="207"/>
      <c r="L42" s="384"/>
      <c r="M42" s="385"/>
      <c r="N42" s="385"/>
      <c r="O42" s="121"/>
      <c r="P42" s="121"/>
      <c r="Q42" s="27"/>
      <c r="R42" s="27"/>
      <c r="S42" s="27"/>
      <c r="T42" s="27"/>
      <c r="U42" s="28"/>
      <c r="V42" s="33"/>
      <c r="W42" s="27"/>
      <c r="X42" s="27"/>
      <c r="Y42" s="27"/>
      <c r="Z42" s="121"/>
      <c r="AA42" s="121"/>
      <c r="AB42" s="27"/>
      <c r="AC42" s="27"/>
      <c r="AD42" s="27"/>
      <c r="AE42" s="28"/>
      <c r="AF42" s="22"/>
      <c r="AG42" s="22"/>
      <c r="AH42" s="22"/>
      <c r="AI42" s="22"/>
      <c r="AJ42" s="22"/>
      <c r="AK42" s="22"/>
      <c r="AL42" s="22"/>
      <c r="AM42" s="104"/>
      <c r="AN42" s="382"/>
      <c r="AO42" s="22"/>
      <c r="AP42" s="22"/>
      <c r="AQ42" s="22"/>
      <c r="AR42" s="389"/>
      <c r="AS42" s="382"/>
      <c r="AT42" s="382"/>
      <c r="AU42" s="22"/>
      <c r="AV42" s="22"/>
      <c r="AW42" s="104"/>
      <c r="AX42" s="104"/>
      <c r="AY42" s="22"/>
      <c r="AZ42" s="104"/>
      <c r="BA42" s="104"/>
      <c r="BB42" s="207"/>
      <c r="BC42" s="207"/>
      <c r="BD42" s="207"/>
      <c r="BE42" s="207"/>
      <c r="BF42" s="384"/>
      <c r="BG42" s="385"/>
      <c r="BH42" s="385"/>
      <c r="BI42" s="121"/>
      <c r="BJ42" s="121"/>
      <c r="BK42" s="27"/>
      <c r="BL42" s="27"/>
      <c r="BM42" s="27"/>
      <c r="BN42" s="27"/>
      <c r="BO42" s="28"/>
      <c r="BP42" s="33"/>
      <c r="BQ42" s="27"/>
      <c r="BR42" s="27"/>
      <c r="BS42" s="27"/>
      <c r="BT42" s="121"/>
      <c r="BU42" s="121"/>
      <c r="BV42" s="27"/>
      <c r="BW42" s="27"/>
      <c r="BX42" s="27"/>
      <c r="BY42" s="28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</row>
    <row r="43" spans="1:107" x14ac:dyDescent="0.35">
      <c r="A43" s="207"/>
      <c r="B43" s="207"/>
      <c r="C43" s="207"/>
      <c r="D43" s="207"/>
      <c r="E43" s="207"/>
      <c r="F43" s="207"/>
      <c r="G43" s="207"/>
      <c r="H43" s="319"/>
      <c r="I43" s="319"/>
      <c r="J43" s="319"/>
      <c r="K43" s="319"/>
      <c r="L43" s="340"/>
      <c r="M43" s="319"/>
      <c r="N43" s="319"/>
      <c r="O43" s="104"/>
      <c r="P43" s="104"/>
      <c r="Q43" s="22"/>
      <c r="R43" s="22"/>
      <c r="S43" s="22"/>
      <c r="T43" s="22"/>
      <c r="U43" s="29"/>
      <c r="V43" s="26"/>
      <c r="W43" s="22"/>
      <c r="X43" s="22"/>
      <c r="Y43" s="22"/>
      <c r="Z43" s="104"/>
      <c r="AA43" s="104"/>
      <c r="AB43" s="22"/>
      <c r="AC43" s="22"/>
      <c r="AD43" s="22"/>
      <c r="AE43" s="29"/>
      <c r="AF43" s="22"/>
      <c r="AG43" s="22"/>
      <c r="AH43" s="22"/>
      <c r="AI43" s="22"/>
      <c r="AJ43" s="22"/>
      <c r="AK43" s="22"/>
      <c r="AL43" s="22"/>
      <c r="AM43" s="22"/>
      <c r="AN43" s="382"/>
      <c r="AO43" s="22"/>
      <c r="AP43" s="22"/>
      <c r="AQ43" s="22"/>
      <c r="AR43" s="389"/>
      <c r="AS43" s="382"/>
      <c r="AT43" s="382"/>
      <c r="AU43" s="22"/>
      <c r="AV43" s="22"/>
      <c r="AW43" s="104"/>
      <c r="AX43" s="104"/>
      <c r="AY43" s="22"/>
      <c r="AZ43" s="104"/>
      <c r="BA43" s="104"/>
      <c r="BB43" s="319"/>
      <c r="BC43" s="319"/>
      <c r="BD43" s="319"/>
      <c r="BE43" s="319"/>
      <c r="BF43" s="340"/>
      <c r="BG43" s="319"/>
      <c r="BH43" s="319"/>
      <c r="BI43" s="104"/>
      <c r="BJ43" s="104"/>
      <c r="BK43" s="22"/>
      <c r="BL43" s="22"/>
      <c r="BM43" s="22"/>
      <c r="BN43" s="22"/>
      <c r="BO43" s="29"/>
      <c r="BP43" s="26"/>
      <c r="BQ43" s="22"/>
      <c r="BR43" s="22"/>
      <c r="BS43" s="22"/>
      <c r="BT43" s="104"/>
      <c r="BU43" s="104"/>
      <c r="BV43" s="22"/>
      <c r="BW43" s="22"/>
      <c r="BX43" s="22"/>
      <c r="BY43" s="29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</row>
    <row r="44" spans="1:107" x14ac:dyDescent="0.35">
      <c r="A44" s="319"/>
      <c r="B44" s="319"/>
      <c r="C44" s="319"/>
      <c r="D44" s="319"/>
      <c r="E44" s="319"/>
      <c r="F44" s="319"/>
      <c r="G44" s="319"/>
      <c r="H44" s="258">
        <v>0.5</v>
      </c>
      <c r="I44" s="1178" t="s">
        <v>4784</v>
      </c>
      <c r="J44" s="1179"/>
      <c r="K44" s="1179"/>
      <c r="L44" s="1179"/>
      <c r="M44" s="1179"/>
      <c r="N44" s="1179"/>
      <c r="O44" s="1180"/>
      <c r="P44" s="22"/>
      <c r="Q44" s="22"/>
      <c r="R44" s="258">
        <v>0.5</v>
      </c>
      <c r="S44" s="1178" t="s">
        <v>380</v>
      </c>
      <c r="T44" s="1179"/>
      <c r="U44" s="1179"/>
      <c r="V44" s="1179"/>
      <c r="W44" s="1179"/>
      <c r="X44" s="1179"/>
      <c r="Y44" s="1180"/>
      <c r="Z44" s="22"/>
      <c r="AA44" s="22"/>
      <c r="AB44" s="258">
        <v>0.5</v>
      </c>
      <c r="AC44" s="1178" t="s">
        <v>147</v>
      </c>
      <c r="AD44" s="1179"/>
      <c r="AE44" s="1179"/>
      <c r="AF44" s="1179"/>
      <c r="AG44" s="1179"/>
      <c r="AH44" s="1179"/>
      <c r="AI44" s="1180"/>
      <c r="AJ44" s="22"/>
      <c r="AK44" s="22"/>
      <c r="AL44" s="22"/>
      <c r="AM44" s="22"/>
      <c r="AN44" s="382"/>
      <c r="AO44" s="258"/>
      <c r="AP44" s="1178"/>
      <c r="AQ44" s="1179"/>
      <c r="AR44" s="1179"/>
      <c r="AS44" s="1179"/>
      <c r="AT44" s="1179"/>
      <c r="AU44" s="1179"/>
      <c r="AV44" s="1180"/>
      <c r="AW44" s="104"/>
      <c r="AX44" s="104"/>
      <c r="AY44" s="22"/>
      <c r="AZ44" s="104"/>
      <c r="BA44" s="104"/>
      <c r="BB44" s="258">
        <v>0.5</v>
      </c>
      <c r="BC44" s="1178" t="s">
        <v>4784</v>
      </c>
      <c r="BD44" s="1179"/>
      <c r="BE44" s="1179"/>
      <c r="BF44" s="1179"/>
      <c r="BG44" s="1179"/>
      <c r="BH44" s="1179"/>
      <c r="BI44" s="1180"/>
      <c r="BJ44" s="22"/>
      <c r="BK44" s="22"/>
      <c r="BL44" s="258">
        <v>0.5</v>
      </c>
      <c r="BM44" s="1178" t="s">
        <v>380</v>
      </c>
      <c r="BN44" s="1179"/>
      <c r="BO44" s="1179"/>
      <c r="BP44" s="1179"/>
      <c r="BQ44" s="1179"/>
      <c r="BR44" s="1179"/>
      <c r="BS44" s="1180"/>
      <c r="BT44" s="22"/>
      <c r="BU44" s="22"/>
      <c r="BV44" s="258">
        <v>0.5</v>
      </c>
      <c r="BW44" s="1178" t="s">
        <v>147</v>
      </c>
      <c r="BX44" s="1179"/>
      <c r="BY44" s="1179"/>
      <c r="BZ44" s="1179"/>
      <c r="CA44" s="1179"/>
      <c r="CB44" s="1179"/>
      <c r="CC44" s="1180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</row>
    <row r="45" spans="1:107" x14ac:dyDescent="0.35">
      <c r="A45" s="313"/>
      <c r="B45" s="207"/>
      <c r="C45" s="207"/>
      <c r="D45" s="207"/>
      <c r="E45" s="207"/>
      <c r="F45" s="207"/>
      <c r="G45" s="207"/>
      <c r="H45" s="1281" t="s">
        <v>619</v>
      </c>
      <c r="I45" s="1281"/>
      <c r="J45" s="1281"/>
      <c r="K45" s="1281"/>
      <c r="L45" s="1281"/>
      <c r="M45" s="1281"/>
      <c r="N45" s="1281"/>
      <c r="O45" s="1281"/>
      <c r="P45" s="106"/>
      <c r="Q45" s="22"/>
      <c r="R45" s="1303" t="s">
        <v>720</v>
      </c>
      <c r="S45" s="1303"/>
      <c r="T45" s="1303"/>
      <c r="U45" s="1303"/>
      <c r="V45" s="1303"/>
      <c r="W45" s="1303"/>
      <c r="X45" s="1303"/>
      <c r="Y45" s="1303"/>
      <c r="Z45" s="105"/>
      <c r="AA45" s="106"/>
      <c r="AB45" s="1340" t="s">
        <v>150</v>
      </c>
      <c r="AC45" s="1380"/>
      <c r="AD45" s="1380"/>
      <c r="AE45" s="1380"/>
      <c r="AF45" s="1380"/>
      <c r="AG45" s="1380"/>
      <c r="AH45" s="1380"/>
      <c r="AI45" s="1381"/>
      <c r="AJ45" s="22"/>
      <c r="AK45" s="22"/>
      <c r="AL45" s="22"/>
      <c r="AM45" s="22"/>
      <c r="AN45" s="207"/>
      <c r="AO45" s="1303"/>
      <c r="AP45" s="1303"/>
      <c r="AQ45" s="1303"/>
      <c r="AR45" s="1303"/>
      <c r="AS45" s="1303"/>
      <c r="AT45" s="1303"/>
      <c r="AU45" s="1303"/>
      <c r="AV45" s="1303"/>
      <c r="AW45" s="22"/>
      <c r="AX45" s="22"/>
      <c r="AY45" s="22"/>
      <c r="AZ45" s="22"/>
      <c r="BA45" s="22"/>
      <c r="BB45" s="1281" t="s">
        <v>619</v>
      </c>
      <c r="BC45" s="1281"/>
      <c r="BD45" s="1281"/>
      <c r="BE45" s="1281"/>
      <c r="BF45" s="1281"/>
      <c r="BG45" s="1281"/>
      <c r="BH45" s="1281"/>
      <c r="BI45" s="1281"/>
      <c r="BJ45" s="106"/>
      <c r="BK45" s="22"/>
      <c r="BL45" s="1303" t="s">
        <v>720</v>
      </c>
      <c r="BM45" s="1303"/>
      <c r="BN45" s="1303"/>
      <c r="BO45" s="1303"/>
      <c r="BP45" s="1303"/>
      <c r="BQ45" s="1303"/>
      <c r="BR45" s="1303"/>
      <c r="BS45" s="1303"/>
      <c r="BT45" s="105"/>
      <c r="BU45" s="106"/>
      <c r="BV45" s="1340" t="s">
        <v>150</v>
      </c>
      <c r="BW45" s="1380"/>
      <c r="BX45" s="1380"/>
      <c r="BY45" s="1380"/>
      <c r="BZ45" s="1380"/>
      <c r="CA45" s="1380"/>
      <c r="CB45" s="1380"/>
      <c r="CC45" s="1381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</row>
    <row r="46" spans="1:107" ht="26" x14ac:dyDescent="0.6">
      <c r="A46" s="319"/>
      <c r="B46" s="319"/>
      <c r="C46" s="319"/>
      <c r="D46" s="319"/>
      <c r="E46" s="319"/>
      <c r="F46" s="319"/>
      <c r="G46" s="319"/>
      <c r="H46" s="22"/>
      <c r="I46" s="22"/>
      <c r="J46" s="22"/>
      <c r="K46" s="32"/>
      <c r="L46" s="22"/>
      <c r="M46" s="22"/>
      <c r="N46" s="319"/>
      <c r="O46" s="106"/>
      <c r="P46" s="106"/>
      <c r="Q46" s="22"/>
      <c r="R46" s="22"/>
      <c r="S46" s="22"/>
      <c r="T46" s="22"/>
      <c r="U46" s="32"/>
      <c r="V46" s="22"/>
      <c r="W46" s="22"/>
      <c r="X46" s="22"/>
      <c r="Y46" s="22"/>
      <c r="Z46" s="106"/>
      <c r="AA46" s="106"/>
      <c r="AB46" s="22"/>
      <c r="AC46" s="22"/>
      <c r="AD46" s="30"/>
      <c r="AE46" s="22"/>
      <c r="AF46" s="22"/>
      <c r="AG46" s="30"/>
      <c r="AH46" s="22"/>
      <c r="AI46" s="22"/>
      <c r="AJ46" s="22"/>
      <c r="AK46" s="22"/>
      <c r="AL46" s="22"/>
      <c r="AM46" s="22"/>
      <c r="AN46" s="319"/>
      <c r="AO46" s="22"/>
      <c r="AP46" s="22"/>
      <c r="AQ46" s="22"/>
      <c r="AR46" s="32"/>
      <c r="AS46" s="22"/>
      <c r="AT46" s="22"/>
      <c r="AU46" s="22"/>
      <c r="AV46" s="22"/>
      <c r="AW46" s="105"/>
      <c r="AX46" s="106"/>
      <c r="AY46" s="22"/>
      <c r="AZ46" s="105"/>
      <c r="BA46" s="106"/>
      <c r="BB46" s="22"/>
      <c r="BC46" s="22"/>
      <c r="BD46" s="22"/>
      <c r="BE46" s="32"/>
      <c r="BF46" s="22"/>
      <c r="BG46" s="22"/>
      <c r="BH46" s="319"/>
      <c r="BI46" s="106"/>
      <c r="BJ46" s="106"/>
      <c r="BK46" s="22"/>
      <c r="BL46" s="22"/>
      <c r="BM46" s="22"/>
      <c r="BN46" s="22"/>
      <c r="BO46" s="32"/>
      <c r="BP46" s="22"/>
      <c r="BQ46" s="22"/>
      <c r="BR46" s="22"/>
      <c r="BS46" s="22"/>
      <c r="BT46" s="106"/>
      <c r="BU46" s="106"/>
      <c r="BV46" s="22"/>
      <c r="BW46" s="22"/>
      <c r="BX46" s="30"/>
      <c r="BY46" s="22"/>
      <c r="BZ46" s="22"/>
      <c r="CA46" s="30"/>
      <c r="CB46" s="22"/>
      <c r="CC46" s="22"/>
      <c r="CD46" s="22"/>
      <c r="CE46" s="102"/>
      <c r="CF46" s="102"/>
      <c r="CG46" s="102"/>
      <c r="CH46" s="102"/>
      <c r="CI46" s="102"/>
      <c r="CJ46" s="103"/>
      <c r="CK46" s="103"/>
      <c r="CL46" s="103"/>
      <c r="CM46" s="103"/>
      <c r="CN46" s="103"/>
      <c r="CO46" s="103"/>
      <c r="CP46" s="103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22"/>
    </row>
    <row r="47" spans="1:107" ht="26" x14ac:dyDescent="0.6">
      <c r="A47" s="22"/>
      <c r="B47" s="22"/>
      <c r="C47" s="22"/>
      <c r="D47" s="22"/>
      <c r="E47" s="22"/>
      <c r="F47" s="22"/>
      <c r="G47" s="319"/>
      <c r="H47" s="22"/>
      <c r="I47" s="22"/>
      <c r="J47" s="22"/>
      <c r="K47" s="1262" t="s">
        <v>381</v>
      </c>
      <c r="L47" s="1262"/>
      <c r="M47" s="22"/>
      <c r="N47" s="22"/>
      <c r="O47" s="100"/>
      <c r="P47" s="22"/>
      <c r="Q47" s="100"/>
      <c r="R47" s="100"/>
      <c r="S47" s="22"/>
      <c r="T47" s="22"/>
      <c r="U47" s="1262" t="s">
        <v>382</v>
      </c>
      <c r="V47" s="1262"/>
      <c r="W47" s="22"/>
      <c r="X47" s="22"/>
      <c r="Y47" s="22"/>
      <c r="Z47" s="100"/>
      <c r="AA47" s="100"/>
      <c r="AB47" s="22"/>
      <c r="AC47" s="22"/>
      <c r="AD47" s="1235" t="s">
        <v>383</v>
      </c>
      <c r="AE47" s="1236"/>
      <c r="AF47" s="22"/>
      <c r="AG47" s="1235" t="s">
        <v>384</v>
      </c>
      <c r="AH47" s="1236"/>
      <c r="AI47" s="22"/>
      <c r="AJ47" s="22"/>
      <c r="AK47" s="22"/>
      <c r="AL47" s="22"/>
      <c r="AM47" s="22"/>
      <c r="AN47" s="22"/>
      <c r="AO47" s="100"/>
      <c r="AP47" s="22"/>
      <c r="AQ47" s="22"/>
      <c r="AR47" s="1235" t="s">
        <v>384</v>
      </c>
      <c r="AS47" s="1236"/>
      <c r="AT47" s="22"/>
      <c r="AU47" s="22"/>
      <c r="AV47" s="22"/>
      <c r="AW47" s="106"/>
      <c r="AX47" s="106"/>
      <c r="AY47" s="22"/>
      <c r="AZ47" s="106"/>
      <c r="BA47" s="106"/>
      <c r="BB47" s="22"/>
      <c r="BC47" s="22"/>
      <c r="BD47" s="22"/>
      <c r="BE47" s="1262" t="s">
        <v>381</v>
      </c>
      <c r="BF47" s="1262"/>
      <c r="BG47" s="22"/>
      <c r="BH47" s="22"/>
      <c r="BI47" s="100"/>
      <c r="BJ47" s="22"/>
      <c r="BK47" s="100"/>
      <c r="BL47" s="100"/>
      <c r="BM47" s="22"/>
      <c r="BN47" s="22"/>
      <c r="BO47" s="1262" t="s">
        <v>382</v>
      </c>
      <c r="BP47" s="1262"/>
      <c r="BQ47" s="22"/>
      <c r="BR47" s="22"/>
      <c r="BS47" s="22"/>
      <c r="BT47" s="100"/>
      <c r="BU47" s="100"/>
      <c r="BV47" s="22"/>
      <c r="BW47" s="22"/>
      <c r="BX47" s="1235" t="s">
        <v>383</v>
      </c>
      <c r="BY47" s="1236"/>
      <c r="BZ47" s="22"/>
      <c r="CA47" s="1235" t="s">
        <v>384</v>
      </c>
      <c r="CB47" s="1236"/>
      <c r="CC47" s="22"/>
      <c r="CD47" s="22"/>
      <c r="CE47" s="102"/>
      <c r="CF47" s="102"/>
      <c r="CG47" s="102"/>
      <c r="CH47" s="102"/>
      <c r="CI47" s="102"/>
      <c r="CJ47" s="103"/>
      <c r="CK47" s="103"/>
      <c r="CL47" s="103"/>
      <c r="CM47" s="103"/>
      <c r="CN47" s="103"/>
      <c r="CO47" s="103"/>
      <c r="CP47" s="103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99"/>
    </row>
    <row r="48" spans="1:107" x14ac:dyDescent="0.35">
      <c r="A48" s="22"/>
      <c r="B48" s="22"/>
      <c r="C48" s="22"/>
      <c r="D48" s="104"/>
      <c r="E48" s="104"/>
      <c r="F48" s="22"/>
      <c r="G48" s="22"/>
      <c r="H48" s="22"/>
      <c r="I48" s="22"/>
      <c r="J48" s="22"/>
      <c r="K48" s="1262"/>
      <c r="L48" s="1262"/>
      <c r="M48" s="22"/>
      <c r="N48" s="22"/>
      <c r="O48" s="22"/>
      <c r="P48" s="22"/>
      <c r="Q48" s="22"/>
      <c r="R48" s="22"/>
      <c r="S48" s="22"/>
      <c r="T48" s="22"/>
      <c r="U48" s="1262"/>
      <c r="V48" s="1262"/>
      <c r="W48" s="22"/>
      <c r="X48" s="22"/>
      <c r="Y48" s="22"/>
      <c r="Z48" s="22"/>
      <c r="AA48" s="22"/>
      <c r="AB48" s="22"/>
      <c r="AC48" s="22"/>
      <c r="AD48" s="1237"/>
      <c r="AE48" s="1238"/>
      <c r="AF48" s="22"/>
      <c r="AG48" s="1237"/>
      <c r="AH48" s="1238"/>
      <c r="AI48" s="22"/>
      <c r="AJ48" s="22"/>
      <c r="AK48" s="22"/>
      <c r="AL48" s="22"/>
      <c r="AM48" s="22"/>
      <c r="AN48" s="382"/>
      <c r="AO48" s="22"/>
      <c r="AP48" s="22"/>
      <c r="AQ48" s="22"/>
      <c r="AR48" s="1237"/>
      <c r="AS48" s="1238"/>
      <c r="AT48" s="22"/>
      <c r="AU48" s="22"/>
      <c r="AV48" s="22"/>
      <c r="AW48" s="22"/>
      <c r="AX48" s="22"/>
      <c r="AY48" s="100"/>
      <c r="AZ48" s="100"/>
      <c r="BA48" s="22"/>
      <c r="BB48" s="22"/>
      <c r="BC48" s="22"/>
      <c r="BD48" s="22"/>
      <c r="BE48" s="1262"/>
      <c r="BF48" s="1262"/>
      <c r="BG48" s="22"/>
      <c r="BH48" s="22"/>
      <c r="BI48" s="22"/>
      <c r="BJ48" s="22"/>
      <c r="BK48" s="22"/>
      <c r="BL48" s="22"/>
      <c r="BM48" s="22"/>
      <c r="BN48" s="22"/>
      <c r="BO48" s="1262"/>
      <c r="BP48" s="1262"/>
      <c r="BQ48" s="22"/>
      <c r="BR48" s="22"/>
      <c r="BS48" s="22"/>
      <c r="BT48" s="22"/>
      <c r="BU48" s="22"/>
      <c r="BV48" s="22"/>
      <c r="BW48" s="22"/>
      <c r="BX48" s="1237"/>
      <c r="BY48" s="1238"/>
      <c r="BZ48" s="22"/>
      <c r="CA48" s="1237"/>
      <c r="CB48" s="1238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101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</row>
    <row r="49" spans="1:107" x14ac:dyDescent="0.35">
      <c r="A49" s="22"/>
      <c r="B49" s="22"/>
      <c r="C49" s="22"/>
      <c r="D49" s="104"/>
      <c r="E49" s="104"/>
      <c r="F49" s="22"/>
      <c r="G49" s="22"/>
      <c r="H49" s="22"/>
      <c r="I49" s="22"/>
      <c r="J49" s="22"/>
      <c r="K49" s="1262"/>
      <c r="L49" s="1262"/>
      <c r="M49" s="22"/>
      <c r="N49" s="22"/>
      <c r="U49" s="1262"/>
      <c r="V49" s="1262"/>
      <c r="AD49" s="1237"/>
      <c r="AE49" s="1238"/>
      <c r="AF49" s="22"/>
      <c r="AG49" s="1237"/>
      <c r="AH49" s="1238"/>
      <c r="AK49" s="22"/>
      <c r="AL49" s="22"/>
      <c r="AM49" s="22"/>
      <c r="AN49" s="382"/>
      <c r="AR49" s="1237"/>
      <c r="AS49" s="1238"/>
      <c r="AW49" s="22"/>
      <c r="AX49" s="22"/>
      <c r="AY49" s="22"/>
      <c r="AZ49" s="22"/>
      <c r="BA49" s="22"/>
      <c r="BB49" s="22"/>
      <c r="BC49" s="22"/>
      <c r="BD49" s="22"/>
      <c r="BE49" s="1262"/>
      <c r="BF49" s="1262"/>
      <c r="BG49" s="22"/>
      <c r="BH49" s="22"/>
      <c r="BO49" s="1262"/>
      <c r="BP49" s="1262"/>
      <c r="BX49" s="1237"/>
      <c r="BY49" s="1238"/>
      <c r="BZ49" s="22"/>
      <c r="CA49" s="1237"/>
      <c r="CB49" s="1238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</row>
    <row r="50" spans="1:107" x14ac:dyDescent="0.35">
      <c r="A50" s="22"/>
      <c r="B50" s="22"/>
      <c r="C50" s="22"/>
      <c r="D50" s="104"/>
      <c r="E50" s="104"/>
      <c r="F50" s="22"/>
      <c r="G50" s="22"/>
      <c r="H50" s="22"/>
      <c r="I50" s="22"/>
      <c r="J50" s="22"/>
      <c r="K50" s="1262"/>
      <c r="L50" s="1262"/>
      <c r="M50" s="22"/>
      <c r="N50" s="22"/>
      <c r="U50" s="1262"/>
      <c r="V50" s="1262"/>
      <c r="AD50" s="1237"/>
      <c r="AE50" s="1238"/>
      <c r="AF50" s="22"/>
      <c r="AG50" s="1237"/>
      <c r="AH50" s="1238"/>
      <c r="AK50" s="22"/>
      <c r="AL50" s="22"/>
      <c r="AM50" s="22"/>
      <c r="AN50" s="382"/>
      <c r="AR50" s="1237"/>
      <c r="AS50" s="1238"/>
      <c r="BB50" s="22"/>
      <c r="BC50" s="22"/>
      <c r="BD50" s="22"/>
      <c r="BE50" s="1262"/>
      <c r="BF50" s="1262"/>
      <c r="BG50" s="22"/>
      <c r="BH50" s="22"/>
      <c r="BO50" s="1262"/>
      <c r="BP50" s="1262"/>
      <c r="BX50" s="1237"/>
      <c r="BY50" s="1238"/>
      <c r="BZ50" s="22"/>
      <c r="CA50" s="1237"/>
      <c r="CB50" s="1238"/>
    </row>
    <row r="51" spans="1:107" x14ac:dyDescent="0.35">
      <c r="A51" s="22"/>
      <c r="B51" s="22"/>
      <c r="C51" s="22"/>
      <c r="D51" s="104"/>
      <c r="E51" s="104"/>
      <c r="F51" s="22"/>
      <c r="G51" s="22"/>
      <c r="H51" s="22"/>
      <c r="I51" s="22"/>
      <c r="J51" s="22"/>
      <c r="K51" s="1262"/>
      <c r="L51" s="1262"/>
      <c r="M51" s="22"/>
      <c r="N51" s="22"/>
      <c r="U51" s="1262"/>
      <c r="V51" s="1262"/>
      <c r="AD51" s="1237"/>
      <c r="AE51" s="1238"/>
      <c r="AF51" s="22"/>
      <c r="AG51" s="1237"/>
      <c r="AH51" s="1238"/>
      <c r="AK51" s="22"/>
      <c r="AL51" s="22"/>
      <c r="AM51" s="22"/>
      <c r="AN51" s="382"/>
      <c r="AR51" s="1237"/>
      <c r="AS51" s="1238"/>
      <c r="BB51" s="22"/>
      <c r="BC51" s="22"/>
      <c r="BD51" s="22"/>
      <c r="BE51" s="1262"/>
      <c r="BF51" s="1262"/>
      <c r="BG51" s="22"/>
      <c r="BH51" s="22"/>
      <c r="BO51" s="1262"/>
      <c r="BP51" s="1262"/>
      <c r="BX51" s="1237"/>
      <c r="BY51" s="1238"/>
      <c r="BZ51" s="22"/>
      <c r="CA51" s="1237"/>
      <c r="CB51" s="1238"/>
    </row>
    <row r="52" spans="1:107" x14ac:dyDescent="0.35">
      <c r="A52" s="22"/>
      <c r="B52" s="22"/>
      <c r="C52" s="22"/>
      <c r="D52" s="104"/>
      <c r="E52" s="104"/>
      <c r="F52" s="22"/>
      <c r="G52" s="22"/>
      <c r="H52" s="22"/>
      <c r="I52" s="22"/>
      <c r="J52" s="22"/>
      <c r="K52" s="1262"/>
      <c r="L52" s="1262"/>
      <c r="M52" s="22"/>
      <c r="N52" s="22"/>
      <c r="U52" s="1262"/>
      <c r="V52" s="1262"/>
      <c r="AD52" s="1237"/>
      <c r="AE52" s="1238"/>
      <c r="AF52" s="22"/>
      <c r="AG52" s="1237"/>
      <c r="AH52" s="1238"/>
      <c r="AK52" s="22"/>
      <c r="AL52" s="22"/>
      <c r="AM52" s="22"/>
      <c r="AN52" s="382"/>
      <c r="AR52" s="1237"/>
      <c r="AS52" s="1238"/>
      <c r="BB52" s="22"/>
      <c r="BC52" s="22"/>
      <c r="BD52" s="22"/>
      <c r="BE52" s="1262"/>
      <c r="BF52" s="1262"/>
      <c r="BG52" s="22"/>
      <c r="BH52" s="22"/>
      <c r="BO52" s="1262"/>
      <c r="BP52" s="1262"/>
      <c r="BX52" s="1237"/>
      <c r="BY52" s="1238"/>
      <c r="BZ52" s="22"/>
      <c r="CA52" s="1237"/>
      <c r="CB52" s="1238"/>
    </row>
    <row r="53" spans="1:107" x14ac:dyDescent="0.35">
      <c r="A53" s="22"/>
      <c r="B53" s="22"/>
      <c r="C53" s="22"/>
      <c r="D53" s="104"/>
      <c r="E53" s="104"/>
      <c r="F53" s="22"/>
      <c r="G53" s="22"/>
      <c r="H53" s="22"/>
      <c r="I53" s="22"/>
      <c r="J53" s="22"/>
      <c r="K53" s="1262"/>
      <c r="L53" s="1262"/>
      <c r="M53" s="22"/>
      <c r="N53" s="22"/>
      <c r="U53" s="1262"/>
      <c r="V53" s="1262"/>
      <c r="AD53" s="1237"/>
      <c r="AE53" s="1238"/>
      <c r="AF53" s="22"/>
      <c r="AG53" s="1237"/>
      <c r="AH53" s="1238"/>
      <c r="AK53" s="22"/>
      <c r="AL53" s="22"/>
      <c r="AM53" s="22"/>
      <c r="AN53" s="382"/>
      <c r="AR53" s="1237"/>
      <c r="AS53" s="1238"/>
      <c r="BB53" s="22"/>
      <c r="BC53" s="22"/>
      <c r="BD53" s="22"/>
      <c r="BE53" s="1262"/>
      <c r="BF53" s="1262"/>
      <c r="BG53" s="22"/>
      <c r="BH53" s="22"/>
      <c r="BO53" s="1262"/>
      <c r="BP53" s="1262"/>
      <c r="BX53" s="1237"/>
      <c r="BY53" s="1238"/>
      <c r="BZ53" s="22"/>
      <c r="CA53" s="1237"/>
      <c r="CB53" s="1238"/>
    </row>
    <row r="54" spans="1:107" x14ac:dyDescent="0.35">
      <c r="A54" s="22"/>
      <c r="B54" s="22"/>
      <c r="C54" s="22"/>
      <c r="D54" s="104"/>
      <c r="E54" s="104"/>
      <c r="F54" s="22"/>
      <c r="G54" s="22"/>
      <c r="H54" s="22"/>
      <c r="I54" s="22"/>
      <c r="J54" s="22"/>
      <c r="K54" s="1262"/>
      <c r="L54" s="1262"/>
      <c r="M54" s="22"/>
      <c r="N54" s="22"/>
      <c r="U54" s="1262"/>
      <c r="V54" s="1262"/>
      <c r="AD54" s="1237"/>
      <c r="AE54" s="1238"/>
      <c r="AF54" s="22"/>
      <c r="AG54" s="1237"/>
      <c r="AH54" s="1238"/>
      <c r="AK54" s="22"/>
      <c r="AL54" s="22"/>
      <c r="AM54" s="22"/>
      <c r="AN54" s="382"/>
      <c r="AR54" s="1237"/>
      <c r="AS54" s="1238"/>
      <c r="BB54" s="22"/>
      <c r="BC54" s="22"/>
      <c r="BD54" s="22"/>
      <c r="BE54" s="1262"/>
      <c r="BF54" s="1262"/>
      <c r="BG54" s="22"/>
      <c r="BH54" s="22"/>
      <c r="BO54" s="1262"/>
      <c r="BP54" s="1262"/>
      <c r="BX54" s="1237"/>
      <c r="BY54" s="1238"/>
      <c r="BZ54" s="22"/>
      <c r="CA54" s="1237"/>
      <c r="CB54" s="1238"/>
    </row>
    <row r="55" spans="1:107" x14ac:dyDescent="0.35">
      <c r="A55" s="22"/>
      <c r="B55" s="22"/>
      <c r="C55" s="22"/>
      <c r="D55" s="104"/>
      <c r="E55" s="104"/>
      <c r="F55" s="22"/>
      <c r="G55" s="22"/>
      <c r="H55" s="22"/>
      <c r="I55" s="22"/>
      <c r="J55" s="22"/>
      <c r="K55" s="1262"/>
      <c r="L55" s="1262"/>
      <c r="M55" s="22"/>
      <c r="N55" s="22"/>
      <c r="U55" s="1262"/>
      <c r="V55" s="1262"/>
      <c r="AD55" s="1239"/>
      <c r="AE55" s="1240"/>
      <c r="AF55" s="22"/>
      <c r="AG55" s="1239"/>
      <c r="AH55" s="1240"/>
      <c r="AK55" s="22"/>
      <c r="AL55" s="22"/>
      <c r="AM55" s="22"/>
      <c r="AN55" s="382"/>
      <c r="AR55" s="1239"/>
      <c r="AS55" s="1240"/>
      <c r="BB55" s="22"/>
      <c r="BC55" s="22"/>
      <c r="BD55" s="22"/>
      <c r="BE55" s="1262"/>
      <c r="BF55" s="1262"/>
      <c r="BG55" s="22"/>
      <c r="BH55" s="22"/>
      <c r="BO55" s="1262"/>
      <c r="BP55" s="1262"/>
      <c r="BX55" s="1239"/>
      <c r="BY55" s="1240"/>
      <c r="BZ55" s="22"/>
      <c r="CA55" s="1239"/>
      <c r="CB55" s="1240"/>
    </row>
    <row r="56" spans="1:107" x14ac:dyDescent="0.35">
      <c r="A56" s="22"/>
      <c r="B56" s="22"/>
      <c r="C56" s="22"/>
      <c r="D56" s="104"/>
      <c r="E56" s="104"/>
      <c r="F56" s="22"/>
      <c r="G56" s="22"/>
      <c r="H56" s="22"/>
      <c r="I56" s="22"/>
      <c r="J56" s="22"/>
      <c r="K56" s="22"/>
      <c r="L56" s="23"/>
      <c r="M56" s="22"/>
      <c r="N56" s="22"/>
      <c r="U56" s="22"/>
      <c r="V56" s="23"/>
      <c r="AD56" s="32"/>
      <c r="AE56" s="22"/>
      <c r="AF56" s="22"/>
      <c r="AG56" s="32"/>
      <c r="AH56" s="22"/>
      <c r="AK56" s="22"/>
      <c r="AL56" s="22"/>
      <c r="AM56" s="22"/>
      <c r="AN56" s="382"/>
      <c r="AR56" s="22"/>
      <c r="AS56" s="23"/>
      <c r="BB56" s="22"/>
      <c r="BC56" s="22"/>
      <c r="BD56" s="22"/>
      <c r="BE56" s="22"/>
      <c r="BF56" s="23"/>
      <c r="BG56" s="22"/>
      <c r="BH56" s="22"/>
      <c r="BO56" s="22"/>
      <c r="BP56" s="23"/>
      <c r="BX56" s="32"/>
      <c r="BY56" s="22"/>
      <c r="BZ56" s="22"/>
      <c r="CA56" s="32"/>
      <c r="CB56" s="22"/>
    </row>
    <row r="57" spans="1:107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261">
        <f>'FG-ORGANOGRAMA-743'!EC70</f>
        <v>55</v>
      </c>
      <c r="L57" s="1227"/>
      <c r="M57" s="22"/>
      <c r="N57" s="22"/>
      <c r="U57" s="1261">
        <f>'FG-ORGANOGRAMA-743'!HB70</f>
        <v>89.4</v>
      </c>
      <c r="V57" s="1227"/>
      <c r="AD57" s="1261">
        <f>'FG-ORGANOGRAMA-743'!JF70</f>
        <v>85.2</v>
      </c>
      <c r="AE57" s="1227"/>
      <c r="AF57" s="22"/>
      <c r="AG57" s="1261">
        <f>'FG-ORGANOGRAMA-743'!KW70</f>
        <v>54</v>
      </c>
      <c r="AH57" s="1227"/>
      <c r="AK57" s="22"/>
      <c r="AL57" s="22"/>
      <c r="AM57" s="22"/>
      <c r="AN57" s="22"/>
      <c r="AR57" s="1261">
        <f>'FG-ORGANOGRAMA-743'!HJ181</f>
        <v>1</v>
      </c>
      <c r="AS57" s="1227"/>
      <c r="BB57" s="22"/>
      <c r="BC57" s="22"/>
      <c r="BD57" s="22"/>
      <c r="BE57" s="1261">
        <f>'FG-ORGANOGRAMA-743'!IF158</f>
        <v>2</v>
      </c>
      <c r="BF57" s="1227"/>
      <c r="BG57" s="22"/>
      <c r="BH57" s="22"/>
      <c r="BO57" s="1261">
        <f>'FG-ORGANOGRAMA-743'!HS158</f>
        <v>6</v>
      </c>
      <c r="BP57" s="1227"/>
      <c r="BX57" s="1261">
        <f>'FG-ORGANOGRAMA-743'!GA158</f>
        <v>5</v>
      </c>
      <c r="BY57" s="1227"/>
      <c r="BZ57" s="22"/>
      <c r="CA57" s="1261">
        <f>'FG-ORGANOGRAMA-743'!GN158</f>
        <v>5</v>
      </c>
      <c r="CB57" s="1227"/>
    </row>
    <row r="58" spans="1:107" x14ac:dyDescent="0.35">
      <c r="A58" s="22"/>
      <c r="B58" s="22"/>
      <c r="C58" s="22"/>
      <c r="D58" s="105"/>
      <c r="E58" s="106"/>
      <c r="F58" s="22"/>
      <c r="G58" s="22"/>
      <c r="H58" s="22"/>
      <c r="I58" s="22"/>
      <c r="J58" s="22"/>
      <c r="K58" s="1228"/>
      <c r="L58" s="1229"/>
      <c r="M58" s="22"/>
      <c r="N58" s="22"/>
      <c r="U58" s="1228"/>
      <c r="V58" s="1229"/>
      <c r="AD58" s="1228"/>
      <c r="AE58" s="1229"/>
      <c r="AF58" s="22"/>
      <c r="AG58" s="1228"/>
      <c r="AH58" s="1229"/>
      <c r="AK58" s="22"/>
      <c r="AL58" s="22"/>
      <c r="AM58" s="22"/>
      <c r="AN58" s="106"/>
      <c r="AR58" s="1228"/>
      <c r="AS58" s="1229"/>
      <c r="BB58" s="22"/>
      <c r="BC58" s="22"/>
      <c r="BD58" s="22"/>
      <c r="BE58" s="1228"/>
      <c r="BF58" s="1229"/>
      <c r="BG58" s="22"/>
      <c r="BH58" s="22"/>
      <c r="BO58" s="1228"/>
      <c r="BP58" s="1229"/>
      <c r="BX58" s="1228"/>
      <c r="BY58" s="1229"/>
      <c r="BZ58" s="22"/>
      <c r="CA58" s="1228"/>
      <c r="CB58" s="1229"/>
    </row>
    <row r="59" spans="1:107" x14ac:dyDescent="0.35">
      <c r="A59" s="22"/>
      <c r="B59" s="22"/>
      <c r="C59" s="22"/>
      <c r="D59" s="106"/>
      <c r="E59" s="106"/>
      <c r="F59" s="22"/>
      <c r="G59" s="22"/>
      <c r="N59" s="106"/>
      <c r="O59" s="106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106"/>
    </row>
    <row r="60" spans="1:107" x14ac:dyDescent="0.35">
      <c r="A60" s="22"/>
      <c r="B60" s="22"/>
      <c r="C60" s="22"/>
      <c r="D60" s="106"/>
      <c r="E60" s="106"/>
      <c r="F60" s="22"/>
      <c r="G60" s="22"/>
      <c r="W60" s="106"/>
      <c r="X60" s="106"/>
      <c r="Y60" s="22"/>
      <c r="Z60" s="106"/>
      <c r="AA60" s="106"/>
    </row>
    <row r="64" spans="1:107" ht="14.5" customHeight="1" x14ac:dyDescent="0.35">
      <c r="AM64" s="1258" t="s">
        <v>385</v>
      </c>
      <c r="AN64" s="1252"/>
      <c r="AO64" s="1252"/>
      <c r="AP64" s="1252"/>
      <c r="AQ64" s="1251">
        <f>SUM(W3+W7+M15+W15+AG15+P28+X28+AA28+AJ28+AW7+AX21+BB21+BJ7+BK21+BO21+AO33+AO36+H44+R44+AB44+K57+U57+AD57+AG57+AO44+BB44+BE57+BL44+BO57+BV44+BX57+AR57)</f>
        <v>332.1</v>
      </c>
      <c r="AR64" s="1252"/>
      <c r="AS64" s="1252"/>
      <c r="AT64" s="1252"/>
      <c r="AU64" s="1252"/>
      <c r="AV64" s="1252"/>
      <c r="AW64" s="1252"/>
      <c r="AX64" s="1253"/>
    </row>
    <row r="65" spans="39:50" ht="14.5" customHeight="1" x14ac:dyDescent="0.35">
      <c r="AM65" s="1259"/>
      <c r="AN65" s="1254"/>
      <c r="AO65" s="1254"/>
      <c r="AP65" s="1254"/>
      <c r="AQ65" s="1254"/>
      <c r="AR65" s="1254"/>
      <c r="AS65" s="1254"/>
      <c r="AT65" s="1254"/>
      <c r="AU65" s="1254"/>
      <c r="AV65" s="1254"/>
      <c r="AW65" s="1254"/>
      <c r="AX65" s="1255"/>
    </row>
    <row r="66" spans="39:50" ht="14.5" customHeight="1" x14ac:dyDescent="0.35">
      <c r="AM66" s="1260"/>
      <c r="AN66" s="1256"/>
      <c r="AO66" s="1256"/>
      <c r="AP66" s="1256"/>
      <c r="AQ66" s="1256"/>
      <c r="AR66" s="1256"/>
      <c r="AS66" s="1256"/>
      <c r="AT66" s="1256"/>
      <c r="AU66" s="1256"/>
      <c r="AV66" s="1256"/>
      <c r="AW66" s="1256"/>
      <c r="AX66" s="1257"/>
    </row>
  </sheetData>
  <mergeCells count="76">
    <mergeCell ref="CA57:CB58"/>
    <mergeCell ref="AM64:AP66"/>
    <mergeCell ref="AQ64:AX66"/>
    <mergeCell ref="CA47:CB55"/>
    <mergeCell ref="K57:L58"/>
    <mergeCell ref="U57:V58"/>
    <mergeCell ref="AD57:AE58"/>
    <mergeCell ref="AG57:AH58"/>
    <mergeCell ref="BE57:BF58"/>
    <mergeCell ref="BO57:BP58"/>
    <mergeCell ref="BX57:BY58"/>
    <mergeCell ref="AR47:AS55"/>
    <mergeCell ref="AR57:AS58"/>
    <mergeCell ref="BV45:CC45"/>
    <mergeCell ref="K47:L55"/>
    <mergeCell ref="U47:V55"/>
    <mergeCell ref="AD47:AE55"/>
    <mergeCell ref="AG47:AH55"/>
    <mergeCell ref="BE47:BF55"/>
    <mergeCell ref="BO47:BP55"/>
    <mergeCell ref="BX47:BY55"/>
    <mergeCell ref="H45:O45"/>
    <mergeCell ref="R45:Y45"/>
    <mergeCell ref="AB45:AI45"/>
    <mergeCell ref="BB45:BI45"/>
    <mergeCell ref="BL45:BS45"/>
    <mergeCell ref="AO45:AV45"/>
    <mergeCell ref="AP33:AV33"/>
    <mergeCell ref="BN40:BQ40"/>
    <mergeCell ref="BZ40:CC40"/>
    <mergeCell ref="I44:O44"/>
    <mergeCell ref="S44:Y44"/>
    <mergeCell ref="AC44:AI44"/>
    <mergeCell ref="BC44:BI44"/>
    <mergeCell ref="BM44:BS44"/>
    <mergeCell ref="BW44:CC44"/>
    <mergeCell ref="AQ40:AT40"/>
    <mergeCell ref="AP44:AV44"/>
    <mergeCell ref="AO34:AV34"/>
    <mergeCell ref="AP36:AV36"/>
    <mergeCell ref="AO37:AV37"/>
    <mergeCell ref="T40:W40"/>
    <mergeCell ref="AF40:AI40"/>
    <mergeCell ref="P28:Q29"/>
    <mergeCell ref="X28:Y29"/>
    <mergeCell ref="AA28:AB29"/>
    <mergeCell ref="P10:AK10"/>
    <mergeCell ref="P11:AK11"/>
    <mergeCell ref="AJ18:AK26"/>
    <mergeCell ref="N15:T15"/>
    <mergeCell ref="X15:AD15"/>
    <mergeCell ref="AH15:AN15"/>
    <mergeCell ref="M16:T16"/>
    <mergeCell ref="W16:AD16"/>
    <mergeCell ref="AG16:AN16"/>
    <mergeCell ref="P18:Q26"/>
    <mergeCell ref="X18:Y26"/>
    <mergeCell ref="AA18:AB26"/>
    <mergeCell ref="AJ28:AK29"/>
    <mergeCell ref="BB21:BC22"/>
    <mergeCell ref="BK21:BL22"/>
    <mergeCell ref="W8:AD8"/>
    <mergeCell ref="AW8:BD8"/>
    <mergeCell ref="BJ8:BQ8"/>
    <mergeCell ref="BO11:BP19"/>
    <mergeCell ref="BM11:BM19"/>
    <mergeCell ref="BO21:BP22"/>
    <mergeCell ref="AX11:AY19"/>
    <mergeCell ref="BB11:BC19"/>
    <mergeCell ref="BK11:BL19"/>
    <mergeCell ref="AX21:AY22"/>
    <mergeCell ref="X3:AD3"/>
    <mergeCell ref="W4:AD4"/>
    <mergeCell ref="X7:AD7"/>
    <mergeCell ref="AX7:BD7"/>
    <mergeCell ref="BK7:BQ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09E-1967-4E49-B017-0F22EBEB1EA2}">
  <sheetPr codeName="Planilha9">
    <tabColor theme="3" tint="0.749992370372631"/>
  </sheetPr>
  <dimension ref="A1:Z121"/>
  <sheetViews>
    <sheetView workbookViewId="0">
      <selection activeCell="F103" sqref="F103"/>
    </sheetView>
  </sheetViews>
  <sheetFormatPr defaultColWidth="0.81640625" defaultRowHeight="14.5" x14ac:dyDescent="0.35"/>
  <cols>
    <col min="2" max="2" width="35.54296875" bestFit="1" customWidth="1"/>
    <col min="3" max="3" width="34.54296875" bestFit="1" customWidth="1"/>
    <col min="4" max="4" width="35.453125" bestFit="1" customWidth="1"/>
    <col min="5" max="5" width="13.1796875" bestFit="1" customWidth="1"/>
    <col min="6" max="6" width="15" customWidth="1"/>
  </cols>
  <sheetData>
    <row r="1" spans="1:26" ht="40" customHeight="1" x14ac:dyDescent="0.35">
      <c r="A1" s="1002" t="s">
        <v>4785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</row>
    <row r="2" spans="1:26" ht="18" customHeight="1" x14ac:dyDescent="0.35">
      <c r="A2" s="1003" t="s">
        <v>387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</row>
    <row r="4" spans="1:26" ht="24" customHeight="1" x14ac:dyDescent="0.4">
      <c r="B4" s="1004" t="s">
        <v>4786</v>
      </c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</row>
    <row r="5" spans="1:26" x14ac:dyDescent="0.35">
      <c r="B5" s="187" t="s">
        <v>4787</v>
      </c>
      <c r="C5" s="188" cm="1">
        <f t="array" ref="C5">SUMPRODUCT(ISNUMBER(SEARCH("743",'EFETIVO 11.05.2026'!$H$2:$H$712))*(('EFETIVO 11.05.2026'!$G$2:$G$712="A")+('EFETIVO 11.05.2026'!$G$2:$G$712="D")+('EFETIVO 11.05.2026'!$G$2:$G$712="F")+('EFETIVO 11.05.2026'!$G$2:$G$712="P")+('EFETIVO 11.05.2026'!$G$2:$G$712="T")+('EFETIVO 11.05.2026'!$G$2:$G$712="M")))</f>
        <v>433</v>
      </c>
    </row>
    <row r="6" spans="1:26" x14ac:dyDescent="0.35">
      <c r="B6" s="189" t="s">
        <v>4788</v>
      </c>
      <c r="C6" s="190" cm="1">
        <f t="array" ref="C6">SUMPRODUCT(ISNUMBER(SEARCH("743",'EFETIVO 11.05.2026'!$H$2:$H$712))*('EFETIVO 11.05.2026'!$G$2:$G$712="A"))</f>
        <v>319</v>
      </c>
    </row>
    <row r="7" spans="1:26" x14ac:dyDescent="0.35">
      <c r="B7" s="189" t="s">
        <v>4789</v>
      </c>
      <c r="C7" s="190" cm="1">
        <f t="array" ref="C7">SUMPRODUCT(ISNUMBER(SEARCH("743",'EFETIVO 11.05.2026'!$H$2:$H$712))*('EFETIVO 11.05.2026'!$G$2:$G$712="D"))</f>
        <v>101</v>
      </c>
    </row>
    <row r="8" spans="1:26" x14ac:dyDescent="0.35">
      <c r="B8" s="189" t="s">
        <v>392</v>
      </c>
      <c r="C8" s="191">
        <f>IFERROR(C7/C5,0)</f>
        <v>0.23325635103926096</v>
      </c>
    </row>
    <row r="9" spans="1:26" ht="15" thickBot="1" x14ac:dyDescent="0.4">
      <c r="B9" s="241" t="s">
        <v>4790</v>
      </c>
      <c r="C9" s="242" cm="1">
        <f t="array" ref="C9">SUMPRODUCT(ISNUMBER(SEARCH("743",'EFETIVO 11.05.2026'!$H$2:$H$712))*(('EFETIVO 11.05.2026'!$G$2:$G$712="F")+('EFETIVO 11.05.2026'!$G$2:$G$712="P")+('EFETIVO 11.05.2026'!$G$2:$G$712="T")+('EFETIVO 11.05.2026'!$G$2:$G$712="M")))</f>
        <v>13</v>
      </c>
    </row>
    <row r="10" spans="1:26" x14ac:dyDescent="0.35">
      <c r="B10" s="243" t="s">
        <v>4791</v>
      </c>
      <c r="C10" s="250" cm="1">
        <f t="array" ref="C10">SUMPRODUCT(--(C15:C89&gt;0))</f>
        <v>66</v>
      </c>
    </row>
    <row r="12" spans="1:26" ht="24" customHeight="1" x14ac:dyDescent="0.4">
      <c r="B12" s="1011" t="s">
        <v>4792</v>
      </c>
      <c r="C12" s="1011"/>
      <c r="D12" s="1011"/>
      <c r="E12" s="1011"/>
      <c r="F12" s="1011"/>
      <c r="G12" s="1011"/>
      <c r="H12" s="1011"/>
      <c r="I12" s="1011"/>
      <c r="J12" s="1011"/>
      <c r="K12" s="1011"/>
      <c r="L12" s="1011"/>
      <c r="M12" s="1011"/>
      <c r="N12" s="1011"/>
    </row>
    <row r="14" spans="1:26" ht="22" customHeight="1" x14ac:dyDescent="0.35">
      <c r="B14" s="172" t="s">
        <v>396</v>
      </c>
      <c r="C14" s="172" t="s">
        <v>397</v>
      </c>
      <c r="D14" s="172" t="s">
        <v>398</v>
      </c>
      <c r="E14" s="172" t="s">
        <v>399</v>
      </c>
      <c r="F14" s="244" t="s">
        <v>400</v>
      </c>
    </row>
    <row r="15" spans="1:26" x14ac:dyDescent="0.35">
      <c r="B15" s="177" t="s">
        <v>505</v>
      </c>
      <c r="C15" s="175" cm="1">
        <f t="array" ref="C15">SUMPRODUCT(ISNUMBER(SEARCH("743",'EFETIVO 11.05.2026'!$H$2:$H$712))*('EFETIVO 11.05.2026'!$G$2:$G$712="A")*('EFETIVO 11.05.2026'!$C$2:$C$712=B15))</f>
        <v>3</v>
      </c>
      <c r="D15" s="175" cm="1">
        <f t="array" ref="D15">SUMPRODUCT(ISNUMBER(SEARCH("743",'EFETIVO 11.05.2026'!$H$2:$H$712))*('EFETIVO 11.05.2026'!$G$2:$G$712="D")*('EFETIVO 11.05.2026'!$C$2:$C$712=B15))</f>
        <v>1</v>
      </c>
      <c r="E15" s="192">
        <f t="shared" ref="E15:E46" si="0">IFERROR(C15/$C$6,0)</f>
        <v>9.4043887147335428E-3</v>
      </c>
      <c r="F15" s="247" cm="1">
        <f t="array" ref="F15">SUMPRODUCT(ISNUMBER(SEARCH("743",'EFETIVO 11.05.2026'!$H$2:$H$712))*(('EFETIVO 11.05.2026'!$G$2:$G$712="F")+('EFETIVO 11.05.2026'!$G$2:$G$712="P")+('EFETIVO 11.05.2026'!$G$2:$G$712="T")+('EFETIVO 11.05.2026'!$G$2:$G$712="M"))*('EFETIVO 11.05.2026'!$C$2:$C$712=$B15))</f>
        <v>0</v>
      </c>
    </row>
    <row r="16" spans="1:26" x14ac:dyDescent="0.35">
      <c r="B16" s="177" t="s">
        <v>549</v>
      </c>
      <c r="C16" s="175" cm="1">
        <f t="array" ref="C16">SUMPRODUCT(ISNUMBER(SEARCH("743",'EFETIVO 11.05.2026'!$H$2:$H$712))*('EFETIVO 11.05.2026'!$G$2:$G$712="A")*('EFETIVO 11.05.2026'!$C$2:$C$712=B16))</f>
        <v>1</v>
      </c>
      <c r="D16" s="175" cm="1">
        <f t="array" ref="D16">SUMPRODUCT(ISNUMBER(SEARCH("743",'EFETIVO 11.05.2026'!$H$2:$H$712))*('EFETIVO 11.05.2026'!$G$2:$G$712="D")*('EFETIVO 11.05.2026'!$C$2:$C$712=B16))</f>
        <v>3</v>
      </c>
      <c r="E16" s="192">
        <f t="shared" si="0"/>
        <v>3.134796238244514E-3</v>
      </c>
      <c r="F16" s="251" cm="1">
        <f t="array" ref="F16">SUMPRODUCT(ISNUMBER(SEARCH("743",'EFETIVO 11.05.2026'!$H$2:$H$712))*(('EFETIVO 11.05.2026'!$G$2:$G$712="F")+('EFETIVO 11.05.2026'!$G$2:$G$712="P")+('EFETIVO 11.05.2026'!$G$2:$G$712="T")+('EFETIVO 11.05.2026'!$G$2:$G$712="M"))*('EFETIVO 11.05.2026'!$C$2:$C$712=$B16))</f>
        <v>0</v>
      </c>
    </row>
    <row r="17" spans="2:6" x14ac:dyDescent="0.35">
      <c r="B17" s="177" t="s">
        <v>555</v>
      </c>
      <c r="C17" s="175" cm="1">
        <f t="array" ref="C17">SUMPRODUCT(ISNUMBER(SEARCH("743",'EFETIVO 11.05.2026'!$H$2:$H$712))*('EFETIVO 11.05.2026'!$G$2:$G$712="A")*('EFETIVO 11.05.2026'!$C$2:$C$712=B17))</f>
        <v>2</v>
      </c>
      <c r="D17" s="175" cm="1">
        <f t="array" ref="D17">SUMPRODUCT(ISNUMBER(SEARCH("743",'EFETIVO 11.05.2026'!$H$2:$H$712))*('EFETIVO 11.05.2026'!$G$2:$G$712="D")*('EFETIVO 11.05.2026'!$C$2:$C$712=B17))</f>
        <v>1</v>
      </c>
      <c r="E17" s="192">
        <f t="shared" si="0"/>
        <v>6.269592476489028E-3</v>
      </c>
      <c r="F17" s="251" cm="1">
        <f t="array" ref="F17">SUMPRODUCT(ISNUMBER(SEARCH("743",'EFETIVO 11.05.2026'!$H$2:$H$712))*(('EFETIVO 11.05.2026'!$G$2:$G$712="F")+('EFETIVO 11.05.2026'!$G$2:$G$712="P")+('EFETIVO 11.05.2026'!$G$2:$G$712="T")+('EFETIVO 11.05.2026'!$G$2:$G$712="M"))*('EFETIVO 11.05.2026'!$C$2:$C$712=$B17))</f>
        <v>0</v>
      </c>
    </row>
    <row r="18" spans="2:6" x14ac:dyDescent="0.35">
      <c r="B18" s="177" t="s">
        <v>402</v>
      </c>
      <c r="C18" s="175" cm="1">
        <f t="array" ref="C18">SUMPRODUCT(ISNUMBER(SEARCH("743",'EFETIVO 11.05.2026'!$H$2:$H$712))*('EFETIVO 11.05.2026'!$G$2:$G$712="A")*('EFETIVO 11.05.2026'!$C$2:$C$712=B18))</f>
        <v>8</v>
      </c>
      <c r="D18" s="175" cm="1">
        <f t="array" ref="D18">SUMPRODUCT(ISNUMBER(SEARCH("743",'EFETIVO 11.05.2026'!$H$2:$H$712))*('EFETIVO 11.05.2026'!$G$2:$G$712="D")*('EFETIVO 11.05.2026'!$C$2:$C$712=B18))</f>
        <v>3</v>
      </c>
      <c r="E18" s="192">
        <f t="shared" si="0"/>
        <v>2.5078369905956112E-2</v>
      </c>
      <c r="F18" s="251" cm="1">
        <f t="array" ref="F18">SUMPRODUCT(ISNUMBER(SEARCH("743",'EFETIVO 11.05.2026'!$H$2:$H$712))*(('EFETIVO 11.05.2026'!$G$2:$G$712="F")+('EFETIVO 11.05.2026'!$G$2:$G$712="P")+('EFETIVO 11.05.2026'!$G$2:$G$712="T")+('EFETIVO 11.05.2026'!$G$2:$G$712="M"))*('EFETIVO 11.05.2026'!$C$2:$C$712=$B18))</f>
        <v>0</v>
      </c>
    </row>
    <row r="19" spans="2:6" x14ac:dyDescent="0.35">
      <c r="B19" s="177" t="s">
        <v>403</v>
      </c>
      <c r="C19" s="175" cm="1">
        <f t="array" ref="C19">SUMPRODUCT(ISNUMBER(SEARCH("743",'EFETIVO 11.05.2026'!$H$2:$H$712))*('EFETIVO 11.05.2026'!$G$2:$G$712="A")*('EFETIVO 11.05.2026'!$C$2:$C$712=B19))</f>
        <v>0</v>
      </c>
      <c r="D19" s="175" cm="1">
        <f t="array" ref="D19">SUMPRODUCT(ISNUMBER(SEARCH("743",'EFETIVO 11.05.2026'!$H$2:$H$712))*('EFETIVO 11.05.2026'!$G$2:$G$712="D")*('EFETIVO 11.05.2026'!$C$2:$C$712=B19))</f>
        <v>1</v>
      </c>
      <c r="E19" s="192">
        <f t="shared" si="0"/>
        <v>0</v>
      </c>
      <c r="F19" s="251" cm="1">
        <f t="array" ref="F19">SUMPRODUCT(ISNUMBER(SEARCH("743",'EFETIVO 11.05.2026'!$H$2:$H$712))*(('EFETIVO 11.05.2026'!$G$2:$G$712="F")+('EFETIVO 11.05.2026'!$G$2:$G$712="P")+('EFETIVO 11.05.2026'!$G$2:$G$712="T")+('EFETIVO 11.05.2026'!$G$2:$G$712="M"))*('EFETIVO 11.05.2026'!$C$2:$C$712=$B19))</f>
        <v>0</v>
      </c>
    </row>
    <row r="20" spans="2:6" x14ac:dyDescent="0.35">
      <c r="B20" s="177" t="s">
        <v>404</v>
      </c>
      <c r="C20" s="175" cm="1">
        <f t="array" ref="C20">SUMPRODUCT(ISNUMBER(SEARCH("743",'EFETIVO 11.05.2026'!$H$2:$H$712))*('EFETIVO 11.05.2026'!$G$2:$G$712="A")*('EFETIVO 11.05.2026'!$C$2:$C$712=B20))</f>
        <v>4</v>
      </c>
      <c r="D20" s="175" cm="1">
        <f t="array" ref="D20">SUMPRODUCT(ISNUMBER(SEARCH("743",'EFETIVO 11.05.2026'!$H$2:$H$712))*('EFETIVO 11.05.2026'!$G$2:$G$712="D")*('EFETIVO 11.05.2026'!$C$2:$C$712=B20))</f>
        <v>0</v>
      </c>
      <c r="E20" s="192">
        <f t="shared" si="0"/>
        <v>1.2539184952978056E-2</v>
      </c>
      <c r="F20" s="251" cm="1">
        <f t="array" ref="F20">SUMPRODUCT(ISNUMBER(SEARCH("743",'EFETIVO 11.05.2026'!$H$2:$H$712))*(('EFETIVO 11.05.2026'!$G$2:$G$712="F")+('EFETIVO 11.05.2026'!$G$2:$G$712="P")+('EFETIVO 11.05.2026'!$G$2:$G$712="T")+('EFETIVO 11.05.2026'!$G$2:$G$712="M"))*('EFETIVO 11.05.2026'!$C$2:$C$712=$B20))</f>
        <v>0</v>
      </c>
    </row>
    <row r="21" spans="2:6" x14ac:dyDescent="0.35">
      <c r="B21" s="177" t="s">
        <v>563</v>
      </c>
      <c r="C21" s="175" cm="1">
        <f t="array" ref="C21">SUMPRODUCT(ISNUMBER(SEARCH("743",'EFETIVO 11.05.2026'!$H$2:$H$712))*('EFETIVO 11.05.2026'!$G$2:$G$712="A")*('EFETIVO 11.05.2026'!$C$2:$C$712=B21))</f>
        <v>2</v>
      </c>
      <c r="D21" s="175" cm="1">
        <f t="array" ref="D21">SUMPRODUCT(ISNUMBER(SEARCH("743",'EFETIVO 11.05.2026'!$H$2:$H$712))*('EFETIVO 11.05.2026'!$G$2:$G$712="D")*('EFETIVO 11.05.2026'!$C$2:$C$712=B21))</f>
        <v>0</v>
      </c>
      <c r="E21" s="192">
        <f t="shared" si="0"/>
        <v>6.269592476489028E-3</v>
      </c>
      <c r="F21" s="251" cm="1">
        <f t="array" ref="F21">SUMPRODUCT(ISNUMBER(SEARCH("743",'EFETIVO 11.05.2026'!$H$2:$H$712))*(('EFETIVO 11.05.2026'!$G$2:$G$712="F")+('EFETIVO 11.05.2026'!$G$2:$G$712="P")+('EFETIVO 11.05.2026'!$G$2:$G$712="T")+('EFETIVO 11.05.2026'!$G$2:$G$712="M"))*('EFETIVO 11.05.2026'!$C$2:$C$712=$B21))</f>
        <v>0</v>
      </c>
    </row>
    <row r="22" spans="2:6" x14ac:dyDescent="0.35">
      <c r="B22" s="177" t="s">
        <v>405</v>
      </c>
      <c r="C22" s="175" cm="1">
        <f t="array" ref="C22">SUMPRODUCT(ISNUMBER(SEARCH("743",'EFETIVO 11.05.2026'!$H$2:$H$712))*('EFETIVO 11.05.2026'!$G$2:$G$712="A")*('EFETIVO 11.05.2026'!$C$2:$C$712=B22))</f>
        <v>3</v>
      </c>
      <c r="D22" s="175" cm="1">
        <f t="array" ref="D22">SUMPRODUCT(ISNUMBER(SEARCH("743",'EFETIVO 11.05.2026'!$H$2:$H$712))*('EFETIVO 11.05.2026'!$G$2:$G$712="D")*('EFETIVO 11.05.2026'!$C$2:$C$712=B22))</f>
        <v>1</v>
      </c>
      <c r="E22" s="192">
        <f t="shared" si="0"/>
        <v>9.4043887147335428E-3</v>
      </c>
      <c r="F22" s="251" cm="1">
        <f t="array" ref="F22">SUMPRODUCT(ISNUMBER(SEARCH("743",'EFETIVO 11.05.2026'!$H$2:$H$712))*(('EFETIVO 11.05.2026'!$G$2:$G$712="F")+('EFETIVO 11.05.2026'!$G$2:$G$712="P")+('EFETIVO 11.05.2026'!$G$2:$G$712="T")+('EFETIVO 11.05.2026'!$G$2:$G$712="M"))*('EFETIVO 11.05.2026'!$C$2:$C$712=$B22))</f>
        <v>0</v>
      </c>
    </row>
    <row r="23" spans="2:6" x14ac:dyDescent="0.35">
      <c r="B23" s="177" t="s">
        <v>406</v>
      </c>
      <c r="C23" s="175" cm="1">
        <f t="array" ref="C23">SUMPRODUCT(ISNUMBER(SEARCH("743",'EFETIVO 11.05.2026'!$H$2:$H$712))*('EFETIVO 11.05.2026'!$G$2:$G$712="A")*('EFETIVO 11.05.2026'!$C$2:$C$712=B23))</f>
        <v>8</v>
      </c>
      <c r="D23" s="175" cm="1">
        <f t="array" ref="D23">SUMPRODUCT(ISNUMBER(SEARCH("743",'EFETIVO 11.05.2026'!$H$2:$H$712))*('EFETIVO 11.05.2026'!$G$2:$G$712="D")*('EFETIVO 11.05.2026'!$C$2:$C$712=B23))</f>
        <v>2</v>
      </c>
      <c r="E23" s="192">
        <f t="shared" si="0"/>
        <v>2.5078369905956112E-2</v>
      </c>
      <c r="F23" s="251" cm="1">
        <f t="array" ref="F23">SUMPRODUCT(ISNUMBER(SEARCH("743",'EFETIVO 11.05.2026'!$H$2:$H$712))*(('EFETIVO 11.05.2026'!$G$2:$G$712="F")+('EFETIVO 11.05.2026'!$G$2:$G$712="P")+('EFETIVO 11.05.2026'!$G$2:$G$712="T")+('EFETIVO 11.05.2026'!$G$2:$G$712="M"))*('EFETIVO 11.05.2026'!$C$2:$C$712=$B23))</f>
        <v>2</v>
      </c>
    </row>
    <row r="24" spans="2:6" x14ac:dyDescent="0.35">
      <c r="B24" s="177" t="s">
        <v>407</v>
      </c>
      <c r="C24" s="175" cm="1">
        <f t="array" ref="C24">SUMPRODUCT(ISNUMBER(SEARCH("743",'EFETIVO 11.05.2026'!$H$2:$H$712))*('EFETIVO 11.05.2026'!$G$2:$G$712="A")*('EFETIVO 11.05.2026'!$C$2:$C$712=B24))</f>
        <v>5</v>
      </c>
      <c r="D24" s="175" cm="1">
        <f t="array" ref="D24">SUMPRODUCT(ISNUMBER(SEARCH("743",'EFETIVO 11.05.2026'!$H$2:$H$712))*('EFETIVO 11.05.2026'!$G$2:$G$712="D")*('EFETIVO 11.05.2026'!$C$2:$C$712=B24))</f>
        <v>5</v>
      </c>
      <c r="E24" s="192">
        <f t="shared" si="0"/>
        <v>1.5673981191222569E-2</v>
      </c>
      <c r="F24" s="251" cm="1">
        <f t="array" ref="F24">SUMPRODUCT(ISNUMBER(SEARCH("743",'EFETIVO 11.05.2026'!$H$2:$H$712))*(('EFETIVO 11.05.2026'!$G$2:$G$712="F")+('EFETIVO 11.05.2026'!$G$2:$G$712="P")+('EFETIVO 11.05.2026'!$G$2:$G$712="T")+('EFETIVO 11.05.2026'!$G$2:$G$712="M"))*('EFETIVO 11.05.2026'!$C$2:$C$712=$B24))</f>
        <v>0</v>
      </c>
    </row>
    <row r="25" spans="2:6" x14ac:dyDescent="0.35">
      <c r="B25" s="177" t="s">
        <v>408</v>
      </c>
      <c r="C25" s="175" cm="1">
        <f t="array" ref="C25">SUMPRODUCT(ISNUMBER(SEARCH("743",'EFETIVO 11.05.2026'!$H$2:$H$712))*('EFETIVO 11.05.2026'!$G$2:$G$712="A")*('EFETIVO 11.05.2026'!$C$2:$C$712=B25))</f>
        <v>1</v>
      </c>
      <c r="D25" s="175" cm="1">
        <f t="array" ref="D25">SUMPRODUCT(ISNUMBER(SEARCH("743",'EFETIVO 11.05.2026'!$H$2:$H$712))*('EFETIVO 11.05.2026'!$G$2:$G$712="D")*('EFETIVO 11.05.2026'!$C$2:$C$712=B25))</f>
        <v>2</v>
      </c>
      <c r="E25" s="192">
        <f t="shared" si="0"/>
        <v>3.134796238244514E-3</v>
      </c>
      <c r="F25" s="251" cm="1">
        <f t="array" ref="F25">SUMPRODUCT(ISNUMBER(SEARCH("743",'EFETIVO 11.05.2026'!$H$2:$H$712))*(('EFETIVO 11.05.2026'!$G$2:$G$712="F")+('EFETIVO 11.05.2026'!$G$2:$G$712="P")+('EFETIVO 11.05.2026'!$G$2:$G$712="T")+('EFETIVO 11.05.2026'!$G$2:$G$712="M"))*('EFETIVO 11.05.2026'!$C$2:$C$712=$B25))</f>
        <v>1</v>
      </c>
    </row>
    <row r="26" spans="2:6" x14ac:dyDescent="0.35">
      <c r="B26" s="177" t="s">
        <v>753</v>
      </c>
      <c r="C26" s="175" cm="1">
        <f t="array" ref="C26">SUMPRODUCT(ISNUMBER(SEARCH("743",'EFETIVO 11.05.2026'!$H$2:$H$712))*('EFETIVO 11.05.2026'!$G$2:$G$712="A")*('EFETIVO 11.05.2026'!$C$2:$C$712=B26))</f>
        <v>1</v>
      </c>
      <c r="D26" s="175" cm="1">
        <f t="array" ref="D26">SUMPRODUCT(ISNUMBER(SEARCH("743",'EFETIVO 11.05.2026'!$H$2:$H$712))*('EFETIVO 11.05.2026'!$G$2:$G$712="D")*('EFETIVO 11.05.2026'!$C$2:$C$712=B26))</f>
        <v>0</v>
      </c>
      <c r="E26" s="192">
        <f t="shared" si="0"/>
        <v>3.134796238244514E-3</v>
      </c>
      <c r="F26" s="251" cm="1">
        <f t="array" ref="F26">SUMPRODUCT(ISNUMBER(SEARCH("743",'EFETIVO 11.05.2026'!$H$2:$H$712))*(('EFETIVO 11.05.2026'!$G$2:$G$712="F")+('EFETIVO 11.05.2026'!$G$2:$G$712="P")+('EFETIVO 11.05.2026'!$G$2:$G$712="T")+('EFETIVO 11.05.2026'!$G$2:$G$712="M"))*('EFETIVO 11.05.2026'!$C$2:$C$712=$B26))</f>
        <v>0</v>
      </c>
    </row>
    <row r="27" spans="2:6" x14ac:dyDescent="0.35">
      <c r="B27" s="177" t="s">
        <v>409</v>
      </c>
      <c r="C27" s="175" cm="1">
        <f t="array" ref="C27">SUMPRODUCT(ISNUMBER(SEARCH("743",'EFETIVO 11.05.2026'!$H$2:$H$712))*('EFETIVO 11.05.2026'!$G$2:$G$712="A")*('EFETIVO 11.05.2026'!$C$2:$C$712=B27))</f>
        <v>2</v>
      </c>
      <c r="D27" s="175" cm="1">
        <f t="array" ref="D27">SUMPRODUCT(ISNUMBER(SEARCH("743",'EFETIVO 11.05.2026'!$H$2:$H$712))*('EFETIVO 11.05.2026'!$G$2:$G$712="D")*('EFETIVO 11.05.2026'!$C$2:$C$712=B27))</f>
        <v>1</v>
      </c>
      <c r="E27" s="192">
        <f t="shared" si="0"/>
        <v>6.269592476489028E-3</v>
      </c>
      <c r="F27" s="251" cm="1">
        <f t="array" ref="F27">SUMPRODUCT(ISNUMBER(SEARCH("743",'EFETIVO 11.05.2026'!$H$2:$H$712))*(('EFETIVO 11.05.2026'!$G$2:$G$712="F")+('EFETIVO 11.05.2026'!$G$2:$G$712="P")+('EFETIVO 11.05.2026'!$G$2:$G$712="T")+('EFETIVO 11.05.2026'!$G$2:$G$712="M"))*('EFETIVO 11.05.2026'!$C$2:$C$712=$B27))</f>
        <v>0</v>
      </c>
    </row>
    <row r="28" spans="2:6" x14ac:dyDescent="0.35">
      <c r="B28" s="177" t="s">
        <v>958</v>
      </c>
      <c r="C28" s="175" cm="1">
        <f t="array" ref="C28">SUMPRODUCT(ISNUMBER(SEARCH("743",'EFETIVO 11.05.2026'!$H$2:$H$712))*('EFETIVO 11.05.2026'!$G$2:$G$712="A")*('EFETIVO 11.05.2026'!$C$2:$C$712=B28))</f>
        <v>0</v>
      </c>
      <c r="D28" s="175" cm="1">
        <f t="array" ref="D28">SUMPRODUCT(ISNUMBER(SEARCH("743",'EFETIVO 11.05.2026'!$H$2:$H$712))*('EFETIVO 11.05.2026'!$G$2:$G$712="D")*('EFETIVO 11.05.2026'!$C$2:$C$712=B28))</f>
        <v>1</v>
      </c>
      <c r="E28" s="192">
        <f t="shared" si="0"/>
        <v>0</v>
      </c>
      <c r="F28" s="251" cm="1">
        <f t="array" ref="F28">SUMPRODUCT(ISNUMBER(SEARCH("743",'EFETIVO 11.05.2026'!$H$2:$H$712))*(('EFETIVO 11.05.2026'!$G$2:$G$712="F")+('EFETIVO 11.05.2026'!$G$2:$G$712="P")+('EFETIVO 11.05.2026'!$G$2:$G$712="T")+('EFETIVO 11.05.2026'!$G$2:$G$712="M"))*('EFETIVO 11.05.2026'!$C$2:$C$712=$B28))</f>
        <v>0</v>
      </c>
    </row>
    <row r="29" spans="2:6" x14ac:dyDescent="0.35">
      <c r="B29" s="177" t="s">
        <v>410</v>
      </c>
      <c r="C29" s="175" cm="1">
        <f t="array" ref="C29">SUMPRODUCT(ISNUMBER(SEARCH("743",'EFETIVO 11.05.2026'!$H$2:$H$712))*('EFETIVO 11.05.2026'!$G$2:$G$712="A")*('EFETIVO 11.05.2026'!$C$2:$C$712=B29))</f>
        <v>6</v>
      </c>
      <c r="D29" s="175" cm="1">
        <f t="array" ref="D29">SUMPRODUCT(ISNUMBER(SEARCH("743",'EFETIVO 11.05.2026'!$H$2:$H$712))*('EFETIVO 11.05.2026'!$G$2:$G$712="D")*('EFETIVO 11.05.2026'!$C$2:$C$712=B29))</f>
        <v>1</v>
      </c>
      <c r="E29" s="192">
        <f t="shared" si="0"/>
        <v>1.8808777429467086E-2</v>
      </c>
      <c r="F29" s="251" cm="1">
        <f t="array" ref="F29">SUMPRODUCT(ISNUMBER(SEARCH("743",'EFETIVO 11.05.2026'!$H$2:$H$712))*(('EFETIVO 11.05.2026'!$G$2:$G$712="F")+('EFETIVO 11.05.2026'!$G$2:$G$712="P")+('EFETIVO 11.05.2026'!$G$2:$G$712="T")+('EFETIVO 11.05.2026'!$G$2:$G$712="M"))*('EFETIVO 11.05.2026'!$C$2:$C$712=$B29))</f>
        <v>1</v>
      </c>
    </row>
    <row r="30" spans="2:6" x14ac:dyDescent="0.35">
      <c r="B30" s="177" t="s">
        <v>411</v>
      </c>
      <c r="C30" s="175" cm="1">
        <f t="array" ref="C30">SUMPRODUCT(ISNUMBER(SEARCH("743",'EFETIVO 11.05.2026'!$H$2:$H$712))*('EFETIVO 11.05.2026'!$G$2:$G$712="A")*('EFETIVO 11.05.2026'!$C$2:$C$712=B30))</f>
        <v>4</v>
      </c>
      <c r="D30" s="175" cm="1">
        <f t="array" ref="D30">SUMPRODUCT(ISNUMBER(SEARCH("743",'EFETIVO 11.05.2026'!$H$2:$H$712))*('EFETIVO 11.05.2026'!$G$2:$G$712="D")*('EFETIVO 11.05.2026'!$C$2:$C$712=B30))</f>
        <v>0</v>
      </c>
      <c r="E30" s="192">
        <f t="shared" si="0"/>
        <v>1.2539184952978056E-2</v>
      </c>
      <c r="F30" s="251" cm="1">
        <f t="array" ref="F30">SUMPRODUCT(ISNUMBER(SEARCH("743",'EFETIVO 11.05.2026'!$H$2:$H$712))*(('EFETIVO 11.05.2026'!$G$2:$G$712="F")+('EFETIVO 11.05.2026'!$G$2:$G$712="P")+('EFETIVO 11.05.2026'!$G$2:$G$712="T")+('EFETIVO 11.05.2026'!$G$2:$G$712="M"))*('EFETIVO 11.05.2026'!$C$2:$C$712=$B30))</f>
        <v>0</v>
      </c>
    </row>
    <row r="31" spans="2:6" x14ac:dyDescent="0.35">
      <c r="B31" s="177" t="s">
        <v>412</v>
      </c>
      <c r="C31" s="175" cm="1">
        <f t="array" ref="C31">SUMPRODUCT(ISNUMBER(SEARCH("743",'EFETIVO 11.05.2026'!$H$2:$H$712))*('EFETIVO 11.05.2026'!$G$2:$G$712="A")*('EFETIVO 11.05.2026'!$C$2:$C$712=B31))</f>
        <v>1</v>
      </c>
      <c r="D31" s="175" cm="1">
        <f t="array" ref="D31">SUMPRODUCT(ISNUMBER(SEARCH("743",'EFETIVO 11.05.2026'!$H$2:$H$712))*('EFETIVO 11.05.2026'!$G$2:$G$712="D")*('EFETIVO 11.05.2026'!$C$2:$C$712=B31))</f>
        <v>0</v>
      </c>
      <c r="E31" s="192">
        <f t="shared" si="0"/>
        <v>3.134796238244514E-3</v>
      </c>
      <c r="F31" s="251" cm="1">
        <f t="array" ref="F31">SUMPRODUCT(ISNUMBER(SEARCH("743",'EFETIVO 11.05.2026'!$H$2:$H$712))*(('EFETIVO 11.05.2026'!$G$2:$G$712="F")+('EFETIVO 11.05.2026'!$G$2:$G$712="P")+('EFETIVO 11.05.2026'!$G$2:$G$712="T")+('EFETIVO 11.05.2026'!$G$2:$G$712="M"))*('EFETIVO 11.05.2026'!$C$2:$C$712=$B31))</f>
        <v>0</v>
      </c>
    </row>
    <row r="32" spans="2:6" x14ac:dyDescent="0.35">
      <c r="B32" s="177" t="s">
        <v>413</v>
      </c>
      <c r="C32" s="175" cm="1">
        <f t="array" ref="C32">SUMPRODUCT(ISNUMBER(SEARCH("743",'EFETIVO 11.05.2026'!$H$2:$H$712))*('EFETIVO 11.05.2026'!$G$2:$G$712="A")*('EFETIVO 11.05.2026'!$C$2:$C$712=B32))</f>
        <v>3</v>
      </c>
      <c r="D32" s="175" cm="1">
        <f t="array" ref="D32">SUMPRODUCT(ISNUMBER(SEARCH("743",'EFETIVO 11.05.2026'!$H$2:$H$712))*('EFETIVO 11.05.2026'!$G$2:$G$712="D")*('EFETIVO 11.05.2026'!$C$2:$C$712=B32))</f>
        <v>0</v>
      </c>
      <c r="E32" s="192">
        <f t="shared" si="0"/>
        <v>9.4043887147335428E-3</v>
      </c>
      <c r="F32" s="251" cm="1">
        <f t="array" ref="F32">SUMPRODUCT(ISNUMBER(SEARCH("743",'EFETIVO 11.05.2026'!$H$2:$H$712))*(('EFETIVO 11.05.2026'!$G$2:$G$712="F")+('EFETIVO 11.05.2026'!$G$2:$G$712="P")+('EFETIVO 11.05.2026'!$G$2:$G$712="T")+('EFETIVO 11.05.2026'!$G$2:$G$712="M"))*('EFETIVO 11.05.2026'!$C$2:$C$712=$B32))</f>
        <v>0</v>
      </c>
    </row>
    <row r="33" spans="2:6" x14ac:dyDescent="0.35">
      <c r="B33" s="177" t="s">
        <v>738</v>
      </c>
      <c r="C33" s="175" cm="1">
        <f t="array" ref="C33">SUMPRODUCT(ISNUMBER(SEARCH("743",'EFETIVO 11.05.2026'!$H$2:$H$712))*('EFETIVO 11.05.2026'!$G$2:$G$712="A")*('EFETIVO 11.05.2026'!$C$2:$C$712=B33))</f>
        <v>2</v>
      </c>
      <c r="D33" s="175" cm="1">
        <f t="array" ref="D33">SUMPRODUCT(ISNUMBER(SEARCH("743",'EFETIVO 11.05.2026'!$H$2:$H$712))*('EFETIVO 11.05.2026'!$G$2:$G$712="D")*('EFETIVO 11.05.2026'!$C$2:$C$712=B33))</f>
        <v>0</v>
      </c>
      <c r="E33" s="192">
        <f t="shared" si="0"/>
        <v>6.269592476489028E-3</v>
      </c>
      <c r="F33" s="251" cm="1">
        <f t="array" ref="F33">SUMPRODUCT(ISNUMBER(SEARCH("743",'EFETIVO 11.05.2026'!$H$2:$H$712))*(('EFETIVO 11.05.2026'!$G$2:$G$712="F")+('EFETIVO 11.05.2026'!$G$2:$G$712="P")+('EFETIVO 11.05.2026'!$G$2:$G$712="T")+('EFETIVO 11.05.2026'!$G$2:$G$712="M"))*('EFETIVO 11.05.2026'!$C$2:$C$712=$B33))</f>
        <v>0</v>
      </c>
    </row>
    <row r="34" spans="2:6" x14ac:dyDescent="0.35">
      <c r="B34" s="177" t="s">
        <v>416</v>
      </c>
      <c r="C34" s="175" cm="1">
        <f t="array" ref="C34">SUMPRODUCT(ISNUMBER(SEARCH("743",'EFETIVO 11.05.2026'!$H$2:$H$712))*('EFETIVO 11.05.2026'!$G$2:$G$712="A")*('EFETIVO 11.05.2026'!$C$2:$C$712=B34))</f>
        <v>38</v>
      </c>
      <c r="D34" s="175" cm="1">
        <f t="array" ref="D34">SUMPRODUCT(ISNUMBER(SEARCH("743",'EFETIVO 11.05.2026'!$H$2:$H$712))*('EFETIVO 11.05.2026'!$G$2:$G$712="D")*('EFETIVO 11.05.2026'!$C$2:$C$712=B34))</f>
        <v>19</v>
      </c>
      <c r="E34" s="192">
        <f t="shared" si="0"/>
        <v>0.11912225705329153</v>
      </c>
      <c r="F34" s="251" cm="1">
        <f t="array" ref="F34">SUMPRODUCT(ISNUMBER(SEARCH("743",'EFETIVO 11.05.2026'!$H$2:$H$712))*(('EFETIVO 11.05.2026'!$G$2:$G$712="F")+('EFETIVO 11.05.2026'!$G$2:$G$712="P")+('EFETIVO 11.05.2026'!$G$2:$G$712="T")+('EFETIVO 11.05.2026'!$G$2:$G$712="M"))*('EFETIVO 11.05.2026'!$C$2:$C$712=$B34))</f>
        <v>3</v>
      </c>
    </row>
    <row r="35" spans="2:6" x14ac:dyDescent="0.35">
      <c r="B35" s="177" t="s">
        <v>417</v>
      </c>
      <c r="C35" s="175" cm="1">
        <f t="array" ref="C35">SUMPRODUCT(ISNUMBER(SEARCH("743",'EFETIVO 11.05.2026'!$H$2:$H$712))*('EFETIVO 11.05.2026'!$G$2:$G$712="A")*('EFETIVO 11.05.2026'!$C$2:$C$712=B35))</f>
        <v>9</v>
      </c>
      <c r="D35" s="175" cm="1">
        <f t="array" ref="D35">SUMPRODUCT(ISNUMBER(SEARCH("743",'EFETIVO 11.05.2026'!$H$2:$H$712))*('EFETIVO 11.05.2026'!$G$2:$G$712="D")*('EFETIVO 11.05.2026'!$C$2:$C$712=B35))</f>
        <v>0</v>
      </c>
      <c r="E35" s="192">
        <f t="shared" si="0"/>
        <v>2.8213166144200628E-2</v>
      </c>
      <c r="F35" s="251" cm="1">
        <f t="array" ref="F35">SUMPRODUCT(ISNUMBER(SEARCH("743",'EFETIVO 11.05.2026'!$H$2:$H$712))*(('EFETIVO 11.05.2026'!$G$2:$G$712="F")+('EFETIVO 11.05.2026'!$G$2:$G$712="P")+('EFETIVO 11.05.2026'!$G$2:$G$712="T")+('EFETIVO 11.05.2026'!$G$2:$G$712="M"))*('EFETIVO 11.05.2026'!$C$2:$C$712=$B35))</f>
        <v>0</v>
      </c>
    </row>
    <row r="36" spans="2:6" x14ac:dyDescent="0.35">
      <c r="B36" s="177" t="s">
        <v>418</v>
      </c>
      <c r="C36" s="175" cm="1">
        <f t="array" ref="C36">SUMPRODUCT(ISNUMBER(SEARCH("743",'EFETIVO 11.05.2026'!$H$2:$H$712))*('EFETIVO 11.05.2026'!$G$2:$G$712="A")*('EFETIVO 11.05.2026'!$C$2:$C$712=B36))</f>
        <v>1</v>
      </c>
      <c r="D36" s="175" cm="1">
        <f t="array" ref="D36">SUMPRODUCT(ISNUMBER(SEARCH("743",'EFETIVO 11.05.2026'!$H$2:$H$712))*('EFETIVO 11.05.2026'!$G$2:$G$712="D")*('EFETIVO 11.05.2026'!$C$2:$C$712=B36))</f>
        <v>0</v>
      </c>
      <c r="E36" s="192">
        <f t="shared" si="0"/>
        <v>3.134796238244514E-3</v>
      </c>
      <c r="F36" s="251" cm="1">
        <f t="array" ref="F36">SUMPRODUCT(ISNUMBER(SEARCH("743",'EFETIVO 11.05.2026'!$H$2:$H$712))*(('EFETIVO 11.05.2026'!$G$2:$G$712="F")+('EFETIVO 11.05.2026'!$G$2:$G$712="P")+('EFETIVO 11.05.2026'!$G$2:$G$712="T")+('EFETIVO 11.05.2026'!$G$2:$G$712="M"))*('EFETIVO 11.05.2026'!$C$2:$C$712=$B36))</f>
        <v>0</v>
      </c>
    </row>
    <row r="37" spans="2:6" x14ac:dyDescent="0.35">
      <c r="B37" s="177" t="s">
        <v>419</v>
      </c>
      <c r="C37" s="175" cm="1">
        <f t="array" ref="C37">SUMPRODUCT(ISNUMBER(SEARCH("743",'EFETIVO 11.05.2026'!$H$2:$H$712))*('EFETIVO 11.05.2026'!$G$2:$G$712="A")*('EFETIVO 11.05.2026'!$C$2:$C$712=B37))</f>
        <v>2</v>
      </c>
      <c r="D37" s="175" cm="1">
        <f t="array" ref="D37">SUMPRODUCT(ISNUMBER(SEARCH("743",'EFETIVO 11.05.2026'!$H$2:$H$712))*('EFETIVO 11.05.2026'!$G$2:$G$712="D")*('EFETIVO 11.05.2026'!$C$2:$C$712=B37))</f>
        <v>0</v>
      </c>
      <c r="E37" s="192">
        <f t="shared" si="0"/>
        <v>6.269592476489028E-3</v>
      </c>
      <c r="F37" s="251" cm="1">
        <f t="array" ref="F37">SUMPRODUCT(ISNUMBER(SEARCH("743",'EFETIVO 11.05.2026'!$H$2:$H$712))*(('EFETIVO 11.05.2026'!$G$2:$G$712="F")+('EFETIVO 11.05.2026'!$G$2:$G$712="P")+('EFETIVO 11.05.2026'!$G$2:$G$712="T")+('EFETIVO 11.05.2026'!$G$2:$G$712="M"))*('EFETIVO 11.05.2026'!$C$2:$C$712=$B37))</f>
        <v>0</v>
      </c>
    </row>
    <row r="38" spans="2:6" x14ac:dyDescent="0.35">
      <c r="B38" s="177" t="s">
        <v>420</v>
      </c>
      <c r="C38" s="175" cm="1">
        <f t="array" ref="C38">SUMPRODUCT(ISNUMBER(SEARCH("743",'EFETIVO 11.05.2026'!$H$2:$H$712))*('EFETIVO 11.05.2026'!$G$2:$G$712="A")*('EFETIVO 11.05.2026'!$C$2:$C$712=B38))</f>
        <v>53</v>
      </c>
      <c r="D38" s="175" cm="1">
        <f t="array" ref="D38">SUMPRODUCT(ISNUMBER(SEARCH("743",'EFETIVO 11.05.2026'!$H$2:$H$712))*('EFETIVO 11.05.2026'!$G$2:$G$712="D")*('EFETIVO 11.05.2026'!$C$2:$C$712=B38))</f>
        <v>12</v>
      </c>
      <c r="E38" s="192">
        <f t="shared" si="0"/>
        <v>0.16614420062695925</v>
      </c>
      <c r="F38" s="251" cm="1">
        <f t="array" ref="F38">SUMPRODUCT(ISNUMBER(SEARCH("743",'EFETIVO 11.05.2026'!$H$2:$H$712))*(('EFETIVO 11.05.2026'!$G$2:$G$712="F")+('EFETIVO 11.05.2026'!$G$2:$G$712="P")+('EFETIVO 11.05.2026'!$G$2:$G$712="T")+('EFETIVO 11.05.2026'!$G$2:$G$712="M"))*('EFETIVO 11.05.2026'!$C$2:$C$712=$B38))</f>
        <v>0</v>
      </c>
    </row>
    <row r="39" spans="2:6" x14ac:dyDescent="0.35">
      <c r="B39" s="177" t="s">
        <v>867</v>
      </c>
      <c r="C39" s="175" cm="1">
        <f t="array" ref="C39">SUMPRODUCT(ISNUMBER(SEARCH("743",'EFETIVO 11.05.2026'!$H$2:$H$712))*('EFETIVO 11.05.2026'!$G$2:$G$712="A")*('EFETIVO 11.05.2026'!$C$2:$C$712=B39))</f>
        <v>0</v>
      </c>
      <c r="D39" s="175" cm="1">
        <f t="array" ref="D39">SUMPRODUCT(ISNUMBER(SEARCH("743",'EFETIVO 11.05.2026'!$H$2:$H$712))*('EFETIVO 11.05.2026'!$G$2:$G$712="D")*('EFETIVO 11.05.2026'!$C$2:$C$712=B39))</f>
        <v>1</v>
      </c>
      <c r="E39" s="192">
        <f t="shared" si="0"/>
        <v>0</v>
      </c>
      <c r="F39" s="251" cm="1">
        <f t="array" ref="F39">SUMPRODUCT(ISNUMBER(SEARCH("743",'EFETIVO 11.05.2026'!$H$2:$H$712))*(('EFETIVO 11.05.2026'!$G$2:$G$712="F")+('EFETIVO 11.05.2026'!$G$2:$G$712="P")+('EFETIVO 11.05.2026'!$G$2:$G$712="T")+('EFETIVO 11.05.2026'!$G$2:$G$712="M"))*('EFETIVO 11.05.2026'!$C$2:$C$712=$B39))</f>
        <v>0</v>
      </c>
    </row>
    <row r="40" spans="2:6" x14ac:dyDescent="0.35">
      <c r="B40" s="177" t="s">
        <v>421</v>
      </c>
      <c r="C40" s="175" cm="1">
        <f t="array" ref="C40">SUMPRODUCT(ISNUMBER(SEARCH("743",'EFETIVO 11.05.2026'!$H$2:$H$712))*('EFETIVO 11.05.2026'!$G$2:$G$712="A")*('EFETIVO 11.05.2026'!$C$2:$C$712=B40))</f>
        <v>2</v>
      </c>
      <c r="D40" s="175" cm="1">
        <f t="array" ref="D40">SUMPRODUCT(ISNUMBER(SEARCH("743",'EFETIVO 11.05.2026'!$H$2:$H$712))*('EFETIVO 11.05.2026'!$G$2:$G$712="D")*('EFETIVO 11.05.2026'!$C$2:$C$712=B40))</f>
        <v>0</v>
      </c>
      <c r="E40" s="192">
        <f t="shared" si="0"/>
        <v>6.269592476489028E-3</v>
      </c>
      <c r="F40" s="251" cm="1">
        <f t="array" ref="F40">SUMPRODUCT(ISNUMBER(SEARCH("743",'EFETIVO 11.05.2026'!$H$2:$H$712))*(('EFETIVO 11.05.2026'!$G$2:$G$712="F")+('EFETIVO 11.05.2026'!$G$2:$G$712="P")+('EFETIVO 11.05.2026'!$G$2:$G$712="T")+('EFETIVO 11.05.2026'!$G$2:$G$712="M"))*('EFETIVO 11.05.2026'!$C$2:$C$712=$B40))</f>
        <v>1</v>
      </c>
    </row>
    <row r="41" spans="2:6" x14ac:dyDescent="0.35">
      <c r="B41" s="177" t="s">
        <v>422</v>
      </c>
      <c r="C41" s="175" cm="1">
        <f t="array" ref="C41">SUMPRODUCT(ISNUMBER(SEARCH("743",'EFETIVO 11.05.2026'!$H$2:$H$712))*('EFETIVO 11.05.2026'!$G$2:$G$712="A")*('EFETIVO 11.05.2026'!$C$2:$C$712=B41))</f>
        <v>2</v>
      </c>
      <c r="D41" s="175" cm="1">
        <f t="array" ref="D41">SUMPRODUCT(ISNUMBER(SEARCH("743",'EFETIVO 11.05.2026'!$H$2:$H$712))*('EFETIVO 11.05.2026'!$G$2:$G$712="D")*('EFETIVO 11.05.2026'!$C$2:$C$712=B41))</f>
        <v>0</v>
      </c>
      <c r="E41" s="192">
        <f t="shared" si="0"/>
        <v>6.269592476489028E-3</v>
      </c>
      <c r="F41" s="251" cm="1">
        <f t="array" ref="F41">SUMPRODUCT(ISNUMBER(SEARCH("743",'EFETIVO 11.05.2026'!$H$2:$H$712))*(('EFETIVO 11.05.2026'!$G$2:$G$712="F")+('EFETIVO 11.05.2026'!$G$2:$G$712="P")+('EFETIVO 11.05.2026'!$G$2:$G$712="T")+('EFETIVO 11.05.2026'!$G$2:$G$712="M"))*('EFETIVO 11.05.2026'!$C$2:$C$712=$B41))</f>
        <v>0</v>
      </c>
    </row>
    <row r="42" spans="2:6" x14ac:dyDescent="0.35">
      <c r="B42" s="177" t="s">
        <v>423</v>
      </c>
      <c r="C42" s="175" cm="1">
        <f t="array" ref="C42">SUMPRODUCT(ISNUMBER(SEARCH("743",'EFETIVO 11.05.2026'!$H$2:$H$712))*('EFETIVO 11.05.2026'!$G$2:$G$712="A")*('EFETIVO 11.05.2026'!$C$2:$C$712=B42))</f>
        <v>3</v>
      </c>
      <c r="D42" s="175" cm="1">
        <f t="array" ref="D42">SUMPRODUCT(ISNUMBER(SEARCH("743",'EFETIVO 11.05.2026'!$H$2:$H$712))*('EFETIVO 11.05.2026'!$G$2:$G$712="D")*('EFETIVO 11.05.2026'!$C$2:$C$712=B42))</f>
        <v>3</v>
      </c>
      <c r="E42" s="192">
        <f t="shared" si="0"/>
        <v>9.4043887147335428E-3</v>
      </c>
      <c r="F42" s="251" cm="1">
        <f t="array" ref="F42">SUMPRODUCT(ISNUMBER(SEARCH("743",'EFETIVO 11.05.2026'!$H$2:$H$712))*(('EFETIVO 11.05.2026'!$G$2:$G$712="F")+('EFETIVO 11.05.2026'!$G$2:$G$712="P")+('EFETIVO 11.05.2026'!$G$2:$G$712="T")+('EFETIVO 11.05.2026'!$G$2:$G$712="M"))*('EFETIVO 11.05.2026'!$C$2:$C$712=$B42))</f>
        <v>0</v>
      </c>
    </row>
    <row r="43" spans="2:6" x14ac:dyDescent="0.35">
      <c r="B43" s="177" t="s">
        <v>424</v>
      </c>
      <c r="C43" s="175" cm="1">
        <f t="array" ref="C43">SUMPRODUCT(ISNUMBER(SEARCH("743",'EFETIVO 11.05.2026'!$H$2:$H$712))*('EFETIVO 11.05.2026'!$G$2:$G$712="A")*('EFETIVO 11.05.2026'!$C$2:$C$712=B43))</f>
        <v>3</v>
      </c>
      <c r="D43" s="175" cm="1">
        <f t="array" ref="D43">SUMPRODUCT(ISNUMBER(SEARCH("743",'EFETIVO 11.05.2026'!$H$2:$H$712))*('EFETIVO 11.05.2026'!$G$2:$G$712="D")*('EFETIVO 11.05.2026'!$C$2:$C$712=B43))</f>
        <v>0</v>
      </c>
      <c r="E43" s="192">
        <f t="shared" si="0"/>
        <v>9.4043887147335428E-3</v>
      </c>
      <c r="F43" s="251" cm="1">
        <f t="array" ref="F43">SUMPRODUCT(ISNUMBER(SEARCH("743",'EFETIVO 11.05.2026'!$H$2:$H$712))*(('EFETIVO 11.05.2026'!$G$2:$G$712="F")+('EFETIVO 11.05.2026'!$G$2:$G$712="P")+('EFETIVO 11.05.2026'!$G$2:$G$712="T")+('EFETIVO 11.05.2026'!$G$2:$G$712="M"))*('EFETIVO 11.05.2026'!$C$2:$C$712=$B43))</f>
        <v>0</v>
      </c>
    </row>
    <row r="44" spans="2:6" x14ac:dyDescent="0.35">
      <c r="B44" s="177" t="s">
        <v>425</v>
      </c>
      <c r="C44" s="175" cm="1">
        <f t="array" ref="C44">SUMPRODUCT(ISNUMBER(SEARCH("743",'EFETIVO 11.05.2026'!$H$2:$H$712))*('EFETIVO 11.05.2026'!$G$2:$G$712="A")*('EFETIVO 11.05.2026'!$C$2:$C$712=B44))</f>
        <v>5</v>
      </c>
      <c r="D44" s="175" cm="1">
        <f t="array" ref="D44">SUMPRODUCT(ISNUMBER(SEARCH("743",'EFETIVO 11.05.2026'!$H$2:$H$712))*('EFETIVO 11.05.2026'!$G$2:$G$712="D")*('EFETIVO 11.05.2026'!$C$2:$C$712=B44))</f>
        <v>0</v>
      </c>
      <c r="E44" s="192">
        <f t="shared" si="0"/>
        <v>1.5673981191222569E-2</v>
      </c>
      <c r="F44" s="251" cm="1">
        <f t="array" ref="F44">SUMPRODUCT(ISNUMBER(SEARCH("743",'EFETIVO 11.05.2026'!$H$2:$H$712))*(('EFETIVO 11.05.2026'!$G$2:$G$712="F")+('EFETIVO 11.05.2026'!$G$2:$G$712="P")+('EFETIVO 11.05.2026'!$G$2:$G$712="T")+('EFETIVO 11.05.2026'!$G$2:$G$712="M"))*('EFETIVO 11.05.2026'!$C$2:$C$712=$B44))</f>
        <v>1</v>
      </c>
    </row>
    <row r="45" spans="2:6" x14ac:dyDescent="0.35">
      <c r="B45" s="177" t="s">
        <v>426</v>
      </c>
      <c r="C45" s="175" cm="1">
        <f t="array" ref="C45">SUMPRODUCT(ISNUMBER(SEARCH("743",'EFETIVO 11.05.2026'!$H$2:$H$712))*('EFETIVO 11.05.2026'!$G$2:$G$712="A")*('EFETIVO 11.05.2026'!$C$2:$C$712=B45))</f>
        <v>1</v>
      </c>
      <c r="D45" s="175" cm="1">
        <f t="array" ref="D45">SUMPRODUCT(ISNUMBER(SEARCH("743",'EFETIVO 11.05.2026'!$H$2:$H$712))*('EFETIVO 11.05.2026'!$G$2:$G$712="D")*('EFETIVO 11.05.2026'!$C$2:$C$712=B45))</f>
        <v>1</v>
      </c>
      <c r="E45" s="192">
        <f t="shared" si="0"/>
        <v>3.134796238244514E-3</v>
      </c>
      <c r="F45" s="251" cm="1">
        <f t="array" ref="F45">SUMPRODUCT(ISNUMBER(SEARCH("743",'EFETIVO 11.05.2026'!$H$2:$H$712))*(('EFETIVO 11.05.2026'!$G$2:$G$712="F")+('EFETIVO 11.05.2026'!$G$2:$G$712="P")+('EFETIVO 11.05.2026'!$G$2:$G$712="T")+('EFETIVO 11.05.2026'!$G$2:$G$712="M"))*('EFETIVO 11.05.2026'!$C$2:$C$712=$B45))</f>
        <v>0</v>
      </c>
    </row>
    <row r="46" spans="2:6" x14ac:dyDescent="0.35">
      <c r="B46" s="177" t="s">
        <v>578</v>
      </c>
      <c r="C46" s="175" cm="1">
        <f t="array" ref="C46">SUMPRODUCT(ISNUMBER(SEARCH("743",'EFETIVO 11.05.2026'!$H$2:$H$712))*('EFETIVO 11.05.2026'!$G$2:$G$712="A")*('EFETIVO 11.05.2026'!$C$2:$C$712=B46))</f>
        <v>1</v>
      </c>
      <c r="D46" s="175" cm="1">
        <f t="array" ref="D46">SUMPRODUCT(ISNUMBER(SEARCH("743",'EFETIVO 11.05.2026'!$H$2:$H$712))*('EFETIVO 11.05.2026'!$G$2:$G$712="D")*('EFETIVO 11.05.2026'!$C$2:$C$712=B46))</f>
        <v>4</v>
      </c>
      <c r="E46" s="192">
        <f t="shared" si="0"/>
        <v>3.134796238244514E-3</v>
      </c>
      <c r="F46" s="251" cm="1">
        <f t="array" ref="F46">SUMPRODUCT(ISNUMBER(SEARCH("743",'EFETIVO 11.05.2026'!$H$2:$H$712))*(('EFETIVO 11.05.2026'!$G$2:$G$712="F")+('EFETIVO 11.05.2026'!$G$2:$G$712="P")+('EFETIVO 11.05.2026'!$G$2:$G$712="T")+('EFETIVO 11.05.2026'!$G$2:$G$712="M"))*('EFETIVO 11.05.2026'!$C$2:$C$712=$B46))</f>
        <v>0</v>
      </c>
    </row>
    <row r="47" spans="2:6" x14ac:dyDescent="0.35">
      <c r="B47" s="177" t="s">
        <v>427</v>
      </c>
      <c r="C47" s="175" cm="1">
        <f t="array" ref="C47">SUMPRODUCT(ISNUMBER(SEARCH("743",'EFETIVO 11.05.2026'!$H$2:$H$712))*('EFETIVO 11.05.2026'!$G$2:$G$712="A")*('EFETIVO 11.05.2026'!$C$2:$C$712=B47))</f>
        <v>6</v>
      </c>
      <c r="D47" s="175" cm="1">
        <f t="array" ref="D47">SUMPRODUCT(ISNUMBER(SEARCH("743",'EFETIVO 11.05.2026'!$H$2:$H$712))*('EFETIVO 11.05.2026'!$G$2:$G$712="D")*('EFETIVO 11.05.2026'!$C$2:$C$712=B47))</f>
        <v>4</v>
      </c>
      <c r="E47" s="192">
        <f t="shared" ref="E47:E72" si="1">IFERROR(C47/$C$6,0)</f>
        <v>1.8808777429467086E-2</v>
      </c>
      <c r="F47" s="251" cm="1">
        <f t="array" ref="F47">SUMPRODUCT(ISNUMBER(SEARCH("743",'EFETIVO 11.05.2026'!$H$2:$H$712))*(('EFETIVO 11.05.2026'!$G$2:$G$712="F")+('EFETIVO 11.05.2026'!$G$2:$G$712="P")+('EFETIVO 11.05.2026'!$G$2:$G$712="T")+('EFETIVO 11.05.2026'!$G$2:$G$712="M"))*('EFETIVO 11.05.2026'!$C$2:$C$712=$B47))</f>
        <v>1</v>
      </c>
    </row>
    <row r="48" spans="2:6" x14ac:dyDescent="0.35">
      <c r="B48" s="177" t="s">
        <v>428</v>
      </c>
      <c r="C48" s="175" cm="1">
        <f t="array" ref="C48">SUMPRODUCT(ISNUMBER(SEARCH("743",'EFETIVO 11.05.2026'!$H$2:$H$712))*('EFETIVO 11.05.2026'!$G$2:$G$712="A")*('EFETIVO 11.05.2026'!$C$2:$C$712=B48))</f>
        <v>4</v>
      </c>
      <c r="D48" s="175" cm="1">
        <f t="array" ref="D48">SUMPRODUCT(ISNUMBER(SEARCH("743",'EFETIVO 11.05.2026'!$H$2:$H$712))*('EFETIVO 11.05.2026'!$G$2:$G$712="D")*('EFETIVO 11.05.2026'!$C$2:$C$712=B48))</f>
        <v>2</v>
      </c>
      <c r="E48" s="192">
        <f t="shared" si="1"/>
        <v>1.2539184952978056E-2</v>
      </c>
      <c r="F48" s="251" cm="1">
        <f t="array" ref="F48">SUMPRODUCT(ISNUMBER(SEARCH("743",'EFETIVO 11.05.2026'!$H$2:$H$712))*(('EFETIVO 11.05.2026'!$G$2:$G$712="F")+('EFETIVO 11.05.2026'!$G$2:$G$712="P")+('EFETIVO 11.05.2026'!$G$2:$G$712="T")+('EFETIVO 11.05.2026'!$G$2:$G$712="M"))*('EFETIVO 11.05.2026'!$C$2:$C$712=$B48))</f>
        <v>0</v>
      </c>
    </row>
    <row r="49" spans="2:6" x14ac:dyDescent="0.35">
      <c r="B49" s="177" t="s">
        <v>841</v>
      </c>
      <c r="C49" s="175" cm="1">
        <f t="array" ref="C49">SUMPRODUCT(ISNUMBER(SEARCH("743",'EFETIVO 11.05.2026'!$H$2:$H$712))*('EFETIVO 11.05.2026'!$G$2:$G$712="A")*('EFETIVO 11.05.2026'!$C$2:$C$712=B49))</f>
        <v>1</v>
      </c>
      <c r="D49" s="175" cm="1">
        <f t="array" ref="D49">SUMPRODUCT(ISNUMBER(SEARCH("743",'EFETIVO 11.05.2026'!$H$2:$H$712))*('EFETIVO 11.05.2026'!$G$2:$G$712="D")*('EFETIVO 11.05.2026'!$C$2:$C$712=B49))</f>
        <v>0</v>
      </c>
      <c r="E49" s="192">
        <f t="shared" si="1"/>
        <v>3.134796238244514E-3</v>
      </c>
      <c r="F49" s="251" cm="1">
        <f t="array" ref="F49">SUMPRODUCT(ISNUMBER(SEARCH("743",'EFETIVO 11.05.2026'!$H$2:$H$712))*(('EFETIVO 11.05.2026'!$G$2:$G$712="F")+('EFETIVO 11.05.2026'!$G$2:$G$712="P")+('EFETIVO 11.05.2026'!$G$2:$G$712="T")+('EFETIVO 11.05.2026'!$G$2:$G$712="M"))*('EFETIVO 11.05.2026'!$C$2:$C$712=$B49))</f>
        <v>0</v>
      </c>
    </row>
    <row r="50" spans="2:6" x14ac:dyDescent="0.35">
      <c r="B50" s="177" t="s">
        <v>429</v>
      </c>
      <c r="C50" s="175" cm="1">
        <f t="array" ref="C50">SUMPRODUCT(ISNUMBER(SEARCH("743",'EFETIVO 11.05.2026'!$H$2:$H$712))*('EFETIVO 11.05.2026'!$G$2:$G$712="A")*('EFETIVO 11.05.2026'!$C$2:$C$712=B50))</f>
        <v>3</v>
      </c>
      <c r="D50" s="175" cm="1">
        <f t="array" ref="D50">SUMPRODUCT(ISNUMBER(SEARCH("743",'EFETIVO 11.05.2026'!$H$2:$H$712))*('EFETIVO 11.05.2026'!$G$2:$G$712="D")*('EFETIVO 11.05.2026'!$C$2:$C$712=B50))</f>
        <v>0</v>
      </c>
      <c r="E50" s="192">
        <f t="shared" si="1"/>
        <v>9.4043887147335428E-3</v>
      </c>
      <c r="F50" s="251" cm="1">
        <f t="array" ref="F50">SUMPRODUCT(ISNUMBER(SEARCH("743",'EFETIVO 11.05.2026'!$H$2:$H$712))*(('EFETIVO 11.05.2026'!$G$2:$G$712="F")+('EFETIVO 11.05.2026'!$G$2:$G$712="P")+('EFETIVO 11.05.2026'!$G$2:$G$712="T")+('EFETIVO 11.05.2026'!$G$2:$G$712="M"))*('EFETIVO 11.05.2026'!$C$2:$C$712=$B50))</f>
        <v>0</v>
      </c>
    </row>
    <row r="51" spans="2:6" x14ac:dyDescent="0.35">
      <c r="B51" s="177" t="s">
        <v>430</v>
      </c>
      <c r="C51" s="175" cm="1">
        <f t="array" ref="C51">SUMPRODUCT(ISNUMBER(SEARCH("743",'EFETIVO 11.05.2026'!$H$2:$H$712))*('EFETIVO 11.05.2026'!$G$2:$G$712="A")*('EFETIVO 11.05.2026'!$C$2:$C$712=B51))</f>
        <v>1</v>
      </c>
      <c r="D51" s="175" cm="1">
        <f t="array" ref="D51">SUMPRODUCT(ISNUMBER(SEARCH("743",'EFETIVO 11.05.2026'!$H$2:$H$712))*('EFETIVO 11.05.2026'!$G$2:$G$712="D")*('EFETIVO 11.05.2026'!$C$2:$C$712=B51))</f>
        <v>0</v>
      </c>
      <c r="E51" s="192">
        <f t="shared" si="1"/>
        <v>3.134796238244514E-3</v>
      </c>
      <c r="F51" s="251" cm="1">
        <f t="array" ref="F51">SUMPRODUCT(ISNUMBER(SEARCH("743",'EFETIVO 11.05.2026'!$H$2:$H$712))*(('EFETIVO 11.05.2026'!$G$2:$G$712="F")+('EFETIVO 11.05.2026'!$G$2:$G$712="P")+('EFETIVO 11.05.2026'!$G$2:$G$712="T")+('EFETIVO 11.05.2026'!$G$2:$G$712="M"))*('EFETIVO 11.05.2026'!$C$2:$C$712=$B51))</f>
        <v>1</v>
      </c>
    </row>
    <row r="52" spans="2:6" x14ac:dyDescent="0.35">
      <c r="B52" s="177" t="s">
        <v>642</v>
      </c>
      <c r="C52" s="175" cm="1">
        <f t="array" ref="C52">SUMPRODUCT(ISNUMBER(SEARCH("743",'EFETIVO 11.05.2026'!$H$2:$H$712))*('EFETIVO 11.05.2026'!$G$2:$G$712="A")*('EFETIVO 11.05.2026'!$C$2:$C$712=B52))</f>
        <v>1</v>
      </c>
      <c r="D52" s="175" cm="1">
        <f t="array" ref="D52">SUMPRODUCT(ISNUMBER(SEARCH("743",'EFETIVO 11.05.2026'!$H$2:$H$712))*('EFETIVO 11.05.2026'!$G$2:$G$712="D")*('EFETIVO 11.05.2026'!$C$2:$C$712=B52))</f>
        <v>0</v>
      </c>
      <c r="E52" s="192">
        <f t="shared" si="1"/>
        <v>3.134796238244514E-3</v>
      </c>
      <c r="F52" s="251" cm="1">
        <f t="array" ref="F52">SUMPRODUCT(ISNUMBER(SEARCH("743",'EFETIVO 11.05.2026'!$H$2:$H$712))*(('EFETIVO 11.05.2026'!$G$2:$G$712="F")+('EFETIVO 11.05.2026'!$G$2:$G$712="P")+('EFETIVO 11.05.2026'!$G$2:$G$712="T")+('EFETIVO 11.05.2026'!$G$2:$G$712="M"))*('EFETIVO 11.05.2026'!$C$2:$C$712=$B52))</f>
        <v>0</v>
      </c>
    </row>
    <row r="53" spans="2:6" x14ac:dyDescent="0.35">
      <c r="B53" s="177" t="s">
        <v>586</v>
      </c>
      <c r="C53" s="175" cm="1">
        <f t="array" ref="C53">SUMPRODUCT(ISNUMBER(SEARCH("743",'EFETIVO 11.05.2026'!$H$2:$H$712))*('EFETIVO 11.05.2026'!$G$2:$G$712="A")*('EFETIVO 11.05.2026'!$C$2:$C$712=B53))</f>
        <v>1</v>
      </c>
      <c r="D53" s="175" cm="1">
        <f t="array" ref="D53">SUMPRODUCT(ISNUMBER(SEARCH("743",'EFETIVO 11.05.2026'!$H$2:$H$712))*('EFETIVO 11.05.2026'!$G$2:$G$712="D")*('EFETIVO 11.05.2026'!$C$2:$C$712=B53))</f>
        <v>0</v>
      </c>
      <c r="E53" s="192">
        <f t="shared" si="1"/>
        <v>3.134796238244514E-3</v>
      </c>
      <c r="F53" s="251" cm="1">
        <f t="array" ref="F53">SUMPRODUCT(ISNUMBER(SEARCH("743",'EFETIVO 11.05.2026'!$H$2:$H$712))*(('EFETIVO 11.05.2026'!$G$2:$G$712="F")+('EFETIVO 11.05.2026'!$G$2:$G$712="P")+('EFETIVO 11.05.2026'!$G$2:$G$712="T")+('EFETIVO 11.05.2026'!$G$2:$G$712="M"))*('EFETIVO 11.05.2026'!$C$2:$C$712=$B53))</f>
        <v>0</v>
      </c>
    </row>
    <row r="54" spans="2:6" x14ac:dyDescent="0.35">
      <c r="B54" s="177" t="s">
        <v>432</v>
      </c>
      <c r="C54" s="175" cm="1">
        <f t="array" ref="C54">SUMPRODUCT(ISNUMBER(SEARCH("743",'EFETIVO 11.05.2026'!$H$2:$H$712))*('EFETIVO 11.05.2026'!$G$2:$G$712="A")*('EFETIVO 11.05.2026'!$C$2:$C$712=B54))</f>
        <v>1</v>
      </c>
      <c r="D54" s="175" cm="1">
        <f t="array" ref="D54">SUMPRODUCT(ISNUMBER(SEARCH("743",'EFETIVO 11.05.2026'!$H$2:$H$712))*('EFETIVO 11.05.2026'!$G$2:$G$712="D")*('EFETIVO 11.05.2026'!$C$2:$C$712=B54))</f>
        <v>0</v>
      </c>
      <c r="E54" s="192">
        <f t="shared" si="1"/>
        <v>3.134796238244514E-3</v>
      </c>
      <c r="F54" s="251" cm="1">
        <f t="array" ref="F54">SUMPRODUCT(ISNUMBER(SEARCH("743",'EFETIVO 11.05.2026'!$H$2:$H$712))*(('EFETIVO 11.05.2026'!$G$2:$G$712="F")+('EFETIVO 11.05.2026'!$G$2:$G$712="P")+('EFETIVO 11.05.2026'!$G$2:$G$712="T")+('EFETIVO 11.05.2026'!$G$2:$G$712="M"))*('EFETIVO 11.05.2026'!$C$2:$C$712=$B54))</f>
        <v>0</v>
      </c>
    </row>
    <row r="55" spans="2:6" x14ac:dyDescent="0.35">
      <c r="B55" s="177" t="s">
        <v>620</v>
      </c>
      <c r="C55" s="175" cm="1">
        <f t="array" ref="C55">SUMPRODUCT(ISNUMBER(SEARCH("743",'EFETIVO 11.05.2026'!$H$2:$H$712))*('EFETIVO 11.05.2026'!$G$2:$G$712="A")*('EFETIVO 11.05.2026'!$C$2:$C$712=B55))</f>
        <v>1</v>
      </c>
      <c r="D55" s="175" cm="1">
        <f t="array" ref="D55">SUMPRODUCT(ISNUMBER(SEARCH("743",'EFETIVO 11.05.2026'!$H$2:$H$712))*('EFETIVO 11.05.2026'!$G$2:$G$712="D")*('EFETIVO 11.05.2026'!$C$2:$C$712=B55))</f>
        <v>0</v>
      </c>
      <c r="E55" s="192">
        <f t="shared" si="1"/>
        <v>3.134796238244514E-3</v>
      </c>
      <c r="F55" s="251" cm="1">
        <f t="array" ref="F55">SUMPRODUCT(ISNUMBER(SEARCH("743",'EFETIVO 11.05.2026'!$H$2:$H$712))*(('EFETIVO 11.05.2026'!$G$2:$G$712="F")+('EFETIVO 11.05.2026'!$G$2:$G$712="P")+('EFETIVO 11.05.2026'!$G$2:$G$712="T")+('EFETIVO 11.05.2026'!$G$2:$G$712="M"))*('EFETIVO 11.05.2026'!$C$2:$C$712=$B55))</f>
        <v>0</v>
      </c>
    </row>
    <row r="56" spans="2:6" x14ac:dyDescent="0.35">
      <c r="B56" s="177" t="s">
        <v>433</v>
      </c>
      <c r="C56" s="175" cm="1">
        <f t="array" ref="C56">SUMPRODUCT(ISNUMBER(SEARCH("743",'EFETIVO 11.05.2026'!$H$2:$H$712))*('EFETIVO 11.05.2026'!$G$2:$G$712="A")*('EFETIVO 11.05.2026'!$C$2:$C$712=B56))</f>
        <v>5</v>
      </c>
      <c r="D56" s="175" cm="1">
        <f t="array" ref="D56">SUMPRODUCT(ISNUMBER(SEARCH("743",'EFETIVO 11.05.2026'!$H$2:$H$712))*('EFETIVO 11.05.2026'!$G$2:$G$712="D")*('EFETIVO 11.05.2026'!$C$2:$C$712=B56))</f>
        <v>4</v>
      </c>
      <c r="E56" s="192">
        <f t="shared" si="1"/>
        <v>1.5673981191222569E-2</v>
      </c>
      <c r="F56" s="251" cm="1">
        <f t="array" ref="F56">SUMPRODUCT(ISNUMBER(SEARCH("743",'EFETIVO 11.05.2026'!$H$2:$H$712))*(('EFETIVO 11.05.2026'!$G$2:$G$712="F")+('EFETIVO 11.05.2026'!$G$2:$G$712="P")+('EFETIVO 11.05.2026'!$G$2:$G$712="T")+('EFETIVO 11.05.2026'!$G$2:$G$712="M"))*('EFETIVO 11.05.2026'!$C$2:$C$712=$B56))</f>
        <v>0</v>
      </c>
    </row>
    <row r="57" spans="2:6" x14ac:dyDescent="0.35">
      <c r="B57" s="177" t="s">
        <v>434</v>
      </c>
      <c r="C57" s="175" cm="1">
        <f t="array" ref="C57">SUMPRODUCT(ISNUMBER(SEARCH("743",'EFETIVO 11.05.2026'!$H$2:$H$712))*('EFETIVO 11.05.2026'!$G$2:$G$712="A")*('EFETIVO 11.05.2026'!$C$2:$C$712=B57))</f>
        <v>1</v>
      </c>
      <c r="D57" s="175" cm="1">
        <f t="array" ref="D57">SUMPRODUCT(ISNUMBER(SEARCH("743",'EFETIVO 11.05.2026'!$H$2:$H$712))*('EFETIVO 11.05.2026'!$G$2:$G$712="D")*('EFETIVO 11.05.2026'!$C$2:$C$712=B57))</f>
        <v>0</v>
      </c>
      <c r="E57" s="192">
        <f t="shared" si="1"/>
        <v>3.134796238244514E-3</v>
      </c>
      <c r="F57" s="251" cm="1">
        <f t="array" ref="F57">SUMPRODUCT(ISNUMBER(SEARCH("743",'EFETIVO 11.05.2026'!$H$2:$H$712))*(('EFETIVO 11.05.2026'!$G$2:$G$712="F")+('EFETIVO 11.05.2026'!$G$2:$G$712="P")+('EFETIVO 11.05.2026'!$G$2:$G$712="T")+('EFETIVO 11.05.2026'!$G$2:$G$712="M"))*('EFETIVO 11.05.2026'!$C$2:$C$712=$B57))</f>
        <v>0</v>
      </c>
    </row>
    <row r="58" spans="2:6" x14ac:dyDescent="0.35">
      <c r="B58" s="177" t="s">
        <v>552</v>
      </c>
      <c r="C58" s="175" cm="1">
        <f t="array" ref="C58">SUMPRODUCT(ISNUMBER(SEARCH("743",'EFETIVO 11.05.2026'!$H$2:$H$712))*('EFETIVO 11.05.2026'!$G$2:$G$712="A")*('EFETIVO 11.05.2026'!$C$2:$C$712=B58))</f>
        <v>1</v>
      </c>
      <c r="D58" s="175" cm="1">
        <f t="array" ref="D58">SUMPRODUCT(ISNUMBER(SEARCH("743",'EFETIVO 11.05.2026'!$H$2:$H$712))*('EFETIVO 11.05.2026'!$G$2:$G$712="D")*('EFETIVO 11.05.2026'!$C$2:$C$712=B58))</f>
        <v>2</v>
      </c>
      <c r="E58" s="192">
        <f t="shared" si="1"/>
        <v>3.134796238244514E-3</v>
      </c>
      <c r="F58" s="251" cm="1">
        <f t="array" ref="F58">SUMPRODUCT(ISNUMBER(SEARCH("743",'EFETIVO 11.05.2026'!$H$2:$H$712))*(('EFETIVO 11.05.2026'!$G$2:$G$712="F")+('EFETIVO 11.05.2026'!$G$2:$G$712="P")+('EFETIVO 11.05.2026'!$G$2:$G$712="T")+('EFETIVO 11.05.2026'!$G$2:$G$712="M"))*('EFETIVO 11.05.2026'!$C$2:$C$712=$B58))</f>
        <v>0</v>
      </c>
    </row>
    <row r="59" spans="2:6" x14ac:dyDescent="0.35">
      <c r="B59" s="177" t="s">
        <v>436</v>
      </c>
      <c r="C59" s="175" cm="1">
        <f t="array" ref="C59">SUMPRODUCT(ISNUMBER(SEARCH("743",'EFETIVO 11.05.2026'!$H$2:$H$712))*('EFETIVO 11.05.2026'!$G$2:$G$712="A")*('EFETIVO 11.05.2026'!$C$2:$C$712=B59))</f>
        <v>7</v>
      </c>
      <c r="D59" s="175" cm="1">
        <f t="array" ref="D59">SUMPRODUCT(ISNUMBER(SEARCH("743",'EFETIVO 11.05.2026'!$H$2:$H$712))*('EFETIVO 11.05.2026'!$G$2:$G$712="D")*('EFETIVO 11.05.2026'!$C$2:$C$712=B59))</f>
        <v>1</v>
      </c>
      <c r="E59" s="192">
        <f t="shared" si="1"/>
        <v>2.1943573667711599E-2</v>
      </c>
      <c r="F59" s="251" cm="1">
        <f t="array" ref="F59">SUMPRODUCT(ISNUMBER(SEARCH("743",'EFETIVO 11.05.2026'!$H$2:$H$712))*(('EFETIVO 11.05.2026'!$G$2:$G$712="F")+('EFETIVO 11.05.2026'!$G$2:$G$712="P")+('EFETIVO 11.05.2026'!$G$2:$G$712="T")+('EFETIVO 11.05.2026'!$G$2:$G$712="M"))*('EFETIVO 11.05.2026'!$C$2:$C$712=$B59))</f>
        <v>0</v>
      </c>
    </row>
    <row r="60" spans="2:6" x14ac:dyDescent="0.35">
      <c r="B60" s="177" t="s">
        <v>872</v>
      </c>
      <c r="C60" s="175" cm="1">
        <f t="array" ref="C60">SUMPRODUCT(ISNUMBER(SEARCH("743",'EFETIVO 11.05.2026'!$H$2:$H$712))*('EFETIVO 11.05.2026'!$G$2:$G$712="A")*('EFETIVO 11.05.2026'!$C$2:$C$712=B60))</f>
        <v>2</v>
      </c>
      <c r="D60" s="175" cm="1">
        <f t="array" ref="D60">SUMPRODUCT(ISNUMBER(SEARCH("743",'EFETIVO 11.05.2026'!$H$2:$H$712))*('EFETIVO 11.05.2026'!$G$2:$G$712="D")*('EFETIVO 11.05.2026'!$C$2:$C$712=B60))</f>
        <v>0</v>
      </c>
      <c r="E60" s="192">
        <f t="shared" si="1"/>
        <v>6.269592476489028E-3</v>
      </c>
      <c r="F60" s="251" cm="1">
        <f t="array" ref="F60">SUMPRODUCT(ISNUMBER(SEARCH("743",'EFETIVO 11.05.2026'!$H$2:$H$712))*(('EFETIVO 11.05.2026'!$G$2:$G$712="F")+('EFETIVO 11.05.2026'!$G$2:$G$712="P")+('EFETIVO 11.05.2026'!$G$2:$G$712="T")+('EFETIVO 11.05.2026'!$G$2:$G$712="M"))*('EFETIVO 11.05.2026'!$C$2:$C$712=$B60))</f>
        <v>0</v>
      </c>
    </row>
    <row r="61" spans="2:6" x14ac:dyDescent="0.35">
      <c r="B61" s="177" t="s">
        <v>437</v>
      </c>
      <c r="C61" s="175" cm="1">
        <f t="array" ref="C61">SUMPRODUCT(ISNUMBER(SEARCH("743",'EFETIVO 11.05.2026'!$H$2:$H$712))*('EFETIVO 11.05.2026'!$G$2:$G$712="A")*('EFETIVO 11.05.2026'!$C$2:$C$712=B61))</f>
        <v>3</v>
      </c>
      <c r="D61" s="175" cm="1">
        <f t="array" ref="D61">SUMPRODUCT(ISNUMBER(SEARCH("743",'EFETIVO 11.05.2026'!$H$2:$H$712))*('EFETIVO 11.05.2026'!$G$2:$G$712="D")*('EFETIVO 11.05.2026'!$C$2:$C$712=B61))</f>
        <v>2</v>
      </c>
      <c r="E61" s="192">
        <f t="shared" si="1"/>
        <v>9.4043887147335428E-3</v>
      </c>
      <c r="F61" s="251" cm="1">
        <f t="array" ref="F61">SUMPRODUCT(ISNUMBER(SEARCH("743",'EFETIVO 11.05.2026'!$H$2:$H$712))*(('EFETIVO 11.05.2026'!$G$2:$G$712="F")+('EFETIVO 11.05.2026'!$G$2:$G$712="P")+('EFETIVO 11.05.2026'!$G$2:$G$712="T")+('EFETIVO 11.05.2026'!$G$2:$G$712="M"))*('EFETIVO 11.05.2026'!$C$2:$C$712=$B61))</f>
        <v>0</v>
      </c>
    </row>
    <row r="62" spans="2:6" x14ac:dyDescent="0.35">
      <c r="B62" s="177" t="s">
        <v>825</v>
      </c>
      <c r="C62" s="175" cm="1">
        <f t="array" ref="C62">SUMPRODUCT(ISNUMBER(SEARCH("743",'EFETIVO 11.05.2026'!$H$2:$H$712))*('EFETIVO 11.05.2026'!$G$2:$G$712="A")*('EFETIVO 11.05.2026'!$C$2:$C$712=B62))</f>
        <v>1</v>
      </c>
      <c r="D62" s="175" cm="1">
        <f t="array" ref="D62">SUMPRODUCT(ISNUMBER(SEARCH("743",'EFETIVO 11.05.2026'!$H$2:$H$712))*('EFETIVO 11.05.2026'!$G$2:$G$712="D")*('EFETIVO 11.05.2026'!$C$2:$C$712=B62))</f>
        <v>1</v>
      </c>
      <c r="E62" s="192">
        <f t="shared" si="1"/>
        <v>3.134796238244514E-3</v>
      </c>
      <c r="F62" s="251" cm="1">
        <f t="array" ref="F62">SUMPRODUCT(ISNUMBER(SEARCH("743",'EFETIVO 11.05.2026'!$H$2:$H$712))*(('EFETIVO 11.05.2026'!$G$2:$G$712="F")+('EFETIVO 11.05.2026'!$G$2:$G$712="P")+('EFETIVO 11.05.2026'!$G$2:$G$712="T")+('EFETIVO 11.05.2026'!$G$2:$G$712="M"))*('EFETIVO 11.05.2026'!$C$2:$C$712=$B62))</f>
        <v>0</v>
      </c>
    </row>
    <row r="63" spans="2:6" x14ac:dyDescent="0.35">
      <c r="B63" s="177" t="s">
        <v>796</v>
      </c>
      <c r="C63" s="175" cm="1">
        <f t="array" ref="C63">SUMPRODUCT(ISNUMBER(SEARCH("743",'EFETIVO 11.05.2026'!$H$2:$H$712))*('EFETIVO 11.05.2026'!$G$2:$G$712="A")*('EFETIVO 11.05.2026'!$C$2:$C$712=B63))</f>
        <v>1</v>
      </c>
      <c r="D63" s="175" cm="1">
        <f t="array" ref="D63">SUMPRODUCT(ISNUMBER(SEARCH("743",'EFETIVO 11.05.2026'!$H$2:$H$712))*('EFETIVO 11.05.2026'!$G$2:$G$712="D")*('EFETIVO 11.05.2026'!$C$2:$C$712=B63))</f>
        <v>0</v>
      </c>
      <c r="E63" s="192">
        <f t="shared" si="1"/>
        <v>3.134796238244514E-3</v>
      </c>
      <c r="F63" s="251" cm="1">
        <f t="array" ref="F63">SUMPRODUCT(ISNUMBER(SEARCH("743",'EFETIVO 11.05.2026'!$H$2:$H$712))*(('EFETIVO 11.05.2026'!$G$2:$G$712="F")+('EFETIVO 11.05.2026'!$G$2:$G$712="P")+('EFETIVO 11.05.2026'!$G$2:$G$712="T")+('EFETIVO 11.05.2026'!$G$2:$G$712="M"))*('EFETIVO 11.05.2026'!$C$2:$C$712=$B63))</f>
        <v>0</v>
      </c>
    </row>
    <row r="64" spans="2:6" x14ac:dyDescent="0.35">
      <c r="B64" s="177" t="s">
        <v>439</v>
      </c>
      <c r="C64" s="175" cm="1">
        <f t="array" ref="C64">SUMPRODUCT(ISNUMBER(SEARCH("743",'EFETIVO 11.05.2026'!$H$2:$H$712))*('EFETIVO 11.05.2026'!$G$2:$G$712="A")*('EFETIVO 11.05.2026'!$C$2:$C$712=B64))</f>
        <v>4</v>
      </c>
      <c r="D64" s="175" cm="1">
        <f t="array" ref="D64">SUMPRODUCT(ISNUMBER(SEARCH("743",'EFETIVO 11.05.2026'!$H$2:$H$712))*('EFETIVO 11.05.2026'!$G$2:$G$712="D")*('EFETIVO 11.05.2026'!$C$2:$C$712=B64))</f>
        <v>2</v>
      </c>
      <c r="E64" s="192">
        <f t="shared" si="1"/>
        <v>1.2539184952978056E-2</v>
      </c>
      <c r="F64" s="251" cm="1">
        <f t="array" ref="F64">SUMPRODUCT(ISNUMBER(SEARCH("743",'EFETIVO 11.05.2026'!$H$2:$H$712))*(('EFETIVO 11.05.2026'!$G$2:$G$712="F")+('EFETIVO 11.05.2026'!$G$2:$G$712="P")+('EFETIVO 11.05.2026'!$G$2:$G$712="T")+('EFETIVO 11.05.2026'!$G$2:$G$712="M"))*('EFETIVO 11.05.2026'!$C$2:$C$712=$B64))</f>
        <v>0</v>
      </c>
    </row>
    <row r="65" spans="2:14" x14ac:dyDescent="0.35">
      <c r="B65" s="177" t="s">
        <v>440</v>
      </c>
      <c r="C65" s="175" cm="1">
        <f t="array" ref="C65">SUMPRODUCT(ISNUMBER(SEARCH("743",'EFETIVO 11.05.2026'!$H$2:$H$712))*('EFETIVO 11.05.2026'!$G$2:$G$712="A")*('EFETIVO 11.05.2026'!$C$2:$C$712=B65))</f>
        <v>4</v>
      </c>
      <c r="D65" s="175" cm="1">
        <f t="array" ref="D65">SUMPRODUCT(ISNUMBER(SEARCH("743",'EFETIVO 11.05.2026'!$H$2:$H$712))*('EFETIVO 11.05.2026'!$G$2:$G$712="D")*('EFETIVO 11.05.2026'!$C$2:$C$712=B65))</f>
        <v>0</v>
      </c>
      <c r="E65" s="192">
        <f t="shared" si="1"/>
        <v>1.2539184952978056E-2</v>
      </c>
      <c r="F65" s="251" cm="1">
        <f t="array" ref="F65">SUMPRODUCT(ISNUMBER(SEARCH("743",'EFETIVO 11.05.2026'!$H$2:$H$712))*(('EFETIVO 11.05.2026'!$G$2:$G$712="F")+('EFETIVO 11.05.2026'!$G$2:$G$712="P")+('EFETIVO 11.05.2026'!$G$2:$G$712="T")+('EFETIVO 11.05.2026'!$G$2:$G$712="M"))*('EFETIVO 11.05.2026'!$C$2:$C$712=$B65))</f>
        <v>0</v>
      </c>
    </row>
    <row r="66" spans="2:14" x14ac:dyDescent="0.35">
      <c r="B66" s="177" t="s">
        <v>1028</v>
      </c>
      <c r="C66" s="175" cm="1">
        <f t="array" ref="C66">SUMPRODUCT(ISNUMBER(SEARCH("743",'EFETIVO 11.05.2026'!$H$2:$H$712))*('EFETIVO 11.05.2026'!$G$2:$G$712="A")*('EFETIVO 11.05.2026'!$C$2:$C$712=B66))</f>
        <v>1</v>
      </c>
      <c r="D66" s="175" cm="1">
        <f t="array" ref="D66">SUMPRODUCT(ISNUMBER(SEARCH("743",'EFETIVO 11.05.2026'!$H$2:$H$712))*('EFETIVO 11.05.2026'!$G$2:$G$712="D")*('EFETIVO 11.05.2026'!$C$2:$C$712=B66))</f>
        <v>0</v>
      </c>
      <c r="E66" s="192">
        <f t="shared" si="1"/>
        <v>3.134796238244514E-3</v>
      </c>
      <c r="F66" s="251" cm="1">
        <f t="array" ref="F66">SUMPRODUCT(ISNUMBER(SEARCH("743",'EFETIVO 11.05.2026'!$H$2:$H$712))*(('EFETIVO 11.05.2026'!$G$2:$G$712="F")+('EFETIVO 11.05.2026'!$G$2:$G$712="P")+('EFETIVO 11.05.2026'!$G$2:$G$712="T")+('EFETIVO 11.05.2026'!$G$2:$G$712="M"))*('EFETIVO 11.05.2026'!$C$2:$C$712=$B66))</f>
        <v>0</v>
      </c>
    </row>
    <row r="67" spans="2:14" x14ac:dyDescent="0.35">
      <c r="B67" s="177" t="s">
        <v>625</v>
      </c>
      <c r="C67" s="175" cm="1">
        <f t="array" ref="C67">SUMPRODUCT(ISNUMBER(SEARCH("743",'EFETIVO 11.05.2026'!$H$2:$H$712))*('EFETIVO 11.05.2026'!$G$2:$G$712="A")*('EFETIVO 11.05.2026'!$C$2:$C$712=B67))</f>
        <v>4</v>
      </c>
      <c r="D67" s="175" cm="1">
        <f t="array" ref="D67">SUMPRODUCT(ISNUMBER(SEARCH("743",'EFETIVO 11.05.2026'!$H$2:$H$712))*('EFETIVO 11.05.2026'!$G$2:$G$712="D")*('EFETIVO 11.05.2026'!$C$2:$C$712=B67))</f>
        <v>3</v>
      </c>
      <c r="E67" s="192">
        <f t="shared" si="1"/>
        <v>1.2539184952978056E-2</v>
      </c>
      <c r="F67" s="251" cm="1">
        <f t="array" ref="F67">SUMPRODUCT(ISNUMBER(SEARCH("743",'EFETIVO 11.05.2026'!$H$2:$H$712))*(('EFETIVO 11.05.2026'!$G$2:$G$712="F")+('EFETIVO 11.05.2026'!$G$2:$G$712="P")+('EFETIVO 11.05.2026'!$G$2:$G$712="T")+('EFETIVO 11.05.2026'!$G$2:$G$712="M"))*('EFETIVO 11.05.2026'!$C$2:$C$712=$B67))</f>
        <v>0</v>
      </c>
    </row>
    <row r="68" spans="2:14" x14ac:dyDescent="0.35">
      <c r="B68" s="177" t="s">
        <v>544</v>
      </c>
      <c r="C68" s="175" cm="1">
        <f t="array" ref="C68">SUMPRODUCT(ISNUMBER(SEARCH("743",'EFETIVO 11.05.2026'!$H$2:$H$712))*('EFETIVO 11.05.2026'!$G$2:$G$712="A")*('EFETIVO 11.05.2026'!$C$2:$C$712=B68))</f>
        <v>5</v>
      </c>
      <c r="D68" s="175" cm="1">
        <f t="array" ref="D68">SUMPRODUCT(ISNUMBER(SEARCH("743",'EFETIVO 11.05.2026'!$H$2:$H$712))*('EFETIVO 11.05.2026'!$G$2:$G$712="D")*('EFETIVO 11.05.2026'!$C$2:$C$712=B68))</f>
        <v>1</v>
      </c>
      <c r="E68" s="192">
        <f t="shared" si="1"/>
        <v>1.5673981191222569E-2</v>
      </c>
      <c r="F68" s="251" cm="1">
        <f t="array" ref="F68">SUMPRODUCT(ISNUMBER(SEARCH("743",'EFETIVO 11.05.2026'!$H$2:$H$712))*(('EFETIVO 11.05.2026'!$G$2:$G$712="F")+('EFETIVO 11.05.2026'!$G$2:$G$712="P")+('EFETIVO 11.05.2026'!$G$2:$G$712="T")+('EFETIVO 11.05.2026'!$G$2:$G$712="M"))*('EFETIVO 11.05.2026'!$C$2:$C$712=$B68))</f>
        <v>0</v>
      </c>
    </row>
    <row r="69" spans="2:14" x14ac:dyDescent="0.35">
      <c r="B69" s="177" t="s">
        <v>527</v>
      </c>
      <c r="C69" s="175" cm="1">
        <f t="array" ref="C69">SUMPRODUCT(ISNUMBER(SEARCH("743",'EFETIVO 11.05.2026'!$H$2:$H$712))*('EFETIVO 11.05.2026'!$G$2:$G$712="A")*('EFETIVO 11.05.2026'!$C$2:$C$712=B69))</f>
        <v>1</v>
      </c>
      <c r="D69" s="175" cm="1">
        <f t="array" ref="D69">SUMPRODUCT(ISNUMBER(SEARCH("743",'EFETIVO 11.05.2026'!$H$2:$H$712))*('EFETIVO 11.05.2026'!$G$2:$G$712="D")*('EFETIVO 11.05.2026'!$C$2:$C$712=B69))</f>
        <v>0</v>
      </c>
      <c r="E69" s="192">
        <f t="shared" si="1"/>
        <v>3.134796238244514E-3</v>
      </c>
      <c r="F69" s="251" cm="1">
        <f t="array" ref="F69">SUMPRODUCT(ISNUMBER(SEARCH("743",'EFETIVO 11.05.2026'!$H$2:$H$712))*(('EFETIVO 11.05.2026'!$G$2:$G$712="F")+('EFETIVO 11.05.2026'!$G$2:$G$712="P")+('EFETIVO 11.05.2026'!$G$2:$G$712="T")+('EFETIVO 11.05.2026'!$G$2:$G$712="M"))*('EFETIVO 11.05.2026'!$C$2:$C$712=$B69))</f>
        <v>0</v>
      </c>
    </row>
    <row r="70" spans="2:14" x14ac:dyDescent="0.35">
      <c r="B70" s="177" t="s">
        <v>591</v>
      </c>
      <c r="C70" s="175" cm="1">
        <f t="array" ref="C70">SUMPRODUCT(ISNUMBER(SEARCH("743",'EFETIVO 11.05.2026'!$H$2:$H$712))*('EFETIVO 11.05.2026'!$G$2:$G$712="A")*('EFETIVO 11.05.2026'!$C$2:$C$712=B70))</f>
        <v>4</v>
      </c>
      <c r="D70" s="175" cm="1">
        <f t="array" ref="D70">SUMPRODUCT(ISNUMBER(SEARCH("743",'EFETIVO 11.05.2026'!$H$2:$H$712))*('EFETIVO 11.05.2026'!$G$2:$G$712="D")*('EFETIVO 11.05.2026'!$C$2:$C$712=B70))</f>
        <v>0</v>
      </c>
      <c r="E70" s="192">
        <f t="shared" si="1"/>
        <v>1.2539184952978056E-2</v>
      </c>
      <c r="F70" s="251" cm="1">
        <f t="array" ref="F70">SUMPRODUCT(ISNUMBER(SEARCH("743",'EFETIVO 11.05.2026'!$H$2:$H$712))*(('EFETIVO 11.05.2026'!$G$2:$G$712="F")+('EFETIVO 11.05.2026'!$G$2:$G$712="P")+('EFETIVO 11.05.2026'!$G$2:$G$712="T")+('EFETIVO 11.05.2026'!$G$2:$G$712="M"))*('EFETIVO 11.05.2026'!$C$2:$C$712=$B70))</f>
        <v>0</v>
      </c>
    </row>
    <row r="71" spans="2:14" x14ac:dyDescent="0.35">
      <c r="B71" s="177" t="s">
        <v>836</v>
      </c>
      <c r="C71" s="175" cm="1">
        <f t="array" ref="C71">SUMPRODUCT(ISNUMBER(SEARCH("743",'EFETIVO 11.05.2026'!$H$2:$H$712))*('EFETIVO 11.05.2026'!$G$2:$G$712="A")*('EFETIVO 11.05.2026'!$C$2:$C$712=B71))</f>
        <v>1</v>
      </c>
      <c r="D71" s="175" cm="1">
        <f t="array" ref="D71">SUMPRODUCT(ISNUMBER(SEARCH("743",'EFETIVO 11.05.2026'!$H$2:$H$712))*('EFETIVO 11.05.2026'!$G$2:$G$712="D")*('EFETIVO 11.05.2026'!$C$2:$C$712=B71))</f>
        <v>0</v>
      </c>
      <c r="E71" s="192">
        <f t="shared" si="1"/>
        <v>3.134796238244514E-3</v>
      </c>
      <c r="F71" s="251" cm="1">
        <f t="array" ref="F71">SUMPRODUCT(ISNUMBER(SEARCH("743",'EFETIVO 11.05.2026'!$H$2:$H$712))*(('EFETIVO 11.05.2026'!$G$2:$G$712="F")+('EFETIVO 11.05.2026'!$G$2:$G$712="P")+('EFETIVO 11.05.2026'!$G$2:$G$712="T")+('EFETIVO 11.05.2026'!$G$2:$G$712="M"))*('EFETIVO 11.05.2026'!$C$2:$C$712=$B71))</f>
        <v>0</v>
      </c>
    </row>
    <row r="72" spans="2:14" x14ac:dyDescent="0.35">
      <c r="B72" s="177" t="s">
        <v>441</v>
      </c>
      <c r="C72" s="175" cm="1">
        <f t="array" ref="C72">SUMPRODUCT(ISNUMBER(SEARCH("743",'EFETIVO 11.05.2026'!$H$2:$H$712))*('EFETIVO 11.05.2026'!$G$2:$G$712="A")*('EFETIVO 11.05.2026'!$C$2:$C$712=B72))</f>
        <v>31</v>
      </c>
      <c r="D72" s="175" cm="1">
        <f t="array" ref="D72">SUMPRODUCT(ISNUMBER(SEARCH("743",'EFETIVO 11.05.2026'!$H$2:$H$712))*('EFETIVO 11.05.2026'!$G$2:$G$712="D")*('EFETIVO 11.05.2026'!$C$2:$C$712=B72))</f>
        <v>2</v>
      </c>
      <c r="E72" s="192">
        <f t="shared" si="1"/>
        <v>9.7178683385579931E-2</v>
      </c>
      <c r="F72" s="251" cm="1">
        <f t="array" ref="F72">SUMPRODUCT(ISNUMBER(SEARCH("743",'EFETIVO 11.05.2026'!$H$2:$H$712))*(('EFETIVO 11.05.2026'!$G$2:$G$712="F")+('EFETIVO 11.05.2026'!$G$2:$G$712="P")+('EFETIVO 11.05.2026'!$G$2:$G$712="T")+('EFETIVO 11.05.2026'!$G$2:$G$712="M"))*('EFETIVO 11.05.2026'!$C$2:$C$712=$B72))</f>
        <v>0</v>
      </c>
    </row>
    <row r="73" spans="2:14" ht="15" thickBot="1" x14ac:dyDescent="0.4">
      <c r="B73" s="202"/>
      <c r="C73" s="203"/>
      <c r="D73" s="203"/>
      <c r="E73" s="194"/>
      <c r="F73" s="251" cm="1">
        <f t="array" ref="F73">SUMPRODUCT(ISNUMBER(SEARCH("743",'EFETIVO 11.05.2026'!$H$2:$H$712))*(('EFETIVO 11.05.2026'!$G$2:$G$712="F")+('EFETIVO 11.05.2026'!$G$2:$G$712="P")+('EFETIVO 11.05.2026'!$G$2:$G$712="T")+('EFETIVO 11.05.2026'!$G$2:$G$712="M"))*('EFETIVO 11.05.2026'!$C$2:$C$712=$B73))</f>
        <v>0</v>
      </c>
    </row>
    <row r="74" spans="2:14" x14ac:dyDescent="0.35">
      <c r="B74" s="177" t="s">
        <v>443</v>
      </c>
      <c r="C74" s="175" cm="1">
        <f t="array" ref="C74">SUMPRODUCT(ISNUMBER(SEARCH("743",'EFETIVO 11.05.2026'!$H$2:$H$712))*('EFETIVO 11.05.2026'!$G$2:$G$712="A")*('EFETIVO 11.05.2026'!$C$2:$C$712=B74))</f>
        <v>9</v>
      </c>
      <c r="D74" s="175" cm="1">
        <f t="array" ref="D74">SUMPRODUCT(ISNUMBER(SEARCH("743",'EFETIVO 11.05.2026'!$H$2:$H$712))*('EFETIVO 11.05.2026'!$G$2:$G$712="D")*('EFETIVO 11.05.2026'!$C$2:$C$712=B74))</f>
        <v>1</v>
      </c>
      <c r="F74" s="251" cm="1">
        <f t="array" ref="F74">SUMPRODUCT(ISNUMBER(SEARCH("743",'EFETIVO 11.05.2026'!$H$2:$H$712))*(('EFETIVO 11.05.2026'!$G$2:$G$712="F")+('EFETIVO 11.05.2026'!$G$2:$G$712="P")+('EFETIVO 11.05.2026'!$G$2:$G$712="T")+('EFETIVO 11.05.2026'!$G$2:$G$712="M"))*('EFETIVO 11.05.2026'!$C$2:$C$712=$B74))</f>
        <v>0</v>
      </c>
    </row>
    <row r="75" spans="2:14" x14ac:dyDescent="0.35">
      <c r="B75" s="177" t="s">
        <v>444</v>
      </c>
      <c r="C75" s="175" cm="1">
        <f t="array" ref="C75">SUMPRODUCT(ISNUMBER(SEARCH("743",'EFETIVO 11.05.2026'!$H$2:$H$712))*('EFETIVO 11.05.2026'!$G$2:$G$712="A")*('EFETIVO 11.05.2026'!$C$2:$C$712=B75))</f>
        <v>6</v>
      </c>
      <c r="D75" s="175" cm="1">
        <f t="array" ref="D75">SUMPRODUCT(ISNUMBER(SEARCH("743",'EFETIVO 11.05.2026'!$H$2:$H$712))*('EFETIVO 11.05.2026'!$G$2:$G$712="D")*('EFETIVO 11.05.2026'!$C$2:$C$712=B75))</f>
        <v>1</v>
      </c>
      <c r="F75" s="251" cm="1">
        <f t="array" ref="F75">SUMPRODUCT(ISNUMBER(SEARCH("743",'EFETIVO 11.05.2026'!$H$2:$H$712))*(('EFETIVO 11.05.2026'!$G$2:$G$712="F")+('EFETIVO 11.05.2026'!$G$2:$G$712="P")+('EFETIVO 11.05.2026'!$G$2:$G$712="T")+('EFETIVO 11.05.2026'!$G$2:$G$712="M"))*('EFETIVO 11.05.2026'!$C$2:$C$712=$B75))</f>
        <v>0</v>
      </c>
    </row>
    <row r="76" spans="2:14" ht="24" customHeight="1" x14ac:dyDescent="0.4">
      <c r="B76" s="1388" t="s">
        <v>445</v>
      </c>
      <c r="C76" s="1389"/>
      <c r="D76" s="1389"/>
      <c r="E76" s="1011"/>
      <c r="F76" s="1390"/>
      <c r="G76" s="1011"/>
      <c r="H76" s="1011"/>
      <c r="I76" s="1011"/>
      <c r="J76" s="1011"/>
      <c r="K76" s="1011"/>
      <c r="L76" s="1011"/>
      <c r="M76" s="1011"/>
      <c r="N76" s="1011"/>
    </row>
    <row r="77" spans="2:14" ht="20.149999999999999" customHeight="1" x14ac:dyDescent="0.35">
      <c r="B77" s="1391" t="s">
        <v>874</v>
      </c>
      <c r="C77" s="1392"/>
      <c r="D77" s="1392"/>
      <c r="E77" s="1263"/>
      <c r="F77" s="1393"/>
      <c r="G77" s="1263"/>
      <c r="H77" s="1263"/>
      <c r="I77" s="1263"/>
      <c r="J77" s="1263"/>
      <c r="K77" s="1263"/>
      <c r="L77" s="1263"/>
      <c r="M77" s="1263"/>
      <c r="N77" s="1263"/>
    </row>
    <row r="78" spans="2:14" x14ac:dyDescent="0.35">
      <c r="B78" s="177" t="s">
        <v>447</v>
      </c>
      <c r="C78" s="175" cm="1">
        <f t="array" ref="C78">SUMPRODUCT(ISNUMBER(SEARCH("743",'EFETIVO 11.05.2026'!$H$2:$H$712))*('EFETIVO 11.05.2026'!$G$2:$G$712="A")*('EFETIVO 11.05.2026'!$C$2:$C$712=B78))</f>
        <v>1</v>
      </c>
      <c r="D78" s="175" cm="1">
        <f t="array" ref="D78">SUMPRODUCT(ISNUMBER(SEARCH("743",'EFETIVO 11.05.2026'!$H$2:$H$712))*('EFETIVO 11.05.2026'!$G$2:$G$712="D")*('EFETIVO 11.05.2026'!$C$2:$C$712=B78))</f>
        <v>0</v>
      </c>
      <c r="F78" s="251" cm="1">
        <f t="array" ref="F78">SUMPRODUCT(ISNUMBER(SEARCH("743",'EFETIVO 11.05.2026'!$H$2:$H$712))*(('EFETIVO 11.05.2026'!$G$2:$G$712="F")+('EFETIVO 11.05.2026'!$G$2:$G$712="P")+('EFETIVO 11.05.2026'!$G$2:$G$712="T")+('EFETIVO 11.05.2026'!$G$2:$G$712="M"))*('EFETIVO 11.05.2026'!$C$2:$C$712=$B78))</f>
        <v>0</v>
      </c>
    </row>
    <row r="79" spans="2:14" ht="22" customHeight="1" x14ac:dyDescent="0.35">
      <c r="B79" s="200" t="s">
        <v>448</v>
      </c>
      <c r="C79" s="201" cm="1">
        <f t="array" ref="C79">SUMPRODUCT(ISNUMBER(SEARCH("743",'EFETIVO 11.05.2026'!$H$2:$H$712))*('EFETIVO 11.05.2026'!$G$2:$G$712="A")*('EFETIVO 11.05.2026'!$C$2:$C$712=B79))</f>
        <v>1</v>
      </c>
      <c r="D79" s="201" cm="1">
        <f t="array" ref="D79">SUMPRODUCT(ISNUMBER(SEARCH("743",'EFETIVO 11.05.2026'!$H$2:$H$712))*('EFETIVO 11.05.2026'!$G$2:$G$712="D")*('EFETIVO 11.05.2026'!$C$2:$C$712=B79))</f>
        <v>0</v>
      </c>
      <c r="E79" s="172"/>
      <c r="F79" s="251" cm="1">
        <f t="array" ref="F79">SUMPRODUCT(ISNUMBER(SEARCH("743",'EFETIVO 11.05.2026'!$H$2:$H$712))*(('EFETIVO 11.05.2026'!$G$2:$G$712="F")+('EFETIVO 11.05.2026'!$G$2:$G$712="P")+('EFETIVO 11.05.2026'!$G$2:$G$712="T")+('EFETIVO 11.05.2026'!$G$2:$G$712="M"))*('EFETIVO 11.05.2026'!$C$2:$C$712=$B79))</f>
        <v>0</v>
      </c>
    </row>
    <row r="80" spans="2:14" x14ac:dyDescent="0.35">
      <c r="B80" s="177" t="s">
        <v>768</v>
      </c>
      <c r="C80" s="175" cm="1">
        <f t="array" ref="C80">SUMPRODUCT(ISNUMBER(SEARCH("743",'EFETIVO 11.05.2026'!$H$2:$H$712))*('EFETIVO 11.05.2026'!$G$2:$G$712="A")*('EFETIVO 11.05.2026'!$C$2:$C$712=B80))</f>
        <v>0</v>
      </c>
      <c r="D80" s="175" cm="1">
        <f t="array" ref="D80">SUMPRODUCT(ISNUMBER(SEARCH("743",'EFETIVO 11.05.2026'!$H$2:$H$712))*('EFETIVO 11.05.2026'!$G$2:$G$712="D")*('EFETIVO 11.05.2026'!$C$2:$C$712=B80))</f>
        <v>1</v>
      </c>
      <c r="E80" s="175"/>
      <c r="F80" s="251" cm="1">
        <f t="array" ref="F80">SUMPRODUCT(ISNUMBER(SEARCH("743",'EFETIVO 11.05.2026'!$H$2:$H$712))*(('EFETIVO 11.05.2026'!$G$2:$G$712="F")+('EFETIVO 11.05.2026'!$G$2:$G$712="P")+('EFETIVO 11.05.2026'!$G$2:$G$712="T")+('EFETIVO 11.05.2026'!$G$2:$G$712="M"))*('EFETIVO 11.05.2026'!$C$2:$C$712=$B80))</f>
        <v>0</v>
      </c>
    </row>
    <row r="81" spans="2:14" x14ac:dyDescent="0.35">
      <c r="B81" s="177" t="s">
        <v>450</v>
      </c>
      <c r="C81" s="175" cm="1">
        <f t="array" ref="C81">SUMPRODUCT(ISNUMBER(SEARCH("743",'EFETIVO 11.05.2026'!$H$2:$H$712))*('EFETIVO 11.05.2026'!$G$2:$G$712="A")*('EFETIVO 11.05.2026'!$C$2:$C$712=B81))</f>
        <v>1</v>
      </c>
      <c r="D81" s="175" cm="1">
        <f t="array" ref="D81">SUMPRODUCT(ISNUMBER(SEARCH("743",'EFETIVO 11.05.2026'!$H$2:$H$712))*('EFETIVO 11.05.2026'!$G$2:$G$712="D")*('EFETIVO 11.05.2026'!$C$2:$C$712=B81))</f>
        <v>0</v>
      </c>
      <c r="E81" s="175"/>
      <c r="F81" s="251" cm="1">
        <f t="array" ref="F81">SUMPRODUCT(ISNUMBER(SEARCH("743",'EFETIVO 11.05.2026'!$H$2:$H$712))*(('EFETIVO 11.05.2026'!$G$2:$G$712="F")+('EFETIVO 11.05.2026'!$G$2:$G$712="P")+('EFETIVO 11.05.2026'!$G$2:$G$712="T")+('EFETIVO 11.05.2026'!$G$2:$G$712="M"))*('EFETIVO 11.05.2026'!$C$2:$C$712=$B81))</f>
        <v>0</v>
      </c>
    </row>
    <row r="82" spans="2:14" x14ac:dyDescent="0.35">
      <c r="B82" s="177" t="s">
        <v>451</v>
      </c>
      <c r="C82" s="175" cm="1">
        <f t="array" ref="C82">SUMPRODUCT(ISNUMBER(SEARCH("743",'EFETIVO 11.05.2026'!$H$2:$H$712))*('EFETIVO 11.05.2026'!$G$2:$G$712="A")*('EFETIVO 11.05.2026'!$C$2:$C$712=B82))</f>
        <v>3</v>
      </c>
      <c r="D82" s="175" cm="1">
        <f t="array" ref="D82">SUMPRODUCT(ISNUMBER(SEARCH("743",'EFETIVO 11.05.2026'!$H$2:$H$712))*('EFETIVO 11.05.2026'!$G$2:$G$712="D")*('EFETIVO 11.05.2026'!$C$2:$C$712=B82))</f>
        <v>0</v>
      </c>
      <c r="E82" s="175"/>
      <c r="F82" s="251" cm="1">
        <f t="array" ref="F82">SUMPRODUCT(ISNUMBER(SEARCH("743",'EFETIVO 11.05.2026'!$H$2:$H$712))*(('EFETIVO 11.05.2026'!$G$2:$G$712="F")+('EFETIVO 11.05.2026'!$G$2:$G$712="P")+('EFETIVO 11.05.2026'!$G$2:$G$712="T")+('EFETIVO 11.05.2026'!$G$2:$G$712="M"))*('EFETIVO 11.05.2026'!$C$2:$C$712=$B82))</f>
        <v>0</v>
      </c>
    </row>
    <row r="83" spans="2:14" x14ac:dyDescent="0.35">
      <c r="B83" s="177" t="s">
        <v>453</v>
      </c>
      <c r="C83" s="175" cm="1">
        <f t="array" ref="C83">SUMPRODUCT(ISNUMBER(SEARCH("743",'EFETIVO 11.05.2026'!$H$2:$H$712))*('EFETIVO 11.05.2026'!$G$2:$G$712="A")*('EFETIVO 11.05.2026'!$C$2:$C$712=B83))</f>
        <v>1</v>
      </c>
      <c r="D83" s="175" cm="1">
        <f t="array" ref="D83">SUMPRODUCT(ISNUMBER(SEARCH("743",'EFETIVO 11.05.2026'!$H$2:$H$712))*('EFETIVO 11.05.2026'!$G$2:$G$712="D")*('EFETIVO 11.05.2026'!$C$2:$C$712=B83))</f>
        <v>0</v>
      </c>
      <c r="E83" s="175"/>
      <c r="F83" s="251" cm="1">
        <f t="array" ref="F83">SUMPRODUCT(ISNUMBER(SEARCH("743",'EFETIVO 11.05.2026'!$H$2:$H$712))*(('EFETIVO 11.05.2026'!$G$2:$G$712="F")+('EFETIVO 11.05.2026'!$G$2:$G$712="P")+('EFETIVO 11.05.2026'!$G$2:$G$712="T")+('EFETIVO 11.05.2026'!$G$2:$G$712="M"))*('EFETIVO 11.05.2026'!$C$2:$C$712=$B83))</f>
        <v>0</v>
      </c>
    </row>
    <row r="84" spans="2:14" x14ac:dyDescent="0.35">
      <c r="B84" s="177" t="s">
        <v>516</v>
      </c>
      <c r="C84" s="175" cm="1">
        <f t="array" ref="C84">SUMPRODUCT(ISNUMBER(SEARCH("743",'EFETIVO 11.05.2026'!$H$2:$H$712))*('EFETIVO 11.05.2026'!$G$2:$G$712="A")*('EFETIVO 11.05.2026'!$C$2:$C$712=B84))</f>
        <v>1</v>
      </c>
      <c r="D84" s="175" cm="1">
        <f t="array" ref="D84">SUMPRODUCT(ISNUMBER(SEARCH("743",'EFETIVO 11.05.2026'!$H$2:$H$712))*('EFETIVO 11.05.2026'!$G$2:$G$712="D")*('EFETIVO 11.05.2026'!$C$2:$C$712=B84))</f>
        <v>0</v>
      </c>
      <c r="E84" s="175"/>
      <c r="F84" s="251" cm="1">
        <f t="array" ref="F84">SUMPRODUCT(ISNUMBER(SEARCH("743",'EFETIVO 11.05.2026'!$H$2:$H$712))*(('EFETIVO 11.05.2026'!$G$2:$G$712="F")+('EFETIVO 11.05.2026'!$G$2:$G$712="P")+('EFETIVO 11.05.2026'!$G$2:$G$712="T")+('EFETIVO 11.05.2026'!$G$2:$G$712="M"))*('EFETIVO 11.05.2026'!$C$2:$C$712=$B84))</f>
        <v>0</v>
      </c>
    </row>
    <row r="85" spans="2:14" ht="15" thickBot="1" x14ac:dyDescent="0.4">
      <c r="B85" s="202" t="s">
        <v>600</v>
      </c>
      <c r="C85" s="203" cm="1">
        <f t="array" ref="C85">SUMPRODUCT(ISNUMBER(SEARCH("743",'EFETIVO 11.05.2026'!$H$2:$H$712))*('EFETIVO 11.05.2026'!$G$2:$G$712="A")*('EFETIVO 11.05.2026'!$C$2:$C$712=B85))</f>
        <v>4</v>
      </c>
      <c r="D85" s="203" cm="1">
        <f t="array" ref="D85">SUMPRODUCT(ISNUMBER(SEARCH("743",'EFETIVO 11.05.2026'!$H$2:$H$712))*('EFETIVO 11.05.2026'!$G$2:$G$712="D")*('EFETIVO 11.05.2026'!$C$2:$C$712=B85))</f>
        <v>2</v>
      </c>
      <c r="E85" s="193"/>
      <c r="F85" s="251" cm="1">
        <f t="array" ref="F85">SUMPRODUCT(ISNUMBER(SEARCH("743",'EFETIVO 11.05.2026'!$H$2:$H$712))*(('EFETIVO 11.05.2026'!$G$2:$G$712="F")+('EFETIVO 11.05.2026'!$G$2:$G$712="P")+('EFETIVO 11.05.2026'!$G$2:$G$712="T")+('EFETIVO 11.05.2026'!$G$2:$G$712="M"))*('EFETIVO 11.05.2026'!$C$2:$C$712=$B85))</f>
        <v>0</v>
      </c>
    </row>
    <row r="86" spans="2:14" x14ac:dyDescent="0.35">
      <c r="B86" s="177" t="s">
        <v>456</v>
      </c>
      <c r="C86" s="175" cm="1">
        <f t="array" ref="C86">SUMPRODUCT(ISNUMBER(SEARCH("743",'EFETIVO 11.05.2026'!$H$2:$H$712))*('EFETIVO 11.05.2026'!$G$2:$G$712="A")*('EFETIVO 11.05.2026'!$C$2:$C$712=B86))</f>
        <v>1</v>
      </c>
      <c r="D86" s="175" cm="1">
        <f t="array" ref="D86">SUMPRODUCT(ISNUMBER(SEARCH("743",'EFETIVO 11.05.2026'!$H$2:$H$712))*('EFETIVO 11.05.2026'!$G$2:$G$712="D")*('EFETIVO 11.05.2026'!$C$2:$C$712=B86))</f>
        <v>1</v>
      </c>
      <c r="F86" s="251" cm="1">
        <f t="array" ref="F86">SUMPRODUCT(ISNUMBER(SEARCH("743",'EFETIVO 11.05.2026'!$H$2:$H$712))*(('EFETIVO 11.05.2026'!$G$2:$G$712="F")+('EFETIVO 11.05.2026'!$G$2:$G$712="P")+('EFETIVO 11.05.2026'!$G$2:$G$712="T")+('EFETIVO 11.05.2026'!$G$2:$G$712="M"))*('EFETIVO 11.05.2026'!$C$2:$C$712=$B86))</f>
        <v>0</v>
      </c>
    </row>
    <row r="87" spans="2:14" x14ac:dyDescent="0.35">
      <c r="B87" s="177" t="s">
        <v>457</v>
      </c>
      <c r="C87" s="175" cm="1">
        <f t="array" ref="C87">SUMPRODUCT(ISNUMBER(SEARCH("743",'EFETIVO 11.05.2026'!$H$2:$H$712))*('EFETIVO 11.05.2026'!$G$2:$G$712="A")*('EFETIVO 11.05.2026'!$C$2:$C$712=B87))</f>
        <v>5</v>
      </c>
      <c r="D87" s="175" cm="1">
        <f t="array" ref="D87">SUMPRODUCT(ISNUMBER(SEARCH("743",'EFETIVO 11.05.2026'!$H$2:$H$712))*('EFETIVO 11.05.2026'!$G$2:$G$712="D")*('EFETIVO 11.05.2026'!$C$2:$C$712=B87))</f>
        <v>3</v>
      </c>
      <c r="F87" s="251" cm="1">
        <f t="array" ref="F87">SUMPRODUCT(ISNUMBER(SEARCH("743",'EFETIVO 11.05.2026'!$H$2:$H$712))*(('EFETIVO 11.05.2026'!$G$2:$G$712="F")+('EFETIVO 11.05.2026'!$G$2:$G$712="P")+('EFETIVO 11.05.2026'!$G$2:$G$712="T")+('EFETIVO 11.05.2026'!$G$2:$G$712="M"))*('EFETIVO 11.05.2026'!$C$2:$C$712=$B87))</f>
        <v>1</v>
      </c>
    </row>
    <row r="88" spans="2:14" ht="24" customHeight="1" x14ac:dyDescent="0.4">
      <c r="B88" s="1388" t="s">
        <v>751</v>
      </c>
      <c r="C88" s="1389"/>
      <c r="D88" s="1389"/>
      <c r="E88" s="1004"/>
      <c r="F88" s="1390"/>
      <c r="G88" s="1004"/>
      <c r="H88" s="1004"/>
      <c r="I88" s="1004"/>
      <c r="J88" s="1004"/>
      <c r="K88" s="1004"/>
      <c r="L88" s="1004"/>
      <c r="M88" s="1004"/>
      <c r="N88" s="1004"/>
    </row>
    <row r="89" spans="2:14" ht="20.149999999999999" customHeight="1" x14ac:dyDescent="0.35">
      <c r="B89" s="1391" t="s">
        <v>763</v>
      </c>
      <c r="C89" s="1392"/>
      <c r="D89" s="1392"/>
      <c r="E89" s="1263"/>
      <c r="F89" s="1393"/>
      <c r="G89" s="1263"/>
      <c r="H89" s="1263"/>
      <c r="I89" s="1263"/>
      <c r="J89" s="1263"/>
      <c r="K89" s="1263"/>
      <c r="L89" s="1263"/>
      <c r="M89" s="1263"/>
      <c r="N89" s="1263"/>
    </row>
    <row r="90" spans="2:14" x14ac:dyDescent="0.35">
      <c r="B90" s="199" t="s">
        <v>459</v>
      </c>
      <c r="C90" s="199">
        <f>C6</f>
        <v>319</v>
      </c>
      <c r="D90" s="199">
        <f>C7</f>
        <v>101</v>
      </c>
      <c r="F90" s="252">
        <f>SUM(F15:F89)</f>
        <v>12</v>
      </c>
    </row>
    <row r="91" spans="2:14" ht="22" customHeight="1" x14ac:dyDescent="0.35">
      <c r="B91" s="172" t="s">
        <v>475</v>
      </c>
      <c r="C91" s="172" t="s">
        <v>396</v>
      </c>
      <c r="D91" s="172" t="s">
        <v>476</v>
      </c>
      <c r="E91" s="172" t="s">
        <v>462</v>
      </c>
      <c r="F91" s="172" t="s">
        <v>477</v>
      </c>
    </row>
    <row r="92" spans="2:14" x14ac:dyDescent="0.35">
      <c r="B92" s="175">
        <v>1</v>
      </c>
      <c r="C92" s="177" t="str" cm="1">
        <f t="array" ref="C92">IFERROR(INDEX($B$15:$B$89,SMALL(IF($C$15:$C$89=1,ROW($C$15:$C$89)-ROW($C$15)+1),$B92)),"")</f>
        <v>AJUDANTE DE CALDEIRARIA PREDIAL</v>
      </c>
      <c r="D92" s="177" t="str" cm="1">
        <f t="array" ref="D92">IF(C92="","",IFERROR(INDEX('EFETIVO 11.05.2026'!$B$2:$B$712,MATCH(1,(ISNUMBER(SEARCH("743",'EFETIVO 11.05.2026'!$H$2:$H$712)))*('EFETIVO 11.05.2026'!$G$2:$G$712="A")*('EFETIVO 11.05.2026'!$C$2:$C$712=C92),0)),""))</f>
        <v>LUCAS OLIVEIRA DE PAULA</v>
      </c>
      <c r="E92" s="175" t="str" cm="1">
        <f t="array" ref="E92">IF(C92="","",IFERROR(INDEX('EFETIVO 11.05.2026'!$I$2:$I$712,MATCH(1,(ISNUMBER(SEARCH("743",'EFETIVO 11.05.2026'!$H$2:$H$712)))*('EFETIVO 11.05.2026'!$G$2:$G$712="A")*('EFETIVO 11.05.2026'!$C$2:$C$712=C92),0)),""))</f>
        <v>CABIUNAS</v>
      </c>
      <c r="F92" s="197" cm="1">
        <f t="array" ref="F92">IF(C92="","",IFERROR(INDEX('EFETIVO 11.05.2026'!$E$2:$E$712,MATCH(1,(ISNUMBER(SEARCH("743",'EFETIVO 11.05.2026'!$H$2:$H$712)))*('EFETIVO 11.05.2026'!$G$2:$G$712="A")*('EFETIVO 11.05.2026'!$C$2:$C$712=C92),0)),""))</f>
        <v>45779</v>
      </c>
    </row>
    <row r="93" spans="2:14" x14ac:dyDescent="0.35">
      <c r="B93" s="175">
        <v>2</v>
      </c>
      <c r="C93" s="177" t="str" cm="1">
        <f t="array" ref="C93">IFERROR(INDEX($B$15:$B$89,SMALL(IF($C$15:$C$89=1,ROW($C$15:$C$89)-ROW($C$15)+1),$B93)),"")</f>
        <v>AJUDANTE DE PINTURA INDUSTRIAL</v>
      </c>
      <c r="D93" s="177" t="str" cm="1">
        <f t="array" ref="D93">IF(C93="","",IFERROR(INDEX('EFETIVO 11.05.2026'!$B$2:$B$712,MATCH(1,(ISNUMBER(SEARCH("743",'EFETIVO 11.05.2026'!$H$2:$H$712)))*('EFETIVO 11.05.2026'!$G$2:$G$712="A")*('EFETIVO 11.05.2026'!$C$2:$C$712=C93),0)),""))</f>
        <v>MANOEL CAETANO DAS CANDEIAS</v>
      </c>
      <c r="E93" s="175" t="str" cm="1">
        <f t="array" ref="E93">IF(C93="","",IFERROR(INDEX('EFETIVO 11.05.2026'!$I$2:$I$712,MATCH(1,(ISNUMBER(SEARCH("743",'EFETIVO 11.05.2026'!$H$2:$H$712)))*('EFETIVO 11.05.2026'!$G$2:$G$712="A")*('EFETIVO 11.05.2026'!$C$2:$C$712=C93),0)),""))</f>
        <v>CABIUNAS</v>
      </c>
      <c r="F93" s="197" cm="1">
        <f t="array" ref="F93">IF(C93="","",IFERROR(INDEX('EFETIVO 11.05.2026'!$E$2:$E$712,MATCH(1,(ISNUMBER(SEARCH("743",'EFETIVO 11.05.2026'!$H$2:$H$712)))*('EFETIVO 11.05.2026'!$G$2:$G$712="A")*('EFETIVO 11.05.2026'!$C$2:$C$712=C93),0)),""))</f>
        <v>45810</v>
      </c>
    </row>
    <row r="94" spans="2:14" x14ac:dyDescent="0.35">
      <c r="B94" s="175">
        <v>3</v>
      </c>
      <c r="C94" s="177" t="str" cm="1">
        <f t="array" ref="C94">IFERROR(INDEX($B$15:$B$89,SMALL(IF($C$15:$C$89=1,ROW($C$15:$C$89)-ROW($C$15)+1),$B94)),"")</f>
        <v>AJUDANTE DE REFRIGERACAO</v>
      </c>
      <c r="D94" s="177" t="str" cm="1">
        <f t="array" ref="D94">IF(C94="","",IFERROR(INDEX('EFETIVO 11.05.2026'!$B$2:$B$712,MATCH(1,(ISNUMBER(SEARCH("743",'EFETIVO 11.05.2026'!$H$2:$H$712)))*('EFETIVO 11.05.2026'!$G$2:$G$712="A")*('EFETIVO 11.05.2026'!$C$2:$C$712=C94),0)),""))</f>
        <v>HIAN DO NASCIMENTO QUEIROZ</v>
      </c>
      <c r="E94" s="175" t="str" cm="1">
        <f t="array" ref="E94">IF(C94="","",IFERROR(INDEX('EFETIVO 11.05.2026'!$I$2:$I$712,MATCH(1,(ISNUMBER(SEARCH("743",'EFETIVO 11.05.2026'!$H$2:$H$712)))*('EFETIVO 11.05.2026'!$G$2:$G$712="A")*('EFETIVO 11.05.2026'!$C$2:$C$712=C94),0)),""))</f>
        <v>CABIUNAS</v>
      </c>
      <c r="F94" s="197" cm="1">
        <f t="array" ref="F94">IF(C94="","",IFERROR(INDEX('EFETIVO 11.05.2026'!$E$2:$E$712,MATCH(1,(ISNUMBER(SEARCH("743",'EFETIVO 11.05.2026'!$H$2:$H$712)))*('EFETIVO 11.05.2026'!$G$2:$G$712="A")*('EFETIVO 11.05.2026'!$C$2:$C$712=C94),0)),""))</f>
        <v>46128</v>
      </c>
    </row>
    <row r="95" spans="2:14" x14ac:dyDescent="0.35">
      <c r="B95" s="175">
        <v>4</v>
      </c>
      <c r="C95" s="177" t="str" cm="1">
        <f t="array" ref="C95">IFERROR(INDEX($B$15:$B$89,SMALL(IF($C$15:$C$89=1,ROW($C$15:$C$89)-ROW($C$15)+1),$B95)),"")</f>
        <v>ASSISTENTE DE LOGISTICA I</v>
      </c>
      <c r="D95" s="177" t="str" cm="1">
        <f t="array" ref="D95">IF(C95="","",IFERROR(INDEX('EFETIVO 11.05.2026'!$B$2:$B$712,MATCH(1,(ISNUMBER(SEARCH("743",'EFETIVO 11.05.2026'!$H$2:$H$712)))*('EFETIVO 11.05.2026'!$G$2:$G$712="A")*('EFETIVO 11.05.2026'!$C$2:$C$712=C95),0)),""))</f>
        <v>POLIANE LAPA MARINS</v>
      </c>
      <c r="E95" s="175" t="str" cm="1">
        <f t="array" ref="E95">IF(C95="","",IFERROR(INDEX('EFETIVO 11.05.2026'!$I$2:$I$712,MATCH(1,(ISNUMBER(SEARCH("743",'EFETIVO 11.05.2026'!$H$2:$H$712)))*('EFETIVO 11.05.2026'!$G$2:$G$712="A")*('EFETIVO 11.05.2026'!$C$2:$C$712=C95),0)),""))</f>
        <v>CABIUNAS</v>
      </c>
      <c r="F95" s="197" cm="1">
        <f t="array" ref="F95">IF(C95="","",IFERROR(INDEX('EFETIVO 11.05.2026'!$E$2:$E$712,MATCH(1,(ISNUMBER(SEARCH("743",'EFETIVO 11.05.2026'!$H$2:$H$712)))*('EFETIVO 11.05.2026'!$G$2:$G$712="A")*('EFETIVO 11.05.2026'!$C$2:$C$712=C95),0)),""))</f>
        <v>45358</v>
      </c>
    </row>
    <row r="96" spans="2:14" x14ac:dyDescent="0.35">
      <c r="B96" s="175">
        <v>5</v>
      </c>
      <c r="C96" s="177" t="str" cm="1">
        <f t="array" ref="C96">IFERROR(INDEX($B$15:$B$89,SMALL(IF($C$15:$C$89=1,ROW($C$15:$C$89)-ROW($C$15)+1),$B96)),"")</f>
        <v>AUXILIAR DE MANUTENCAO EM CALDEIRARIA</v>
      </c>
      <c r="D96" s="177" t="str" cm="1">
        <f t="array" ref="D96">IF(C96="","",IFERROR(INDEX('EFETIVO 11.05.2026'!$B$2:$B$712,MATCH(1,(ISNUMBER(SEARCH("743",'EFETIVO 11.05.2026'!$H$2:$H$712)))*('EFETIVO 11.05.2026'!$G$2:$G$712="A")*('EFETIVO 11.05.2026'!$C$2:$C$712=C96),0)),""))</f>
        <v>LUCAS AZEVEDO DA SILVA</v>
      </c>
      <c r="E96" s="175" t="str" cm="1">
        <f t="array" ref="E96">IF(C96="","",IFERROR(INDEX('EFETIVO 11.05.2026'!$I$2:$I$712,MATCH(1,(ISNUMBER(SEARCH("743",'EFETIVO 11.05.2026'!$H$2:$H$712)))*('EFETIVO 11.05.2026'!$G$2:$G$712="A")*('EFETIVO 11.05.2026'!$C$2:$C$712=C96),0)),""))</f>
        <v>CABIUNAS</v>
      </c>
      <c r="F96" s="197" cm="1">
        <f t="array" ref="F96">IF(C96="","",IFERROR(INDEX('EFETIVO 11.05.2026'!$E$2:$E$712,MATCH(1,(ISNUMBER(SEARCH("743",'EFETIVO 11.05.2026'!$H$2:$H$712)))*('EFETIVO 11.05.2026'!$G$2:$G$712="A")*('EFETIVO 11.05.2026'!$C$2:$C$712=C96),0)),""))</f>
        <v>46090</v>
      </c>
    </row>
    <row r="97" spans="2:6" x14ac:dyDescent="0.35">
      <c r="B97" s="175">
        <v>6</v>
      </c>
      <c r="C97" s="177" t="str" cm="1">
        <f t="array" ref="C97">IFERROR(INDEX($B$15:$B$89,SMALL(IF($C$15:$C$89=1,ROW($C$15:$C$89)-ROW($C$15)+1),$B97)),"")</f>
        <v>COORDENADOR DE MANUTENCAO</v>
      </c>
      <c r="D97" s="177" t="str" cm="1">
        <f t="array" ref="D97">IF(C97="","",IFERROR(INDEX('EFETIVO 11.05.2026'!$B$2:$B$712,MATCH(1,(ISNUMBER(SEARCH("743",'EFETIVO 11.05.2026'!$H$2:$H$712)))*('EFETIVO 11.05.2026'!$G$2:$G$712="A")*('EFETIVO 11.05.2026'!$C$2:$C$712=C97),0)),""))</f>
        <v>LETICIA APARECIDA CIRILO PESSANHA</v>
      </c>
      <c r="E97" s="175" t="str" cm="1">
        <f t="array" ref="E97">IF(C97="","",IFERROR(INDEX('EFETIVO 11.05.2026'!$I$2:$I$712,MATCH(1,(ISNUMBER(SEARCH("743",'EFETIVO 11.05.2026'!$H$2:$H$712)))*('EFETIVO 11.05.2026'!$G$2:$G$712="A")*('EFETIVO 11.05.2026'!$C$2:$C$712=C97),0)),""))</f>
        <v>CABIUNAS</v>
      </c>
      <c r="F97" s="197" cm="1">
        <f t="array" ref="F97">IF(C97="","",IFERROR(INDEX('EFETIVO 11.05.2026'!$E$2:$E$712,MATCH(1,(ISNUMBER(SEARCH("743",'EFETIVO 11.05.2026'!$H$2:$H$712)))*('EFETIVO 11.05.2026'!$G$2:$G$712="A")*('EFETIVO 11.05.2026'!$C$2:$C$712=C97),0)),""))</f>
        <v>46084</v>
      </c>
    </row>
    <row r="98" spans="2:6" x14ac:dyDescent="0.35">
      <c r="B98" s="175">
        <v>7</v>
      </c>
      <c r="C98" s="177" t="str" cm="1">
        <f t="array" ref="C98">IFERROR(INDEX($B$15:$B$89,SMALL(IF($C$15:$C$89=1,ROW($C$15:$C$89)-ROW($C$15)+1),$B98)),"")</f>
        <v>ELETRICISTA</v>
      </c>
      <c r="D98" s="177" t="str" cm="1">
        <f t="array" ref="D98">IF(C98="","",IFERROR(INDEX('EFETIVO 11.05.2026'!$B$2:$B$712,MATCH(1,(ISNUMBER(SEARCH("743",'EFETIVO 11.05.2026'!$H$2:$H$712)))*('EFETIVO 11.05.2026'!$G$2:$G$712="A")*('EFETIVO 11.05.2026'!$C$2:$C$712=C98),0)),""))</f>
        <v>CRISTIANO MOREIRA DE OLIVEIRA</v>
      </c>
      <c r="E98" s="175" t="str" cm="1">
        <f t="array" ref="E98">IF(C98="","",IFERROR(INDEX('EFETIVO 11.05.2026'!$I$2:$I$712,MATCH(1,(ISNUMBER(SEARCH("743",'EFETIVO 11.05.2026'!$H$2:$H$712)))*('EFETIVO 11.05.2026'!$G$2:$G$712="A")*('EFETIVO 11.05.2026'!$C$2:$C$712=C98),0)),""))</f>
        <v>CABIUNAS</v>
      </c>
      <c r="F98" s="197" cm="1">
        <f t="array" ref="F98">IF(C98="","",IFERROR(INDEX('EFETIVO 11.05.2026'!$E$2:$E$712,MATCH(1,(ISNUMBER(SEARCH("743",'EFETIVO 11.05.2026'!$H$2:$H$712)))*('EFETIVO 11.05.2026'!$G$2:$G$712="A")*('EFETIVO 11.05.2026'!$C$2:$C$712=C98),0)),""))</f>
        <v>45890</v>
      </c>
    </row>
    <row r="99" spans="2:6" x14ac:dyDescent="0.35">
      <c r="B99" s="175">
        <v>8</v>
      </c>
      <c r="C99" s="177" t="str" cm="1">
        <f t="array" ref="C99">IFERROR(INDEX($B$15:$B$89,SMALL(IF($C$15:$C$89=1,ROW($C$15:$C$89)-ROW($C$15)+1),$B99)),"")</f>
        <v>ENCARREGADO DE ANDAIME</v>
      </c>
      <c r="D99" s="177" t="str" cm="1">
        <f t="array" ref="D99">IF(C99="","",IFERROR(INDEX('EFETIVO 11.05.2026'!$B$2:$B$712,MATCH(1,(ISNUMBER(SEARCH("743",'EFETIVO 11.05.2026'!$H$2:$H$712)))*('EFETIVO 11.05.2026'!$G$2:$G$712="A")*('EFETIVO 11.05.2026'!$C$2:$C$712=C99),0)),""))</f>
        <v>LUIS VALERIO DOS SANTOS</v>
      </c>
      <c r="E99" s="175" t="str" cm="1">
        <f t="array" ref="E99">IF(C99="","",IFERROR(INDEX('EFETIVO 11.05.2026'!$I$2:$I$712,MATCH(1,(ISNUMBER(SEARCH("743",'EFETIVO 11.05.2026'!$H$2:$H$712)))*('EFETIVO 11.05.2026'!$G$2:$G$712="A")*('EFETIVO 11.05.2026'!$C$2:$C$712=C99),0)),""))</f>
        <v>CABIUNAS</v>
      </c>
      <c r="F99" s="197" cm="1">
        <f t="array" ref="F99">IF(C99="","",IFERROR(INDEX('EFETIVO 11.05.2026'!$E$2:$E$712,MATCH(1,(ISNUMBER(SEARCH("743",'EFETIVO 11.05.2026'!$H$2:$H$712)))*('EFETIVO 11.05.2026'!$G$2:$G$712="A")*('EFETIVO 11.05.2026'!$C$2:$C$712=C99),0)),""))</f>
        <v>45840</v>
      </c>
    </row>
    <row r="100" spans="2:6" x14ac:dyDescent="0.35">
      <c r="B100" s="175">
        <v>9</v>
      </c>
      <c r="C100" s="177" t="str" cm="1">
        <f t="array" ref="C100">IFERROR(INDEX($B$15:$B$89,SMALL(IF($C$15:$C$89=1,ROW($C$15:$C$89)-ROW($C$15)+1),$B100)),"")</f>
        <v>ENCARREGADO DE CONSERVACAO E LIMPEZA</v>
      </c>
      <c r="D100" s="177" t="str" cm="1">
        <f t="array" ref="D100">IF(C100="","",IFERROR(INDEX('EFETIVO 11.05.2026'!$B$2:$B$712,MATCH(1,(ISNUMBER(SEARCH("743",'EFETIVO 11.05.2026'!$H$2:$H$712)))*('EFETIVO 11.05.2026'!$G$2:$G$712="A")*('EFETIVO 11.05.2026'!$C$2:$C$712=C100),0)),""))</f>
        <v>VALDENICE DOS SANTOS LEMOS</v>
      </c>
      <c r="E100" s="175" t="str" cm="1">
        <f t="array" ref="E100">IF(C100="","",IFERROR(INDEX('EFETIVO 11.05.2026'!$I$2:$I$712,MATCH(1,(ISNUMBER(SEARCH("743",'EFETIVO 11.05.2026'!$H$2:$H$712)))*('EFETIVO 11.05.2026'!$G$2:$G$712="A")*('EFETIVO 11.05.2026'!$C$2:$C$712=C100),0)),""))</f>
        <v>CABIUNAS</v>
      </c>
      <c r="F100" s="197" cm="1">
        <f t="array" ref="F100">IF(C100="","",IFERROR(INDEX('EFETIVO 11.05.2026'!$E$2:$E$712,MATCH(1,(ISNUMBER(SEARCH("743",'EFETIVO 11.05.2026'!$H$2:$H$712)))*('EFETIVO 11.05.2026'!$G$2:$G$712="A")*('EFETIVO 11.05.2026'!$C$2:$C$712=C100),0)),""))</f>
        <v>45763</v>
      </c>
    </row>
    <row r="101" spans="2:6" x14ac:dyDescent="0.35">
      <c r="B101" s="175">
        <v>10</v>
      </c>
      <c r="C101" s="177" t="str" cm="1">
        <f t="array" ref="C101">IFERROR(INDEX($B$15:$B$89,SMALL(IF($C$15:$C$89=1,ROW($C$15:$C$89)-ROW($C$15)+1),$B101)),"")</f>
        <v>ENCARREGADO DE ELETRICA</v>
      </c>
      <c r="D101" s="177" t="str" cm="1">
        <f t="array" ref="D101">IF(C101="","",IFERROR(INDEX('EFETIVO 11.05.2026'!$B$2:$B$712,MATCH(1,(ISNUMBER(SEARCH("743",'EFETIVO 11.05.2026'!$H$2:$H$712)))*('EFETIVO 11.05.2026'!$G$2:$G$712="A")*('EFETIVO 11.05.2026'!$C$2:$C$712=C101),0)),""))</f>
        <v>DIARLEN CALDEIRA DO ESPIRITO SANTO</v>
      </c>
      <c r="E101" s="175" t="str" cm="1">
        <f t="array" ref="E101">IF(C101="","",IFERROR(INDEX('EFETIVO 11.05.2026'!$I$2:$I$712,MATCH(1,(ISNUMBER(SEARCH("743",'EFETIVO 11.05.2026'!$H$2:$H$712)))*('EFETIVO 11.05.2026'!$G$2:$G$712="A")*('EFETIVO 11.05.2026'!$C$2:$C$712=C101),0)),""))</f>
        <v>CABIUNAS</v>
      </c>
      <c r="F101" s="197" cm="1">
        <f t="array" ref="F101">IF(C101="","",IFERROR(INDEX('EFETIVO 11.05.2026'!$E$2:$E$712,MATCH(1,(ISNUMBER(SEARCH("743",'EFETIVO 11.05.2026'!$H$2:$H$712)))*('EFETIVO 11.05.2026'!$G$2:$G$712="A")*('EFETIVO 11.05.2026'!$C$2:$C$712=C101),0)),""))</f>
        <v>45779</v>
      </c>
    </row>
    <row r="102" spans="2:6" x14ac:dyDescent="0.35">
      <c r="B102" s="175">
        <v>11</v>
      </c>
      <c r="C102" s="177" t="str" cm="1">
        <f t="array" ref="C102">IFERROR(INDEX($B$15:$B$89,SMALL(IF($C$15:$C$89=1,ROW($C$15:$C$89)-ROW($C$15)+1),$B102)),"")</f>
        <v>ENCARREGADO DE ELETROMECANICA</v>
      </c>
      <c r="D102" s="177" t="str" cm="1">
        <f t="array" ref="D102">IF(C102="","",IFERROR(INDEX('EFETIVO 11.05.2026'!$B$2:$B$712,MATCH(1,(ISNUMBER(SEARCH("743",'EFETIVO 11.05.2026'!$H$2:$H$712)))*('EFETIVO 11.05.2026'!$G$2:$G$712="A")*('EFETIVO 11.05.2026'!$C$2:$C$712=C102),0)),""))</f>
        <v>CARLOS HENRIQUE ALVES DE OLIVEIRA</v>
      </c>
      <c r="E102" s="175" t="str" cm="1">
        <f t="array" ref="E102">IF(C102="","",IFERROR(INDEX('EFETIVO 11.05.2026'!$I$2:$I$712,MATCH(1,(ISNUMBER(SEARCH("743",'EFETIVO 11.05.2026'!$H$2:$H$712)))*('EFETIVO 11.05.2026'!$G$2:$G$712="A")*('EFETIVO 11.05.2026'!$C$2:$C$712=C102),0)),""))</f>
        <v>CABIUNAS</v>
      </c>
      <c r="F102" s="197" cm="1">
        <f t="array" ref="F102">IF(C102="","",IFERROR(INDEX('EFETIVO 11.05.2026'!$E$2:$E$712,MATCH(1,(ISNUMBER(SEARCH("743",'EFETIVO 11.05.2026'!$H$2:$H$712)))*('EFETIVO 11.05.2026'!$G$2:$G$712="A")*('EFETIVO 11.05.2026'!$C$2:$C$712=C102),0)),""))</f>
        <v>45772</v>
      </c>
    </row>
    <row r="103" spans="2:6" x14ac:dyDescent="0.35">
      <c r="B103" s="175">
        <v>12</v>
      </c>
      <c r="C103" s="177" t="str" cm="1">
        <f t="array" ref="C103">IFERROR(INDEX($B$15:$B$89,SMALL(IF($C$15:$C$89=1,ROW($C$15:$C$89)-ROW($C$15)+1),$B103)),"")</f>
        <v>ENGENHEIRO CIVIL</v>
      </c>
      <c r="D103" s="177" t="str" cm="1">
        <f t="array" ref="D103">IF(C103="","",IFERROR(INDEX('EFETIVO 11.05.2026'!$B$2:$B$712,MATCH(1,(ISNUMBER(SEARCH("743",'EFETIVO 11.05.2026'!$H$2:$H$712)))*('EFETIVO 11.05.2026'!$G$2:$G$712="A")*('EFETIVO 11.05.2026'!$C$2:$C$712=C103),0)),""))</f>
        <v xml:space="preserve">GABRIELLA RODRIGUES PINTO </v>
      </c>
      <c r="E103" s="175" t="str" cm="1">
        <f t="array" ref="E103">IF(C103="","",IFERROR(INDEX('EFETIVO 11.05.2026'!$I$2:$I$712,MATCH(1,(ISNUMBER(SEARCH("743",'EFETIVO 11.05.2026'!$H$2:$H$712)))*('EFETIVO 11.05.2026'!$G$2:$G$712="A")*('EFETIVO 11.05.2026'!$C$2:$C$712=C103),0)),""))</f>
        <v>CABIUNAS</v>
      </c>
      <c r="F103" s="197" cm="1">
        <f t="array" ref="F103">IF(C103="","",IFERROR(INDEX('EFETIVO 11.05.2026'!$E$2:$E$712,MATCH(1,(ISNUMBER(SEARCH("743",'EFETIVO 11.05.2026'!$H$2:$H$712)))*('EFETIVO 11.05.2026'!$G$2:$G$712="A")*('EFETIVO 11.05.2026'!$C$2:$C$712=C103),0)),""))</f>
        <v>45749</v>
      </c>
    </row>
    <row r="104" spans="2:6" x14ac:dyDescent="0.35">
      <c r="B104" s="175">
        <v>13</v>
      </c>
      <c r="C104" s="177" t="str" cm="1">
        <f t="array" ref="C104">IFERROR(INDEX($B$15:$B$89,SMALL(IF($C$15:$C$89=1,ROW($C$15:$C$89)-ROW($C$15)+1),$B104)),"")</f>
        <v>ENGENHEIRO ELETRICISTA</v>
      </c>
      <c r="D104" s="177" t="str" cm="1">
        <f t="array" ref="D104">IF(C104="","",IFERROR(INDEX('EFETIVO 11.05.2026'!$B$2:$B$712,MATCH(1,(ISNUMBER(SEARCH("743",'EFETIVO 11.05.2026'!$H$2:$H$712)))*('EFETIVO 11.05.2026'!$G$2:$G$712="A")*('EFETIVO 11.05.2026'!$C$2:$C$712=C104),0)),""))</f>
        <v>DANIEL DOS SANTOS NASCIMENTO</v>
      </c>
      <c r="E104" s="175" t="str" cm="1">
        <f t="array" ref="E104">IF(C104="","",IFERROR(INDEX('EFETIVO 11.05.2026'!$I$2:$I$712,MATCH(1,(ISNUMBER(SEARCH("743",'EFETIVO 11.05.2026'!$H$2:$H$712)))*('EFETIVO 11.05.2026'!$G$2:$G$712="A")*('EFETIVO 11.05.2026'!$C$2:$C$712=C104),0)),""))</f>
        <v>CABIUNAS</v>
      </c>
      <c r="F104" s="197" cm="1">
        <f t="array" ref="F104">IF(C104="","",IFERROR(INDEX('EFETIVO 11.05.2026'!$E$2:$E$712,MATCH(1,(ISNUMBER(SEARCH("743",'EFETIVO 11.05.2026'!$H$2:$H$712)))*('EFETIVO 11.05.2026'!$G$2:$G$712="A")*('EFETIVO 11.05.2026'!$C$2:$C$712=C104),0)),""))</f>
        <v>45814</v>
      </c>
    </row>
    <row r="105" spans="2:6" x14ac:dyDescent="0.35">
      <c r="B105" s="175">
        <v>14</v>
      </c>
      <c r="C105" s="177" t="str" cm="1">
        <f t="array" ref="C105">IFERROR(INDEX($B$15:$B$89,SMALL(IF($C$15:$C$89=1,ROW($C$15:$C$89)-ROW($C$15)+1),$B105)),"")</f>
        <v>GERENTE DE PROJETO</v>
      </c>
      <c r="D105" s="177" t="str" cm="1">
        <f t="array" ref="D105">IF(C105="","",IFERROR(INDEX('EFETIVO 11.05.2026'!$B$2:$B$712,MATCH(1,(ISNUMBER(SEARCH("743",'EFETIVO 11.05.2026'!$H$2:$H$712)))*('EFETIVO 11.05.2026'!$G$2:$G$712="A")*('EFETIVO 11.05.2026'!$C$2:$C$712=C105),0)),""))</f>
        <v>DAIANA MARQUES</v>
      </c>
      <c r="E105" s="175" t="str" cm="1">
        <f t="array" ref="E105">IF(C105="","",IFERROR(INDEX('EFETIVO 11.05.2026'!$I$2:$I$712,MATCH(1,(ISNUMBER(SEARCH("743",'EFETIVO 11.05.2026'!$H$2:$H$712)))*('EFETIVO 11.05.2026'!$G$2:$G$712="A")*('EFETIVO 11.05.2026'!$C$2:$C$712=C105),0)),""))</f>
        <v>CABIUNAS</v>
      </c>
      <c r="F105" s="197" cm="1">
        <f t="array" ref="F105">IF(C105="","",IFERROR(INDEX('EFETIVO 11.05.2026'!$E$2:$E$712,MATCH(1,(ISNUMBER(SEARCH("743",'EFETIVO 11.05.2026'!$H$2:$H$712)))*('EFETIVO 11.05.2026'!$G$2:$G$712="A")*('EFETIVO 11.05.2026'!$C$2:$C$712=C105),0)),""))</f>
        <v>45744</v>
      </c>
    </row>
    <row r="106" spans="2:6" x14ac:dyDescent="0.35">
      <c r="B106" s="175">
        <v>15</v>
      </c>
      <c r="C106" s="177" t="str" cm="1">
        <f t="array" ref="C106">IFERROR(INDEX($B$15:$B$89,SMALL(IF($C$15:$C$89=1,ROW($C$15:$C$89)-ROW($C$15)+1),$B106)),"")</f>
        <v>INSPETOR PREDIAL</v>
      </c>
      <c r="D106" s="177" t="str" cm="1">
        <f t="array" ref="D106">IF(C106="","",IFERROR(INDEX('EFETIVO 11.05.2026'!$B$2:$B$712,MATCH(1,(ISNUMBER(SEARCH("743",'EFETIVO 11.05.2026'!$H$2:$H$712)))*('EFETIVO 11.05.2026'!$G$2:$G$712="A")*('EFETIVO 11.05.2026'!$C$2:$C$712=C106),0)),""))</f>
        <v>WILLIAM COSME MANHAES DILAIS</v>
      </c>
      <c r="E106" s="175" t="str" cm="1">
        <f t="array" ref="E106">IF(C106="","",IFERROR(INDEX('EFETIVO 11.05.2026'!$I$2:$I$712,MATCH(1,(ISNUMBER(SEARCH("743",'EFETIVO 11.05.2026'!$H$2:$H$712)))*('EFETIVO 11.05.2026'!$G$2:$G$712="A")*('EFETIVO 11.05.2026'!$C$2:$C$712=C106),0)),""))</f>
        <v>CABIUNAS</v>
      </c>
      <c r="F106" s="197" cm="1">
        <f t="array" ref="F106">IF(C106="","",IFERROR(INDEX('EFETIVO 11.05.2026'!$E$2:$E$712,MATCH(1,(ISNUMBER(SEARCH("743",'EFETIVO 11.05.2026'!$H$2:$H$712)))*('EFETIVO 11.05.2026'!$G$2:$G$712="A")*('EFETIVO 11.05.2026'!$C$2:$C$712=C106),0)),""))</f>
        <v>45845</v>
      </c>
    </row>
    <row r="107" spans="2:6" x14ac:dyDescent="0.35">
      <c r="B107" s="175">
        <v>16</v>
      </c>
      <c r="C107" s="177" t="str" cm="1">
        <f t="array" ref="C107">IFERROR(INDEX($B$15:$B$89,SMALL(IF($C$15:$C$89=1,ROW($C$15:$C$89)-ROW($C$15)+1),$B107)),"")</f>
        <v>MECANICO DE REFRIGERACAO PREDIAL</v>
      </c>
      <c r="D107" s="177" t="str" cm="1">
        <f t="array" ref="D107">IF(C107="","",IFERROR(INDEX('EFETIVO 11.05.2026'!$B$2:$B$712,MATCH(1,(ISNUMBER(SEARCH("743",'EFETIVO 11.05.2026'!$H$2:$H$712)))*('EFETIVO 11.05.2026'!$G$2:$G$712="A")*('EFETIVO 11.05.2026'!$C$2:$C$712=C107),0)),""))</f>
        <v>NELCI PACHECO</v>
      </c>
      <c r="E107" s="175" t="str" cm="1">
        <f t="array" ref="E107">IF(C107="","",IFERROR(INDEX('EFETIVO 11.05.2026'!$I$2:$I$712,MATCH(1,(ISNUMBER(SEARCH("743",'EFETIVO 11.05.2026'!$H$2:$H$712)))*('EFETIVO 11.05.2026'!$G$2:$G$712="A")*('EFETIVO 11.05.2026'!$C$2:$C$712=C107),0)),""))</f>
        <v>CABIUNAS</v>
      </c>
      <c r="F107" s="197" cm="1">
        <f t="array" ref="F107">IF(C107="","",IFERROR(INDEX('EFETIVO 11.05.2026'!$E$2:$E$712,MATCH(1,(ISNUMBER(SEARCH("743",'EFETIVO 11.05.2026'!$H$2:$H$712)))*('EFETIVO 11.05.2026'!$G$2:$G$712="A")*('EFETIVO 11.05.2026'!$C$2:$C$712=C107),0)),""))</f>
        <v>45772</v>
      </c>
    </row>
    <row r="108" spans="2:6" x14ac:dyDescent="0.35">
      <c r="B108" s="175">
        <v>17</v>
      </c>
      <c r="C108" s="177" t="str" cm="1">
        <f t="array" ref="C108">IFERROR(INDEX($B$15:$B$89,SMALL(IF($C$15:$C$89=1,ROW($C$15:$C$89)-ROW($C$15)+1),$B108)),"")</f>
        <v>MENSAGEIRO</v>
      </c>
      <c r="D108" s="177" t="str" cm="1">
        <f t="array" ref="D108">IF(C108="","",IFERROR(INDEX('EFETIVO 11.05.2026'!$B$2:$B$712,MATCH(1,(ISNUMBER(SEARCH("743",'EFETIVO 11.05.2026'!$H$2:$H$712)))*('EFETIVO 11.05.2026'!$G$2:$G$712="A")*('EFETIVO 11.05.2026'!$C$2:$C$712=C108),0)),""))</f>
        <v>JOELMA DA SILVA RAMOS</v>
      </c>
      <c r="E108" s="175" t="str" cm="1">
        <f t="array" ref="E108">IF(C108="","",IFERROR(INDEX('EFETIVO 11.05.2026'!$I$2:$I$712,MATCH(1,(ISNUMBER(SEARCH("743",'EFETIVO 11.05.2026'!$H$2:$H$712)))*('EFETIVO 11.05.2026'!$G$2:$G$712="A")*('EFETIVO 11.05.2026'!$C$2:$C$712=C108),0)),""))</f>
        <v>CABIUNAS</v>
      </c>
      <c r="F108" s="197" cm="1">
        <f t="array" ref="F108">IF(C108="","",IFERROR(INDEX('EFETIVO 11.05.2026'!$E$2:$E$712,MATCH(1,(ISNUMBER(SEARCH("743",'EFETIVO 11.05.2026'!$H$2:$H$712)))*('EFETIVO 11.05.2026'!$G$2:$G$712="A")*('EFETIVO 11.05.2026'!$C$2:$C$712=C108),0)),""))</f>
        <v>45853</v>
      </c>
    </row>
    <row r="109" spans="2:6" x14ac:dyDescent="0.35">
      <c r="B109" s="175">
        <v>18</v>
      </c>
      <c r="C109" s="177" t="str" cm="1">
        <f t="array" ref="C109">IFERROR(INDEX($B$15:$B$89,SMALL(IF($C$15:$C$89=1,ROW($C$15:$C$89)-ROW($C$15)+1),$B109)),"")</f>
        <v>MOTORISTA MUNCKEIRO</v>
      </c>
      <c r="D109" s="177" t="str" cm="1">
        <f t="array" ref="D109">IF(C109="","",IFERROR(INDEX('EFETIVO 11.05.2026'!$B$2:$B$712,MATCH(1,(ISNUMBER(SEARCH("743",'EFETIVO 11.05.2026'!$H$2:$H$712)))*('EFETIVO 11.05.2026'!$G$2:$G$712="A")*('EFETIVO 11.05.2026'!$C$2:$C$712=C109),0)),""))</f>
        <v>UENDER DA SILVA GOMES</v>
      </c>
      <c r="E109" s="175" t="str" cm="1">
        <f t="array" ref="E109">IF(C109="","",IFERROR(INDEX('EFETIVO 11.05.2026'!$I$2:$I$712,MATCH(1,(ISNUMBER(SEARCH("743",'EFETIVO 11.05.2026'!$H$2:$H$712)))*('EFETIVO 11.05.2026'!$G$2:$G$712="A")*('EFETIVO 11.05.2026'!$C$2:$C$712=C109),0)),""))</f>
        <v>CABIUNAS</v>
      </c>
      <c r="F109" s="197" cm="1">
        <f t="array" ref="F109">IF(C109="","",IFERROR(INDEX('EFETIVO 11.05.2026'!$E$2:$E$712,MATCH(1,(ISNUMBER(SEARCH("743",'EFETIVO 11.05.2026'!$H$2:$H$712)))*('EFETIVO 11.05.2026'!$G$2:$G$712="A")*('EFETIVO 11.05.2026'!$C$2:$C$712=C109),0)),""))</f>
        <v>45873</v>
      </c>
    </row>
    <row r="110" spans="2:6" x14ac:dyDescent="0.35">
      <c r="B110" s="175">
        <v>19</v>
      </c>
      <c r="C110" s="177" t="str" cm="1">
        <f t="array" ref="C110">IFERROR(INDEX($B$15:$B$89,SMALL(IF($C$15:$C$89=1,ROW($C$15:$C$89)-ROW($C$15)+1),$B110)),"")</f>
        <v>OPERADOR DE AUDIO E VIDEO</v>
      </c>
      <c r="D110" s="177" t="str" cm="1">
        <f t="array" ref="D110">IF(C110="","",IFERROR(INDEX('EFETIVO 11.05.2026'!$B$2:$B$712,MATCH(1,(ISNUMBER(SEARCH("743",'EFETIVO 11.05.2026'!$H$2:$H$712)))*('EFETIVO 11.05.2026'!$G$2:$G$712="A")*('EFETIVO 11.05.2026'!$C$2:$C$712=C110),0)),""))</f>
        <v>ALLAN ROBERT CARVALHO ROSA</v>
      </c>
      <c r="E110" s="175" t="str" cm="1">
        <f t="array" ref="E110">IF(C110="","",IFERROR(INDEX('EFETIVO 11.05.2026'!$I$2:$I$712,MATCH(1,(ISNUMBER(SEARCH("743",'EFETIVO 11.05.2026'!$H$2:$H$712)))*('EFETIVO 11.05.2026'!$G$2:$G$712="A")*('EFETIVO 11.05.2026'!$C$2:$C$712=C110),0)),""))</f>
        <v>CABIUNAS</v>
      </c>
      <c r="F110" s="197" cm="1">
        <f t="array" ref="F110">IF(C110="","",IFERROR(INDEX('EFETIVO 11.05.2026'!$E$2:$E$712,MATCH(1,(ISNUMBER(SEARCH("743",'EFETIVO 11.05.2026'!$H$2:$H$712)))*('EFETIVO 11.05.2026'!$G$2:$G$712="A")*('EFETIVO 11.05.2026'!$C$2:$C$712=C110),0)),""))</f>
        <v>45849</v>
      </c>
    </row>
    <row r="111" spans="2:6" ht="15" thickBot="1" x14ac:dyDescent="0.4">
      <c r="B111" s="176">
        <v>20</v>
      </c>
      <c r="C111" s="178" t="str" cm="1">
        <f t="array" ref="C111">IFERROR(INDEX($B$15:$B$89,SMALL(IF($C$15:$C$89=1,ROW($C$15:$C$89)-ROW($C$15)+1),$B111)),"")</f>
        <v>OPERADOR DE RETRO ESCAVADEIRA</v>
      </c>
      <c r="D111" s="178" t="str" cm="1">
        <f t="array" ref="D111">IF(C111="","",IFERROR(INDEX('EFETIVO 11.05.2026'!$B$2:$B$712,MATCH(1,(ISNUMBER(SEARCH("743",'EFETIVO 11.05.2026'!$H$2:$H$712)))*('EFETIVO 11.05.2026'!$G$2:$G$712="A")*('EFETIVO 11.05.2026'!$C$2:$C$712=C111),0)),""))</f>
        <v>LEOMAR GOMES DA SILVA</v>
      </c>
      <c r="E111" s="176" t="str" cm="1">
        <f t="array" ref="E111">IF(C111="","",IFERROR(INDEX('EFETIVO 11.05.2026'!$I$2:$I$712,MATCH(1,(ISNUMBER(SEARCH("743",'EFETIVO 11.05.2026'!$H$2:$H$712)))*('EFETIVO 11.05.2026'!$G$2:$G$712="A")*('EFETIVO 11.05.2026'!$C$2:$C$712=C111),0)),""))</f>
        <v>CABIUNAS</v>
      </c>
      <c r="F111" s="198" cm="1">
        <f t="array" ref="F111">IF(C111="","",IFERROR(INDEX('EFETIVO 11.05.2026'!$E$2:$E$712,MATCH(1,(ISNUMBER(SEARCH("743",'EFETIVO 11.05.2026'!$H$2:$H$712)))*('EFETIVO 11.05.2026'!$G$2:$G$712="A")*('EFETIVO 11.05.2026'!$C$2:$C$712=C111),0)),""))</f>
        <v>45772</v>
      </c>
    </row>
    <row r="114" spans="2:14" ht="24" customHeight="1" x14ac:dyDescent="0.4">
      <c r="B114" s="1011" t="s">
        <v>478</v>
      </c>
      <c r="C114" s="1011"/>
      <c r="D114" s="1011"/>
      <c r="E114" s="1011"/>
      <c r="F114" s="1011"/>
      <c r="G114" s="1011"/>
      <c r="H114" s="1011"/>
      <c r="I114" s="1011"/>
      <c r="J114" s="1011"/>
      <c r="K114" s="1011"/>
      <c r="L114" s="1011"/>
      <c r="M114" s="1011"/>
      <c r="N114" s="1011"/>
    </row>
    <row r="115" spans="2:14" ht="26.15" customHeight="1" x14ac:dyDescent="0.35">
      <c r="B115" s="1264" t="s">
        <v>4793</v>
      </c>
      <c r="C115" s="1264"/>
      <c r="D115" s="1264"/>
      <c r="E115" s="1264"/>
      <c r="F115" s="1264"/>
      <c r="G115" s="1264"/>
      <c r="H115" s="1264"/>
      <c r="I115" s="1264"/>
      <c r="J115" s="1264"/>
      <c r="K115" s="1264"/>
      <c r="L115" s="1264"/>
      <c r="M115" s="1264"/>
      <c r="N115" s="1264"/>
    </row>
    <row r="117" spans="2:14" ht="22" customHeight="1" x14ac:dyDescent="0.35">
      <c r="B117" s="172" t="s">
        <v>479</v>
      </c>
      <c r="C117" s="172" t="s">
        <v>480</v>
      </c>
      <c r="D117" s="172" t="s">
        <v>481</v>
      </c>
      <c r="E117" s="172" t="s">
        <v>482</v>
      </c>
    </row>
    <row r="118" spans="2:14" x14ac:dyDescent="0.35">
      <c r="B118" s="175">
        <v>2024</v>
      </c>
      <c r="C118" s="175" cm="1">
        <f t="array" ref="C118">SUMPRODUCT(ISNUMBER(SEARCH("743",'EFETIVO 11.05.2026'!$H$2:$H$712))*(YEAR('EFETIVO 11.05.2026'!$E$2:$E$712)=2024))</f>
        <v>5</v>
      </c>
      <c r="D118" s="175" cm="1">
        <f t="array" ref="D118">SUMPRODUCT(ISNUMBER(SEARCH("743",'EFETIVO 11.05.2026'!$H$2:$H$712))*(IFERROR(YEAR('EFETIVO 11.05.2026'!$F$2:$F$712),0)=2024))</f>
        <v>0</v>
      </c>
      <c r="E118" s="175">
        <f t="shared" ref="E118:E121" si="2">C118-D118</f>
        <v>5</v>
      </c>
    </row>
    <row r="119" spans="2:14" x14ac:dyDescent="0.35">
      <c r="B119" s="175">
        <v>2025</v>
      </c>
      <c r="C119" s="175" cm="1">
        <f t="array" ref="C119">SUMPRODUCT(ISNUMBER(SEARCH("743",'EFETIVO 11.05.2026'!$H$2:$H$712))*(YEAR('EFETIVO 11.05.2026'!$E$2:$E$712)=2025))</f>
        <v>380</v>
      </c>
      <c r="D119" s="175" cm="1">
        <f t="array" ref="D119">SUMPRODUCT(ISNUMBER(SEARCH("743",'EFETIVO 11.05.2026'!$H$2:$H$712))*(IFERROR(YEAR('EFETIVO 11.05.2026'!$F$2:$F$712),0)=2025))</f>
        <v>66</v>
      </c>
      <c r="E119" s="175">
        <f t="shared" si="2"/>
        <v>314</v>
      </c>
    </row>
    <row r="120" spans="2:14" x14ac:dyDescent="0.35">
      <c r="B120" s="175">
        <v>2026</v>
      </c>
      <c r="C120" s="175" cm="1">
        <f t="array" ref="C120">SUMPRODUCT(ISNUMBER(SEARCH("743",'EFETIVO 11.05.2026'!$H$2:$H$712))*(YEAR('EFETIVO 11.05.2026'!$E$2:$E$712)=2026))</f>
        <v>46</v>
      </c>
      <c r="D120" s="175" cm="1">
        <f t="array" ref="D120">SUMPRODUCT(ISNUMBER(SEARCH("743",'EFETIVO 11.05.2026'!$H$2:$H$712))*(IFERROR(YEAR('EFETIVO 11.05.2026'!$F$2:$F$712),0)=2026))</f>
        <v>35</v>
      </c>
      <c r="E120" s="175">
        <f t="shared" si="2"/>
        <v>11</v>
      </c>
    </row>
    <row r="121" spans="2:14" x14ac:dyDescent="0.35">
      <c r="B121" s="199" t="s">
        <v>459</v>
      </c>
      <c r="C121" s="199">
        <f>SUM(C118:C120)</f>
        <v>431</v>
      </c>
      <c r="D121" s="199">
        <f>SUM(D118:D120)</f>
        <v>101</v>
      </c>
      <c r="E121" s="199">
        <f t="shared" si="2"/>
        <v>330</v>
      </c>
    </row>
  </sheetData>
  <sheetProtection algorithmName="SHA-512" hashValue="TXn8hFKheGZJ6rxaD00gfH2I+ki55O+p8sBzPcCqtxfuolRrV2IZsK6iio6E1NA10qT5fH1volrRrGCH4lwjvw==" saltValue="WMp4wp22CwbzCyHWIGbQsQ==" spinCount="100000" sheet="1"/>
  <mergeCells count="10">
    <mergeCell ref="B88:N88"/>
    <mergeCell ref="B89:N89"/>
    <mergeCell ref="B114:N114"/>
    <mergeCell ref="B115:N115"/>
    <mergeCell ref="A1:Z1"/>
    <mergeCell ref="A2:Z2"/>
    <mergeCell ref="B4:N4"/>
    <mergeCell ref="B12:N12"/>
    <mergeCell ref="B76:N76"/>
    <mergeCell ref="B77:N77"/>
  </mergeCells>
  <conditionalFormatting sqref="B15:E72 B118:E120">
    <cfRule type="expression" dxfId="8" priority="1">
      <formula>MOD(ROW(),2)=0</formula>
    </cfRule>
  </conditionalFormatting>
  <conditionalFormatting sqref="B80:E84">
    <cfRule type="expression" dxfId="7" priority="2">
      <formula>MOD(ROW(),2)=0</formula>
    </cfRule>
  </conditionalFormatting>
  <conditionalFormatting sqref="B92:F111">
    <cfRule type="expression" dxfId="6" priority="3">
      <formula>MOD(ROW(),2)=0</formula>
    </cfRule>
  </conditionalFormatting>
  <conditionalFormatting sqref="E118:E121">
    <cfRule type="cellIs" dxfId="5" priority="6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0075-945C-430E-BAB8-9B324CE8FCA3}">
  <dimension ref="A1:Z133"/>
  <sheetViews>
    <sheetView topLeftCell="A96" zoomScale="85" zoomScaleNormal="85" workbookViewId="0">
      <selection activeCell="AA116" sqref="AA116"/>
    </sheetView>
  </sheetViews>
  <sheetFormatPr defaultRowHeight="14.5" x14ac:dyDescent="0.35"/>
  <cols>
    <col min="1" max="1" width="0.81640625" customWidth="1"/>
    <col min="2" max="2" width="35.54296875" customWidth="1"/>
    <col min="3" max="3" width="34.54296875" customWidth="1"/>
    <col min="4" max="4" width="35.453125" customWidth="1"/>
    <col min="5" max="5" width="17.26953125" customWidth="1"/>
    <col min="6" max="6" width="15" customWidth="1"/>
    <col min="7" max="26" width="0.81640625" customWidth="1"/>
  </cols>
  <sheetData>
    <row r="1" spans="1:26" ht="23.5" x14ac:dyDescent="0.35">
      <c r="A1" s="1002" t="s">
        <v>4785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</row>
    <row r="2" spans="1:26" x14ac:dyDescent="0.35">
      <c r="A2" s="1003" t="s">
        <v>387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</row>
    <row r="4" spans="1:26" ht="16" x14ac:dyDescent="0.4">
      <c r="B4" s="1004" t="s">
        <v>4786</v>
      </c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</row>
    <row r="5" spans="1:26" x14ac:dyDescent="0.35">
      <c r="B5" s="187" t="s">
        <v>4787</v>
      </c>
      <c r="C5" s="188" cm="1">
        <f t="array" ref="C5">SUMPRODUCT(ISNUMBER(SEARCH("743",'EFETIVO 11.05.2026'!$H$2:$H$712))*(('EFETIVO 11.05.2026'!$G$2:$G$712="A")+('EFETIVO 11.05.2026'!$G$2:$G$712="D")+('EFETIVO 11.05.2026'!$G$2:$G$712="F")+('EFETIVO 11.05.2026'!$G$2:$G$712="P")+('EFETIVO 11.05.2026'!$G$2:$G$712="T")+('EFETIVO 11.05.2026'!$G$2:$G$712="M")))</f>
        <v>433</v>
      </c>
    </row>
    <row r="6" spans="1:26" x14ac:dyDescent="0.35">
      <c r="B6" s="189" t="s">
        <v>4788</v>
      </c>
      <c r="C6" s="190" cm="1">
        <f t="array" ref="C6">SUMPRODUCT(ISNUMBER(SEARCH("743",'EFETIVO 11.05.2026'!$H$2:$H$712))*('EFETIVO 11.05.2026'!$G$2:$G$712="A"))</f>
        <v>319</v>
      </c>
    </row>
    <row r="7" spans="1:26" x14ac:dyDescent="0.35">
      <c r="B7" s="189" t="s">
        <v>4789</v>
      </c>
      <c r="C7" s="190" cm="1">
        <f t="array" ref="C7">SUMPRODUCT(ISNUMBER(SEARCH("743",'EFETIVO 11.05.2026'!$H$2:$H$712))*('EFETIVO 11.05.2026'!$G$2:$G$712="D"))</f>
        <v>101</v>
      </c>
    </row>
    <row r="8" spans="1:26" x14ac:dyDescent="0.35">
      <c r="B8" s="189" t="s">
        <v>392</v>
      </c>
      <c r="C8" s="191">
        <f>IFERROR(C7/C5,0)</f>
        <v>0.23325635103926096</v>
      </c>
    </row>
    <row r="9" spans="1:26" ht="15" thickBot="1" x14ac:dyDescent="0.4">
      <c r="B9" s="241" t="s">
        <v>4790</v>
      </c>
      <c r="C9" s="242" cm="1">
        <f t="array" ref="C9">SUMPRODUCT(ISNUMBER(SEARCH("743",'EFETIVO 11.05.2026'!$H$2:$H$712))*(('EFETIVO 11.05.2026'!$G$2:$G$712="F")+('EFETIVO 11.05.2026'!$G$2:$G$712="P")+('EFETIVO 11.05.2026'!$G$2:$G$712="T")+('EFETIVO 11.05.2026'!$G$2:$G$712="M")))</f>
        <v>13</v>
      </c>
    </row>
    <row r="10" spans="1:26" x14ac:dyDescent="0.35">
      <c r="B10" s="243" t="s">
        <v>4791</v>
      </c>
      <c r="C10" s="250" cm="1">
        <f t="array" ref="C10">SUMPRODUCT(--(C15:C88&gt;0))</f>
        <v>69</v>
      </c>
    </row>
    <row r="12" spans="1:26" ht="16" x14ac:dyDescent="0.4">
      <c r="B12" s="1011" t="s">
        <v>395</v>
      </c>
      <c r="C12" s="1011"/>
      <c r="D12" s="1011"/>
      <c r="E12" s="1011"/>
      <c r="F12" s="1011"/>
      <c r="G12" s="1011"/>
      <c r="H12" s="1011"/>
      <c r="I12" s="1011"/>
      <c r="J12" s="1011"/>
      <c r="K12" s="1011"/>
      <c r="L12" s="1011"/>
      <c r="M12" s="1011"/>
      <c r="N12" s="1011"/>
    </row>
    <row r="14" spans="1:26" x14ac:dyDescent="0.35">
      <c r="B14" s="172" t="s">
        <v>396</v>
      </c>
      <c r="C14" s="172" t="s">
        <v>397</v>
      </c>
      <c r="D14" s="172" t="s">
        <v>398</v>
      </c>
      <c r="E14" s="172" t="s">
        <v>399</v>
      </c>
      <c r="F14" s="244" t="s">
        <v>400</v>
      </c>
    </row>
    <row r="15" spans="1:26" x14ac:dyDescent="0.35">
      <c r="B15" s="177" t="s">
        <v>505</v>
      </c>
      <c r="C15" s="175" cm="1">
        <f t="array" ref="C15">SUMPRODUCT(ISNUMBER(SEARCH("743",'EFETIVO 11.05.2026'!$H$2:$H$712))*('EFETIVO 11.05.2026'!$G$2:$G$712="A")*('EFETIVO 11.05.2026'!$C$2:$C$712=B15))</f>
        <v>3</v>
      </c>
      <c r="D15" s="175" cm="1">
        <f t="array" ref="D15">SUMPRODUCT(ISNUMBER(SEARCH("743",'EFETIVO 11.05.2026'!$H$2:$H$712))*('EFETIVO 11.05.2026'!$G$2:$G$712="D")*('EFETIVO 11.05.2026'!$C$2:$C$712=B15))</f>
        <v>1</v>
      </c>
      <c r="E15" s="192">
        <f>IFERROR(C15/$C$6,0)</f>
        <v>9.4043887147335428E-3</v>
      </c>
      <c r="F15" s="247" cm="1">
        <f t="array" ref="F15">SUMPRODUCT(ISNUMBER(SEARCH("743",'EFETIVO 11.05.2026'!$H$2:$H$712))*(('EFETIVO 11.05.2026'!$G$2:$G$712="F")+('EFETIVO 11.05.2026'!$G$2:$G$712="P")+('EFETIVO 11.05.2026'!$G$2:$G$712="T")+('EFETIVO 11.05.2026'!$G$2:$G$712="M"))*('EFETIVO 11.05.2026'!$C$2:$C$712=$B15))</f>
        <v>0</v>
      </c>
    </row>
    <row r="16" spans="1:26" x14ac:dyDescent="0.35">
      <c r="B16" s="177" t="s">
        <v>549</v>
      </c>
      <c r="C16" s="175" cm="1">
        <f t="array" ref="C16">SUMPRODUCT(ISNUMBER(SEARCH("743",'EFETIVO 11.05.2026'!$H$2:$H$712))*('EFETIVO 11.05.2026'!$G$2:$G$712="A")*('EFETIVO 11.05.2026'!$C$2:$C$712=B16))</f>
        <v>1</v>
      </c>
      <c r="D16" s="175" cm="1">
        <f t="array" ref="D16">SUMPRODUCT(ISNUMBER(SEARCH("743",'EFETIVO 11.05.2026'!$H$2:$H$712))*('EFETIVO 11.05.2026'!$G$2:$G$712="D")*('EFETIVO 11.05.2026'!$C$2:$C$712=B16))</f>
        <v>3</v>
      </c>
      <c r="E16" s="192">
        <f>IFERROR(C16/$C$6,0)</f>
        <v>3.134796238244514E-3</v>
      </c>
      <c r="F16" s="251" cm="1">
        <f t="array" ref="F16">SUMPRODUCT(ISNUMBER(SEARCH("743",'EFETIVO 11.05.2026'!$H$2:$H$712))*(('EFETIVO 11.05.2026'!$G$2:$G$712="F")+('EFETIVO 11.05.2026'!$G$2:$G$712="P")+('EFETIVO 11.05.2026'!$G$2:$G$712="T")+('EFETIVO 11.05.2026'!$G$2:$G$712="M"))*('EFETIVO 11.05.2026'!$C$2:$C$712=$B16))</f>
        <v>0</v>
      </c>
    </row>
    <row r="17" spans="2:6" x14ac:dyDescent="0.35">
      <c r="B17" s="177" t="s">
        <v>555</v>
      </c>
      <c r="C17" s="175" cm="1">
        <f t="array" ref="C17">SUMPRODUCT(ISNUMBER(SEARCH("743",'EFETIVO 11.05.2026'!$H$2:$H$712))*('EFETIVO 11.05.2026'!$G$2:$G$712="A")*('EFETIVO 11.05.2026'!$C$2:$C$712=B17))</f>
        <v>2</v>
      </c>
      <c r="D17" s="175" cm="1">
        <f t="array" ref="D17">SUMPRODUCT(ISNUMBER(SEARCH("743",'EFETIVO 11.05.2026'!$H$2:$H$712))*('EFETIVO 11.05.2026'!$G$2:$G$712="D")*('EFETIVO 11.05.2026'!$C$2:$C$712=B17))</f>
        <v>1</v>
      </c>
      <c r="E17" s="192">
        <f>IFERROR(C17/$C$6,0)</f>
        <v>6.269592476489028E-3</v>
      </c>
      <c r="F17" s="251" cm="1">
        <f t="array" ref="F17">SUMPRODUCT(ISNUMBER(SEARCH("743",'EFETIVO 11.05.2026'!$H$2:$H$712))*(('EFETIVO 11.05.2026'!$G$2:$G$712="F")+('EFETIVO 11.05.2026'!$G$2:$G$712="P")+('EFETIVO 11.05.2026'!$G$2:$G$712="T")+('EFETIVO 11.05.2026'!$G$2:$G$712="M"))*('EFETIVO 11.05.2026'!$C$2:$C$712=$B17))</f>
        <v>0</v>
      </c>
    </row>
    <row r="18" spans="2:6" x14ac:dyDescent="0.35">
      <c r="B18" s="177" t="s">
        <v>402</v>
      </c>
      <c r="C18" s="175" cm="1">
        <f t="array" ref="C18">SUMPRODUCT(ISNUMBER(SEARCH("743",'EFETIVO 11.05.2026'!$H$2:$H$712))*('EFETIVO 11.05.2026'!$G$2:$G$712="A")*('EFETIVO 11.05.2026'!$C$2:$C$712=B18))</f>
        <v>8</v>
      </c>
      <c r="D18" s="175" cm="1">
        <f t="array" ref="D18">SUMPRODUCT(ISNUMBER(SEARCH("743",'EFETIVO 11.05.2026'!$H$2:$H$712))*('EFETIVO 11.05.2026'!$G$2:$G$712="D")*('EFETIVO 11.05.2026'!$C$2:$C$712=B18))</f>
        <v>3</v>
      </c>
      <c r="E18" s="192">
        <f>IFERROR(C18/$C$6,0)</f>
        <v>2.5078369905956112E-2</v>
      </c>
      <c r="F18" s="251" cm="1">
        <f t="array" ref="F18">SUMPRODUCT(ISNUMBER(SEARCH("743",'EFETIVO 11.05.2026'!$H$2:$H$712))*(('EFETIVO 11.05.2026'!$G$2:$G$712="F")+('EFETIVO 11.05.2026'!$G$2:$G$712="P")+('EFETIVO 11.05.2026'!$G$2:$G$712="T")+('EFETIVO 11.05.2026'!$G$2:$G$712="M"))*('EFETIVO 11.05.2026'!$C$2:$C$712=$B18))</f>
        <v>0</v>
      </c>
    </row>
    <row r="19" spans="2:6" x14ac:dyDescent="0.35">
      <c r="B19" s="177" t="s">
        <v>403</v>
      </c>
      <c r="C19" s="175" cm="1">
        <f t="array" ref="C19">SUMPRODUCT(ISNUMBER(SEARCH("743",'EFETIVO 11.05.2026'!$H$2:$H$712))*('EFETIVO 11.05.2026'!$G$2:$G$712="A")*('EFETIVO 11.05.2026'!$C$2:$C$712=B19))</f>
        <v>0</v>
      </c>
      <c r="D19" s="175" cm="1">
        <f t="array" ref="D19">SUMPRODUCT(ISNUMBER(SEARCH("743",'EFETIVO 11.05.2026'!$H$2:$H$712))*('EFETIVO 11.05.2026'!$G$2:$G$712="D")*('EFETIVO 11.05.2026'!$C$2:$C$712=B19))</f>
        <v>1</v>
      </c>
      <c r="E19" s="192">
        <f>IFERROR(C19/$C$6,0)</f>
        <v>0</v>
      </c>
      <c r="F19" s="251" cm="1">
        <f t="array" ref="F19">SUMPRODUCT(ISNUMBER(SEARCH("743",'EFETIVO 11.05.2026'!$H$2:$H$712))*(('EFETIVO 11.05.2026'!$G$2:$G$712="F")+('EFETIVO 11.05.2026'!$G$2:$G$712="P")+('EFETIVO 11.05.2026'!$G$2:$G$712="T")+('EFETIVO 11.05.2026'!$G$2:$G$712="M"))*('EFETIVO 11.05.2026'!$C$2:$C$712=$B19))</f>
        <v>0</v>
      </c>
    </row>
    <row r="20" spans="2:6" x14ac:dyDescent="0.35">
      <c r="B20" s="177" t="s">
        <v>404</v>
      </c>
      <c r="C20" s="175" cm="1">
        <f t="array" ref="C20">SUMPRODUCT(ISNUMBER(SEARCH("743",'EFETIVO 11.05.2026'!$H$2:$H$712))*('EFETIVO 11.05.2026'!$G$2:$G$712="A")*('EFETIVO 11.05.2026'!$C$2:$C$712=B20))</f>
        <v>4</v>
      </c>
      <c r="D20" s="175" cm="1">
        <f t="array" ref="D20">SUMPRODUCT(ISNUMBER(SEARCH("743",'EFETIVO 11.05.2026'!$H$2:$H$712))*('EFETIVO 11.05.2026'!$G$2:$G$712="D")*('EFETIVO 11.05.2026'!$C$2:$C$712=B20))</f>
        <v>0</v>
      </c>
      <c r="E20" s="192">
        <f t="shared" ref="E20:E83" si="0">IFERROR(C20/$C$6,0)</f>
        <v>1.2539184952978056E-2</v>
      </c>
      <c r="F20" s="251" cm="1">
        <f t="array" ref="F20">SUMPRODUCT(ISNUMBER(SEARCH("743",'EFETIVO 11.05.2026'!$H$2:$H$712))*(('EFETIVO 11.05.2026'!$G$2:$G$712="F")+('EFETIVO 11.05.2026'!$G$2:$G$712="P")+('EFETIVO 11.05.2026'!$G$2:$G$712="T")+('EFETIVO 11.05.2026'!$G$2:$G$712="M"))*('EFETIVO 11.05.2026'!$C$2:$C$712=$B20))</f>
        <v>0</v>
      </c>
    </row>
    <row r="21" spans="2:6" x14ac:dyDescent="0.35">
      <c r="B21" s="177" t="s">
        <v>563</v>
      </c>
      <c r="C21" s="175" cm="1">
        <f t="array" ref="C21">SUMPRODUCT(ISNUMBER(SEARCH("743",'EFETIVO 11.05.2026'!$H$2:$H$712))*('EFETIVO 11.05.2026'!$G$2:$G$712="A")*('EFETIVO 11.05.2026'!$C$2:$C$712=B21))</f>
        <v>2</v>
      </c>
      <c r="D21" s="175" cm="1">
        <f t="array" ref="D21">SUMPRODUCT(ISNUMBER(SEARCH("743",'EFETIVO 11.05.2026'!$H$2:$H$712))*('EFETIVO 11.05.2026'!$G$2:$G$712="D")*('EFETIVO 11.05.2026'!$C$2:$C$712=B21))</f>
        <v>0</v>
      </c>
      <c r="E21" s="192">
        <f t="shared" si="0"/>
        <v>6.269592476489028E-3</v>
      </c>
      <c r="F21" s="251" cm="1">
        <f t="array" ref="F21">SUMPRODUCT(ISNUMBER(SEARCH("743",'EFETIVO 11.05.2026'!$H$2:$H$712))*(('EFETIVO 11.05.2026'!$G$2:$G$712="F")+('EFETIVO 11.05.2026'!$G$2:$G$712="P")+('EFETIVO 11.05.2026'!$G$2:$G$712="T")+('EFETIVO 11.05.2026'!$G$2:$G$712="M"))*('EFETIVO 11.05.2026'!$C$2:$C$712=$B21))</f>
        <v>0</v>
      </c>
    </row>
    <row r="22" spans="2:6" x14ac:dyDescent="0.35">
      <c r="B22" s="177" t="s">
        <v>405</v>
      </c>
      <c r="C22" s="175" cm="1">
        <f t="array" ref="C22">SUMPRODUCT(ISNUMBER(SEARCH("743",'EFETIVO 11.05.2026'!$H$2:$H$712))*('EFETIVO 11.05.2026'!$G$2:$G$712="A")*('EFETIVO 11.05.2026'!$C$2:$C$712=B22))</f>
        <v>3</v>
      </c>
      <c r="D22" s="175" cm="1">
        <f t="array" ref="D22">SUMPRODUCT(ISNUMBER(SEARCH("743",'EFETIVO 11.05.2026'!$H$2:$H$712))*('EFETIVO 11.05.2026'!$G$2:$G$712="D")*('EFETIVO 11.05.2026'!$C$2:$C$712=B22))</f>
        <v>1</v>
      </c>
      <c r="E22" s="192">
        <f t="shared" si="0"/>
        <v>9.4043887147335428E-3</v>
      </c>
      <c r="F22" s="251" cm="1">
        <f t="array" ref="F22">SUMPRODUCT(ISNUMBER(SEARCH("743",'EFETIVO 11.05.2026'!$H$2:$H$712))*(('EFETIVO 11.05.2026'!$G$2:$G$712="F")+('EFETIVO 11.05.2026'!$G$2:$G$712="P")+('EFETIVO 11.05.2026'!$G$2:$G$712="T")+('EFETIVO 11.05.2026'!$G$2:$G$712="M"))*('EFETIVO 11.05.2026'!$C$2:$C$712=$B22))</f>
        <v>0</v>
      </c>
    </row>
    <row r="23" spans="2:6" x14ac:dyDescent="0.35">
      <c r="B23" s="177" t="s">
        <v>406</v>
      </c>
      <c r="C23" s="175" cm="1">
        <f t="array" ref="C23">SUMPRODUCT(ISNUMBER(SEARCH("743",'EFETIVO 11.05.2026'!$H$2:$H$712))*('EFETIVO 11.05.2026'!$G$2:$G$712="A")*('EFETIVO 11.05.2026'!$C$2:$C$712=B23))</f>
        <v>8</v>
      </c>
      <c r="D23" s="175" cm="1">
        <f t="array" ref="D23">SUMPRODUCT(ISNUMBER(SEARCH("743",'EFETIVO 11.05.2026'!$H$2:$H$712))*('EFETIVO 11.05.2026'!$G$2:$G$712="D")*('EFETIVO 11.05.2026'!$C$2:$C$712=B23))</f>
        <v>2</v>
      </c>
      <c r="E23" s="192">
        <f t="shared" si="0"/>
        <v>2.5078369905956112E-2</v>
      </c>
      <c r="F23" s="251" cm="1">
        <f t="array" ref="F23">SUMPRODUCT(ISNUMBER(SEARCH("743",'EFETIVO 11.05.2026'!$H$2:$H$712))*(('EFETIVO 11.05.2026'!$G$2:$G$712="F")+('EFETIVO 11.05.2026'!$G$2:$G$712="P")+('EFETIVO 11.05.2026'!$G$2:$G$712="T")+('EFETIVO 11.05.2026'!$G$2:$G$712="M"))*('EFETIVO 11.05.2026'!$C$2:$C$712=$B23))</f>
        <v>2</v>
      </c>
    </row>
    <row r="24" spans="2:6" x14ac:dyDescent="0.35">
      <c r="B24" s="177" t="s">
        <v>407</v>
      </c>
      <c r="C24" s="175" cm="1">
        <f t="array" ref="C24">SUMPRODUCT(ISNUMBER(SEARCH("743",'EFETIVO 11.05.2026'!$H$2:$H$712))*('EFETIVO 11.05.2026'!$G$2:$G$712="A")*('EFETIVO 11.05.2026'!$C$2:$C$712=B24))</f>
        <v>5</v>
      </c>
      <c r="D24" s="175" cm="1">
        <f t="array" ref="D24">SUMPRODUCT(ISNUMBER(SEARCH("743",'EFETIVO 11.05.2026'!$H$2:$H$712))*('EFETIVO 11.05.2026'!$G$2:$G$712="D")*('EFETIVO 11.05.2026'!$C$2:$C$712=B24))</f>
        <v>5</v>
      </c>
      <c r="E24" s="192">
        <f t="shared" si="0"/>
        <v>1.5673981191222569E-2</v>
      </c>
      <c r="F24" s="251" cm="1">
        <f t="array" ref="F24">SUMPRODUCT(ISNUMBER(SEARCH("743",'EFETIVO 11.05.2026'!$H$2:$H$712))*(('EFETIVO 11.05.2026'!$G$2:$G$712="F")+('EFETIVO 11.05.2026'!$G$2:$G$712="P")+('EFETIVO 11.05.2026'!$G$2:$G$712="T")+('EFETIVO 11.05.2026'!$G$2:$G$712="M"))*('EFETIVO 11.05.2026'!$C$2:$C$712=$B24))</f>
        <v>0</v>
      </c>
    </row>
    <row r="25" spans="2:6" x14ac:dyDescent="0.35">
      <c r="B25" s="177" t="s">
        <v>408</v>
      </c>
      <c r="C25" s="175" cm="1">
        <f t="array" ref="C25">SUMPRODUCT(ISNUMBER(SEARCH("743",'EFETIVO 11.05.2026'!$H$2:$H$712))*('EFETIVO 11.05.2026'!$G$2:$G$712="A")*('EFETIVO 11.05.2026'!$C$2:$C$712=B25))</f>
        <v>1</v>
      </c>
      <c r="D25" s="175" cm="1">
        <f t="array" ref="D25">SUMPRODUCT(ISNUMBER(SEARCH("743",'EFETIVO 11.05.2026'!$H$2:$H$712))*('EFETIVO 11.05.2026'!$G$2:$G$712="D")*('EFETIVO 11.05.2026'!$C$2:$C$712=B25))</f>
        <v>2</v>
      </c>
      <c r="E25" s="192">
        <f t="shared" si="0"/>
        <v>3.134796238244514E-3</v>
      </c>
      <c r="F25" s="251" cm="1">
        <f t="array" ref="F25">SUMPRODUCT(ISNUMBER(SEARCH("743",'EFETIVO 11.05.2026'!$H$2:$H$712))*(('EFETIVO 11.05.2026'!$G$2:$G$712="F")+('EFETIVO 11.05.2026'!$G$2:$G$712="P")+('EFETIVO 11.05.2026'!$G$2:$G$712="T")+('EFETIVO 11.05.2026'!$G$2:$G$712="M"))*('EFETIVO 11.05.2026'!$C$2:$C$712=$B25))</f>
        <v>1</v>
      </c>
    </row>
    <row r="26" spans="2:6" x14ac:dyDescent="0.35">
      <c r="B26" s="177" t="s">
        <v>753</v>
      </c>
      <c r="C26" s="175" cm="1">
        <f t="array" ref="C26">SUMPRODUCT(ISNUMBER(SEARCH("743",'EFETIVO 11.05.2026'!$H$2:$H$712))*('EFETIVO 11.05.2026'!$G$2:$G$712="A")*('EFETIVO 11.05.2026'!$C$2:$C$712=B26))</f>
        <v>1</v>
      </c>
      <c r="D26" s="175" cm="1">
        <f t="array" ref="D26">SUMPRODUCT(ISNUMBER(SEARCH("743",'EFETIVO 11.05.2026'!$H$2:$H$712))*('EFETIVO 11.05.2026'!$G$2:$G$712="D")*('EFETIVO 11.05.2026'!$C$2:$C$712=B26))</f>
        <v>0</v>
      </c>
      <c r="E26" s="192">
        <f t="shared" si="0"/>
        <v>3.134796238244514E-3</v>
      </c>
      <c r="F26" s="251" cm="1">
        <f t="array" ref="F26">SUMPRODUCT(ISNUMBER(SEARCH("743",'EFETIVO 11.05.2026'!$H$2:$H$712))*(('EFETIVO 11.05.2026'!$G$2:$G$712="F")+('EFETIVO 11.05.2026'!$G$2:$G$712="P")+('EFETIVO 11.05.2026'!$G$2:$G$712="T")+('EFETIVO 11.05.2026'!$G$2:$G$712="M"))*('EFETIVO 11.05.2026'!$C$2:$C$712=$B26))</f>
        <v>0</v>
      </c>
    </row>
    <row r="27" spans="2:6" x14ac:dyDescent="0.35">
      <c r="B27" s="177" t="s">
        <v>409</v>
      </c>
      <c r="C27" s="175" cm="1">
        <f t="array" ref="C27">SUMPRODUCT(ISNUMBER(SEARCH("743",'EFETIVO 11.05.2026'!$H$2:$H$712))*('EFETIVO 11.05.2026'!$G$2:$G$712="A")*('EFETIVO 11.05.2026'!$C$2:$C$712=B27))</f>
        <v>2</v>
      </c>
      <c r="D27" s="175" cm="1">
        <f t="array" ref="D27">SUMPRODUCT(ISNUMBER(SEARCH("743",'EFETIVO 11.05.2026'!$H$2:$H$712))*('EFETIVO 11.05.2026'!$G$2:$G$712="D")*('EFETIVO 11.05.2026'!$C$2:$C$712=B27))</f>
        <v>1</v>
      </c>
      <c r="E27" s="192">
        <f t="shared" si="0"/>
        <v>6.269592476489028E-3</v>
      </c>
      <c r="F27" s="251" cm="1">
        <f t="array" ref="F27">SUMPRODUCT(ISNUMBER(SEARCH("743",'EFETIVO 11.05.2026'!$H$2:$H$712))*(('EFETIVO 11.05.2026'!$G$2:$G$712="F")+('EFETIVO 11.05.2026'!$G$2:$G$712="P")+('EFETIVO 11.05.2026'!$G$2:$G$712="T")+('EFETIVO 11.05.2026'!$G$2:$G$712="M"))*('EFETIVO 11.05.2026'!$C$2:$C$712=$B27))</f>
        <v>0</v>
      </c>
    </row>
    <row r="28" spans="2:6" x14ac:dyDescent="0.35">
      <c r="B28" s="177" t="s">
        <v>958</v>
      </c>
      <c r="C28" s="175" cm="1">
        <f t="array" ref="C28">SUMPRODUCT(ISNUMBER(SEARCH("743",'EFETIVO 11.05.2026'!$H$2:$H$712))*('EFETIVO 11.05.2026'!$G$2:$G$712="A")*('EFETIVO 11.05.2026'!$C$2:$C$712=B28))</f>
        <v>0</v>
      </c>
      <c r="D28" s="175" cm="1">
        <f t="array" ref="D28">SUMPRODUCT(ISNUMBER(SEARCH("743",'EFETIVO 11.05.2026'!$H$2:$H$712))*('EFETIVO 11.05.2026'!$G$2:$G$712="D")*('EFETIVO 11.05.2026'!$C$2:$C$712=B28))</f>
        <v>1</v>
      </c>
      <c r="E28" s="192">
        <f t="shared" si="0"/>
        <v>0</v>
      </c>
      <c r="F28" s="251" cm="1">
        <f t="array" ref="F28">SUMPRODUCT(ISNUMBER(SEARCH("743",'EFETIVO 11.05.2026'!$H$2:$H$712))*(('EFETIVO 11.05.2026'!$G$2:$G$712="F")+('EFETIVO 11.05.2026'!$G$2:$G$712="P")+('EFETIVO 11.05.2026'!$G$2:$G$712="T")+('EFETIVO 11.05.2026'!$G$2:$G$712="M"))*('EFETIVO 11.05.2026'!$C$2:$C$712=$B28))</f>
        <v>0</v>
      </c>
    </row>
    <row r="29" spans="2:6" x14ac:dyDescent="0.35">
      <c r="B29" s="177" t="s">
        <v>410</v>
      </c>
      <c r="C29" s="175" cm="1">
        <f t="array" ref="C29">SUMPRODUCT(ISNUMBER(SEARCH("743",'EFETIVO 11.05.2026'!$H$2:$H$712))*('EFETIVO 11.05.2026'!$G$2:$G$712="A")*('EFETIVO 11.05.2026'!$C$2:$C$712=B29))</f>
        <v>6</v>
      </c>
      <c r="D29" s="175" cm="1">
        <f t="array" ref="D29">SUMPRODUCT(ISNUMBER(SEARCH("743",'EFETIVO 11.05.2026'!$H$2:$H$712))*('EFETIVO 11.05.2026'!$G$2:$G$712="D")*('EFETIVO 11.05.2026'!$C$2:$C$712=B29))</f>
        <v>1</v>
      </c>
      <c r="E29" s="192">
        <f t="shared" si="0"/>
        <v>1.8808777429467086E-2</v>
      </c>
      <c r="F29" s="251" cm="1">
        <f t="array" ref="F29">SUMPRODUCT(ISNUMBER(SEARCH("743",'EFETIVO 11.05.2026'!$H$2:$H$712))*(('EFETIVO 11.05.2026'!$G$2:$G$712="F")+('EFETIVO 11.05.2026'!$G$2:$G$712="P")+('EFETIVO 11.05.2026'!$G$2:$G$712="T")+('EFETIVO 11.05.2026'!$G$2:$G$712="M"))*('EFETIVO 11.05.2026'!$C$2:$C$712=$B29))</f>
        <v>1</v>
      </c>
    </row>
    <row r="30" spans="2:6" x14ac:dyDescent="0.35">
      <c r="B30" s="177" t="s">
        <v>411</v>
      </c>
      <c r="C30" s="175" cm="1">
        <f t="array" ref="C30">SUMPRODUCT(ISNUMBER(SEARCH("743",'EFETIVO 11.05.2026'!$H$2:$H$712))*('EFETIVO 11.05.2026'!$G$2:$G$712="A")*('EFETIVO 11.05.2026'!$C$2:$C$712=B30))</f>
        <v>4</v>
      </c>
      <c r="D30" s="175" cm="1">
        <f t="array" ref="D30">SUMPRODUCT(ISNUMBER(SEARCH("743",'EFETIVO 11.05.2026'!$H$2:$H$712))*('EFETIVO 11.05.2026'!$G$2:$G$712="D")*('EFETIVO 11.05.2026'!$C$2:$C$712=B30))</f>
        <v>0</v>
      </c>
      <c r="E30" s="192">
        <f t="shared" si="0"/>
        <v>1.2539184952978056E-2</v>
      </c>
      <c r="F30" s="251" cm="1">
        <f t="array" ref="F30">SUMPRODUCT(ISNUMBER(SEARCH("743",'EFETIVO 11.05.2026'!$H$2:$H$712))*(('EFETIVO 11.05.2026'!$G$2:$G$712="F")+('EFETIVO 11.05.2026'!$G$2:$G$712="P")+('EFETIVO 11.05.2026'!$G$2:$G$712="T")+('EFETIVO 11.05.2026'!$G$2:$G$712="M"))*('EFETIVO 11.05.2026'!$C$2:$C$712=$B30))</f>
        <v>0</v>
      </c>
    </row>
    <row r="31" spans="2:6" x14ac:dyDescent="0.35">
      <c r="B31" s="177" t="s">
        <v>412</v>
      </c>
      <c r="C31" s="175" cm="1">
        <f t="array" ref="C31">SUMPRODUCT(ISNUMBER(SEARCH("743",'EFETIVO 11.05.2026'!$H$2:$H$712))*('EFETIVO 11.05.2026'!$G$2:$G$712="A")*('EFETIVO 11.05.2026'!$C$2:$C$712=B31))</f>
        <v>1</v>
      </c>
      <c r="D31" s="175" cm="1">
        <f t="array" ref="D31">SUMPRODUCT(ISNUMBER(SEARCH("743",'EFETIVO 11.05.2026'!$H$2:$H$712))*('EFETIVO 11.05.2026'!$G$2:$G$712="D")*('EFETIVO 11.05.2026'!$C$2:$C$712=B31))</f>
        <v>0</v>
      </c>
      <c r="E31" s="192">
        <f t="shared" si="0"/>
        <v>3.134796238244514E-3</v>
      </c>
      <c r="F31" s="251" cm="1">
        <f t="array" ref="F31">SUMPRODUCT(ISNUMBER(SEARCH("743",'EFETIVO 11.05.2026'!$H$2:$H$712))*(('EFETIVO 11.05.2026'!$G$2:$G$712="F")+('EFETIVO 11.05.2026'!$G$2:$G$712="P")+('EFETIVO 11.05.2026'!$G$2:$G$712="T")+('EFETIVO 11.05.2026'!$G$2:$G$712="M"))*('EFETIVO 11.05.2026'!$C$2:$C$712=$B31))</f>
        <v>0</v>
      </c>
    </row>
    <row r="32" spans="2:6" x14ac:dyDescent="0.35">
      <c r="B32" s="177" t="s">
        <v>413</v>
      </c>
      <c r="C32" s="175" cm="1">
        <f t="array" ref="C32">SUMPRODUCT(ISNUMBER(SEARCH("743",'EFETIVO 11.05.2026'!$H$2:$H$712))*('EFETIVO 11.05.2026'!$G$2:$G$712="A")*('EFETIVO 11.05.2026'!$C$2:$C$712=B32))</f>
        <v>3</v>
      </c>
      <c r="D32" s="175" cm="1">
        <f t="array" ref="D32">SUMPRODUCT(ISNUMBER(SEARCH("743",'EFETIVO 11.05.2026'!$H$2:$H$712))*('EFETIVO 11.05.2026'!$G$2:$G$712="D")*('EFETIVO 11.05.2026'!$C$2:$C$712=B32))</f>
        <v>0</v>
      </c>
      <c r="E32" s="192">
        <f t="shared" si="0"/>
        <v>9.4043887147335428E-3</v>
      </c>
      <c r="F32" s="251" cm="1">
        <f t="array" ref="F32">SUMPRODUCT(ISNUMBER(SEARCH("743",'EFETIVO 11.05.2026'!$H$2:$H$712))*(('EFETIVO 11.05.2026'!$G$2:$G$712="F")+('EFETIVO 11.05.2026'!$G$2:$G$712="P")+('EFETIVO 11.05.2026'!$G$2:$G$712="T")+('EFETIVO 11.05.2026'!$G$2:$G$712="M"))*('EFETIVO 11.05.2026'!$C$2:$C$712=$B32))</f>
        <v>0</v>
      </c>
    </row>
    <row r="33" spans="2:6" x14ac:dyDescent="0.35">
      <c r="B33" s="177" t="s">
        <v>738</v>
      </c>
      <c r="C33" s="175" cm="1">
        <f t="array" ref="C33">SUMPRODUCT(ISNUMBER(SEARCH("743",'EFETIVO 11.05.2026'!$H$2:$H$712))*('EFETIVO 11.05.2026'!$G$2:$G$712="A")*('EFETIVO 11.05.2026'!$C$2:$C$712=B33))</f>
        <v>2</v>
      </c>
      <c r="D33" s="175" cm="1">
        <f t="array" ref="D33">SUMPRODUCT(ISNUMBER(SEARCH("743",'EFETIVO 11.05.2026'!$H$2:$H$712))*('EFETIVO 11.05.2026'!$G$2:$G$712="D")*('EFETIVO 11.05.2026'!$C$2:$C$712=B33))</f>
        <v>0</v>
      </c>
      <c r="E33" s="192">
        <f t="shared" si="0"/>
        <v>6.269592476489028E-3</v>
      </c>
      <c r="F33" s="251" cm="1">
        <f t="array" ref="F33">SUMPRODUCT(ISNUMBER(SEARCH("743",'EFETIVO 11.05.2026'!$H$2:$H$712))*(('EFETIVO 11.05.2026'!$G$2:$G$712="F")+('EFETIVO 11.05.2026'!$G$2:$G$712="P")+('EFETIVO 11.05.2026'!$G$2:$G$712="T")+('EFETIVO 11.05.2026'!$G$2:$G$712="M"))*('EFETIVO 11.05.2026'!$C$2:$C$712=$B33))</f>
        <v>0</v>
      </c>
    </row>
    <row r="34" spans="2:6" x14ac:dyDescent="0.35">
      <c r="B34" s="177" t="s">
        <v>416</v>
      </c>
      <c r="C34" s="175" cm="1">
        <f t="array" ref="C34">SUMPRODUCT(ISNUMBER(SEARCH("743",'EFETIVO 11.05.2026'!$H$2:$H$712))*('EFETIVO 11.05.2026'!$G$2:$G$712="A")*('EFETIVO 11.05.2026'!$C$2:$C$712=B34))</f>
        <v>38</v>
      </c>
      <c r="D34" s="175" cm="1">
        <f t="array" ref="D34">SUMPRODUCT(ISNUMBER(SEARCH("743",'EFETIVO 11.05.2026'!$H$2:$H$712))*('EFETIVO 11.05.2026'!$G$2:$G$712="D")*('EFETIVO 11.05.2026'!$C$2:$C$712=B34))</f>
        <v>19</v>
      </c>
      <c r="E34" s="192">
        <f t="shared" si="0"/>
        <v>0.11912225705329153</v>
      </c>
      <c r="F34" s="251" cm="1">
        <f t="array" ref="F34">SUMPRODUCT(ISNUMBER(SEARCH("743",'EFETIVO 11.05.2026'!$H$2:$H$712))*(('EFETIVO 11.05.2026'!$G$2:$G$712="F")+('EFETIVO 11.05.2026'!$G$2:$G$712="P")+('EFETIVO 11.05.2026'!$G$2:$G$712="T")+('EFETIVO 11.05.2026'!$G$2:$G$712="M"))*('EFETIVO 11.05.2026'!$C$2:$C$712=$B34))</f>
        <v>3</v>
      </c>
    </row>
    <row r="35" spans="2:6" x14ac:dyDescent="0.35">
      <c r="B35" s="177" t="s">
        <v>417</v>
      </c>
      <c r="C35" s="175" cm="1">
        <f t="array" ref="C35">SUMPRODUCT(ISNUMBER(SEARCH("743",'EFETIVO 11.05.2026'!$H$2:$H$712))*('EFETIVO 11.05.2026'!$G$2:$G$712="A")*('EFETIVO 11.05.2026'!$C$2:$C$712=B35))</f>
        <v>9</v>
      </c>
      <c r="D35" s="175" cm="1">
        <f t="array" ref="D35">SUMPRODUCT(ISNUMBER(SEARCH("743",'EFETIVO 11.05.2026'!$H$2:$H$712))*('EFETIVO 11.05.2026'!$G$2:$G$712="D")*('EFETIVO 11.05.2026'!$C$2:$C$712=B35))</f>
        <v>0</v>
      </c>
      <c r="E35" s="192">
        <f t="shared" si="0"/>
        <v>2.8213166144200628E-2</v>
      </c>
      <c r="F35" s="251" cm="1">
        <f t="array" ref="F35">SUMPRODUCT(ISNUMBER(SEARCH("743",'EFETIVO 11.05.2026'!$H$2:$H$712))*(('EFETIVO 11.05.2026'!$G$2:$G$712="F")+('EFETIVO 11.05.2026'!$G$2:$G$712="P")+('EFETIVO 11.05.2026'!$G$2:$G$712="T")+('EFETIVO 11.05.2026'!$G$2:$G$712="M"))*('EFETIVO 11.05.2026'!$C$2:$C$712=$B35))</f>
        <v>0</v>
      </c>
    </row>
    <row r="36" spans="2:6" x14ac:dyDescent="0.35">
      <c r="B36" s="177" t="s">
        <v>418</v>
      </c>
      <c r="C36" s="175" cm="1">
        <f t="array" ref="C36">SUMPRODUCT(ISNUMBER(SEARCH("743",'EFETIVO 11.05.2026'!$H$2:$H$712))*('EFETIVO 11.05.2026'!$G$2:$G$712="A")*('EFETIVO 11.05.2026'!$C$2:$C$712=B36))</f>
        <v>1</v>
      </c>
      <c r="D36" s="175" cm="1">
        <f t="array" ref="D36">SUMPRODUCT(ISNUMBER(SEARCH("743",'EFETIVO 11.05.2026'!$H$2:$H$712))*('EFETIVO 11.05.2026'!$G$2:$G$712="D")*('EFETIVO 11.05.2026'!$C$2:$C$712=B36))</f>
        <v>0</v>
      </c>
      <c r="E36" s="192">
        <f t="shared" si="0"/>
        <v>3.134796238244514E-3</v>
      </c>
      <c r="F36" s="251" cm="1">
        <f t="array" ref="F36">SUMPRODUCT(ISNUMBER(SEARCH("743",'EFETIVO 11.05.2026'!$H$2:$H$712))*(('EFETIVO 11.05.2026'!$G$2:$G$712="F")+('EFETIVO 11.05.2026'!$G$2:$G$712="P")+('EFETIVO 11.05.2026'!$G$2:$G$712="T")+('EFETIVO 11.05.2026'!$G$2:$G$712="M"))*('EFETIVO 11.05.2026'!$C$2:$C$712=$B36))</f>
        <v>0</v>
      </c>
    </row>
    <row r="37" spans="2:6" x14ac:dyDescent="0.35">
      <c r="B37" s="177" t="s">
        <v>419</v>
      </c>
      <c r="C37" s="175" cm="1">
        <f t="array" ref="C37">SUMPRODUCT(ISNUMBER(SEARCH("743",'EFETIVO 11.05.2026'!$H$2:$H$712))*('EFETIVO 11.05.2026'!$G$2:$G$712="A")*('EFETIVO 11.05.2026'!$C$2:$C$712=B37))</f>
        <v>2</v>
      </c>
      <c r="D37" s="175" cm="1">
        <f t="array" ref="D37">SUMPRODUCT(ISNUMBER(SEARCH("743",'EFETIVO 11.05.2026'!$H$2:$H$712))*('EFETIVO 11.05.2026'!$G$2:$G$712="D")*('EFETIVO 11.05.2026'!$C$2:$C$712=B37))</f>
        <v>0</v>
      </c>
      <c r="E37" s="192">
        <f t="shared" si="0"/>
        <v>6.269592476489028E-3</v>
      </c>
      <c r="F37" s="251" cm="1">
        <f t="array" ref="F37">SUMPRODUCT(ISNUMBER(SEARCH("743",'EFETIVO 11.05.2026'!$H$2:$H$712))*(('EFETIVO 11.05.2026'!$G$2:$G$712="F")+('EFETIVO 11.05.2026'!$G$2:$G$712="P")+('EFETIVO 11.05.2026'!$G$2:$G$712="T")+('EFETIVO 11.05.2026'!$G$2:$G$712="M"))*('EFETIVO 11.05.2026'!$C$2:$C$712=$B37))</f>
        <v>0</v>
      </c>
    </row>
    <row r="38" spans="2:6" x14ac:dyDescent="0.35">
      <c r="B38" s="177" t="s">
        <v>420</v>
      </c>
      <c r="C38" s="175" cm="1">
        <f t="array" ref="C38">SUMPRODUCT(ISNUMBER(SEARCH("743",'EFETIVO 11.05.2026'!$H$2:$H$712))*('EFETIVO 11.05.2026'!$G$2:$G$712="A")*('EFETIVO 11.05.2026'!$C$2:$C$712=B38))</f>
        <v>53</v>
      </c>
      <c r="D38" s="175" cm="1">
        <f t="array" ref="D38">SUMPRODUCT(ISNUMBER(SEARCH("743",'EFETIVO 11.05.2026'!$H$2:$H$712))*('EFETIVO 11.05.2026'!$G$2:$G$712="D")*('EFETIVO 11.05.2026'!$C$2:$C$712=B38))</f>
        <v>12</v>
      </c>
      <c r="E38" s="192">
        <f t="shared" si="0"/>
        <v>0.16614420062695925</v>
      </c>
      <c r="F38" s="251" cm="1">
        <f t="array" ref="F38">SUMPRODUCT(ISNUMBER(SEARCH("743",'EFETIVO 11.05.2026'!$H$2:$H$712))*(('EFETIVO 11.05.2026'!$G$2:$G$712="F")+('EFETIVO 11.05.2026'!$G$2:$G$712="P")+('EFETIVO 11.05.2026'!$G$2:$G$712="T")+('EFETIVO 11.05.2026'!$G$2:$G$712="M"))*('EFETIVO 11.05.2026'!$C$2:$C$712=$B38))</f>
        <v>0</v>
      </c>
    </row>
    <row r="39" spans="2:6" x14ac:dyDescent="0.35">
      <c r="B39" s="177" t="s">
        <v>867</v>
      </c>
      <c r="C39" s="175" cm="1">
        <f t="array" ref="C39">SUMPRODUCT(ISNUMBER(SEARCH("743",'EFETIVO 11.05.2026'!$H$2:$H$712))*('EFETIVO 11.05.2026'!$G$2:$G$712="A")*('EFETIVO 11.05.2026'!$C$2:$C$712=B39))</f>
        <v>0</v>
      </c>
      <c r="D39" s="175" cm="1">
        <f t="array" ref="D39">SUMPRODUCT(ISNUMBER(SEARCH("743",'EFETIVO 11.05.2026'!$H$2:$H$712))*('EFETIVO 11.05.2026'!$G$2:$G$712="D")*('EFETIVO 11.05.2026'!$C$2:$C$712=B39))</f>
        <v>1</v>
      </c>
      <c r="E39" s="192">
        <f t="shared" si="0"/>
        <v>0</v>
      </c>
      <c r="F39" s="251" cm="1">
        <f t="array" ref="F39">SUMPRODUCT(ISNUMBER(SEARCH("743",'EFETIVO 11.05.2026'!$H$2:$H$712))*(('EFETIVO 11.05.2026'!$G$2:$G$712="F")+('EFETIVO 11.05.2026'!$G$2:$G$712="P")+('EFETIVO 11.05.2026'!$G$2:$G$712="T")+('EFETIVO 11.05.2026'!$G$2:$G$712="M"))*('EFETIVO 11.05.2026'!$C$2:$C$712=$B39))</f>
        <v>0</v>
      </c>
    </row>
    <row r="40" spans="2:6" x14ac:dyDescent="0.35">
      <c r="B40" s="177" t="s">
        <v>421</v>
      </c>
      <c r="C40" s="175" cm="1">
        <f t="array" ref="C40">SUMPRODUCT(ISNUMBER(SEARCH("743",'EFETIVO 11.05.2026'!$H$2:$H$712))*('EFETIVO 11.05.2026'!$G$2:$G$712="A")*('EFETIVO 11.05.2026'!$C$2:$C$712=B40))</f>
        <v>2</v>
      </c>
      <c r="D40" s="175" cm="1">
        <f t="array" ref="D40">SUMPRODUCT(ISNUMBER(SEARCH("743",'EFETIVO 11.05.2026'!$H$2:$H$712))*('EFETIVO 11.05.2026'!$G$2:$G$712="D")*('EFETIVO 11.05.2026'!$C$2:$C$712=B40))</f>
        <v>0</v>
      </c>
      <c r="E40" s="192">
        <f t="shared" si="0"/>
        <v>6.269592476489028E-3</v>
      </c>
      <c r="F40" s="251" cm="1">
        <f t="array" ref="F40">SUMPRODUCT(ISNUMBER(SEARCH("743",'EFETIVO 11.05.2026'!$H$2:$H$712))*(('EFETIVO 11.05.2026'!$G$2:$G$712="F")+('EFETIVO 11.05.2026'!$G$2:$G$712="P")+('EFETIVO 11.05.2026'!$G$2:$G$712="T")+('EFETIVO 11.05.2026'!$G$2:$G$712="M"))*('EFETIVO 11.05.2026'!$C$2:$C$712=$B40))</f>
        <v>1</v>
      </c>
    </row>
    <row r="41" spans="2:6" x14ac:dyDescent="0.35">
      <c r="B41" s="177" t="s">
        <v>422</v>
      </c>
      <c r="C41" s="175" cm="1">
        <f t="array" ref="C41">SUMPRODUCT(ISNUMBER(SEARCH("743",'EFETIVO 11.05.2026'!$H$2:$H$712))*('EFETIVO 11.05.2026'!$G$2:$G$712="A")*('EFETIVO 11.05.2026'!$C$2:$C$712=B41))</f>
        <v>2</v>
      </c>
      <c r="D41" s="175" cm="1">
        <f t="array" ref="D41">SUMPRODUCT(ISNUMBER(SEARCH("743",'EFETIVO 11.05.2026'!$H$2:$H$712))*('EFETIVO 11.05.2026'!$G$2:$G$712="D")*('EFETIVO 11.05.2026'!$C$2:$C$712=B41))</f>
        <v>0</v>
      </c>
      <c r="E41" s="192">
        <f t="shared" si="0"/>
        <v>6.269592476489028E-3</v>
      </c>
      <c r="F41" s="251" cm="1">
        <f t="array" ref="F41">SUMPRODUCT(ISNUMBER(SEARCH("743",'EFETIVO 11.05.2026'!$H$2:$H$712))*(('EFETIVO 11.05.2026'!$G$2:$G$712="F")+('EFETIVO 11.05.2026'!$G$2:$G$712="P")+('EFETIVO 11.05.2026'!$G$2:$G$712="T")+('EFETIVO 11.05.2026'!$G$2:$G$712="M"))*('EFETIVO 11.05.2026'!$C$2:$C$712=$B41))</f>
        <v>0</v>
      </c>
    </row>
    <row r="42" spans="2:6" x14ac:dyDescent="0.35">
      <c r="B42" s="177" t="s">
        <v>423</v>
      </c>
      <c r="C42" s="175" cm="1">
        <f t="array" ref="C42">SUMPRODUCT(ISNUMBER(SEARCH("743",'EFETIVO 11.05.2026'!$H$2:$H$712))*('EFETIVO 11.05.2026'!$G$2:$G$712="A")*('EFETIVO 11.05.2026'!$C$2:$C$712=B42))</f>
        <v>3</v>
      </c>
      <c r="D42" s="175" cm="1">
        <f t="array" ref="D42">SUMPRODUCT(ISNUMBER(SEARCH("743",'EFETIVO 11.05.2026'!$H$2:$H$712))*('EFETIVO 11.05.2026'!$G$2:$G$712="D")*('EFETIVO 11.05.2026'!$C$2:$C$712=B42))</f>
        <v>3</v>
      </c>
      <c r="E42" s="192">
        <f t="shared" si="0"/>
        <v>9.4043887147335428E-3</v>
      </c>
      <c r="F42" s="251" cm="1">
        <f t="array" ref="F42">SUMPRODUCT(ISNUMBER(SEARCH("743",'EFETIVO 11.05.2026'!$H$2:$H$712))*(('EFETIVO 11.05.2026'!$G$2:$G$712="F")+('EFETIVO 11.05.2026'!$G$2:$G$712="P")+('EFETIVO 11.05.2026'!$G$2:$G$712="T")+('EFETIVO 11.05.2026'!$G$2:$G$712="M"))*('EFETIVO 11.05.2026'!$C$2:$C$712=$B42))</f>
        <v>0</v>
      </c>
    </row>
    <row r="43" spans="2:6" x14ac:dyDescent="0.35">
      <c r="B43" s="177" t="s">
        <v>424</v>
      </c>
      <c r="C43" s="175" cm="1">
        <f t="array" ref="C43">SUMPRODUCT(ISNUMBER(SEARCH("743",'EFETIVO 11.05.2026'!$H$2:$H$712))*('EFETIVO 11.05.2026'!$G$2:$G$712="A")*('EFETIVO 11.05.2026'!$C$2:$C$712=B43))</f>
        <v>3</v>
      </c>
      <c r="D43" s="175" cm="1">
        <f t="array" ref="D43">SUMPRODUCT(ISNUMBER(SEARCH("743",'EFETIVO 11.05.2026'!$H$2:$H$712))*('EFETIVO 11.05.2026'!$G$2:$G$712="D")*('EFETIVO 11.05.2026'!$C$2:$C$712=B43))</f>
        <v>0</v>
      </c>
      <c r="E43" s="192">
        <f t="shared" si="0"/>
        <v>9.4043887147335428E-3</v>
      </c>
      <c r="F43" s="251" cm="1">
        <f t="array" ref="F43">SUMPRODUCT(ISNUMBER(SEARCH("743",'EFETIVO 11.05.2026'!$H$2:$H$712))*(('EFETIVO 11.05.2026'!$G$2:$G$712="F")+('EFETIVO 11.05.2026'!$G$2:$G$712="P")+('EFETIVO 11.05.2026'!$G$2:$G$712="T")+('EFETIVO 11.05.2026'!$G$2:$G$712="M"))*('EFETIVO 11.05.2026'!$C$2:$C$712=$B43))</f>
        <v>0</v>
      </c>
    </row>
    <row r="44" spans="2:6" x14ac:dyDescent="0.35">
      <c r="B44" s="177" t="s">
        <v>425</v>
      </c>
      <c r="C44" s="175" cm="1">
        <f t="array" ref="C44">SUMPRODUCT(ISNUMBER(SEARCH("743",'EFETIVO 11.05.2026'!$H$2:$H$712))*('EFETIVO 11.05.2026'!$G$2:$G$712="A")*('EFETIVO 11.05.2026'!$C$2:$C$712=B44))</f>
        <v>5</v>
      </c>
      <c r="D44" s="175" cm="1">
        <f t="array" ref="D44">SUMPRODUCT(ISNUMBER(SEARCH("743",'EFETIVO 11.05.2026'!$H$2:$H$712))*('EFETIVO 11.05.2026'!$G$2:$G$712="D")*('EFETIVO 11.05.2026'!$C$2:$C$712=B44))</f>
        <v>0</v>
      </c>
      <c r="E44" s="192">
        <f t="shared" si="0"/>
        <v>1.5673981191222569E-2</v>
      </c>
      <c r="F44" s="251" cm="1">
        <f t="array" ref="F44">SUMPRODUCT(ISNUMBER(SEARCH("743",'EFETIVO 11.05.2026'!$H$2:$H$712))*(('EFETIVO 11.05.2026'!$G$2:$G$712="F")+('EFETIVO 11.05.2026'!$G$2:$G$712="P")+('EFETIVO 11.05.2026'!$G$2:$G$712="T")+('EFETIVO 11.05.2026'!$G$2:$G$712="M"))*('EFETIVO 11.05.2026'!$C$2:$C$712=$B44))</f>
        <v>1</v>
      </c>
    </row>
    <row r="45" spans="2:6" x14ac:dyDescent="0.35">
      <c r="B45" s="177" t="s">
        <v>426</v>
      </c>
      <c r="C45" s="175" cm="1">
        <f t="array" ref="C45">SUMPRODUCT(ISNUMBER(SEARCH("743",'EFETIVO 11.05.2026'!$H$2:$H$712))*('EFETIVO 11.05.2026'!$G$2:$G$712="A")*('EFETIVO 11.05.2026'!$C$2:$C$712=B45))</f>
        <v>1</v>
      </c>
      <c r="D45" s="175" cm="1">
        <f t="array" ref="D45">SUMPRODUCT(ISNUMBER(SEARCH("743",'EFETIVO 11.05.2026'!$H$2:$H$712))*('EFETIVO 11.05.2026'!$G$2:$G$712="D")*('EFETIVO 11.05.2026'!$C$2:$C$712=B45))</f>
        <v>1</v>
      </c>
      <c r="E45" s="192">
        <f t="shared" si="0"/>
        <v>3.134796238244514E-3</v>
      </c>
      <c r="F45" s="251" cm="1">
        <f t="array" ref="F45">SUMPRODUCT(ISNUMBER(SEARCH("743",'EFETIVO 11.05.2026'!$H$2:$H$712))*(('EFETIVO 11.05.2026'!$G$2:$G$712="F")+('EFETIVO 11.05.2026'!$G$2:$G$712="P")+('EFETIVO 11.05.2026'!$G$2:$G$712="T")+('EFETIVO 11.05.2026'!$G$2:$G$712="M"))*('EFETIVO 11.05.2026'!$C$2:$C$712=$B45))</f>
        <v>0</v>
      </c>
    </row>
    <row r="46" spans="2:6" x14ac:dyDescent="0.35">
      <c r="B46" s="177" t="s">
        <v>578</v>
      </c>
      <c r="C46" s="175" cm="1">
        <f t="array" ref="C46">SUMPRODUCT(ISNUMBER(SEARCH("743",'EFETIVO 11.05.2026'!$H$2:$H$712))*('EFETIVO 11.05.2026'!$G$2:$G$712="A")*('EFETIVO 11.05.2026'!$C$2:$C$712=B46))</f>
        <v>1</v>
      </c>
      <c r="D46" s="175" cm="1">
        <f t="array" ref="D46">SUMPRODUCT(ISNUMBER(SEARCH("743",'EFETIVO 11.05.2026'!$H$2:$H$712))*('EFETIVO 11.05.2026'!$G$2:$G$712="D")*('EFETIVO 11.05.2026'!$C$2:$C$712=B46))</f>
        <v>4</v>
      </c>
      <c r="E46" s="192">
        <f t="shared" si="0"/>
        <v>3.134796238244514E-3</v>
      </c>
      <c r="F46" s="251" cm="1">
        <f t="array" ref="F46">SUMPRODUCT(ISNUMBER(SEARCH("743",'EFETIVO 11.05.2026'!$H$2:$H$712))*(('EFETIVO 11.05.2026'!$G$2:$G$712="F")+('EFETIVO 11.05.2026'!$G$2:$G$712="P")+('EFETIVO 11.05.2026'!$G$2:$G$712="T")+('EFETIVO 11.05.2026'!$G$2:$G$712="M"))*('EFETIVO 11.05.2026'!$C$2:$C$712=$B46))</f>
        <v>0</v>
      </c>
    </row>
    <row r="47" spans="2:6" x14ac:dyDescent="0.35">
      <c r="B47" s="177" t="s">
        <v>427</v>
      </c>
      <c r="C47" s="175" cm="1">
        <f t="array" ref="C47">SUMPRODUCT(ISNUMBER(SEARCH("743",'EFETIVO 11.05.2026'!$H$2:$H$712))*('EFETIVO 11.05.2026'!$G$2:$G$712="A")*('EFETIVO 11.05.2026'!$C$2:$C$712=B47))</f>
        <v>6</v>
      </c>
      <c r="D47" s="175" cm="1">
        <f t="array" ref="D47">SUMPRODUCT(ISNUMBER(SEARCH("743",'EFETIVO 11.05.2026'!$H$2:$H$712))*('EFETIVO 11.05.2026'!$G$2:$G$712="D")*('EFETIVO 11.05.2026'!$C$2:$C$712=B47))</f>
        <v>4</v>
      </c>
      <c r="E47" s="192">
        <f t="shared" si="0"/>
        <v>1.8808777429467086E-2</v>
      </c>
      <c r="F47" s="251" cm="1">
        <f t="array" ref="F47">SUMPRODUCT(ISNUMBER(SEARCH("743",'EFETIVO 11.05.2026'!$H$2:$H$712))*(('EFETIVO 11.05.2026'!$G$2:$G$712="F")+('EFETIVO 11.05.2026'!$G$2:$G$712="P")+('EFETIVO 11.05.2026'!$G$2:$G$712="T")+('EFETIVO 11.05.2026'!$G$2:$G$712="M"))*('EFETIVO 11.05.2026'!$C$2:$C$712=$B47))</f>
        <v>1</v>
      </c>
    </row>
    <row r="48" spans="2:6" x14ac:dyDescent="0.35">
      <c r="B48" s="177" t="s">
        <v>428</v>
      </c>
      <c r="C48" s="175" cm="1">
        <f t="array" ref="C48">SUMPRODUCT(ISNUMBER(SEARCH("743",'EFETIVO 11.05.2026'!$H$2:$H$712))*('EFETIVO 11.05.2026'!$G$2:$G$712="A")*('EFETIVO 11.05.2026'!$C$2:$C$712=B48))</f>
        <v>4</v>
      </c>
      <c r="D48" s="175" cm="1">
        <f t="array" ref="D48">SUMPRODUCT(ISNUMBER(SEARCH("743",'EFETIVO 11.05.2026'!$H$2:$H$712))*('EFETIVO 11.05.2026'!$G$2:$G$712="D")*('EFETIVO 11.05.2026'!$C$2:$C$712=B48))</f>
        <v>2</v>
      </c>
      <c r="E48" s="192">
        <f t="shared" si="0"/>
        <v>1.2539184952978056E-2</v>
      </c>
      <c r="F48" s="251" cm="1">
        <f t="array" ref="F48">SUMPRODUCT(ISNUMBER(SEARCH("743",'EFETIVO 11.05.2026'!$H$2:$H$712))*(('EFETIVO 11.05.2026'!$G$2:$G$712="F")+('EFETIVO 11.05.2026'!$G$2:$G$712="P")+('EFETIVO 11.05.2026'!$G$2:$G$712="T")+('EFETIVO 11.05.2026'!$G$2:$G$712="M"))*('EFETIVO 11.05.2026'!$C$2:$C$712=$B48))</f>
        <v>0</v>
      </c>
    </row>
    <row r="49" spans="2:6" x14ac:dyDescent="0.35">
      <c r="B49" s="177" t="s">
        <v>841</v>
      </c>
      <c r="C49" s="175" cm="1">
        <f t="array" ref="C49">SUMPRODUCT(ISNUMBER(SEARCH("743",'EFETIVO 11.05.2026'!$H$2:$H$712))*('EFETIVO 11.05.2026'!$G$2:$G$712="A")*('EFETIVO 11.05.2026'!$C$2:$C$712=B49))</f>
        <v>1</v>
      </c>
      <c r="D49" s="175" cm="1">
        <f t="array" ref="D49">SUMPRODUCT(ISNUMBER(SEARCH("743",'EFETIVO 11.05.2026'!$H$2:$H$712))*('EFETIVO 11.05.2026'!$G$2:$G$712="D")*('EFETIVO 11.05.2026'!$C$2:$C$712=B49))</f>
        <v>0</v>
      </c>
      <c r="E49" s="192">
        <f t="shared" si="0"/>
        <v>3.134796238244514E-3</v>
      </c>
      <c r="F49" s="251" cm="1">
        <f t="array" ref="F49">SUMPRODUCT(ISNUMBER(SEARCH("743",'EFETIVO 11.05.2026'!$H$2:$H$712))*(('EFETIVO 11.05.2026'!$G$2:$G$712="F")+('EFETIVO 11.05.2026'!$G$2:$G$712="P")+('EFETIVO 11.05.2026'!$G$2:$G$712="T")+('EFETIVO 11.05.2026'!$G$2:$G$712="M"))*('EFETIVO 11.05.2026'!$C$2:$C$712=$B49))</f>
        <v>0</v>
      </c>
    </row>
    <row r="50" spans="2:6" x14ac:dyDescent="0.35">
      <c r="B50" s="177" t="s">
        <v>429</v>
      </c>
      <c r="C50" s="175" cm="1">
        <f t="array" ref="C50">SUMPRODUCT(ISNUMBER(SEARCH("743",'EFETIVO 11.05.2026'!$H$2:$H$712))*('EFETIVO 11.05.2026'!$G$2:$G$712="A")*('EFETIVO 11.05.2026'!$C$2:$C$712=B50))</f>
        <v>3</v>
      </c>
      <c r="D50" s="175" cm="1">
        <f t="array" ref="D50">SUMPRODUCT(ISNUMBER(SEARCH("743",'EFETIVO 11.05.2026'!$H$2:$H$712))*('EFETIVO 11.05.2026'!$G$2:$G$712="D")*('EFETIVO 11.05.2026'!$C$2:$C$712=B50))</f>
        <v>0</v>
      </c>
      <c r="E50" s="192">
        <f t="shared" si="0"/>
        <v>9.4043887147335428E-3</v>
      </c>
      <c r="F50" s="251" cm="1">
        <f t="array" ref="F50">SUMPRODUCT(ISNUMBER(SEARCH("743",'EFETIVO 11.05.2026'!$H$2:$H$712))*(('EFETIVO 11.05.2026'!$G$2:$G$712="F")+('EFETIVO 11.05.2026'!$G$2:$G$712="P")+('EFETIVO 11.05.2026'!$G$2:$G$712="T")+('EFETIVO 11.05.2026'!$G$2:$G$712="M"))*('EFETIVO 11.05.2026'!$C$2:$C$712=$B50))</f>
        <v>0</v>
      </c>
    </row>
    <row r="51" spans="2:6" x14ac:dyDescent="0.35">
      <c r="B51" s="177" t="s">
        <v>430</v>
      </c>
      <c r="C51" s="175" cm="1">
        <f t="array" ref="C51">SUMPRODUCT(ISNUMBER(SEARCH("743",'EFETIVO 11.05.2026'!$H$2:$H$712))*('EFETIVO 11.05.2026'!$G$2:$G$712="A")*('EFETIVO 11.05.2026'!$C$2:$C$712=B51))</f>
        <v>1</v>
      </c>
      <c r="D51" s="175" cm="1">
        <f t="array" ref="D51">SUMPRODUCT(ISNUMBER(SEARCH("743",'EFETIVO 11.05.2026'!$H$2:$H$712))*('EFETIVO 11.05.2026'!$G$2:$G$712="D")*('EFETIVO 11.05.2026'!$C$2:$C$712=B51))</f>
        <v>0</v>
      </c>
      <c r="E51" s="192">
        <f t="shared" si="0"/>
        <v>3.134796238244514E-3</v>
      </c>
      <c r="F51" s="251" cm="1">
        <f t="array" ref="F51">SUMPRODUCT(ISNUMBER(SEARCH("743",'EFETIVO 11.05.2026'!$H$2:$H$712))*(('EFETIVO 11.05.2026'!$G$2:$G$712="F")+('EFETIVO 11.05.2026'!$G$2:$G$712="P")+('EFETIVO 11.05.2026'!$G$2:$G$712="T")+('EFETIVO 11.05.2026'!$G$2:$G$712="M"))*('EFETIVO 11.05.2026'!$C$2:$C$712=$B51))</f>
        <v>1</v>
      </c>
    </row>
    <row r="52" spans="2:6" x14ac:dyDescent="0.35">
      <c r="B52" s="177" t="s">
        <v>642</v>
      </c>
      <c r="C52" s="175" cm="1">
        <f t="array" ref="C52">SUMPRODUCT(ISNUMBER(SEARCH("743",'EFETIVO 11.05.2026'!$H$2:$H$712))*('EFETIVO 11.05.2026'!$G$2:$G$712="A")*('EFETIVO 11.05.2026'!$C$2:$C$712=B52))</f>
        <v>1</v>
      </c>
      <c r="D52" s="175" cm="1">
        <f t="array" ref="D52">SUMPRODUCT(ISNUMBER(SEARCH("743",'EFETIVO 11.05.2026'!$H$2:$H$712))*('EFETIVO 11.05.2026'!$G$2:$G$712="D")*('EFETIVO 11.05.2026'!$C$2:$C$712=B52))</f>
        <v>0</v>
      </c>
      <c r="E52" s="192">
        <f t="shared" si="0"/>
        <v>3.134796238244514E-3</v>
      </c>
      <c r="F52" s="251" cm="1">
        <f t="array" ref="F52">SUMPRODUCT(ISNUMBER(SEARCH("743",'EFETIVO 11.05.2026'!$H$2:$H$712))*(('EFETIVO 11.05.2026'!$G$2:$G$712="F")+('EFETIVO 11.05.2026'!$G$2:$G$712="P")+('EFETIVO 11.05.2026'!$G$2:$G$712="T")+('EFETIVO 11.05.2026'!$G$2:$G$712="M"))*('EFETIVO 11.05.2026'!$C$2:$C$712=$B52))</f>
        <v>0</v>
      </c>
    </row>
    <row r="53" spans="2:6" x14ac:dyDescent="0.35">
      <c r="B53" s="177" t="s">
        <v>586</v>
      </c>
      <c r="C53" s="175" cm="1">
        <f t="array" ref="C53">SUMPRODUCT(ISNUMBER(SEARCH("743",'EFETIVO 11.05.2026'!$H$2:$H$712))*('EFETIVO 11.05.2026'!$G$2:$G$712="A")*('EFETIVO 11.05.2026'!$C$2:$C$712=B53))</f>
        <v>1</v>
      </c>
      <c r="D53" s="175" cm="1">
        <f t="array" ref="D53">SUMPRODUCT(ISNUMBER(SEARCH("743",'EFETIVO 11.05.2026'!$H$2:$H$712))*('EFETIVO 11.05.2026'!$G$2:$G$712="D")*('EFETIVO 11.05.2026'!$C$2:$C$712=B53))</f>
        <v>0</v>
      </c>
      <c r="E53" s="192">
        <f t="shared" si="0"/>
        <v>3.134796238244514E-3</v>
      </c>
      <c r="F53" s="251" cm="1">
        <f t="array" ref="F53">SUMPRODUCT(ISNUMBER(SEARCH("743",'EFETIVO 11.05.2026'!$H$2:$H$712))*(('EFETIVO 11.05.2026'!$G$2:$G$712="F")+('EFETIVO 11.05.2026'!$G$2:$G$712="P")+('EFETIVO 11.05.2026'!$G$2:$G$712="T")+('EFETIVO 11.05.2026'!$G$2:$G$712="M"))*('EFETIVO 11.05.2026'!$C$2:$C$712=$B53))</f>
        <v>0</v>
      </c>
    </row>
    <row r="54" spans="2:6" x14ac:dyDescent="0.35">
      <c r="B54" s="177" t="s">
        <v>432</v>
      </c>
      <c r="C54" s="175" cm="1">
        <f t="array" ref="C54">SUMPRODUCT(ISNUMBER(SEARCH("743",'EFETIVO 11.05.2026'!$H$2:$H$712))*('EFETIVO 11.05.2026'!$G$2:$G$712="A")*('EFETIVO 11.05.2026'!$C$2:$C$712=B54))</f>
        <v>1</v>
      </c>
      <c r="D54" s="175" cm="1">
        <f t="array" ref="D54">SUMPRODUCT(ISNUMBER(SEARCH("743",'EFETIVO 11.05.2026'!$H$2:$H$712))*('EFETIVO 11.05.2026'!$G$2:$G$712="D")*('EFETIVO 11.05.2026'!$C$2:$C$712=B54))</f>
        <v>0</v>
      </c>
      <c r="E54" s="192">
        <f t="shared" si="0"/>
        <v>3.134796238244514E-3</v>
      </c>
      <c r="F54" s="251" cm="1">
        <f t="array" ref="F54">SUMPRODUCT(ISNUMBER(SEARCH("743",'EFETIVO 11.05.2026'!$H$2:$H$712))*(('EFETIVO 11.05.2026'!$G$2:$G$712="F")+('EFETIVO 11.05.2026'!$G$2:$G$712="P")+('EFETIVO 11.05.2026'!$G$2:$G$712="T")+('EFETIVO 11.05.2026'!$G$2:$G$712="M"))*('EFETIVO 11.05.2026'!$C$2:$C$712=$B54))</f>
        <v>0</v>
      </c>
    </row>
    <row r="55" spans="2:6" x14ac:dyDescent="0.35">
      <c r="B55" s="177" t="s">
        <v>620</v>
      </c>
      <c r="C55" s="175" cm="1">
        <f t="array" ref="C55">SUMPRODUCT(ISNUMBER(SEARCH("743",'EFETIVO 11.05.2026'!$H$2:$H$712))*('EFETIVO 11.05.2026'!$G$2:$G$712="A")*('EFETIVO 11.05.2026'!$C$2:$C$712=B55))</f>
        <v>1</v>
      </c>
      <c r="D55" s="175" cm="1">
        <f t="array" ref="D55">SUMPRODUCT(ISNUMBER(SEARCH("743",'EFETIVO 11.05.2026'!$H$2:$H$712))*('EFETIVO 11.05.2026'!$G$2:$G$712="D")*('EFETIVO 11.05.2026'!$C$2:$C$712=B55))</f>
        <v>0</v>
      </c>
      <c r="E55" s="192">
        <f t="shared" si="0"/>
        <v>3.134796238244514E-3</v>
      </c>
      <c r="F55" s="251" cm="1">
        <f t="array" ref="F55">SUMPRODUCT(ISNUMBER(SEARCH("743",'EFETIVO 11.05.2026'!$H$2:$H$712))*(('EFETIVO 11.05.2026'!$G$2:$G$712="F")+('EFETIVO 11.05.2026'!$G$2:$G$712="P")+('EFETIVO 11.05.2026'!$G$2:$G$712="T")+('EFETIVO 11.05.2026'!$G$2:$G$712="M"))*('EFETIVO 11.05.2026'!$C$2:$C$712=$B55))</f>
        <v>0</v>
      </c>
    </row>
    <row r="56" spans="2:6" x14ac:dyDescent="0.35">
      <c r="B56" s="177" t="s">
        <v>433</v>
      </c>
      <c r="C56" s="175" cm="1">
        <f t="array" ref="C56">SUMPRODUCT(ISNUMBER(SEARCH("743",'EFETIVO 11.05.2026'!$H$2:$H$712))*('EFETIVO 11.05.2026'!$G$2:$G$712="A")*('EFETIVO 11.05.2026'!$C$2:$C$712=B56))</f>
        <v>5</v>
      </c>
      <c r="D56" s="175" cm="1">
        <f t="array" ref="D56">SUMPRODUCT(ISNUMBER(SEARCH("743",'EFETIVO 11.05.2026'!$H$2:$H$712))*('EFETIVO 11.05.2026'!$G$2:$G$712="D")*('EFETIVO 11.05.2026'!$C$2:$C$712=B56))</f>
        <v>4</v>
      </c>
      <c r="E56" s="192">
        <f t="shared" si="0"/>
        <v>1.5673981191222569E-2</v>
      </c>
      <c r="F56" s="251" cm="1">
        <f t="array" ref="F56">SUMPRODUCT(ISNUMBER(SEARCH("743",'EFETIVO 11.05.2026'!$H$2:$H$712))*(('EFETIVO 11.05.2026'!$G$2:$G$712="F")+('EFETIVO 11.05.2026'!$G$2:$G$712="P")+('EFETIVO 11.05.2026'!$G$2:$G$712="T")+('EFETIVO 11.05.2026'!$G$2:$G$712="M"))*('EFETIVO 11.05.2026'!$C$2:$C$712=$B56))</f>
        <v>0</v>
      </c>
    </row>
    <row r="57" spans="2:6" x14ac:dyDescent="0.35">
      <c r="B57" s="177" t="s">
        <v>434</v>
      </c>
      <c r="C57" s="175" cm="1">
        <f t="array" ref="C57">SUMPRODUCT(ISNUMBER(SEARCH("743",'EFETIVO 11.05.2026'!$H$2:$H$712))*('EFETIVO 11.05.2026'!$G$2:$G$712="A")*('EFETIVO 11.05.2026'!$C$2:$C$712=B57))</f>
        <v>1</v>
      </c>
      <c r="D57" s="175" cm="1">
        <f t="array" ref="D57">SUMPRODUCT(ISNUMBER(SEARCH("743",'EFETIVO 11.05.2026'!$H$2:$H$712))*('EFETIVO 11.05.2026'!$G$2:$G$712="D")*('EFETIVO 11.05.2026'!$C$2:$C$712=B57))</f>
        <v>0</v>
      </c>
      <c r="E57" s="192">
        <f t="shared" si="0"/>
        <v>3.134796238244514E-3</v>
      </c>
      <c r="F57" s="251" cm="1">
        <f t="array" ref="F57">SUMPRODUCT(ISNUMBER(SEARCH("743",'EFETIVO 11.05.2026'!$H$2:$H$712))*(('EFETIVO 11.05.2026'!$G$2:$G$712="F")+('EFETIVO 11.05.2026'!$G$2:$G$712="P")+('EFETIVO 11.05.2026'!$G$2:$G$712="T")+('EFETIVO 11.05.2026'!$G$2:$G$712="M"))*('EFETIVO 11.05.2026'!$C$2:$C$712=$B57))</f>
        <v>0</v>
      </c>
    </row>
    <row r="58" spans="2:6" x14ac:dyDescent="0.35">
      <c r="B58" s="177" t="s">
        <v>552</v>
      </c>
      <c r="C58" s="175" cm="1">
        <f t="array" ref="C58">SUMPRODUCT(ISNUMBER(SEARCH("743",'EFETIVO 11.05.2026'!$H$2:$H$712))*('EFETIVO 11.05.2026'!$G$2:$G$712="A")*('EFETIVO 11.05.2026'!$C$2:$C$712=B58))</f>
        <v>1</v>
      </c>
      <c r="D58" s="175" cm="1">
        <f t="array" ref="D58">SUMPRODUCT(ISNUMBER(SEARCH("743",'EFETIVO 11.05.2026'!$H$2:$H$712))*('EFETIVO 11.05.2026'!$G$2:$G$712="D")*('EFETIVO 11.05.2026'!$C$2:$C$712=B58))</f>
        <v>2</v>
      </c>
      <c r="E58" s="192">
        <f t="shared" si="0"/>
        <v>3.134796238244514E-3</v>
      </c>
      <c r="F58" s="251" cm="1">
        <f t="array" ref="F58">SUMPRODUCT(ISNUMBER(SEARCH("743",'EFETIVO 11.05.2026'!$H$2:$H$712))*(('EFETIVO 11.05.2026'!$G$2:$G$712="F")+('EFETIVO 11.05.2026'!$G$2:$G$712="P")+('EFETIVO 11.05.2026'!$G$2:$G$712="T")+('EFETIVO 11.05.2026'!$G$2:$G$712="M"))*('EFETIVO 11.05.2026'!$C$2:$C$712=$B58))</f>
        <v>0</v>
      </c>
    </row>
    <row r="59" spans="2:6" x14ac:dyDescent="0.35">
      <c r="B59" s="177" t="s">
        <v>436</v>
      </c>
      <c r="C59" s="175" cm="1">
        <f t="array" ref="C59">SUMPRODUCT(ISNUMBER(SEARCH("743",'EFETIVO 11.05.2026'!$H$2:$H$712))*('EFETIVO 11.05.2026'!$G$2:$G$712="A")*('EFETIVO 11.05.2026'!$C$2:$C$712=B59))</f>
        <v>7</v>
      </c>
      <c r="D59" s="175" cm="1">
        <f t="array" ref="D59">SUMPRODUCT(ISNUMBER(SEARCH("743",'EFETIVO 11.05.2026'!$H$2:$H$712))*('EFETIVO 11.05.2026'!$G$2:$G$712="D")*('EFETIVO 11.05.2026'!$C$2:$C$712=B59))</f>
        <v>1</v>
      </c>
      <c r="E59" s="192">
        <f t="shared" si="0"/>
        <v>2.1943573667711599E-2</v>
      </c>
      <c r="F59" s="251" cm="1">
        <f t="array" ref="F59">SUMPRODUCT(ISNUMBER(SEARCH("743",'EFETIVO 11.05.2026'!$H$2:$H$712))*(('EFETIVO 11.05.2026'!$G$2:$G$712="F")+('EFETIVO 11.05.2026'!$G$2:$G$712="P")+('EFETIVO 11.05.2026'!$G$2:$G$712="T")+('EFETIVO 11.05.2026'!$G$2:$G$712="M"))*('EFETIVO 11.05.2026'!$C$2:$C$712=$B59))</f>
        <v>0</v>
      </c>
    </row>
    <row r="60" spans="2:6" x14ac:dyDescent="0.35">
      <c r="B60" s="177" t="s">
        <v>872</v>
      </c>
      <c r="C60" s="175" cm="1">
        <f t="array" ref="C60">SUMPRODUCT(ISNUMBER(SEARCH("743",'EFETIVO 11.05.2026'!$H$2:$H$712))*('EFETIVO 11.05.2026'!$G$2:$G$712="A")*('EFETIVO 11.05.2026'!$C$2:$C$712=B60))</f>
        <v>2</v>
      </c>
      <c r="D60" s="175" cm="1">
        <f t="array" ref="D60">SUMPRODUCT(ISNUMBER(SEARCH("743",'EFETIVO 11.05.2026'!$H$2:$H$712))*('EFETIVO 11.05.2026'!$G$2:$G$712="D")*('EFETIVO 11.05.2026'!$C$2:$C$712=B60))</f>
        <v>0</v>
      </c>
      <c r="E60" s="192">
        <f t="shared" si="0"/>
        <v>6.269592476489028E-3</v>
      </c>
      <c r="F60" s="251" cm="1">
        <f t="array" ref="F60">SUMPRODUCT(ISNUMBER(SEARCH("743",'EFETIVO 11.05.2026'!$H$2:$H$712))*(('EFETIVO 11.05.2026'!$G$2:$G$712="F")+('EFETIVO 11.05.2026'!$G$2:$G$712="P")+('EFETIVO 11.05.2026'!$G$2:$G$712="T")+('EFETIVO 11.05.2026'!$G$2:$G$712="M"))*('EFETIVO 11.05.2026'!$C$2:$C$712=$B60))</f>
        <v>0</v>
      </c>
    </row>
    <row r="61" spans="2:6" x14ac:dyDescent="0.35">
      <c r="B61" s="177" t="s">
        <v>437</v>
      </c>
      <c r="C61" s="175" cm="1">
        <f t="array" ref="C61">SUMPRODUCT(ISNUMBER(SEARCH("743",'EFETIVO 11.05.2026'!$H$2:$H$712))*('EFETIVO 11.05.2026'!$G$2:$G$712="A")*('EFETIVO 11.05.2026'!$C$2:$C$712=B61))</f>
        <v>3</v>
      </c>
      <c r="D61" s="175" cm="1">
        <f t="array" ref="D61">SUMPRODUCT(ISNUMBER(SEARCH("743",'EFETIVO 11.05.2026'!$H$2:$H$712))*('EFETIVO 11.05.2026'!$G$2:$G$712="D")*('EFETIVO 11.05.2026'!$C$2:$C$712=B61))</f>
        <v>2</v>
      </c>
      <c r="E61" s="192">
        <f t="shared" si="0"/>
        <v>9.4043887147335428E-3</v>
      </c>
      <c r="F61" s="251" cm="1">
        <f t="array" ref="F61">SUMPRODUCT(ISNUMBER(SEARCH("743",'EFETIVO 11.05.2026'!$H$2:$H$712))*(('EFETIVO 11.05.2026'!$G$2:$G$712="F")+('EFETIVO 11.05.2026'!$G$2:$G$712="P")+('EFETIVO 11.05.2026'!$G$2:$G$712="T")+('EFETIVO 11.05.2026'!$G$2:$G$712="M"))*('EFETIVO 11.05.2026'!$C$2:$C$712=$B61))</f>
        <v>0</v>
      </c>
    </row>
    <row r="62" spans="2:6" x14ac:dyDescent="0.35">
      <c r="B62" s="177" t="s">
        <v>825</v>
      </c>
      <c r="C62" s="175" cm="1">
        <f t="array" ref="C62">SUMPRODUCT(ISNUMBER(SEARCH("743",'EFETIVO 11.05.2026'!$H$2:$H$712))*('EFETIVO 11.05.2026'!$G$2:$G$712="A")*('EFETIVO 11.05.2026'!$C$2:$C$712=B62))</f>
        <v>1</v>
      </c>
      <c r="D62" s="175" cm="1">
        <f t="array" ref="D62">SUMPRODUCT(ISNUMBER(SEARCH("743",'EFETIVO 11.05.2026'!$H$2:$H$712))*('EFETIVO 11.05.2026'!$G$2:$G$712="D")*('EFETIVO 11.05.2026'!$C$2:$C$712=B62))</f>
        <v>1</v>
      </c>
      <c r="E62" s="192">
        <f t="shared" si="0"/>
        <v>3.134796238244514E-3</v>
      </c>
      <c r="F62" s="251" cm="1">
        <f t="array" ref="F62">SUMPRODUCT(ISNUMBER(SEARCH("743",'EFETIVO 11.05.2026'!$H$2:$H$712))*(('EFETIVO 11.05.2026'!$G$2:$G$712="F")+('EFETIVO 11.05.2026'!$G$2:$G$712="P")+('EFETIVO 11.05.2026'!$G$2:$G$712="T")+('EFETIVO 11.05.2026'!$G$2:$G$712="M"))*('EFETIVO 11.05.2026'!$C$2:$C$712=$B62))</f>
        <v>0</v>
      </c>
    </row>
    <row r="63" spans="2:6" x14ac:dyDescent="0.35">
      <c r="B63" s="177" t="s">
        <v>796</v>
      </c>
      <c r="C63" s="175" cm="1">
        <f t="array" ref="C63">SUMPRODUCT(ISNUMBER(SEARCH("743",'EFETIVO 11.05.2026'!$H$2:$H$712))*('EFETIVO 11.05.2026'!$G$2:$G$712="A")*('EFETIVO 11.05.2026'!$C$2:$C$712=B63))</f>
        <v>1</v>
      </c>
      <c r="D63" s="175" cm="1">
        <f t="array" ref="D63">SUMPRODUCT(ISNUMBER(SEARCH("743",'EFETIVO 11.05.2026'!$H$2:$H$712))*('EFETIVO 11.05.2026'!$G$2:$G$712="D")*('EFETIVO 11.05.2026'!$C$2:$C$712=B63))</f>
        <v>0</v>
      </c>
      <c r="E63" s="192">
        <f t="shared" si="0"/>
        <v>3.134796238244514E-3</v>
      </c>
      <c r="F63" s="251" cm="1">
        <f t="array" ref="F63">SUMPRODUCT(ISNUMBER(SEARCH("743",'EFETIVO 11.05.2026'!$H$2:$H$712))*(('EFETIVO 11.05.2026'!$G$2:$G$712="F")+('EFETIVO 11.05.2026'!$G$2:$G$712="P")+('EFETIVO 11.05.2026'!$G$2:$G$712="T")+('EFETIVO 11.05.2026'!$G$2:$G$712="M"))*('EFETIVO 11.05.2026'!$C$2:$C$712=$B63))</f>
        <v>0</v>
      </c>
    </row>
    <row r="64" spans="2:6" x14ac:dyDescent="0.35">
      <c r="B64" s="177" t="s">
        <v>439</v>
      </c>
      <c r="C64" s="175" cm="1">
        <f t="array" ref="C64">SUMPRODUCT(ISNUMBER(SEARCH("743",'EFETIVO 11.05.2026'!$H$2:$H$712))*('EFETIVO 11.05.2026'!$G$2:$G$712="A")*('EFETIVO 11.05.2026'!$C$2:$C$712=B64))</f>
        <v>4</v>
      </c>
      <c r="D64" s="175" cm="1">
        <f t="array" ref="D64">SUMPRODUCT(ISNUMBER(SEARCH("743",'EFETIVO 11.05.2026'!$H$2:$H$712))*('EFETIVO 11.05.2026'!$G$2:$G$712="D")*('EFETIVO 11.05.2026'!$C$2:$C$712=B64))</f>
        <v>2</v>
      </c>
      <c r="E64" s="192">
        <f t="shared" si="0"/>
        <v>1.2539184952978056E-2</v>
      </c>
      <c r="F64" s="251" cm="1">
        <f t="array" ref="F64">SUMPRODUCT(ISNUMBER(SEARCH("743",'EFETIVO 11.05.2026'!$H$2:$H$712))*(('EFETIVO 11.05.2026'!$G$2:$G$712="F")+('EFETIVO 11.05.2026'!$G$2:$G$712="P")+('EFETIVO 11.05.2026'!$G$2:$G$712="T")+('EFETIVO 11.05.2026'!$G$2:$G$712="M"))*('EFETIVO 11.05.2026'!$C$2:$C$712=$B64))</f>
        <v>0</v>
      </c>
    </row>
    <row r="65" spans="2:14" x14ac:dyDescent="0.35">
      <c r="B65" s="177" t="s">
        <v>440</v>
      </c>
      <c r="C65" s="175" cm="1">
        <f t="array" ref="C65">SUMPRODUCT(ISNUMBER(SEARCH("743",'EFETIVO 11.05.2026'!$H$2:$H$712))*('EFETIVO 11.05.2026'!$G$2:$G$712="A")*('EFETIVO 11.05.2026'!$C$2:$C$712=B65))</f>
        <v>4</v>
      </c>
      <c r="D65" s="175" cm="1">
        <f t="array" ref="D65">SUMPRODUCT(ISNUMBER(SEARCH("743",'EFETIVO 11.05.2026'!$H$2:$H$712))*('EFETIVO 11.05.2026'!$G$2:$G$712="D")*('EFETIVO 11.05.2026'!$C$2:$C$712=B65))</f>
        <v>0</v>
      </c>
      <c r="E65" s="192">
        <f t="shared" si="0"/>
        <v>1.2539184952978056E-2</v>
      </c>
      <c r="F65" s="251" cm="1">
        <f t="array" ref="F65">SUMPRODUCT(ISNUMBER(SEARCH("743",'EFETIVO 11.05.2026'!$H$2:$H$712))*(('EFETIVO 11.05.2026'!$G$2:$G$712="F")+('EFETIVO 11.05.2026'!$G$2:$G$712="P")+('EFETIVO 11.05.2026'!$G$2:$G$712="T")+('EFETIVO 11.05.2026'!$G$2:$G$712="M"))*('EFETIVO 11.05.2026'!$C$2:$C$712=$B65))</f>
        <v>0</v>
      </c>
    </row>
    <row r="66" spans="2:14" x14ac:dyDescent="0.35">
      <c r="B66" s="177" t="s">
        <v>1028</v>
      </c>
      <c r="C66" s="175" cm="1">
        <f t="array" ref="C66">SUMPRODUCT(ISNUMBER(SEARCH("743",'EFETIVO 11.05.2026'!$H$2:$H$712))*('EFETIVO 11.05.2026'!$G$2:$G$712="A")*('EFETIVO 11.05.2026'!$C$2:$C$712=B66))</f>
        <v>1</v>
      </c>
      <c r="D66" s="175" cm="1">
        <f t="array" ref="D66">SUMPRODUCT(ISNUMBER(SEARCH("743",'EFETIVO 11.05.2026'!$H$2:$H$712))*('EFETIVO 11.05.2026'!$G$2:$G$712="D")*('EFETIVO 11.05.2026'!$C$2:$C$712=B66))</f>
        <v>0</v>
      </c>
      <c r="E66" s="192">
        <f t="shared" si="0"/>
        <v>3.134796238244514E-3</v>
      </c>
      <c r="F66" s="251" cm="1">
        <f t="array" ref="F66">SUMPRODUCT(ISNUMBER(SEARCH("743",'EFETIVO 11.05.2026'!$H$2:$H$712))*(('EFETIVO 11.05.2026'!$G$2:$G$712="F")+('EFETIVO 11.05.2026'!$G$2:$G$712="P")+('EFETIVO 11.05.2026'!$G$2:$G$712="T")+('EFETIVO 11.05.2026'!$G$2:$G$712="M"))*('EFETIVO 11.05.2026'!$C$2:$C$712=$B66))</f>
        <v>0</v>
      </c>
    </row>
    <row r="67" spans="2:14" x14ac:dyDescent="0.35">
      <c r="B67" s="177" t="s">
        <v>625</v>
      </c>
      <c r="C67" s="175" cm="1">
        <f t="array" ref="C67">SUMPRODUCT(ISNUMBER(SEARCH("743",'EFETIVO 11.05.2026'!$H$2:$H$712))*('EFETIVO 11.05.2026'!$G$2:$G$712="A")*('EFETIVO 11.05.2026'!$C$2:$C$712=B67))</f>
        <v>4</v>
      </c>
      <c r="D67" s="175" cm="1">
        <f t="array" ref="D67">SUMPRODUCT(ISNUMBER(SEARCH("743",'EFETIVO 11.05.2026'!$H$2:$H$712))*('EFETIVO 11.05.2026'!$G$2:$G$712="D")*('EFETIVO 11.05.2026'!$C$2:$C$712=B67))</f>
        <v>3</v>
      </c>
      <c r="E67" s="192">
        <f t="shared" si="0"/>
        <v>1.2539184952978056E-2</v>
      </c>
      <c r="F67" s="251" cm="1">
        <f t="array" ref="F67">SUMPRODUCT(ISNUMBER(SEARCH("743",'EFETIVO 11.05.2026'!$H$2:$H$712))*(('EFETIVO 11.05.2026'!$G$2:$G$712="F")+('EFETIVO 11.05.2026'!$G$2:$G$712="P")+('EFETIVO 11.05.2026'!$G$2:$G$712="T")+('EFETIVO 11.05.2026'!$G$2:$G$712="M"))*('EFETIVO 11.05.2026'!$C$2:$C$712=$B67))</f>
        <v>0</v>
      </c>
    </row>
    <row r="68" spans="2:14" x14ac:dyDescent="0.35">
      <c r="B68" s="177" t="s">
        <v>544</v>
      </c>
      <c r="C68" s="175" cm="1">
        <f t="array" ref="C68">SUMPRODUCT(ISNUMBER(SEARCH("743",'EFETIVO 11.05.2026'!$H$2:$H$712))*('EFETIVO 11.05.2026'!$G$2:$G$712="A")*('EFETIVO 11.05.2026'!$C$2:$C$712=B68))</f>
        <v>5</v>
      </c>
      <c r="D68" s="175" cm="1">
        <f t="array" ref="D68">SUMPRODUCT(ISNUMBER(SEARCH("743",'EFETIVO 11.05.2026'!$H$2:$H$712))*('EFETIVO 11.05.2026'!$G$2:$G$712="D")*('EFETIVO 11.05.2026'!$C$2:$C$712=B68))</f>
        <v>1</v>
      </c>
      <c r="E68" s="192">
        <f t="shared" si="0"/>
        <v>1.5673981191222569E-2</v>
      </c>
      <c r="F68" s="251" cm="1">
        <f t="array" ref="F68">SUMPRODUCT(ISNUMBER(SEARCH("743",'EFETIVO 11.05.2026'!$H$2:$H$712))*(('EFETIVO 11.05.2026'!$G$2:$G$712="F")+('EFETIVO 11.05.2026'!$G$2:$G$712="P")+('EFETIVO 11.05.2026'!$G$2:$G$712="T")+('EFETIVO 11.05.2026'!$G$2:$G$712="M"))*('EFETIVO 11.05.2026'!$C$2:$C$712=$B68))</f>
        <v>0</v>
      </c>
    </row>
    <row r="69" spans="2:14" x14ac:dyDescent="0.35">
      <c r="B69" s="177" t="s">
        <v>527</v>
      </c>
      <c r="C69" s="175" cm="1">
        <f t="array" ref="C69">SUMPRODUCT(ISNUMBER(SEARCH("743",'EFETIVO 11.05.2026'!$H$2:$H$712))*('EFETIVO 11.05.2026'!$G$2:$G$712="A")*('EFETIVO 11.05.2026'!$C$2:$C$712=B69))</f>
        <v>1</v>
      </c>
      <c r="D69" s="175" cm="1">
        <f t="array" ref="D69">SUMPRODUCT(ISNUMBER(SEARCH("743",'EFETIVO 11.05.2026'!$H$2:$H$712))*('EFETIVO 11.05.2026'!$G$2:$G$712="D")*('EFETIVO 11.05.2026'!$C$2:$C$712=B69))</f>
        <v>0</v>
      </c>
      <c r="E69" s="192">
        <f t="shared" si="0"/>
        <v>3.134796238244514E-3</v>
      </c>
      <c r="F69" s="251" cm="1">
        <f t="array" ref="F69">SUMPRODUCT(ISNUMBER(SEARCH("743",'EFETIVO 11.05.2026'!$H$2:$H$712))*(('EFETIVO 11.05.2026'!$G$2:$G$712="F")+('EFETIVO 11.05.2026'!$G$2:$G$712="P")+('EFETIVO 11.05.2026'!$G$2:$G$712="T")+('EFETIVO 11.05.2026'!$G$2:$G$712="M"))*('EFETIVO 11.05.2026'!$C$2:$C$712=$B69))</f>
        <v>0</v>
      </c>
    </row>
    <row r="70" spans="2:14" x14ac:dyDescent="0.35">
      <c r="B70" s="177" t="s">
        <v>591</v>
      </c>
      <c r="C70" s="175" cm="1">
        <f t="array" ref="C70">SUMPRODUCT(ISNUMBER(SEARCH("743",'EFETIVO 11.05.2026'!$H$2:$H$712))*('EFETIVO 11.05.2026'!$G$2:$G$712="A")*('EFETIVO 11.05.2026'!$C$2:$C$712=B70))</f>
        <v>4</v>
      </c>
      <c r="D70" s="175" cm="1">
        <f t="array" ref="D70">SUMPRODUCT(ISNUMBER(SEARCH("743",'EFETIVO 11.05.2026'!$H$2:$H$712))*('EFETIVO 11.05.2026'!$G$2:$G$712="D")*('EFETIVO 11.05.2026'!$C$2:$C$712=B70))</f>
        <v>0</v>
      </c>
      <c r="E70" s="192">
        <f t="shared" si="0"/>
        <v>1.2539184952978056E-2</v>
      </c>
      <c r="F70" s="251" cm="1">
        <f t="array" ref="F70">SUMPRODUCT(ISNUMBER(SEARCH("743",'EFETIVO 11.05.2026'!$H$2:$H$712))*(('EFETIVO 11.05.2026'!$G$2:$G$712="F")+('EFETIVO 11.05.2026'!$G$2:$G$712="P")+('EFETIVO 11.05.2026'!$G$2:$G$712="T")+('EFETIVO 11.05.2026'!$G$2:$G$712="M"))*('EFETIVO 11.05.2026'!$C$2:$C$712=$B70))</f>
        <v>0</v>
      </c>
    </row>
    <row r="71" spans="2:14" x14ac:dyDescent="0.35">
      <c r="B71" s="177" t="s">
        <v>836</v>
      </c>
      <c r="C71" s="175" cm="1">
        <f t="array" ref="C71">SUMPRODUCT(ISNUMBER(SEARCH("743",'EFETIVO 11.05.2026'!$H$2:$H$712))*('EFETIVO 11.05.2026'!$G$2:$G$712="A")*('EFETIVO 11.05.2026'!$C$2:$C$712=B71))</f>
        <v>1</v>
      </c>
      <c r="D71" s="175" cm="1">
        <f t="array" ref="D71">SUMPRODUCT(ISNUMBER(SEARCH("743",'EFETIVO 11.05.2026'!$H$2:$H$712))*('EFETIVO 11.05.2026'!$G$2:$G$712="D")*('EFETIVO 11.05.2026'!$C$2:$C$712=B71))</f>
        <v>0</v>
      </c>
      <c r="E71" s="192">
        <f t="shared" si="0"/>
        <v>3.134796238244514E-3</v>
      </c>
      <c r="F71" s="251" cm="1">
        <f t="array" ref="F71">SUMPRODUCT(ISNUMBER(SEARCH("743",'EFETIVO 11.05.2026'!$H$2:$H$712))*(('EFETIVO 11.05.2026'!$G$2:$G$712="F")+('EFETIVO 11.05.2026'!$G$2:$G$712="P")+('EFETIVO 11.05.2026'!$G$2:$G$712="T")+('EFETIVO 11.05.2026'!$G$2:$G$712="M"))*('EFETIVO 11.05.2026'!$C$2:$C$712=$B71))</f>
        <v>0</v>
      </c>
    </row>
    <row r="72" spans="2:14" x14ac:dyDescent="0.35">
      <c r="B72" s="177" t="s">
        <v>441</v>
      </c>
      <c r="C72" s="175" cm="1">
        <f t="array" ref="C72">SUMPRODUCT(ISNUMBER(SEARCH("743",'EFETIVO 11.05.2026'!$H$2:$H$712))*('EFETIVO 11.05.2026'!$G$2:$G$712="A")*('EFETIVO 11.05.2026'!$C$2:$C$712=B72))</f>
        <v>31</v>
      </c>
      <c r="D72" s="175" cm="1">
        <f t="array" ref="D72">SUMPRODUCT(ISNUMBER(SEARCH("743",'EFETIVO 11.05.2026'!$H$2:$H$712))*('EFETIVO 11.05.2026'!$G$2:$G$712="D")*('EFETIVO 11.05.2026'!$C$2:$C$712=B72))</f>
        <v>2</v>
      </c>
      <c r="E72" s="192">
        <f t="shared" si="0"/>
        <v>9.7178683385579931E-2</v>
      </c>
      <c r="F72" s="251" cm="1">
        <f t="array" ref="F72">SUMPRODUCT(ISNUMBER(SEARCH("743",'EFETIVO 11.05.2026'!$H$2:$H$712))*(('EFETIVO 11.05.2026'!$G$2:$G$712="F")+('EFETIVO 11.05.2026'!$G$2:$G$712="P")+('EFETIVO 11.05.2026'!$G$2:$G$712="T")+('EFETIVO 11.05.2026'!$G$2:$G$712="M"))*('EFETIVO 11.05.2026'!$C$2:$C$712=$B72))</f>
        <v>0</v>
      </c>
    </row>
    <row r="73" spans="2:14" x14ac:dyDescent="0.35">
      <c r="B73" s="177" t="s">
        <v>443</v>
      </c>
      <c r="C73" s="175" cm="1">
        <f t="array" ref="C73">SUMPRODUCT(ISNUMBER(SEARCH("743",'EFETIVO 11.05.2026'!$H$2:$H$712))*('EFETIVO 11.05.2026'!$G$2:$G$712="A")*('EFETIVO 11.05.2026'!$C$2:$C$712=B73))</f>
        <v>9</v>
      </c>
      <c r="D73" s="175" cm="1">
        <f t="array" ref="D73">SUMPRODUCT(ISNUMBER(SEARCH("743",'EFETIVO 11.05.2026'!$H$2:$H$712))*('EFETIVO 11.05.2026'!$G$2:$G$712="D")*('EFETIVO 11.05.2026'!$C$2:$C$712=B73))</f>
        <v>1</v>
      </c>
      <c r="E73" s="192">
        <f>IFERROR(C73/$C$6,0)</f>
        <v>2.8213166144200628E-2</v>
      </c>
      <c r="F73" s="251" cm="1">
        <f t="array" ref="F73">SUMPRODUCT(ISNUMBER(SEARCH("743",'EFETIVO 11.05.2026'!$H$2:$H$712))*(('EFETIVO 11.05.2026'!$G$2:$G$712="F")+('EFETIVO 11.05.2026'!$G$2:$G$712="P")+('EFETIVO 11.05.2026'!$G$2:$G$712="T")+('EFETIVO 11.05.2026'!$G$2:$G$712="M"))*('EFETIVO 11.05.2026'!$C$2:$C$712=$B73))</f>
        <v>0</v>
      </c>
    </row>
    <row r="74" spans="2:14" x14ac:dyDescent="0.35">
      <c r="B74" s="177" t="s">
        <v>444</v>
      </c>
      <c r="C74" s="175" cm="1">
        <f t="array" ref="C74">SUMPRODUCT(ISNUMBER(SEARCH("743",'EFETIVO 11.05.2026'!$H$2:$H$712))*('EFETIVO 11.05.2026'!$G$2:$G$712="A")*('EFETIVO 11.05.2026'!$C$2:$C$712=B74))</f>
        <v>6</v>
      </c>
      <c r="D74" s="175" cm="1">
        <f t="array" ref="D74">SUMPRODUCT(ISNUMBER(SEARCH("743",'EFETIVO 11.05.2026'!$H$2:$H$712))*('EFETIVO 11.05.2026'!$G$2:$G$712="D")*('EFETIVO 11.05.2026'!$C$2:$C$712=B74))</f>
        <v>1</v>
      </c>
      <c r="E74" s="192">
        <f t="shared" si="0"/>
        <v>1.8808777429467086E-2</v>
      </c>
      <c r="F74" s="251" cm="1">
        <f t="array" ref="F74">SUMPRODUCT(ISNUMBER(SEARCH("743",'EFETIVO 11.05.2026'!$H$2:$H$712))*(('EFETIVO 11.05.2026'!$G$2:$G$712="F")+('EFETIVO 11.05.2026'!$G$2:$G$712="P")+('EFETIVO 11.05.2026'!$G$2:$G$712="T")+('EFETIVO 11.05.2026'!$G$2:$G$712="M"))*('EFETIVO 11.05.2026'!$C$2:$C$712=$B74))</f>
        <v>0</v>
      </c>
    </row>
    <row r="75" spans="2:14" x14ac:dyDescent="0.35">
      <c r="B75" s="1827" t="s">
        <v>445</v>
      </c>
      <c r="C75" s="175" cm="1">
        <f t="array" ref="C75">SUMPRODUCT(ISNUMBER(SEARCH("743",'EFETIVO 11.05.2026'!$H$2:$H$712))*('EFETIVO 11.05.2026'!$G$2:$G$712="A")*('EFETIVO 11.05.2026'!$C$2:$C$712=B75))</f>
        <v>5</v>
      </c>
      <c r="D75" s="175" cm="1">
        <f t="array" ref="D75">SUMPRODUCT(ISNUMBER(SEARCH("743",'EFETIVO 11.05.2026'!$H$2:$H$712))*('EFETIVO 11.05.2026'!$G$2:$G$712="D")*('EFETIVO 11.05.2026'!$C$2:$C$712=B75))</f>
        <v>3</v>
      </c>
      <c r="E75" s="192">
        <f t="shared" si="0"/>
        <v>1.5673981191222569E-2</v>
      </c>
      <c r="F75" s="251" cm="1">
        <f t="array" ref="F75">SUMPRODUCT(ISNUMBER(SEARCH("743",'EFETIVO 11.05.2026'!$H$2:$H$712))*(('EFETIVO 11.05.2026'!$G$2:$G$712="F")+('EFETIVO 11.05.2026'!$G$2:$G$712="P")+('EFETIVO 11.05.2026'!$G$2:$G$712="T")+('EFETIVO 11.05.2026'!$G$2:$G$712="M"))*('EFETIVO 11.05.2026'!$C$2:$C$712=$B75))</f>
        <v>0</v>
      </c>
      <c r="G75" s="1827"/>
      <c r="H75" s="1827"/>
      <c r="I75" s="1827"/>
      <c r="J75" s="1827"/>
      <c r="K75" s="1827"/>
      <c r="L75" s="1827"/>
      <c r="M75" s="1827"/>
      <c r="N75" s="1827"/>
    </row>
    <row r="76" spans="2:14" x14ac:dyDescent="0.35">
      <c r="B76" s="177" t="s">
        <v>874</v>
      </c>
      <c r="C76" s="175" cm="1">
        <f t="array" ref="C76">SUMPRODUCT(ISNUMBER(SEARCH("743",'EFETIVO 11.05.2026'!$H$2:$H$712))*('EFETIVO 11.05.2026'!$G$2:$G$712="A")*('EFETIVO 11.05.2026'!$C$2:$C$712=B76))</f>
        <v>0</v>
      </c>
      <c r="D76" s="175" cm="1">
        <f t="array" ref="D76">SUMPRODUCT(ISNUMBER(SEARCH("743",'EFETIVO 11.05.2026'!$H$2:$H$712))*('EFETIVO 11.05.2026'!$G$2:$G$712="D")*('EFETIVO 11.05.2026'!$C$2:$C$712=B76))</f>
        <v>1</v>
      </c>
      <c r="E76" s="192">
        <f t="shared" si="0"/>
        <v>0</v>
      </c>
      <c r="F76" s="251" cm="1">
        <f t="array" ref="F76">SUMPRODUCT(ISNUMBER(SEARCH("743",'EFETIVO 11.05.2026'!$H$2:$H$712))*(('EFETIVO 11.05.2026'!$G$2:$G$712="F")+('EFETIVO 11.05.2026'!$G$2:$G$712="P")+('EFETIVO 11.05.2026'!$G$2:$G$712="T")+('EFETIVO 11.05.2026'!$G$2:$G$712="M"))*('EFETIVO 11.05.2026'!$C$2:$C$712=$B76))</f>
        <v>0</v>
      </c>
      <c r="G76" s="1828"/>
      <c r="H76" s="1827"/>
      <c r="I76" s="1827"/>
      <c r="J76" s="1827"/>
      <c r="K76" s="1827"/>
      <c r="L76" s="1827"/>
      <c r="M76" s="1827"/>
      <c r="N76" s="1827"/>
    </row>
    <row r="77" spans="2:14" x14ac:dyDescent="0.35">
      <c r="B77" s="177" t="s">
        <v>447</v>
      </c>
      <c r="C77" s="175" cm="1">
        <f t="array" ref="C77">SUMPRODUCT(ISNUMBER(SEARCH("743",'EFETIVO 11.05.2026'!$H$2:$H$712))*('EFETIVO 11.05.2026'!$G$2:$G$712="A")*('EFETIVO 11.05.2026'!$C$2:$C$712=B77))</f>
        <v>1</v>
      </c>
      <c r="D77" s="175" cm="1">
        <f t="array" ref="D77">SUMPRODUCT(ISNUMBER(SEARCH("743",'EFETIVO 11.05.2026'!$H$2:$H$712))*('EFETIVO 11.05.2026'!$G$2:$G$712="D")*('EFETIVO 11.05.2026'!$C$2:$C$712=B77))</f>
        <v>0</v>
      </c>
      <c r="E77" s="192">
        <f t="shared" si="0"/>
        <v>3.134796238244514E-3</v>
      </c>
      <c r="F77" s="251" cm="1">
        <f t="array" ref="F77">SUMPRODUCT(ISNUMBER(SEARCH("743",'EFETIVO 11.05.2026'!$H$2:$H$712))*(('EFETIVO 11.05.2026'!$G$2:$G$712="F")+('EFETIVO 11.05.2026'!$G$2:$G$712="P")+('EFETIVO 11.05.2026'!$G$2:$G$712="T")+('EFETIVO 11.05.2026'!$G$2:$G$712="M"))*('EFETIVO 11.05.2026'!$C$2:$C$712=$B77))</f>
        <v>0</v>
      </c>
    </row>
    <row r="78" spans="2:14" x14ac:dyDescent="0.35">
      <c r="B78" s="177" t="s">
        <v>448</v>
      </c>
      <c r="C78" s="175" cm="1">
        <f t="array" ref="C78">SUMPRODUCT(ISNUMBER(SEARCH("743",'EFETIVO 11.05.2026'!$H$2:$H$712))*('EFETIVO 11.05.2026'!$G$2:$G$712="A")*('EFETIVO 11.05.2026'!$C$2:$C$712=B78))</f>
        <v>1</v>
      </c>
      <c r="D78" s="175" cm="1">
        <f t="array" ref="D78">SUMPRODUCT(ISNUMBER(SEARCH("743",'EFETIVO 11.05.2026'!$H$2:$H$712))*('EFETIVO 11.05.2026'!$G$2:$G$712="D")*('EFETIVO 11.05.2026'!$C$2:$C$712=B78))</f>
        <v>0</v>
      </c>
      <c r="E78" s="192">
        <f t="shared" si="0"/>
        <v>3.134796238244514E-3</v>
      </c>
      <c r="F78" s="251" cm="1">
        <f t="array" ref="F78">SUMPRODUCT(ISNUMBER(SEARCH("743",'EFETIVO 11.05.2026'!$H$2:$H$712))*(('EFETIVO 11.05.2026'!$G$2:$G$712="F")+('EFETIVO 11.05.2026'!$G$2:$G$712="P")+('EFETIVO 11.05.2026'!$G$2:$G$712="T")+('EFETIVO 11.05.2026'!$G$2:$G$712="M"))*('EFETIVO 11.05.2026'!$C$2:$C$712=$B78))</f>
        <v>0</v>
      </c>
    </row>
    <row r="79" spans="2:14" x14ac:dyDescent="0.35">
      <c r="B79" s="177" t="s">
        <v>768</v>
      </c>
      <c r="C79" s="175" cm="1">
        <f t="array" ref="C79">SUMPRODUCT(ISNUMBER(SEARCH("743",'EFETIVO 11.05.2026'!$H$2:$H$712))*('EFETIVO 11.05.2026'!$G$2:$G$712="A")*('EFETIVO 11.05.2026'!$C$2:$C$712=B79))</f>
        <v>0</v>
      </c>
      <c r="D79" s="175" cm="1">
        <f t="array" ref="D79">SUMPRODUCT(ISNUMBER(SEARCH("743",'EFETIVO 11.05.2026'!$H$2:$H$712))*('EFETIVO 11.05.2026'!$G$2:$G$712="D")*('EFETIVO 11.05.2026'!$C$2:$C$712=B79))</f>
        <v>1</v>
      </c>
      <c r="E79" s="192">
        <f t="shared" si="0"/>
        <v>0</v>
      </c>
      <c r="F79" s="251" cm="1">
        <f t="array" ref="F79">SUMPRODUCT(ISNUMBER(SEARCH("743",'EFETIVO 11.05.2026'!$H$2:$H$712))*(('EFETIVO 11.05.2026'!$G$2:$G$712="F")+('EFETIVO 11.05.2026'!$G$2:$G$712="P")+('EFETIVO 11.05.2026'!$G$2:$G$712="T")+('EFETIVO 11.05.2026'!$G$2:$G$712="M"))*('EFETIVO 11.05.2026'!$C$2:$C$712=$B79))</f>
        <v>0</v>
      </c>
    </row>
    <row r="80" spans="2:14" x14ac:dyDescent="0.35">
      <c r="B80" s="177" t="s">
        <v>450</v>
      </c>
      <c r="C80" s="175" cm="1">
        <f t="array" ref="C80">SUMPRODUCT(ISNUMBER(SEARCH("743",'EFETIVO 11.05.2026'!$H$2:$H$712))*('EFETIVO 11.05.2026'!$G$2:$G$712="A")*('EFETIVO 11.05.2026'!$C$2:$C$712=B80))</f>
        <v>1</v>
      </c>
      <c r="D80" s="175" cm="1">
        <f t="array" ref="D80">SUMPRODUCT(ISNUMBER(SEARCH("743",'EFETIVO 11.05.2026'!$H$2:$H$712))*('EFETIVO 11.05.2026'!$G$2:$G$712="D")*('EFETIVO 11.05.2026'!$C$2:$C$712=B80))</f>
        <v>0</v>
      </c>
      <c r="E80" s="192">
        <f t="shared" si="0"/>
        <v>3.134796238244514E-3</v>
      </c>
      <c r="F80" s="251" cm="1">
        <f t="array" ref="F80">SUMPRODUCT(ISNUMBER(SEARCH("743",'EFETIVO 11.05.2026'!$H$2:$H$712))*(('EFETIVO 11.05.2026'!$G$2:$G$712="F")+('EFETIVO 11.05.2026'!$G$2:$G$712="P")+('EFETIVO 11.05.2026'!$G$2:$G$712="T")+('EFETIVO 11.05.2026'!$G$2:$G$712="M"))*('EFETIVO 11.05.2026'!$C$2:$C$712=$B80))</f>
        <v>0</v>
      </c>
    </row>
    <row r="81" spans="2:6" x14ac:dyDescent="0.35">
      <c r="B81" s="177" t="s">
        <v>451</v>
      </c>
      <c r="C81" s="175" cm="1">
        <f t="array" ref="C81">SUMPRODUCT(ISNUMBER(SEARCH("743",'EFETIVO 11.05.2026'!$H$2:$H$712))*('EFETIVO 11.05.2026'!$G$2:$G$712="A")*('EFETIVO 11.05.2026'!$C$2:$C$712=B81))</f>
        <v>3</v>
      </c>
      <c r="D81" s="175" cm="1">
        <f t="array" ref="D81">SUMPRODUCT(ISNUMBER(SEARCH("743",'EFETIVO 11.05.2026'!$H$2:$H$712))*('EFETIVO 11.05.2026'!$G$2:$G$712="D")*('EFETIVO 11.05.2026'!$C$2:$C$712=B81))</f>
        <v>0</v>
      </c>
      <c r="E81" s="192">
        <f t="shared" si="0"/>
        <v>9.4043887147335428E-3</v>
      </c>
      <c r="F81" s="251" cm="1">
        <f t="array" ref="F81">SUMPRODUCT(ISNUMBER(SEARCH("743",'EFETIVO 11.05.2026'!$H$2:$H$712))*(('EFETIVO 11.05.2026'!$G$2:$G$712="F")+('EFETIVO 11.05.2026'!$G$2:$G$712="P")+('EFETIVO 11.05.2026'!$G$2:$G$712="T")+('EFETIVO 11.05.2026'!$G$2:$G$712="M"))*('EFETIVO 11.05.2026'!$C$2:$C$712=$B81))</f>
        <v>0</v>
      </c>
    </row>
    <row r="82" spans="2:6" x14ac:dyDescent="0.35">
      <c r="B82" s="177" t="s">
        <v>453</v>
      </c>
      <c r="C82" s="175" cm="1">
        <f t="array" ref="C82">SUMPRODUCT(ISNUMBER(SEARCH("743",'EFETIVO 11.05.2026'!$H$2:$H$712))*('EFETIVO 11.05.2026'!$G$2:$G$712="A")*('EFETIVO 11.05.2026'!$C$2:$C$712=B82))</f>
        <v>1</v>
      </c>
      <c r="D82" s="175" cm="1">
        <f t="array" ref="D82">SUMPRODUCT(ISNUMBER(SEARCH("743",'EFETIVO 11.05.2026'!$H$2:$H$712))*('EFETIVO 11.05.2026'!$G$2:$G$712="D")*('EFETIVO 11.05.2026'!$C$2:$C$712=B82))</f>
        <v>0</v>
      </c>
      <c r="E82" s="192">
        <f t="shared" si="0"/>
        <v>3.134796238244514E-3</v>
      </c>
      <c r="F82" s="251" cm="1">
        <f t="array" ref="F82">SUMPRODUCT(ISNUMBER(SEARCH("743",'EFETIVO 11.05.2026'!$H$2:$H$712))*(('EFETIVO 11.05.2026'!$G$2:$G$712="F")+('EFETIVO 11.05.2026'!$G$2:$G$712="P")+('EFETIVO 11.05.2026'!$G$2:$G$712="T")+('EFETIVO 11.05.2026'!$G$2:$G$712="M"))*('EFETIVO 11.05.2026'!$C$2:$C$712=$B82))</f>
        <v>0</v>
      </c>
    </row>
    <row r="83" spans="2:6" x14ac:dyDescent="0.35">
      <c r="B83" s="177" t="s">
        <v>516</v>
      </c>
      <c r="C83" s="175" cm="1">
        <f t="array" ref="C83">SUMPRODUCT(ISNUMBER(SEARCH("743",'EFETIVO 11.05.2026'!$H$2:$H$712))*('EFETIVO 11.05.2026'!$G$2:$G$712="A")*('EFETIVO 11.05.2026'!$C$2:$C$712=B83))</f>
        <v>1</v>
      </c>
      <c r="D83" s="175" cm="1">
        <f t="array" ref="D83">SUMPRODUCT(ISNUMBER(SEARCH("743",'EFETIVO 11.05.2026'!$H$2:$H$712))*('EFETIVO 11.05.2026'!$G$2:$G$712="D")*('EFETIVO 11.05.2026'!$C$2:$C$712=B83))</f>
        <v>0</v>
      </c>
      <c r="E83" s="192">
        <f t="shared" si="0"/>
        <v>3.134796238244514E-3</v>
      </c>
      <c r="F83" s="251" cm="1">
        <f t="array" ref="F83">SUMPRODUCT(ISNUMBER(SEARCH("743",'EFETIVO 11.05.2026'!$H$2:$H$712))*(('EFETIVO 11.05.2026'!$G$2:$G$712="F")+('EFETIVO 11.05.2026'!$G$2:$G$712="P")+('EFETIVO 11.05.2026'!$G$2:$G$712="T")+('EFETIVO 11.05.2026'!$G$2:$G$712="M"))*('EFETIVO 11.05.2026'!$C$2:$C$712=$B83))</f>
        <v>0</v>
      </c>
    </row>
    <row r="84" spans="2:6" x14ac:dyDescent="0.35">
      <c r="B84" s="177" t="s">
        <v>600</v>
      </c>
      <c r="C84" s="175" cm="1">
        <f t="array" ref="C84">SUMPRODUCT(ISNUMBER(SEARCH("743",'EFETIVO 11.05.2026'!$H$2:$H$712))*('EFETIVO 11.05.2026'!$G$2:$G$712="A")*('EFETIVO 11.05.2026'!$C$2:$C$712=B84))</f>
        <v>4</v>
      </c>
      <c r="D84" s="175" cm="1">
        <f t="array" ref="D84">SUMPRODUCT(ISNUMBER(SEARCH("743",'EFETIVO 11.05.2026'!$H$2:$H$712))*('EFETIVO 11.05.2026'!$G$2:$G$712="D")*('EFETIVO 11.05.2026'!$C$2:$C$712=B84))</f>
        <v>2</v>
      </c>
      <c r="E84" s="192">
        <f t="shared" ref="E84:E90" si="1">IFERROR(C84/$C$6,0)</f>
        <v>1.2539184952978056E-2</v>
      </c>
      <c r="F84" s="251" cm="1">
        <f t="array" ref="F84">SUMPRODUCT(ISNUMBER(SEARCH("743",'EFETIVO 11.05.2026'!$H$2:$H$712))*(('EFETIVO 11.05.2026'!$G$2:$G$712="F")+('EFETIVO 11.05.2026'!$G$2:$G$712="P")+('EFETIVO 11.05.2026'!$G$2:$G$712="T")+('EFETIVO 11.05.2026'!$G$2:$G$712="M"))*('EFETIVO 11.05.2026'!$C$2:$C$712=$B84))</f>
        <v>0</v>
      </c>
    </row>
    <row r="85" spans="2:6" x14ac:dyDescent="0.35">
      <c r="B85" s="1827" t="s">
        <v>456</v>
      </c>
      <c r="C85" s="175" cm="1">
        <f t="array" ref="C85">SUMPRODUCT(ISNUMBER(SEARCH("743",'EFETIVO 11.05.2026'!$H$2:$H$712))*('EFETIVO 11.05.2026'!$G$2:$G$712="A")*('EFETIVO 11.05.2026'!$C$2:$C$712=B85))</f>
        <v>1</v>
      </c>
      <c r="D85" s="175" cm="1">
        <f t="array" ref="D85">SUMPRODUCT(ISNUMBER(SEARCH("743",'EFETIVO 11.05.2026'!$H$2:$H$712))*('EFETIVO 11.05.2026'!$G$2:$G$712="D")*('EFETIVO 11.05.2026'!$C$2:$C$712=B85))</f>
        <v>1</v>
      </c>
      <c r="E85" s="192">
        <f t="shared" si="1"/>
        <v>3.134796238244514E-3</v>
      </c>
      <c r="F85" s="251" cm="1">
        <f t="array" ref="F85">SUMPRODUCT(ISNUMBER(SEARCH("743",'EFETIVO 11.05.2026'!$H$2:$H$712))*(('EFETIVO 11.05.2026'!$G$2:$G$712="F")+('EFETIVO 11.05.2026'!$G$2:$G$712="P")+('EFETIVO 11.05.2026'!$G$2:$G$712="T")+('EFETIVO 11.05.2026'!$G$2:$G$712="M"))*('EFETIVO 11.05.2026'!$C$2:$C$712=$B85))</f>
        <v>0</v>
      </c>
    </row>
    <row r="86" spans="2:6" x14ac:dyDescent="0.35">
      <c r="B86" s="177" t="s">
        <v>457</v>
      </c>
      <c r="C86" s="175" cm="1">
        <f t="array" ref="C86">SUMPRODUCT(ISNUMBER(SEARCH("743",'EFETIVO 11.05.2026'!$H$2:$H$712))*('EFETIVO 11.05.2026'!$G$2:$G$712="A")*('EFETIVO 11.05.2026'!$C$2:$C$712=B86))</f>
        <v>5</v>
      </c>
      <c r="D86" s="175" cm="1">
        <f t="array" ref="D86">SUMPRODUCT(ISNUMBER(SEARCH("743",'EFETIVO 11.05.2026'!$H$2:$H$712))*('EFETIVO 11.05.2026'!$G$2:$G$712="D")*('EFETIVO 11.05.2026'!$C$2:$C$712=B86))</f>
        <v>3</v>
      </c>
      <c r="E86" s="192">
        <f t="shared" si="1"/>
        <v>1.5673981191222569E-2</v>
      </c>
      <c r="F86" s="251" cm="1">
        <f t="array" ref="F86">SUMPRODUCT(ISNUMBER(SEARCH("743",'EFETIVO 11.05.2026'!$H$2:$H$712))*(('EFETIVO 11.05.2026'!$G$2:$G$712="F")+('EFETIVO 11.05.2026'!$G$2:$G$712="P")+('EFETIVO 11.05.2026'!$G$2:$G$712="T")+('EFETIVO 11.05.2026'!$G$2:$G$712="M"))*('EFETIVO 11.05.2026'!$C$2:$C$712=$B86))</f>
        <v>1</v>
      </c>
    </row>
    <row r="87" spans="2:6" x14ac:dyDescent="0.35">
      <c r="B87" s="177" t="s">
        <v>751</v>
      </c>
      <c r="C87" s="175" cm="1">
        <f t="array" ref="C87">SUMPRODUCT(ISNUMBER(SEARCH("743",'EFETIVO 11.05.2026'!$H$2:$H$712))*('EFETIVO 11.05.2026'!$G$2:$G$712="A")*('EFETIVO 11.05.2026'!$C$2:$C$712=B87))</f>
        <v>1</v>
      </c>
      <c r="D87" s="175" cm="1">
        <f t="array" ref="D87">SUMPRODUCT(ISNUMBER(SEARCH("743",'EFETIVO 11.05.2026'!$H$2:$H$712))*('EFETIVO 11.05.2026'!$G$2:$G$712="D")*('EFETIVO 11.05.2026'!$C$2:$C$712=B87))</f>
        <v>0</v>
      </c>
      <c r="E87" s="192">
        <f t="shared" si="1"/>
        <v>3.134796238244514E-3</v>
      </c>
      <c r="F87" s="251" cm="1">
        <f t="array" ref="F87">SUMPRODUCT(ISNUMBER(SEARCH("743",'EFETIVO 11.05.2026'!$H$2:$H$712))*(('EFETIVO 11.05.2026'!$G$2:$G$712="F")+('EFETIVO 11.05.2026'!$G$2:$G$712="P")+('EFETIVO 11.05.2026'!$G$2:$G$712="T")+('EFETIVO 11.05.2026'!$G$2:$G$712="M"))*('EFETIVO 11.05.2026'!$C$2:$C$712=$B87))</f>
        <v>0</v>
      </c>
    </row>
    <row r="88" spans="2:6" x14ac:dyDescent="0.35">
      <c r="B88" s="177" t="s">
        <v>763</v>
      </c>
      <c r="C88" s="175" cm="1">
        <f t="array" ref="C88">SUMPRODUCT(ISNUMBER(SEARCH("743",'EFETIVO 11.05.2026'!$H$2:$H$712))*('EFETIVO 11.05.2026'!$G$2:$G$712="A")*('EFETIVO 11.05.2026'!$C$2:$C$712=B88))</f>
        <v>1</v>
      </c>
      <c r="D88" s="175" cm="1">
        <f t="array" ref="D88">SUMPRODUCT(ISNUMBER(SEARCH("743",'EFETIVO 11.05.2026'!$H$2:$H$712))*('EFETIVO 11.05.2026'!$G$2:$G$712="D")*('EFETIVO 11.05.2026'!$C$2:$C$712=B88))</f>
        <v>0</v>
      </c>
      <c r="E88" s="192">
        <f t="shared" si="1"/>
        <v>3.134796238244514E-3</v>
      </c>
      <c r="F88" s="251" cm="1">
        <f t="array" ref="F88">SUMPRODUCT(ISNUMBER(SEARCH("743",'EFETIVO 11.05.2026'!$H$2:$H$712))*(('EFETIVO 11.05.2026'!$G$2:$G$712="F")+('EFETIVO 11.05.2026'!$G$2:$G$712="P")+('EFETIVO 11.05.2026'!$G$2:$G$712="T")+('EFETIVO 11.05.2026'!$G$2:$G$712="M"))*('EFETIVO 11.05.2026'!$C$2:$C$712=$B88))</f>
        <v>0</v>
      </c>
    </row>
    <row r="89" spans="2:6" x14ac:dyDescent="0.35">
      <c r="B89" s="199" t="s">
        <v>459</v>
      </c>
      <c r="C89" s="199">
        <f>C6</f>
        <v>319</v>
      </c>
      <c r="D89" s="199">
        <f>C7</f>
        <v>101</v>
      </c>
      <c r="E89" s="199">
        <f t="shared" si="1"/>
        <v>1</v>
      </c>
      <c r="F89" s="252">
        <f>SUM(F15:F88)</f>
        <v>12</v>
      </c>
    </row>
    <row r="90" spans="2:6" ht="16" x14ac:dyDescent="0.4">
      <c r="B90" s="1822" t="s">
        <v>5458</v>
      </c>
      <c r="E90" s="192"/>
    </row>
    <row r="91" spans="2:6" x14ac:dyDescent="0.35">
      <c r="B91" s="1855" t="s">
        <v>5456</v>
      </c>
      <c r="C91" s="1855" t="s">
        <v>397</v>
      </c>
      <c r="D91" s="1855" t="s">
        <v>398</v>
      </c>
      <c r="E91" s="1855" t="s">
        <v>400</v>
      </c>
      <c r="F91" s="1855" t="s">
        <v>5457</v>
      </c>
    </row>
    <row r="92" spans="2:6" x14ac:dyDescent="0.35">
      <c r="B92" s="1856" t="s">
        <v>382</v>
      </c>
      <c r="C92" s="1856" cm="1">
        <f t="array" ref="C92">SUMPRODUCT(ISNUMBER(SEARCH("743",'EFETIVO 11.05.2026'!H$2:H$1919))*('EFETIVO 11.05.2026'!G$2:G$1919="A")*('EFETIVO 11.05.2026'!J$2:J$1919=B92))</f>
        <v>91</v>
      </c>
      <c r="D92" s="1856" cm="1">
        <f t="array" ref="D92">SUMPRODUCT(ISNUMBER(SEARCH("743",'EFETIVO 11.05.2026'!H$2:H$1919))*('EFETIVO 11.05.2026'!G$2:G$1919="D")*('EFETIVO 11.05.2026'!J$2:J$1919=B92))</f>
        <v>0</v>
      </c>
      <c r="E92" s="1856" cm="1">
        <f t="array" ref="E92">SUMPRODUCT(ISNUMBER(SEARCH("743",'EFETIVO 11.05.2026'!H$2:H$1919))*((('EFETIVO 11.05.2026'!G$2:G$1919="F")+('EFETIVO 11.05.2026'!G$2:G$1919="P")+('EFETIVO 11.05.2026'!G$2:G$1919="T")+('EFETIVO 11.05.2026'!G$2:G$1919="M"))&gt;0)*('EFETIVO 11.05.2026'!J$2:J$1919=B92))</f>
        <v>0</v>
      </c>
      <c r="F92" s="1857">
        <f>IFERROR(C92/$C$6,0)</f>
        <v>0.28526645768025077</v>
      </c>
    </row>
    <row r="93" spans="2:6" x14ac:dyDescent="0.35">
      <c r="B93" s="1823" t="s">
        <v>4777</v>
      </c>
      <c r="C93" s="1823" cm="1">
        <f t="array" ref="C93">SUMPRODUCT(ISNUMBER(SEARCH("743",'EFETIVO 11.05.2026'!H$2:H$1919))*('EFETIVO 11.05.2026'!G$2:G$1919="A")*('EFETIVO 11.05.2026'!J$2:J$1919=B93))</f>
        <v>81</v>
      </c>
      <c r="D93" s="1823" cm="1">
        <f t="array" ref="D93">SUMPRODUCT(ISNUMBER(SEARCH("743",'EFETIVO 11.05.2026'!H$2:H$1919))*('EFETIVO 11.05.2026'!G$2:G$1919="D")*('EFETIVO 11.05.2026'!J$2:J$1919=B93))</f>
        <v>0</v>
      </c>
      <c r="E93" s="1823" cm="1">
        <f t="array" ref="E93">SUMPRODUCT(ISNUMBER(SEARCH("743",'EFETIVO 11.05.2026'!H$2:H$1919))*((('EFETIVO 11.05.2026'!G$2:G$1919="F")+('EFETIVO 11.05.2026'!G$2:G$1919="P")+('EFETIVO 11.05.2026'!G$2:G$1919="T")+('EFETIVO 11.05.2026'!G$2:G$1919="M"))&gt;0)*('EFETIVO 11.05.2026'!J$2:J$1919=B93))</f>
        <v>1</v>
      </c>
      <c r="F93" s="1825">
        <f>IFERROR(C93/$C$6,0)</f>
        <v>0.25391849529780564</v>
      </c>
    </row>
    <row r="94" spans="2:6" x14ac:dyDescent="0.35">
      <c r="B94" s="1823" t="s">
        <v>5453</v>
      </c>
      <c r="C94" s="1823" cm="1">
        <f t="array" ref="C94">SUMPRODUCT(ISNUMBER(SEARCH("743",'EFETIVO 11.05.2026'!H$2:H$1919))*('EFETIVO 11.05.2026'!G$2:G$1919="A")*('EFETIVO 11.05.2026'!J$2:J$1919=B94))</f>
        <v>55</v>
      </c>
      <c r="D94" s="1823" cm="1">
        <f t="array" ref="D94">SUMPRODUCT(ISNUMBER(SEARCH("743",'EFETIVO 11.05.2026'!H$2:H$1919))*('EFETIVO 11.05.2026'!G$2:G$1919="D")*('EFETIVO 11.05.2026'!J$2:J$1919=B94))</f>
        <v>0</v>
      </c>
      <c r="E94" s="1823" cm="1">
        <f t="array" ref="E94">SUMPRODUCT(ISNUMBER(SEARCH("743",'EFETIVO 11.05.2026'!H$2:H$1919))*((('EFETIVO 11.05.2026'!G$2:G$1919="F")+('EFETIVO 11.05.2026'!G$2:G$1919="P")+('EFETIVO 11.05.2026'!G$2:G$1919="T")+('EFETIVO 11.05.2026'!G$2:G$1919="M"))&gt;0)*('EFETIVO 11.05.2026'!J$2:J$1919=B94))</f>
        <v>0</v>
      </c>
      <c r="F94" s="1825">
        <f>IFERROR(C94/$C$6,0)</f>
        <v>0.17241379310344829</v>
      </c>
    </row>
    <row r="95" spans="2:6" x14ac:dyDescent="0.35">
      <c r="B95" s="1823" t="s">
        <v>156</v>
      </c>
      <c r="C95" s="1823" cm="1">
        <f t="array" ref="C95">SUMPRODUCT(ISNUMBER(SEARCH("743",'EFETIVO 11.05.2026'!H$2:H$1919))*('EFETIVO 11.05.2026'!G$2:G$1919="A")*('EFETIVO 11.05.2026'!J$2:J$1919=B95))</f>
        <v>18</v>
      </c>
      <c r="D95" s="1823" cm="1">
        <f t="array" ref="D95">SUMPRODUCT(ISNUMBER(SEARCH("743",'EFETIVO 11.05.2026'!H$2:H$1919))*('EFETIVO 11.05.2026'!G$2:G$1919="D")*('EFETIVO 11.05.2026'!J$2:J$1919=B95))</f>
        <v>0</v>
      </c>
      <c r="E95" s="1823" cm="1">
        <f t="array" ref="E95">SUMPRODUCT(ISNUMBER(SEARCH("743",'EFETIVO 11.05.2026'!H$2:H$1919))*((('EFETIVO 11.05.2026'!G$2:G$1919="F")+('EFETIVO 11.05.2026'!G$2:G$1919="P")+('EFETIVO 11.05.2026'!G$2:G$1919="T")+('EFETIVO 11.05.2026'!G$2:G$1919="M"))&gt;0)*('EFETIVO 11.05.2026'!J$2:J$1919=B95))</f>
        <v>0</v>
      </c>
      <c r="F95" s="1825">
        <f>IFERROR(C95/$C$6,0)</f>
        <v>5.6426332288401257E-2</v>
      </c>
    </row>
    <row r="96" spans="2:6" x14ac:dyDescent="0.35">
      <c r="B96" s="1823" t="s">
        <v>5448</v>
      </c>
      <c r="C96" s="1823" cm="1">
        <f t="array" ref="C96">SUMPRODUCT(ISNUMBER(SEARCH("743",'EFETIVO 11.05.2026'!H$2:H$1919))*('EFETIVO 11.05.2026'!G$2:G$1919="A")*('EFETIVO 11.05.2026'!J$2:J$1919=B96))</f>
        <v>11</v>
      </c>
      <c r="D96" s="1823" cm="1">
        <f t="array" ref="D96">SUMPRODUCT(ISNUMBER(SEARCH("743",'EFETIVO 11.05.2026'!H$2:H$1919))*('EFETIVO 11.05.2026'!G$2:G$1919="D")*('EFETIVO 11.05.2026'!J$2:J$1919=B96))</f>
        <v>0</v>
      </c>
      <c r="E96" s="1823" cm="1">
        <f t="array" ref="E96">SUMPRODUCT(ISNUMBER(SEARCH("743",'EFETIVO 11.05.2026'!H$2:H$1919))*((('EFETIVO 11.05.2026'!G$2:G$1919="F")+('EFETIVO 11.05.2026'!G$2:G$1919="P")+('EFETIVO 11.05.2026'!G$2:G$1919="T")+('EFETIVO 11.05.2026'!G$2:G$1919="M"))&gt;0)*('EFETIVO 11.05.2026'!J$2:J$1919=B96))</f>
        <v>0</v>
      </c>
      <c r="F96" s="1825">
        <f>IFERROR(C96/$C$6,0)</f>
        <v>3.4482758620689655E-2</v>
      </c>
    </row>
    <row r="97" spans="2:6" x14ac:dyDescent="0.35">
      <c r="B97" s="1823" t="s">
        <v>139</v>
      </c>
      <c r="C97" s="1823" cm="1">
        <f t="array" ref="C97">SUMPRODUCT(ISNUMBER(SEARCH("743",'EFETIVO 11.05.2026'!H$2:H$1919))*('EFETIVO 11.05.2026'!G$2:G$1919="A")*('EFETIVO 11.05.2026'!J$2:J$1919=B97))</f>
        <v>9</v>
      </c>
      <c r="D97" s="1823" cm="1">
        <f t="array" ref="D97">SUMPRODUCT(ISNUMBER(SEARCH("743",'EFETIVO 11.05.2026'!H$2:H$1919))*('EFETIVO 11.05.2026'!G$2:G$1919="D")*('EFETIVO 11.05.2026'!J$2:J$1919=B97))</f>
        <v>0</v>
      </c>
      <c r="E97" s="1823" cm="1">
        <f t="array" ref="E97">SUMPRODUCT(ISNUMBER(SEARCH("743",'EFETIVO 11.05.2026'!H$2:H$1919))*((('EFETIVO 11.05.2026'!G$2:G$1919="F")+('EFETIVO 11.05.2026'!G$2:G$1919="P")+('EFETIVO 11.05.2026'!G$2:G$1919="T")+('EFETIVO 11.05.2026'!G$2:G$1919="M"))&gt;0)*('EFETIVO 11.05.2026'!J$2:J$1919=B97))</f>
        <v>1</v>
      </c>
      <c r="F97" s="1825">
        <f>IFERROR(C97/$C$6,0)</f>
        <v>2.8213166144200628E-2</v>
      </c>
    </row>
    <row r="98" spans="2:6" x14ac:dyDescent="0.35">
      <c r="B98" s="1823" t="s">
        <v>5450</v>
      </c>
      <c r="C98" s="1823" cm="1">
        <f t="array" ref="C98">SUMPRODUCT(ISNUMBER(SEARCH("743",'EFETIVO 11.05.2026'!H$2:H$1919))*('EFETIVO 11.05.2026'!G$2:G$1919="A")*('EFETIVO 11.05.2026'!J$2:J$1919=B98))</f>
        <v>7</v>
      </c>
      <c r="D98" s="1823" cm="1">
        <f t="array" ref="D98">SUMPRODUCT(ISNUMBER(SEARCH("743",'EFETIVO 11.05.2026'!H$2:H$1919))*('EFETIVO 11.05.2026'!G$2:G$1919="D")*('EFETIVO 11.05.2026'!J$2:J$1919=B98))</f>
        <v>0</v>
      </c>
      <c r="E98" s="1823" cm="1">
        <f t="array" ref="E98">SUMPRODUCT(ISNUMBER(SEARCH("743",'EFETIVO 11.05.2026'!H$2:H$1919))*((('EFETIVO 11.05.2026'!G$2:G$1919="F")+('EFETIVO 11.05.2026'!G$2:G$1919="P")+('EFETIVO 11.05.2026'!G$2:G$1919="T")+('EFETIVO 11.05.2026'!G$2:G$1919="M"))&gt;0)*('EFETIVO 11.05.2026'!J$2:J$1919=B98))</f>
        <v>1</v>
      </c>
      <c r="F98" s="1825">
        <f>IFERROR(C98/$C$6,0)</f>
        <v>2.1943573667711599E-2</v>
      </c>
    </row>
    <row r="99" spans="2:6" x14ac:dyDescent="0.35">
      <c r="B99" s="1823" t="s">
        <v>377</v>
      </c>
      <c r="C99" s="1823" cm="1">
        <f t="array" ref="C99">SUMPRODUCT(ISNUMBER(SEARCH("743",'EFETIVO 11.05.2026'!H$2:H$1919))*('EFETIVO 11.05.2026'!G$2:G$1919="A")*('EFETIVO 11.05.2026'!J$2:J$1919=B99))</f>
        <v>9</v>
      </c>
      <c r="D99" s="1823" cm="1">
        <f t="array" ref="D99">SUMPRODUCT(ISNUMBER(SEARCH("743",'EFETIVO 11.05.2026'!H$2:H$1919))*('EFETIVO 11.05.2026'!G$2:G$1919="D")*('EFETIVO 11.05.2026'!J$2:J$1919=B99))</f>
        <v>0</v>
      </c>
      <c r="E99" s="1823" cm="1">
        <f t="array" ref="E99">SUMPRODUCT(ISNUMBER(SEARCH("743",'EFETIVO 11.05.2026'!H$2:H$1919))*((('EFETIVO 11.05.2026'!G$2:G$1919="F")+('EFETIVO 11.05.2026'!G$2:G$1919="P")+('EFETIVO 11.05.2026'!G$2:G$1919="T")+('EFETIVO 11.05.2026'!G$2:G$1919="M"))&gt;0)*('EFETIVO 11.05.2026'!J$2:J$1919=B99))</f>
        <v>0</v>
      </c>
      <c r="F99" s="1825">
        <f>IFERROR(C99/$C$6,0)</f>
        <v>2.8213166144200628E-2</v>
      </c>
    </row>
    <row r="100" spans="2:6" x14ac:dyDescent="0.35">
      <c r="B100" s="1823" t="s">
        <v>5451</v>
      </c>
      <c r="C100" s="1823" cm="1">
        <f t="array" ref="C100">SUMPRODUCT(ISNUMBER(SEARCH("743",'EFETIVO 11.05.2026'!H$2:H$1919))*('EFETIVO 11.05.2026'!G$2:G$1919="A")*('EFETIVO 11.05.2026'!J$2:J$1919=B100))</f>
        <v>7</v>
      </c>
      <c r="D100" s="1823" cm="1">
        <f t="array" ref="D100">SUMPRODUCT(ISNUMBER(SEARCH("743",'EFETIVO 11.05.2026'!H$2:H$1919))*('EFETIVO 11.05.2026'!G$2:G$1919="D")*('EFETIVO 11.05.2026'!J$2:J$1919=B100))</f>
        <v>0</v>
      </c>
      <c r="E100" s="1823" cm="1">
        <f t="array" ref="E100">SUMPRODUCT(ISNUMBER(SEARCH("743",'EFETIVO 11.05.2026'!H$2:H$1919))*((('EFETIVO 11.05.2026'!G$2:G$1919="F")+('EFETIVO 11.05.2026'!G$2:G$1919="P")+('EFETIVO 11.05.2026'!G$2:G$1919="T")+('EFETIVO 11.05.2026'!G$2:G$1919="M"))&gt;0)*('EFETIVO 11.05.2026'!J$2:J$1919=B100))</f>
        <v>0</v>
      </c>
      <c r="F100" s="1825">
        <f>IFERROR(C100/$C$6,0)</f>
        <v>2.1943573667711599E-2</v>
      </c>
    </row>
    <row r="101" spans="2:6" x14ac:dyDescent="0.35">
      <c r="B101" s="1823" t="s">
        <v>5449</v>
      </c>
      <c r="C101" s="1823" cm="1">
        <f t="array" ref="C101">SUMPRODUCT(ISNUMBER(SEARCH("743",'EFETIVO 11.05.2026'!H$2:H$1919))*('EFETIVO 11.05.2026'!G$2:G$1919="A")*('EFETIVO 11.05.2026'!J$2:J$1919=B101))</f>
        <v>7</v>
      </c>
      <c r="D101" s="1823" cm="1">
        <f t="array" ref="D101">SUMPRODUCT(ISNUMBER(SEARCH("743",'EFETIVO 11.05.2026'!H$2:H$1919))*('EFETIVO 11.05.2026'!G$2:G$1919="D")*('EFETIVO 11.05.2026'!J$2:J$1919=B101))</f>
        <v>0</v>
      </c>
      <c r="E101" s="1823" cm="1">
        <f t="array" ref="E101">SUMPRODUCT(ISNUMBER(SEARCH("743",'EFETIVO 11.05.2026'!H$2:H$1919))*((('EFETIVO 11.05.2026'!G$2:G$1919="F")+('EFETIVO 11.05.2026'!G$2:G$1919="P")+('EFETIVO 11.05.2026'!G$2:G$1919="T")+('EFETIVO 11.05.2026'!G$2:G$1919="M"))&gt;0)*('EFETIVO 11.05.2026'!J$2:J$1919=B101))</f>
        <v>0</v>
      </c>
      <c r="F101" s="1825">
        <f>IFERROR(C101/$C$6,0)</f>
        <v>2.1943573667711599E-2</v>
      </c>
    </row>
    <row r="102" spans="2:6" x14ac:dyDescent="0.35">
      <c r="B102" s="1823" t="s">
        <v>376</v>
      </c>
      <c r="C102" s="1823" cm="1">
        <f t="array" ref="C102">SUMPRODUCT(ISNUMBER(SEARCH("743",'EFETIVO 11.05.2026'!H$2:H$1919))*('EFETIVO 11.05.2026'!G$2:G$1919="A")*('EFETIVO 11.05.2026'!J$2:J$1919=B102))</f>
        <v>5</v>
      </c>
      <c r="D102" s="1823" cm="1">
        <f t="array" ref="D102">SUMPRODUCT(ISNUMBER(SEARCH("743",'EFETIVO 11.05.2026'!H$2:H$1919))*('EFETIVO 11.05.2026'!G$2:G$1919="D")*('EFETIVO 11.05.2026'!J$2:J$1919=B102))</f>
        <v>0</v>
      </c>
      <c r="E102" s="1823" cm="1">
        <f t="array" ref="E102">SUMPRODUCT(ISNUMBER(SEARCH("743",'EFETIVO 11.05.2026'!H$2:H$1919))*((('EFETIVO 11.05.2026'!G$2:G$1919="F")+('EFETIVO 11.05.2026'!G$2:G$1919="P")+('EFETIVO 11.05.2026'!G$2:G$1919="T")+('EFETIVO 11.05.2026'!G$2:G$1919="M"))&gt;0)*('EFETIVO 11.05.2026'!J$2:J$1919=B102))</f>
        <v>1</v>
      </c>
      <c r="F102" s="1825">
        <f>IFERROR(C102/$C$6,0)</f>
        <v>1.5673981191222569E-2</v>
      </c>
    </row>
    <row r="103" spans="2:6" x14ac:dyDescent="0.35">
      <c r="B103" s="1823" t="s">
        <v>4818</v>
      </c>
      <c r="C103" s="1823" cm="1">
        <f t="array" ref="C103">SUMPRODUCT(ISNUMBER(SEARCH("743",'EFETIVO 11.05.2026'!H$2:H$1919))*('EFETIVO 11.05.2026'!G$2:G$1919="A")*('EFETIVO 11.05.2026'!J$2:J$1919=B103))</f>
        <v>3</v>
      </c>
      <c r="D103" s="1823" cm="1">
        <f t="array" ref="D103">SUMPRODUCT(ISNUMBER(SEARCH("743",'EFETIVO 11.05.2026'!H$2:H$1919))*('EFETIVO 11.05.2026'!G$2:G$1919="D")*('EFETIVO 11.05.2026'!J$2:J$1919=B103))</f>
        <v>0</v>
      </c>
      <c r="E103" s="1823" cm="1">
        <f t="array" ref="E103">SUMPRODUCT(ISNUMBER(SEARCH("743",'EFETIVO 11.05.2026'!H$2:H$1919))*((('EFETIVO 11.05.2026'!G$2:G$1919="F")+('EFETIVO 11.05.2026'!G$2:G$1919="P")+('EFETIVO 11.05.2026'!G$2:G$1919="T")+('EFETIVO 11.05.2026'!G$2:G$1919="M"))&gt;0)*('EFETIVO 11.05.2026'!J$2:J$1919=B103))</f>
        <v>0</v>
      </c>
      <c r="F103" s="1825">
        <f>IFERROR(C103/$C$6,0)</f>
        <v>9.4043887147335428E-3</v>
      </c>
    </row>
    <row r="104" spans="2:6" x14ac:dyDescent="0.35">
      <c r="B104" s="1823" t="s">
        <v>374</v>
      </c>
      <c r="C104" s="1823" cm="1">
        <f t="array" ref="C104">SUMPRODUCT(ISNUMBER(SEARCH("743",'EFETIVO 11.05.2026'!H$2:H$1919))*('EFETIVO 11.05.2026'!G$2:G$1919="A")*('EFETIVO 11.05.2026'!J$2:J$1919=B104))</f>
        <v>2</v>
      </c>
      <c r="D104" s="1823" cm="1">
        <f t="array" ref="D104">SUMPRODUCT(ISNUMBER(SEARCH("743",'EFETIVO 11.05.2026'!H$2:H$1919))*('EFETIVO 11.05.2026'!G$2:G$1919="D")*('EFETIVO 11.05.2026'!J$2:J$1919=B104))</f>
        <v>0</v>
      </c>
      <c r="E104" s="1823" cm="1">
        <f t="array" ref="E104">SUMPRODUCT(ISNUMBER(SEARCH("743",'EFETIVO 11.05.2026'!H$2:H$1919))*((('EFETIVO 11.05.2026'!G$2:G$1919="F")+('EFETIVO 11.05.2026'!G$2:G$1919="P")+('EFETIVO 11.05.2026'!G$2:G$1919="T")+('EFETIVO 11.05.2026'!G$2:G$1919="M"))&gt;0)*('EFETIVO 11.05.2026'!J$2:J$1919=B104))</f>
        <v>0</v>
      </c>
      <c r="F104" s="1825">
        <f>IFERROR(C104/$C$6,0)</f>
        <v>6.269592476489028E-3</v>
      </c>
    </row>
    <row r="105" spans="2:6" x14ac:dyDescent="0.35">
      <c r="B105" s="1823" t="s">
        <v>5454</v>
      </c>
      <c r="C105" s="1823" cm="1">
        <f t="array" ref="C105">SUMPRODUCT(ISNUMBER(SEARCH("743",'EFETIVO 11.05.2026'!H$2:H$1919))*('EFETIVO 11.05.2026'!G$2:G$1919="A")*('EFETIVO 11.05.2026'!J$2:J$1919=B105))</f>
        <v>2</v>
      </c>
      <c r="D105" s="1823" cm="1">
        <f t="array" ref="D105">SUMPRODUCT(ISNUMBER(SEARCH("743",'EFETIVO 11.05.2026'!H$2:H$1919))*('EFETIVO 11.05.2026'!G$2:G$1919="D")*('EFETIVO 11.05.2026'!J$2:J$1919=B105))</f>
        <v>0</v>
      </c>
      <c r="E105" s="1823" cm="1">
        <f t="array" ref="E105">SUMPRODUCT(ISNUMBER(SEARCH("743",'EFETIVO 11.05.2026'!H$2:H$1919))*((('EFETIVO 11.05.2026'!G$2:G$1919="F")+('EFETIVO 11.05.2026'!G$2:G$1919="P")+('EFETIVO 11.05.2026'!G$2:G$1919="T")+('EFETIVO 11.05.2026'!G$2:G$1919="M"))&gt;0)*('EFETIVO 11.05.2026'!J$2:J$1919=B105))</f>
        <v>0</v>
      </c>
      <c r="F105" s="1825">
        <f>IFERROR(C105/$C$6,0)</f>
        <v>6.269592476489028E-3</v>
      </c>
    </row>
    <row r="106" spans="2:6" x14ac:dyDescent="0.35">
      <c r="B106" s="1823" t="s">
        <v>113</v>
      </c>
      <c r="C106" s="1823" cm="1">
        <f t="array" ref="C106">SUMPRODUCT(ISNUMBER(SEARCH("743",'EFETIVO 11.05.2026'!H$2:H$1919))*('EFETIVO 11.05.2026'!G$2:G$1919="A")*('EFETIVO 11.05.2026'!J$2:J$1919=B106))</f>
        <v>1</v>
      </c>
      <c r="D106" s="1823" cm="1">
        <f t="array" ref="D106">SUMPRODUCT(ISNUMBER(SEARCH("743",'EFETIVO 11.05.2026'!H$2:H$1919))*('EFETIVO 11.05.2026'!G$2:G$1919="D")*('EFETIVO 11.05.2026'!J$2:J$1919=B106))</f>
        <v>0</v>
      </c>
      <c r="E106" s="1823" cm="1">
        <f t="array" ref="E106">SUMPRODUCT(ISNUMBER(SEARCH("743",'EFETIVO 11.05.2026'!H$2:H$1919))*((('EFETIVO 11.05.2026'!G$2:G$1919="F")+('EFETIVO 11.05.2026'!G$2:G$1919="P")+('EFETIVO 11.05.2026'!G$2:G$1919="T")+('EFETIVO 11.05.2026'!G$2:G$1919="M"))&gt;0)*('EFETIVO 11.05.2026'!J$2:J$1919=B106))</f>
        <v>0</v>
      </c>
      <c r="F106" s="1825">
        <f>IFERROR(C106/$C$6,0)</f>
        <v>3.134796238244514E-3</v>
      </c>
    </row>
    <row r="107" spans="2:6" x14ac:dyDescent="0.35">
      <c r="B107" s="1823" t="s">
        <v>5452</v>
      </c>
      <c r="C107" s="1823" cm="1">
        <f t="array" ref="C107">SUMPRODUCT(ISNUMBER(SEARCH("743",'EFETIVO 11.05.2026'!H$2:H$1919))*('EFETIVO 11.05.2026'!G$2:G$1919="A")*('EFETIVO 11.05.2026'!J$2:J$1919=B107))</f>
        <v>1</v>
      </c>
      <c r="D107" s="1823" cm="1">
        <f t="array" ref="D107">SUMPRODUCT(ISNUMBER(SEARCH("743",'EFETIVO 11.05.2026'!H$2:H$1919))*('EFETIVO 11.05.2026'!G$2:G$1919="D")*('EFETIVO 11.05.2026'!J$2:J$1919=B107))</f>
        <v>0</v>
      </c>
      <c r="E107" s="1823" cm="1">
        <f t="array" ref="E107">SUMPRODUCT(ISNUMBER(SEARCH("743",'EFETIVO 11.05.2026'!H$2:H$1919))*((('EFETIVO 11.05.2026'!G$2:G$1919="F")+('EFETIVO 11.05.2026'!G$2:G$1919="P")+('EFETIVO 11.05.2026'!G$2:G$1919="T")+('EFETIVO 11.05.2026'!G$2:G$1919="M"))&gt;0)*('EFETIVO 11.05.2026'!J$2:J$1919=B107))</f>
        <v>0</v>
      </c>
      <c r="F107" s="1825">
        <f>IFERROR(C107/$C$6,0)</f>
        <v>3.134796238244514E-3</v>
      </c>
    </row>
    <row r="108" spans="2:6" x14ac:dyDescent="0.35">
      <c r="B108" s="1823" t="s">
        <v>155</v>
      </c>
      <c r="C108" s="1823" cm="1">
        <f t="array" ref="C108">SUMPRODUCT(ISNUMBER(SEARCH("743",'EFETIVO 11.05.2026'!H$2:H$1919))*('EFETIVO 11.05.2026'!G$2:G$1919="A")*('EFETIVO 11.05.2026'!J$2:J$1919=B108))</f>
        <v>1</v>
      </c>
      <c r="D108" s="1823" cm="1">
        <f t="array" ref="D108">SUMPRODUCT(ISNUMBER(SEARCH("743",'EFETIVO 11.05.2026'!H$2:H$1919))*('EFETIVO 11.05.2026'!G$2:G$1919="D")*('EFETIVO 11.05.2026'!J$2:J$1919=B108))</f>
        <v>0</v>
      </c>
      <c r="E108" s="1823" cm="1">
        <f t="array" ref="E108">SUMPRODUCT(ISNUMBER(SEARCH("743",'EFETIVO 11.05.2026'!H$2:H$1919))*((('EFETIVO 11.05.2026'!G$2:G$1919="F")+('EFETIVO 11.05.2026'!G$2:G$1919="P")+('EFETIVO 11.05.2026'!G$2:G$1919="T")+('EFETIVO 11.05.2026'!G$2:G$1919="M"))&gt;0)*('EFETIVO 11.05.2026'!J$2:J$1919=B108))</f>
        <v>0</v>
      </c>
      <c r="F108" s="1825">
        <f>IFERROR(C108/$C$6,0)</f>
        <v>3.134796238244514E-3</v>
      </c>
    </row>
    <row r="109" spans="2:6" x14ac:dyDescent="0.35">
      <c r="B109" s="1823" t="s">
        <v>5455</v>
      </c>
      <c r="C109" s="1823" cm="1">
        <f t="array" ref="C109">SUMPRODUCT(ISNUMBER(SEARCH("743",'EFETIVO 11.05.2026'!H$2:H$1919))*('EFETIVO 11.05.2026'!G$2:G$1919="A")*('EFETIVO 11.05.2026'!J$2:J$1919=B109))</f>
        <v>9</v>
      </c>
      <c r="D109" s="1823" cm="1">
        <f t="array" ref="D109">SUMPRODUCT(ISNUMBER(SEARCH("743",'EFETIVO 11.05.2026'!H$2:H$1919))*('EFETIVO 11.05.2026'!G$2:G$1919="D")*('EFETIVO 11.05.2026'!J$2:J$1919=B109))</f>
        <v>0</v>
      </c>
      <c r="E109" s="1823" cm="1">
        <f t="array" ref="E109">SUMPRODUCT(ISNUMBER(SEARCH("743",'EFETIVO 11.05.2026'!H$2:H$1919))*((('EFETIVO 11.05.2026'!G$2:G$1919="F")+('EFETIVO 11.05.2026'!G$2:G$1919="P")+('EFETIVO 11.05.2026'!G$2:G$1919="T")+('EFETIVO 11.05.2026'!G$2:G$1919="M"))&gt;0)*('EFETIVO 11.05.2026'!J$2:J$1919=B109))</f>
        <v>0</v>
      </c>
      <c r="F109" s="1825">
        <f>IFERROR(C109/$C$6,0)</f>
        <v>2.8213166144200628E-2</v>
      </c>
    </row>
    <row r="110" spans="2:6" x14ac:dyDescent="0.35">
      <c r="B110" s="1824" t="s">
        <v>459</v>
      </c>
      <c r="C110" s="1824">
        <f>SUM(C92:C109)</f>
        <v>319</v>
      </c>
      <c r="D110" s="1824">
        <f>SUM(D92:D109)</f>
        <v>0</v>
      </c>
      <c r="E110" s="1824">
        <f>SUM(E92:E109)</f>
        <v>4</v>
      </c>
      <c r="F110" s="1826">
        <f>SUM(F92:F109)</f>
        <v>1</v>
      </c>
    </row>
    <row r="111" spans="2:6" x14ac:dyDescent="0.35">
      <c r="B111" s="279"/>
      <c r="C111" s="279"/>
      <c r="D111" s="279"/>
      <c r="E111" s="279"/>
      <c r="F111" s="279"/>
    </row>
    <row r="113" spans="2:6" ht="16" x14ac:dyDescent="0.4">
      <c r="B113" s="1849" t="s">
        <v>5462</v>
      </c>
      <c r="C113" s="1841"/>
      <c r="D113" s="1841"/>
      <c r="E113" s="1841"/>
      <c r="F113" s="1841"/>
    </row>
    <row r="114" spans="2:6" x14ac:dyDescent="0.35">
      <c r="B114" s="1850" t="s">
        <v>5456</v>
      </c>
      <c r="C114" s="1850" t="s">
        <v>496</v>
      </c>
      <c r="D114" s="1850" t="s">
        <v>4776</v>
      </c>
      <c r="E114" s="1850" t="s">
        <v>4780</v>
      </c>
      <c r="F114" s="1850" t="s">
        <v>5460</v>
      </c>
    </row>
    <row r="115" spans="2:6" x14ac:dyDescent="0.35">
      <c r="B115" s="1846" t="s">
        <v>382</v>
      </c>
      <c r="C115" s="1847" cm="1">
        <f t="array" ref="C115">SUMPRODUCT(ISNUMBER(SEARCH("743",'EFETIVO 11.05.2026'!H$2:H$1919))*('EFETIVO 11.05.2026'!G$2:G$1919="A")*('EFETIVO 11.05.2026'!J$2:J$1919=B115)*('EFETIVO 11.05.2026'!I$2:I$1919="CABIUNAS"))</f>
        <v>86</v>
      </c>
      <c r="D115" s="1847" cm="1">
        <f t="array" ref="D115">SUMPRODUCT(ISNUMBER(SEARCH("743",'EFETIVO 11.05.2026'!H$2:H$1919))*('EFETIVO 11.05.2026'!G$2:G$1919="A")*('EFETIVO 11.05.2026'!J$2:J$1919=B115)*('EFETIVO 11.05.2026'!I$2:I$1919="BARRA DO FURADO"))</f>
        <v>5</v>
      </c>
      <c r="E115" s="1847" cm="1">
        <f t="array" ref="E115">SUMPRODUCT(ISNUMBER(SEARCH("743",'EFETIVO 11.05.2026'!H$2:H$1919))*('EFETIVO 11.05.2026'!G$2:G$1919="A")*('EFETIVO 11.05.2026'!J$2:J$1919=B115)*('EFETIVO 11.05.2026'!I$2:I$1919="FAZENDA SEVERINA"))</f>
        <v>0</v>
      </c>
      <c r="F115" s="1847">
        <f>SUM(C115:E115)</f>
        <v>91</v>
      </c>
    </row>
    <row r="116" spans="2:6" x14ac:dyDescent="0.35">
      <c r="B116" s="1846" t="s">
        <v>4777</v>
      </c>
      <c r="C116" s="1847" cm="1">
        <f t="array" ref="C116">SUMPRODUCT(ISNUMBER(SEARCH("743",'EFETIVO 11.05.2026'!H$2:H$1919))*('EFETIVO 11.05.2026'!G$2:G$1919="A")*('EFETIVO 11.05.2026'!J$2:J$1919=B116)*('EFETIVO 11.05.2026'!I$2:I$1919="CABIUNAS"))</f>
        <v>77</v>
      </c>
      <c r="D116" s="1847" cm="1">
        <f t="array" ref="D116">SUMPRODUCT(ISNUMBER(SEARCH("743",'EFETIVO 11.05.2026'!H$2:H$1919))*('EFETIVO 11.05.2026'!G$2:G$1919="A")*('EFETIVO 11.05.2026'!J$2:J$1919=B116)*('EFETIVO 11.05.2026'!I$2:I$1919="BARRA DO FURADO"))</f>
        <v>4</v>
      </c>
      <c r="E116" s="1847" cm="1">
        <f t="array" ref="E116">SUMPRODUCT(ISNUMBER(SEARCH("743",'EFETIVO 11.05.2026'!H$2:H$1919))*('EFETIVO 11.05.2026'!G$2:G$1919="A")*('EFETIVO 11.05.2026'!J$2:J$1919=B116)*('EFETIVO 11.05.2026'!I$2:I$1919="FAZENDA SEVERINA"))</f>
        <v>0</v>
      </c>
      <c r="F116" s="1847">
        <f>SUM(C116:E116)</f>
        <v>81</v>
      </c>
    </row>
    <row r="117" spans="2:6" x14ac:dyDescent="0.35">
      <c r="B117" s="1846" t="s">
        <v>5453</v>
      </c>
      <c r="C117" s="1847" cm="1">
        <f t="array" ref="C117">SUMPRODUCT(ISNUMBER(SEARCH("743",'EFETIVO 11.05.2026'!H$2:H$1919))*('EFETIVO 11.05.2026'!G$2:G$1919="A")*('EFETIVO 11.05.2026'!J$2:J$1919=B117)*('EFETIVO 11.05.2026'!I$2:I$1919="CABIUNAS"))</f>
        <v>50</v>
      </c>
      <c r="D117" s="1847" cm="1">
        <f t="array" ref="D117">SUMPRODUCT(ISNUMBER(SEARCH("743",'EFETIVO 11.05.2026'!H$2:H$1919))*('EFETIVO 11.05.2026'!G$2:G$1919="A")*('EFETIVO 11.05.2026'!J$2:J$1919=B117)*('EFETIVO 11.05.2026'!I$2:I$1919="BARRA DO FURADO"))</f>
        <v>4</v>
      </c>
      <c r="E117" s="1847" cm="1">
        <f t="array" ref="E117">SUMPRODUCT(ISNUMBER(SEARCH("743",'EFETIVO 11.05.2026'!H$2:H$1919))*('EFETIVO 11.05.2026'!G$2:G$1919="A")*('EFETIVO 11.05.2026'!J$2:J$1919=B117)*('EFETIVO 11.05.2026'!I$2:I$1919="FAZENDA SEVERINA"))</f>
        <v>1</v>
      </c>
      <c r="F117" s="1847">
        <f>SUM(C117:E117)</f>
        <v>55</v>
      </c>
    </row>
    <row r="118" spans="2:6" x14ac:dyDescent="0.35">
      <c r="B118" s="1846" t="s">
        <v>156</v>
      </c>
      <c r="C118" s="1847" cm="1">
        <f t="array" ref="C118">SUMPRODUCT(ISNUMBER(SEARCH("743",'EFETIVO 11.05.2026'!H$2:H$1919))*('EFETIVO 11.05.2026'!G$2:G$1919="A")*('EFETIVO 11.05.2026'!J$2:J$1919=B118)*('EFETIVO 11.05.2026'!I$2:I$1919="CABIUNAS"))</f>
        <v>16</v>
      </c>
      <c r="D118" s="1847" cm="1">
        <f t="array" ref="D118">SUMPRODUCT(ISNUMBER(SEARCH("743",'EFETIVO 11.05.2026'!H$2:H$1919))*('EFETIVO 11.05.2026'!G$2:G$1919="A")*('EFETIVO 11.05.2026'!J$2:J$1919=B118)*('EFETIVO 11.05.2026'!I$2:I$1919="BARRA DO FURADO"))</f>
        <v>2</v>
      </c>
      <c r="E118" s="1847" cm="1">
        <f t="array" ref="E118">SUMPRODUCT(ISNUMBER(SEARCH("743",'EFETIVO 11.05.2026'!H$2:H$1919))*('EFETIVO 11.05.2026'!G$2:G$1919="A")*('EFETIVO 11.05.2026'!J$2:J$1919=B118)*('EFETIVO 11.05.2026'!I$2:I$1919="FAZENDA SEVERINA"))</f>
        <v>0</v>
      </c>
      <c r="F118" s="1847">
        <f>SUM(C118:E118)</f>
        <v>18</v>
      </c>
    </row>
    <row r="119" spans="2:6" x14ac:dyDescent="0.35">
      <c r="B119" s="1846" t="s">
        <v>5448</v>
      </c>
      <c r="C119" s="1847" cm="1">
        <f t="array" ref="C119">SUMPRODUCT(ISNUMBER(SEARCH("743",'EFETIVO 11.05.2026'!H$2:H$1919))*('EFETIVO 11.05.2026'!G$2:G$1919="A")*('EFETIVO 11.05.2026'!J$2:J$1919=B119)*('EFETIVO 11.05.2026'!I$2:I$1919="CABIUNAS"))</f>
        <v>11</v>
      </c>
      <c r="D119" s="1847" cm="1">
        <f t="array" ref="D119">SUMPRODUCT(ISNUMBER(SEARCH("743",'EFETIVO 11.05.2026'!H$2:H$1919))*('EFETIVO 11.05.2026'!G$2:G$1919="A")*('EFETIVO 11.05.2026'!J$2:J$1919=B119)*('EFETIVO 11.05.2026'!I$2:I$1919="BARRA DO FURADO"))</f>
        <v>0</v>
      </c>
      <c r="E119" s="1847" cm="1">
        <f t="array" ref="E119">SUMPRODUCT(ISNUMBER(SEARCH("743",'EFETIVO 11.05.2026'!H$2:H$1919))*('EFETIVO 11.05.2026'!G$2:G$1919="A")*('EFETIVO 11.05.2026'!J$2:J$1919=B119)*('EFETIVO 11.05.2026'!I$2:I$1919="FAZENDA SEVERINA"))</f>
        <v>0</v>
      </c>
      <c r="F119" s="1847">
        <f>SUM(C119:E119)</f>
        <v>11</v>
      </c>
    </row>
    <row r="120" spans="2:6" x14ac:dyDescent="0.35">
      <c r="B120" s="1846" t="s">
        <v>139</v>
      </c>
      <c r="C120" s="1847" cm="1">
        <f t="array" ref="C120">SUMPRODUCT(ISNUMBER(SEARCH("743",'EFETIVO 11.05.2026'!H$2:H$1919))*('EFETIVO 11.05.2026'!G$2:G$1919="A")*('EFETIVO 11.05.2026'!J$2:J$1919=B120)*('EFETIVO 11.05.2026'!I$2:I$1919="CABIUNAS"))</f>
        <v>9</v>
      </c>
      <c r="D120" s="1847" cm="1">
        <f t="array" ref="D120">SUMPRODUCT(ISNUMBER(SEARCH("743",'EFETIVO 11.05.2026'!H$2:H$1919))*('EFETIVO 11.05.2026'!G$2:G$1919="A")*('EFETIVO 11.05.2026'!J$2:J$1919=B120)*('EFETIVO 11.05.2026'!I$2:I$1919="BARRA DO FURADO"))</f>
        <v>0</v>
      </c>
      <c r="E120" s="1847" cm="1">
        <f t="array" ref="E120">SUMPRODUCT(ISNUMBER(SEARCH("743",'EFETIVO 11.05.2026'!H$2:H$1919))*('EFETIVO 11.05.2026'!G$2:G$1919="A")*('EFETIVO 11.05.2026'!J$2:J$1919=B120)*('EFETIVO 11.05.2026'!I$2:I$1919="FAZENDA SEVERINA"))</f>
        <v>0</v>
      </c>
      <c r="F120" s="1847">
        <f>SUM(C120:E120)</f>
        <v>9</v>
      </c>
    </row>
    <row r="121" spans="2:6" x14ac:dyDescent="0.35">
      <c r="B121" s="1846" t="s">
        <v>5450</v>
      </c>
      <c r="C121" s="1847" cm="1">
        <f t="array" ref="C121">SUMPRODUCT(ISNUMBER(SEARCH("743",'EFETIVO 11.05.2026'!H$2:H$1919))*('EFETIVO 11.05.2026'!G$2:G$1919="A")*('EFETIVO 11.05.2026'!J$2:J$1919=B121)*('EFETIVO 11.05.2026'!I$2:I$1919="CABIUNAS"))</f>
        <v>7</v>
      </c>
      <c r="D121" s="1847" cm="1">
        <f t="array" ref="D121">SUMPRODUCT(ISNUMBER(SEARCH("743",'EFETIVO 11.05.2026'!H$2:H$1919))*('EFETIVO 11.05.2026'!G$2:G$1919="A")*('EFETIVO 11.05.2026'!J$2:J$1919=B121)*('EFETIVO 11.05.2026'!I$2:I$1919="BARRA DO FURADO"))</f>
        <v>0</v>
      </c>
      <c r="E121" s="1847" cm="1">
        <f t="array" ref="E121">SUMPRODUCT(ISNUMBER(SEARCH("743",'EFETIVO 11.05.2026'!H$2:H$1919))*('EFETIVO 11.05.2026'!G$2:G$1919="A")*('EFETIVO 11.05.2026'!J$2:J$1919=B121)*('EFETIVO 11.05.2026'!I$2:I$1919="FAZENDA SEVERINA"))</f>
        <v>0</v>
      </c>
      <c r="F121" s="1847">
        <f>SUM(C121:E121)</f>
        <v>7</v>
      </c>
    </row>
    <row r="122" spans="2:6" x14ac:dyDescent="0.35">
      <c r="B122" s="1846" t="s">
        <v>377</v>
      </c>
      <c r="C122" s="1847" cm="1">
        <f t="array" ref="C122">SUMPRODUCT(ISNUMBER(SEARCH("743",'EFETIVO 11.05.2026'!H$2:H$1919))*('EFETIVO 11.05.2026'!G$2:G$1919="A")*('EFETIVO 11.05.2026'!J$2:J$1919=B122)*('EFETIVO 11.05.2026'!I$2:I$1919="CABIUNAS"))</f>
        <v>9</v>
      </c>
      <c r="D122" s="1847" cm="1">
        <f t="array" ref="D122">SUMPRODUCT(ISNUMBER(SEARCH("743",'EFETIVO 11.05.2026'!H$2:H$1919))*('EFETIVO 11.05.2026'!G$2:G$1919="A")*('EFETIVO 11.05.2026'!J$2:J$1919=B122)*('EFETIVO 11.05.2026'!I$2:I$1919="BARRA DO FURADO"))</f>
        <v>0</v>
      </c>
      <c r="E122" s="1847" cm="1">
        <f t="array" ref="E122">SUMPRODUCT(ISNUMBER(SEARCH("743",'EFETIVO 11.05.2026'!H$2:H$1919))*('EFETIVO 11.05.2026'!G$2:G$1919="A")*('EFETIVO 11.05.2026'!J$2:J$1919=B122)*('EFETIVO 11.05.2026'!I$2:I$1919="FAZENDA SEVERINA"))</f>
        <v>0</v>
      </c>
      <c r="F122" s="1847">
        <f>SUM(C122:E122)</f>
        <v>9</v>
      </c>
    </row>
    <row r="123" spans="2:6" x14ac:dyDescent="0.35">
      <c r="B123" s="1846" t="s">
        <v>5451</v>
      </c>
      <c r="C123" s="1847" cm="1">
        <f t="array" ref="C123">SUMPRODUCT(ISNUMBER(SEARCH("743",'EFETIVO 11.05.2026'!H$2:H$1919))*('EFETIVO 11.05.2026'!G$2:G$1919="A")*('EFETIVO 11.05.2026'!J$2:J$1919=B123)*('EFETIVO 11.05.2026'!I$2:I$1919="CABIUNAS"))</f>
        <v>7</v>
      </c>
      <c r="D123" s="1847" cm="1">
        <f t="array" ref="D123">SUMPRODUCT(ISNUMBER(SEARCH("743",'EFETIVO 11.05.2026'!H$2:H$1919))*('EFETIVO 11.05.2026'!G$2:G$1919="A")*('EFETIVO 11.05.2026'!J$2:J$1919=B123)*('EFETIVO 11.05.2026'!I$2:I$1919="BARRA DO FURADO"))</f>
        <v>0</v>
      </c>
      <c r="E123" s="1847" cm="1">
        <f t="array" ref="E123">SUMPRODUCT(ISNUMBER(SEARCH("743",'EFETIVO 11.05.2026'!H$2:H$1919))*('EFETIVO 11.05.2026'!G$2:G$1919="A")*('EFETIVO 11.05.2026'!J$2:J$1919=B123)*('EFETIVO 11.05.2026'!I$2:I$1919="FAZENDA SEVERINA"))</f>
        <v>0</v>
      </c>
      <c r="F123" s="1847">
        <f>SUM(C123:E123)</f>
        <v>7</v>
      </c>
    </row>
    <row r="124" spans="2:6" x14ac:dyDescent="0.35">
      <c r="B124" s="1846" t="s">
        <v>5449</v>
      </c>
      <c r="C124" s="1847" cm="1">
        <f t="array" ref="C124">SUMPRODUCT(ISNUMBER(SEARCH("743",'EFETIVO 11.05.2026'!H$2:H$1919))*('EFETIVO 11.05.2026'!G$2:G$1919="A")*('EFETIVO 11.05.2026'!J$2:J$1919=B124)*('EFETIVO 11.05.2026'!I$2:I$1919="CABIUNAS"))</f>
        <v>7</v>
      </c>
      <c r="D124" s="1847" cm="1">
        <f t="array" ref="D124">SUMPRODUCT(ISNUMBER(SEARCH("743",'EFETIVO 11.05.2026'!H$2:H$1919))*('EFETIVO 11.05.2026'!G$2:G$1919="A")*('EFETIVO 11.05.2026'!J$2:J$1919=B124)*('EFETIVO 11.05.2026'!I$2:I$1919="BARRA DO FURADO"))</f>
        <v>0</v>
      </c>
      <c r="E124" s="1847" cm="1">
        <f t="array" ref="E124">SUMPRODUCT(ISNUMBER(SEARCH("743",'EFETIVO 11.05.2026'!H$2:H$1919))*('EFETIVO 11.05.2026'!G$2:G$1919="A")*('EFETIVO 11.05.2026'!J$2:J$1919=B124)*('EFETIVO 11.05.2026'!I$2:I$1919="FAZENDA SEVERINA"))</f>
        <v>0</v>
      </c>
      <c r="F124" s="1847">
        <f>SUM(C124:E124)</f>
        <v>7</v>
      </c>
    </row>
    <row r="125" spans="2:6" x14ac:dyDescent="0.35">
      <c r="B125" s="1846" t="s">
        <v>376</v>
      </c>
      <c r="C125" s="1847" cm="1">
        <f t="array" ref="C125">SUMPRODUCT(ISNUMBER(SEARCH("743",'EFETIVO 11.05.2026'!H$2:H$1919))*('EFETIVO 11.05.2026'!G$2:G$1919="A")*('EFETIVO 11.05.2026'!J$2:J$1919=B125)*('EFETIVO 11.05.2026'!I$2:I$1919="CABIUNAS"))</f>
        <v>5</v>
      </c>
      <c r="D125" s="1847" cm="1">
        <f t="array" ref="D125">SUMPRODUCT(ISNUMBER(SEARCH("743",'EFETIVO 11.05.2026'!H$2:H$1919))*('EFETIVO 11.05.2026'!G$2:G$1919="A")*('EFETIVO 11.05.2026'!J$2:J$1919=B125)*('EFETIVO 11.05.2026'!I$2:I$1919="BARRA DO FURADO"))</f>
        <v>0</v>
      </c>
      <c r="E125" s="1847" cm="1">
        <f t="array" ref="E125">SUMPRODUCT(ISNUMBER(SEARCH("743",'EFETIVO 11.05.2026'!H$2:H$1919))*('EFETIVO 11.05.2026'!G$2:G$1919="A")*('EFETIVO 11.05.2026'!J$2:J$1919=B125)*('EFETIVO 11.05.2026'!I$2:I$1919="FAZENDA SEVERINA"))</f>
        <v>0</v>
      </c>
      <c r="F125" s="1847">
        <f>SUM(C125:E125)</f>
        <v>5</v>
      </c>
    </row>
    <row r="126" spans="2:6" x14ac:dyDescent="0.35">
      <c r="B126" s="1846" t="s">
        <v>4818</v>
      </c>
      <c r="C126" s="1847" cm="1">
        <f t="array" ref="C126">SUMPRODUCT(ISNUMBER(SEARCH("743",'EFETIVO 11.05.2026'!H$2:H$1919))*('EFETIVO 11.05.2026'!G$2:G$1919="A")*('EFETIVO 11.05.2026'!J$2:J$1919=B126)*('EFETIVO 11.05.2026'!I$2:I$1919="CABIUNAS"))</f>
        <v>3</v>
      </c>
      <c r="D126" s="1847" cm="1">
        <f t="array" ref="D126">SUMPRODUCT(ISNUMBER(SEARCH("743",'EFETIVO 11.05.2026'!H$2:H$1919))*('EFETIVO 11.05.2026'!G$2:G$1919="A")*('EFETIVO 11.05.2026'!J$2:J$1919=B126)*('EFETIVO 11.05.2026'!I$2:I$1919="BARRA DO FURADO"))</f>
        <v>0</v>
      </c>
      <c r="E126" s="1847" cm="1">
        <f t="array" ref="E126">SUMPRODUCT(ISNUMBER(SEARCH("743",'EFETIVO 11.05.2026'!H$2:H$1919))*('EFETIVO 11.05.2026'!G$2:G$1919="A")*('EFETIVO 11.05.2026'!J$2:J$1919=B126)*('EFETIVO 11.05.2026'!I$2:I$1919="FAZENDA SEVERINA"))</f>
        <v>0</v>
      </c>
      <c r="F126" s="1847">
        <f>SUM(C126:E126)</f>
        <v>3</v>
      </c>
    </row>
    <row r="127" spans="2:6" x14ac:dyDescent="0.35">
      <c r="B127" s="1846" t="s">
        <v>374</v>
      </c>
      <c r="C127" s="1847" cm="1">
        <f t="array" ref="C127">SUMPRODUCT(ISNUMBER(SEARCH("743",'EFETIVO 11.05.2026'!H$2:H$1919))*('EFETIVO 11.05.2026'!G$2:G$1919="A")*('EFETIVO 11.05.2026'!J$2:J$1919=B127)*('EFETIVO 11.05.2026'!I$2:I$1919="CABIUNAS"))</f>
        <v>2</v>
      </c>
      <c r="D127" s="1847" cm="1">
        <f t="array" ref="D127">SUMPRODUCT(ISNUMBER(SEARCH("743",'EFETIVO 11.05.2026'!H$2:H$1919))*('EFETIVO 11.05.2026'!G$2:G$1919="A")*('EFETIVO 11.05.2026'!J$2:J$1919=B127)*('EFETIVO 11.05.2026'!I$2:I$1919="BARRA DO FURADO"))</f>
        <v>0</v>
      </c>
      <c r="E127" s="1847" cm="1">
        <f t="array" ref="E127">SUMPRODUCT(ISNUMBER(SEARCH("743",'EFETIVO 11.05.2026'!H$2:H$1919))*('EFETIVO 11.05.2026'!G$2:G$1919="A")*('EFETIVO 11.05.2026'!J$2:J$1919=B127)*('EFETIVO 11.05.2026'!I$2:I$1919="FAZENDA SEVERINA"))</f>
        <v>0</v>
      </c>
      <c r="F127" s="1847">
        <f>SUM(C127:E127)</f>
        <v>2</v>
      </c>
    </row>
    <row r="128" spans="2:6" x14ac:dyDescent="0.35">
      <c r="B128" s="1846" t="s">
        <v>5454</v>
      </c>
      <c r="C128" s="1847" cm="1">
        <f t="array" ref="C128">SUMPRODUCT(ISNUMBER(SEARCH("743",'EFETIVO 11.05.2026'!H$2:H$1919))*('EFETIVO 11.05.2026'!G$2:G$1919="A")*('EFETIVO 11.05.2026'!J$2:J$1919=B128)*('EFETIVO 11.05.2026'!I$2:I$1919="CABIUNAS"))</f>
        <v>2</v>
      </c>
      <c r="D128" s="1847" cm="1">
        <f t="array" ref="D128">SUMPRODUCT(ISNUMBER(SEARCH("743",'EFETIVO 11.05.2026'!H$2:H$1919))*('EFETIVO 11.05.2026'!G$2:G$1919="A")*('EFETIVO 11.05.2026'!J$2:J$1919=B128)*('EFETIVO 11.05.2026'!I$2:I$1919="BARRA DO FURADO"))</f>
        <v>0</v>
      </c>
      <c r="E128" s="1847" cm="1">
        <f t="array" ref="E128">SUMPRODUCT(ISNUMBER(SEARCH("743",'EFETIVO 11.05.2026'!H$2:H$1919))*('EFETIVO 11.05.2026'!G$2:G$1919="A")*('EFETIVO 11.05.2026'!J$2:J$1919=B128)*('EFETIVO 11.05.2026'!I$2:I$1919="FAZENDA SEVERINA"))</f>
        <v>0</v>
      </c>
      <c r="F128" s="1847">
        <f>SUM(C128:E128)</f>
        <v>2</v>
      </c>
    </row>
    <row r="129" spans="2:6" x14ac:dyDescent="0.35">
      <c r="B129" s="1846" t="s">
        <v>113</v>
      </c>
      <c r="C129" s="1847" cm="1">
        <f t="array" ref="C129">SUMPRODUCT(ISNUMBER(SEARCH("743",'EFETIVO 11.05.2026'!H$2:H$1919))*('EFETIVO 11.05.2026'!G$2:G$1919="A")*('EFETIVO 11.05.2026'!J$2:J$1919=B129)*('EFETIVO 11.05.2026'!I$2:I$1919="CABIUNAS"))</f>
        <v>1</v>
      </c>
      <c r="D129" s="1847" cm="1">
        <f t="array" ref="D129">SUMPRODUCT(ISNUMBER(SEARCH("743",'EFETIVO 11.05.2026'!H$2:H$1919))*('EFETIVO 11.05.2026'!G$2:G$1919="A")*('EFETIVO 11.05.2026'!J$2:J$1919=B129)*('EFETIVO 11.05.2026'!I$2:I$1919="BARRA DO FURADO"))</f>
        <v>0</v>
      </c>
      <c r="E129" s="1847" cm="1">
        <f t="array" ref="E129">SUMPRODUCT(ISNUMBER(SEARCH("743",'EFETIVO 11.05.2026'!H$2:H$1919))*('EFETIVO 11.05.2026'!G$2:G$1919="A")*('EFETIVO 11.05.2026'!J$2:J$1919=B129)*('EFETIVO 11.05.2026'!I$2:I$1919="FAZENDA SEVERINA"))</f>
        <v>0</v>
      </c>
      <c r="F129" s="1847">
        <f>SUM(C129:E129)</f>
        <v>1</v>
      </c>
    </row>
    <row r="130" spans="2:6" ht="14.5" customHeight="1" x14ac:dyDescent="0.35">
      <c r="B130" s="1846" t="s">
        <v>5452</v>
      </c>
      <c r="C130" s="1847" cm="1">
        <f t="array" ref="C130">SUMPRODUCT(ISNUMBER(SEARCH("743",'EFETIVO 11.05.2026'!H$2:H$1919))*('EFETIVO 11.05.2026'!G$2:G$1919="A")*('EFETIVO 11.05.2026'!J$2:J$1919=B130)*('EFETIVO 11.05.2026'!I$2:I$1919="CABIUNAS"))</f>
        <v>1</v>
      </c>
      <c r="D130" s="1847" cm="1">
        <f t="array" ref="D130">SUMPRODUCT(ISNUMBER(SEARCH("743",'EFETIVO 11.05.2026'!H$2:H$1919))*('EFETIVO 11.05.2026'!G$2:G$1919="A")*('EFETIVO 11.05.2026'!J$2:J$1919=B130)*('EFETIVO 11.05.2026'!I$2:I$1919="BARRA DO FURADO"))</f>
        <v>0</v>
      </c>
      <c r="E130" s="1847" cm="1">
        <f t="array" ref="E130">SUMPRODUCT(ISNUMBER(SEARCH("743",'EFETIVO 11.05.2026'!H$2:H$1919))*('EFETIVO 11.05.2026'!G$2:G$1919="A")*('EFETIVO 11.05.2026'!J$2:J$1919=B130)*('EFETIVO 11.05.2026'!I$2:I$1919="FAZENDA SEVERINA"))</f>
        <v>0</v>
      </c>
      <c r="F130" s="1847">
        <f>SUM(C130:E130)</f>
        <v>1</v>
      </c>
    </row>
    <row r="131" spans="2:6" x14ac:dyDescent="0.35">
      <c r="B131" s="1846" t="s">
        <v>155</v>
      </c>
      <c r="C131" s="1847" cm="1">
        <f t="array" ref="C131">SUMPRODUCT(ISNUMBER(SEARCH("743",'EFETIVO 11.05.2026'!H$2:H$1919))*('EFETIVO 11.05.2026'!G$2:G$1919="A")*('EFETIVO 11.05.2026'!J$2:J$1919=B131)*('EFETIVO 11.05.2026'!I$2:I$1919="CABIUNAS"))</f>
        <v>1</v>
      </c>
      <c r="D131" s="1847" cm="1">
        <f t="array" ref="D131">SUMPRODUCT(ISNUMBER(SEARCH("743",'EFETIVO 11.05.2026'!H$2:H$1919))*('EFETIVO 11.05.2026'!G$2:G$1919="A")*('EFETIVO 11.05.2026'!J$2:J$1919=B131)*('EFETIVO 11.05.2026'!I$2:I$1919="BARRA DO FURADO"))</f>
        <v>0</v>
      </c>
      <c r="E131" s="1847" cm="1">
        <f t="array" ref="E131">SUMPRODUCT(ISNUMBER(SEARCH("743",'EFETIVO 11.05.2026'!H$2:H$1919))*('EFETIVO 11.05.2026'!G$2:G$1919="A")*('EFETIVO 11.05.2026'!J$2:J$1919=B131)*('EFETIVO 11.05.2026'!I$2:I$1919="FAZENDA SEVERINA"))</f>
        <v>0</v>
      </c>
      <c r="F131" s="1847">
        <f>SUM(C131:E131)</f>
        <v>1</v>
      </c>
    </row>
    <row r="132" spans="2:6" x14ac:dyDescent="0.35">
      <c r="B132" s="1846" t="s">
        <v>5455</v>
      </c>
      <c r="C132" s="1847" cm="1">
        <f t="array" ref="C132">SUMPRODUCT(ISNUMBER(SEARCH("743",'EFETIVO 11.05.2026'!H$2:H$1919))*('EFETIVO 11.05.2026'!G$2:G$1919="A")*('EFETIVO 11.05.2026'!J$2:J$1919=B132)*('EFETIVO 11.05.2026'!I$2:I$1919="CABIUNAS"))</f>
        <v>9</v>
      </c>
      <c r="D132" s="1847" cm="1">
        <f t="array" ref="D132">SUMPRODUCT(ISNUMBER(SEARCH("743",'EFETIVO 11.05.2026'!H$2:H$1919))*('EFETIVO 11.05.2026'!G$2:G$1919="A")*('EFETIVO 11.05.2026'!J$2:J$1919=B132)*('EFETIVO 11.05.2026'!I$2:I$1919="BARRA DO FURADO"))</f>
        <v>0</v>
      </c>
      <c r="E132" s="1847" cm="1">
        <f t="array" ref="E132">SUMPRODUCT(ISNUMBER(SEARCH("743",'EFETIVO 11.05.2026'!H$2:H$1919))*('EFETIVO 11.05.2026'!G$2:G$1919="A")*('EFETIVO 11.05.2026'!J$2:J$1919=B132)*('EFETIVO 11.05.2026'!I$2:I$1919="FAZENDA SEVERINA"))</f>
        <v>0</v>
      </c>
      <c r="F132" s="1847">
        <f>SUM(C132:E132)</f>
        <v>9</v>
      </c>
    </row>
    <row r="133" spans="2:6" x14ac:dyDescent="0.35">
      <c r="B133" s="1858" t="s">
        <v>459</v>
      </c>
      <c r="C133" s="1859">
        <f>SUM(C115:C132)</f>
        <v>303</v>
      </c>
      <c r="D133" s="1859">
        <f>SUM(D115:D132)</f>
        <v>15</v>
      </c>
      <c r="E133" s="1859">
        <f>SUM(E115:E132)</f>
        <v>1</v>
      </c>
      <c r="F133" s="1852">
        <f>SUM(F115:F132)</f>
        <v>319</v>
      </c>
    </row>
  </sheetData>
  <mergeCells count="4">
    <mergeCell ref="A1:Z1"/>
    <mergeCell ref="A2:Z2"/>
    <mergeCell ref="B4:N4"/>
    <mergeCell ref="B12:N12"/>
  </mergeCells>
  <conditionalFormatting sqref="B15:E72 E73:E88 E90 B133:E133">
    <cfRule type="expression" dxfId="4" priority="4">
      <formula>MOD(ROW(),2)=0</formula>
    </cfRule>
  </conditionalFormatting>
  <conditionalFormatting sqref="E133">
    <cfRule type="cellIs" dxfId="3" priority="7" operator="lessThan">
      <formula>0</formula>
    </cfRule>
  </conditionalFormatting>
  <conditionalFormatting sqref="B75">
    <cfRule type="expression" dxfId="2" priority="3">
      <formula>MOD(ROW(),2)=0</formula>
    </cfRule>
  </conditionalFormatting>
  <conditionalFormatting sqref="B76:B82 B86:B88">
    <cfRule type="expression" dxfId="1" priority="2">
      <formula>MOD(ROW(),2)=0</formula>
    </cfRule>
  </conditionalFormatting>
  <conditionalFormatting sqref="B85">
    <cfRule type="expression" dxfId="0" priority="1">
      <formula>MOD(ROW(),2)=0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1BBD-D0E3-4967-B184-95B89680D3E6}">
  <sheetPr codeName="Planilha15">
    <tabColor rgb="FF4A9B3E"/>
  </sheetPr>
  <dimension ref="A1:G142"/>
  <sheetViews>
    <sheetView workbookViewId="0">
      <pane ySplit="2" topLeftCell="A3" activePane="bottomLeft" state="frozen"/>
      <selection pane="bottomLeft" activeCell="E113" sqref="E113"/>
    </sheetView>
  </sheetViews>
  <sheetFormatPr defaultRowHeight="14.5" x14ac:dyDescent="0.35"/>
  <cols>
    <col min="1" max="1" width="0.7265625" customWidth="1"/>
    <col min="2" max="2" width="58.1796875" customWidth="1"/>
    <col min="3" max="3" width="17.26953125" customWidth="1"/>
    <col min="4" max="4" width="47.26953125" customWidth="1"/>
    <col min="5" max="5" width="25.453125" customWidth="1"/>
    <col min="6" max="6" width="20" customWidth="1"/>
    <col min="7" max="7" width="3.26953125" customWidth="1"/>
  </cols>
  <sheetData>
    <row r="1" spans="1:7" ht="34" customHeight="1" x14ac:dyDescent="0.35">
      <c r="A1" s="1002" t="s">
        <v>4794</v>
      </c>
      <c r="B1" s="1002"/>
      <c r="C1" s="1002"/>
      <c r="D1" s="1002"/>
      <c r="E1" s="1002"/>
      <c r="F1" s="1002"/>
      <c r="G1" s="1002"/>
    </row>
    <row r="2" spans="1:7" ht="22" customHeight="1" x14ac:dyDescent="0.35">
      <c r="A2" s="1003" t="s">
        <v>4795</v>
      </c>
      <c r="B2" s="1003"/>
      <c r="C2" s="1003"/>
      <c r="D2" s="1003"/>
      <c r="E2" s="1003"/>
      <c r="F2" s="1003"/>
      <c r="G2" s="1003"/>
    </row>
    <row r="4" spans="1:7" ht="26.15" customHeight="1" x14ac:dyDescent="0.45">
      <c r="B4" s="1395" t="s">
        <v>4796</v>
      </c>
      <c r="C4" s="1395"/>
      <c r="D4" s="1395"/>
      <c r="E4" s="1395"/>
      <c r="F4" s="1395"/>
    </row>
    <row r="5" spans="1:7" x14ac:dyDescent="0.35">
      <c r="B5" s="976" t="s">
        <v>4797</v>
      </c>
      <c r="C5" s="977" cm="1">
        <f t="array" ref="C5">SUMPRODUCT(ISNUMBER(SEARCH("736",'EFETIVO 11.05.2026'!$H$2:$H$1919))*(('EFETIVO 11.05.2026'!$G$2:$G$1919="A")+('EFETIVO 11.05.2026'!$G$2:$G$1919="D")+('EFETIVO 11.05.2026'!$G$2:$G$1919="F")+('EFETIVO 11.05.2026'!$G$2:$G$1919="P")+('EFETIVO 11.05.2026'!$G$2:$G$1919="T")+('EFETIVO 11.05.2026'!$G$2:$G$1919="M")))</f>
        <v>614</v>
      </c>
    </row>
    <row r="6" spans="1:7" x14ac:dyDescent="0.35">
      <c r="B6" s="976" t="s">
        <v>4798</v>
      </c>
      <c r="C6" s="977" cm="1">
        <f t="array" ref="C6">SUMPRODUCT(ISNUMBER(SEARCH("736",'EFETIVO 11.05.2026'!$H$2:$H$1919))*('EFETIVO 11.05.2026'!$G$2:$G$1919="A"))</f>
        <v>399</v>
      </c>
    </row>
    <row r="7" spans="1:7" x14ac:dyDescent="0.35">
      <c r="B7" s="976" t="s">
        <v>4799</v>
      </c>
      <c r="C7" s="977" cm="1">
        <f t="array" ref="C7">SUMPRODUCT(ISNUMBER(SEARCH("736",'EFETIVO 11.05.2026'!$H$2:$H$1919))*('EFETIVO 11.05.2026'!$G$2:$G$1919="D"))</f>
        <v>180</v>
      </c>
    </row>
    <row r="8" spans="1:7" x14ac:dyDescent="0.35">
      <c r="B8" s="976" t="s">
        <v>4800</v>
      </c>
      <c r="C8" s="978">
        <f>IFERROR(C7/C5,0)</f>
        <v>0.29315960912052119</v>
      </c>
    </row>
    <row r="9" spans="1:7" x14ac:dyDescent="0.35">
      <c r="B9" s="976" t="s">
        <v>4801</v>
      </c>
      <c r="C9" s="977" cm="1">
        <f t="array" ref="C9">SUMPRODUCT(ISNUMBER(SEARCH("736",'EFETIVO 11.05.2026'!$H$2:$H$1919))*(('EFETIVO 11.05.2026'!$G$2:$G$1919="F")+('EFETIVO 11.05.2026'!$G$2:$G$1919="P")+('EFETIVO 11.05.2026'!$G$2:$G$1919="T")+('EFETIVO 11.05.2026'!$G$2:$G$1919="M")))</f>
        <v>35</v>
      </c>
    </row>
    <row r="10" spans="1:7" x14ac:dyDescent="0.35">
      <c r="B10" s="979" t="s">
        <v>4802</v>
      </c>
      <c r="C10" s="980" cm="1">
        <f t="array" ref="C10">SUMPRODUCT(--(C15:C107&gt;0))</f>
        <v>88</v>
      </c>
    </row>
    <row r="12" spans="1:7" ht="26.15" customHeight="1" x14ac:dyDescent="0.45">
      <c r="B12" s="1395" t="s">
        <v>4792</v>
      </c>
      <c r="C12" s="1395"/>
      <c r="D12" s="1395"/>
      <c r="E12" s="1395"/>
      <c r="F12" s="1395"/>
    </row>
    <row r="14" spans="1:7" ht="22" customHeight="1" x14ac:dyDescent="0.35">
      <c r="B14" s="252" t="s">
        <v>396</v>
      </c>
      <c r="C14" s="252" t="s">
        <v>397</v>
      </c>
      <c r="D14" s="252" t="s">
        <v>398</v>
      </c>
      <c r="E14" s="252" t="s">
        <v>399</v>
      </c>
      <c r="F14" s="252" t="s">
        <v>400</v>
      </c>
    </row>
    <row r="15" spans="1:7" x14ac:dyDescent="0.35">
      <c r="B15" s="981" t="s">
        <v>1088</v>
      </c>
      <c r="C15" s="982" cm="1">
        <f t="array" ref="C15">SUMPRODUCT(ISNUMBER(SEARCH("736",'EFETIVO 11.05.2026'!$H$2:$H$1919))*('EFETIVO 11.05.2026'!$G$2:$G$1919="A")*('EFETIVO 11.05.2026'!$C$2:$C$1919=B15))</f>
        <v>25</v>
      </c>
      <c r="D15" s="982" cm="1">
        <f t="array" ref="D15">SUMPRODUCT(ISNUMBER(SEARCH("736",'EFETIVO 11.05.2026'!$H$2:$H$1919))*('EFETIVO 11.05.2026'!$G$2:$G$1919="D")*('EFETIVO 11.05.2026'!$C$2:$C$1919=B15))</f>
        <v>8</v>
      </c>
      <c r="E15" s="983">
        <f t="shared" ref="E15:E46" si="0">IFERROR(C15/$C$6,0)</f>
        <v>6.2656641604010022E-2</v>
      </c>
      <c r="F15" s="982" cm="1">
        <f t="array" ref="F15">SUMPRODUCT(ISNUMBER(SEARCH("736",'EFETIVO 11.05.2026'!$H$2:$H$1919))*(('EFETIVO 11.05.2026'!$G$2:$G$1919="F")+('EFETIVO 11.05.2026'!$G$2:$G$1919="P")+('EFETIVO 11.05.2026'!$G$2:$G$1919="T")+('EFETIVO 11.05.2026'!$G$2:$G$1919="M"))*('EFETIVO 11.05.2026'!$C$2:$C$1919=B15))</f>
        <v>1</v>
      </c>
    </row>
    <row r="16" spans="1:7" x14ac:dyDescent="0.35">
      <c r="B16" s="984" t="s">
        <v>409</v>
      </c>
      <c r="C16" s="985" cm="1">
        <f t="array" ref="C16">SUMPRODUCT(ISNUMBER(SEARCH("736",'EFETIVO 11.05.2026'!$H$2:$H$1919))*('EFETIVO 11.05.2026'!$G$2:$G$1919="A")*('EFETIVO 11.05.2026'!$C$2:$C$1919=B16))</f>
        <v>5</v>
      </c>
      <c r="D16" s="985" cm="1">
        <f t="array" ref="D16">SUMPRODUCT(ISNUMBER(SEARCH("736",'EFETIVO 11.05.2026'!$H$2:$H$1919))*('EFETIVO 11.05.2026'!$G$2:$G$1919="D")*('EFETIVO 11.05.2026'!$C$2:$C$1919=B16))</f>
        <v>4</v>
      </c>
      <c r="E16" s="986">
        <f t="shared" si="0"/>
        <v>1.2531328320802004E-2</v>
      </c>
      <c r="F16" s="985" cm="1">
        <f t="array" ref="F16">SUMPRODUCT(ISNUMBER(SEARCH("736",'EFETIVO 11.05.2026'!$H$2:$H$1919))*(('EFETIVO 11.05.2026'!$G$2:$G$1919="F")+('EFETIVO 11.05.2026'!$G$2:$G$1919="P")+('EFETIVO 11.05.2026'!$G$2:$G$1919="T")+('EFETIVO 11.05.2026'!$G$2:$G$1919="M"))*('EFETIVO 11.05.2026'!$C$2:$C$1919=B16))</f>
        <v>0</v>
      </c>
    </row>
    <row r="17" spans="2:6" x14ac:dyDescent="0.35">
      <c r="B17" s="981" t="s">
        <v>2623</v>
      </c>
      <c r="C17" s="982" cm="1">
        <f t="array" ref="C17">SUMPRODUCT(ISNUMBER(SEARCH("736",'EFETIVO 11.05.2026'!$H$2:$H$1919))*('EFETIVO 11.05.2026'!$G$2:$G$1919="A")*('EFETIVO 11.05.2026'!$C$2:$C$1919=B17))</f>
        <v>1</v>
      </c>
      <c r="D17" s="982" cm="1">
        <f t="array" ref="D17">SUMPRODUCT(ISNUMBER(SEARCH("736",'EFETIVO 11.05.2026'!$H$2:$H$1919))*('EFETIVO 11.05.2026'!$G$2:$G$1919="D")*('EFETIVO 11.05.2026'!$C$2:$C$1919=B17))</f>
        <v>0</v>
      </c>
      <c r="E17" s="983">
        <f t="shared" si="0"/>
        <v>2.5062656641604009E-3</v>
      </c>
      <c r="F17" s="982" cm="1">
        <f t="array" ref="F17">SUMPRODUCT(ISNUMBER(SEARCH("736",'EFETIVO 11.05.2026'!$H$2:$H$1919))*(('EFETIVO 11.05.2026'!$G$2:$G$1919="F")+('EFETIVO 11.05.2026'!$G$2:$G$1919="P")+('EFETIVO 11.05.2026'!$G$2:$G$1919="T")+('EFETIVO 11.05.2026'!$G$2:$G$1919="M"))*('EFETIVO 11.05.2026'!$C$2:$C$1919=B17))</f>
        <v>0</v>
      </c>
    </row>
    <row r="18" spans="2:6" x14ac:dyDescent="0.35">
      <c r="B18" s="984" t="s">
        <v>410</v>
      </c>
      <c r="C18" s="985" cm="1">
        <f t="array" ref="C18">SUMPRODUCT(ISNUMBER(SEARCH("736",'EFETIVO 11.05.2026'!$H$2:$H$1919))*('EFETIVO 11.05.2026'!$G$2:$G$1919="A")*('EFETIVO 11.05.2026'!$C$2:$C$1919=B18))</f>
        <v>18</v>
      </c>
      <c r="D18" s="985" cm="1">
        <f t="array" ref="D18">SUMPRODUCT(ISNUMBER(SEARCH("736",'EFETIVO 11.05.2026'!$H$2:$H$1919))*('EFETIVO 11.05.2026'!$G$2:$G$1919="D")*('EFETIVO 11.05.2026'!$C$2:$C$1919=B18))</f>
        <v>10</v>
      </c>
      <c r="E18" s="986">
        <f t="shared" si="0"/>
        <v>4.5112781954887216E-2</v>
      </c>
      <c r="F18" s="985" cm="1">
        <f t="array" ref="F18">SUMPRODUCT(ISNUMBER(SEARCH("736",'EFETIVO 11.05.2026'!$H$2:$H$1919))*(('EFETIVO 11.05.2026'!$G$2:$G$1919="F")+('EFETIVO 11.05.2026'!$G$2:$G$1919="P")+('EFETIVO 11.05.2026'!$G$2:$G$1919="T")+('EFETIVO 11.05.2026'!$G$2:$G$1919="M"))*('EFETIVO 11.05.2026'!$C$2:$C$1919=B18))</f>
        <v>0</v>
      </c>
    </row>
    <row r="19" spans="2:6" x14ac:dyDescent="0.35">
      <c r="B19" s="981" t="s">
        <v>411</v>
      </c>
      <c r="C19" s="982" cm="1">
        <f t="array" ref="C19">SUMPRODUCT(ISNUMBER(SEARCH("736",'EFETIVO 11.05.2026'!$H$2:$H$1919))*('EFETIVO 11.05.2026'!$G$2:$G$1919="A")*('EFETIVO 11.05.2026'!$C$2:$C$1919=B19))</f>
        <v>11</v>
      </c>
      <c r="D19" s="982" cm="1">
        <f t="array" ref="D19">SUMPRODUCT(ISNUMBER(SEARCH("736",'EFETIVO 11.05.2026'!$H$2:$H$1919))*('EFETIVO 11.05.2026'!$G$2:$G$1919="D")*('EFETIVO 11.05.2026'!$C$2:$C$1919=B19))</f>
        <v>3</v>
      </c>
      <c r="E19" s="983">
        <f t="shared" si="0"/>
        <v>2.7568922305764409E-2</v>
      </c>
      <c r="F19" s="982" cm="1">
        <f t="array" ref="F19">SUMPRODUCT(ISNUMBER(SEARCH("736",'EFETIVO 11.05.2026'!$H$2:$H$1919))*(('EFETIVO 11.05.2026'!$G$2:$G$1919="F")+('EFETIVO 11.05.2026'!$G$2:$G$1919="P")+('EFETIVO 11.05.2026'!$G$2:$G$1919="T")+('EFETIVO 11.05.2026'!$G$2:$G$1919="M"))*('EFETIVO 11.05.2026'!$C$2:$C$1919=B19))</f>
        <v>0</v>
      </c>
    </row>
    <row r="20" spans="2:6" x14ac:dyDescent="0.35">
      <c r="B20" s="984" t="s">
        <v>413</v>
      </c>
      <c r="C20" s="985" cm="1">
        <f t="array" ref="C20">SUMPRODUCT(ISNUMBER(SEARCH("736",'EFETIVO 11.05.2026'!$H$2:$H$1919))*('EFETIVO 11.05.2026'!$G$2:$G$1919="A")*('EFETIVO 11.05.2026'!$C$2:$C$1919=B20))</f>
        <v>1</v>
      </c>
      <c r="D20" s="985" cm="1">
        <f t="array" ref="D20">SUMPRODUCT(ISNUMBER(SEARCH("736",'EFETIVO 11.05.2026'!$H$2:$H$1919))*('EFETIVO 11.05.2026'!$G$2:$G$1919="D")*('EFETIVO 11.05.2026'!$C$2:$C$1919=B20))</f>
        <v>2</v>
      </c>
      <c r="E20" s="986">
        <f t="shared" si="0"/>
        <v>2.5062656641604009E-3</v>
      </c>
      <c r="F20" s="985" cm="1">
        <f t="array" ref="F20">SUMPRODUCT(ISNUMBER(SEARCH("736",'EFETIVO 11.05.2026'!$H$2:$H$1919))*(('EFETIVO 11.05.2026'!$G$2:$G$1919="F")+('EFETIVO 11.05.2026'!$G$2:$G$1919="P")+('EFETIVO 11.05.2026'!$G$2:$G$1919="T")+('EFETIVO 11.05.2026'!$G$2:$G$1919="M"))*('EFETIVO 11.05.2026'!$C$2:$C$1919=B20))</f>
        <v>0</v>
      </c>
    </row>
    <row r="21" spans="2:6" x14ac:dyDescent="0.35">
      <c r="B21" s="981" t="s">
        <v>415</v>
      </c>
      <c r="C21" s="982" cm="1">
        <f t="array" ref="C21">SUMPRODUCT(ISNUMBER(SEARCH("736",'EFETIVO 11.05.2026'!$H$2:$H$1919))*('EFETIVO 11.05.2026'!$G$2:$G$1919="A")*('EFETIVO 11.05.2026'!$C$2:$C$1919=B21))</f>
        <v>1</v>
      </c>
      <c r="D21" s="982" cm="1">
        <f t="array" ref="D21">SUMPRODUCT(ISNUMBER(SEARCH("736",'EFETIVO 11.05.2026'!$H$2:$H$1919))*('EFETIVO 11.05.2026'!$G$2:$G$1919="D")*('EFETIVO 11.05.2026'!$C$2:$C$1919=B21))</f>
        <v>1</v>
      </c>
      <c r="E21" s="983">
        <f t="shared" si="0"/>
        <v>2.5062656641604009E-3</v>
      </c>
      <c r="F21" s="982" cm="1">
        <f t="array" ref="F21">SUMPRODUCT(ISNUMBER(SEARCH("736",'EFETIVO 11.05.2026'!$H$2:$H$1919))*(('EFETIVO 11.05.2026'!$G$2:$G$1919="F")+('EFETIVO 11.05.2026'!$G$2:$G$1919="P")+('EFETIVO 11.05.2026'!$G$2:$G$1919="T")+('EFETIVO 11.05.2026'!$G$2:$G$1919="M"))*('EFETIVO 11.05.2026'!$C$2:$C$1919=B21))</f>
        <v>0</v>
      </c>
    </row>
    <row r="22" spans="2:6" x14ac:dyDescent="0.35">
      <c r="B22" s="984" t="s">
        <v>416</v>
      </c>
      <c r="C22" s="985" cm="1">
        <f t="array" ref="C22">SUMPRODUCT(ISNUMBER(SEARCH("736",'EFETIVO 11.05.2026'!$H$2:$H$1919))*('EFETIVO 11.05.2026'!$G$2:$G$1919="A")*('EFETIVO 11.05.2026'!$C$2:$C$1919=B22))</f>
        <v>9</v>
      </c>
      <c r="D22" s="985" cm="1">
        <f t="array" ref="D22">SUMPRODUCT(ISNUMBER(SEARCH("736",'EFETIVO 11.05.2026'!$H$2:$H$1919))*('EFETIVO 11.05.2026'!$G$2:$G$1919="D")*('EFETIVO 11.05.2026'!$C$2:$C$1919=B22))</f>
        <v>4</v>
      </c>
      <c r="E22" s="986">
        <f t="shared" si="0"/>
        <v>2.2556390977443608E-2</v>
      </c>
      <c r="F22" s="985" cm="1">
        <f t="array" ref="F22">SUMPRODUCT(ISNUMBER(SEARCH("736",'EFETIVO 11.05.2026'!$H$2:$H$1919))*(('EFETIVO 11.05.2026'!$G$2:$G$1919="F")+('EFETIVO 11.05.2026'!$G$2:$G$1919="P")+('EFETIVO 11.05.2026'!$G$2:$G$1919="T")+('EFETIVO 11.05.2026'!$G$2:$G$1919="M"))*('EFETIVO 11.05.2026'!$C$2:$C$1919=B22))</f>
        <v>1</v>
      </c>
    </row>
    <row r="23" spans="2:6" x14ac:dyDescent="0.35">
      <c r="B23" s="981" t="s">
        <v>1144</v>
      </c>
      <c r="C23" s="982" cm="1">
        <f t="array" ref="C23">SUMPRODUCT(ISNUMBER(SEARCH("736",'EFETIVO 11.05.2026'!$H$2:$H$1919))*('EFETIVO 11.05.2026'!$G$2:$G$1919="A")*('EFETIVO 11.05.2026'!$C$2:$C$1919=B23))</f>
        <v>30</v>
      </c>
      <c r="D23" s="982" cm="1">
        <f t="array" ref="D23">SUMPRODUCT(ISNUMBER(SEARCH("736",'EFETIVO 11.05.2026'!$H$2:$H$1919))*('EFETIVO 11.05.2026'!$G$2:$G$1919="D")*('EFETIVO 11.05.2026'!$C$2:$C$1919=B23))</f>
        <v>14</v>
      </c>
      <c r="E23" s="983">
        <f t="shared" si="0"/>
        <v>7.5187969924812026E-2</v>
      </c>
      <c r="F23" s="982" cm="1">
        <f t="array" ref="F23">SUMPRODUCT(ISNUMBER(SEARCH("736",'EFETIVO 11.05.2026'!$H$2:$H$1919))*(('EFETIVO 11.05.2026'!$G$2:$G$1919="F")+('EFETIVO 11.05.2026'!$G$2:$G$1919="P")+('EFETIVO 11.05.2026'!$G$2:$G$1919="T")+('EFETIVO 11.05.2026'!$G$2:$G$1919="M"))*('EFETIVO 11.05.2026'!$C$2:$C$1919=B23))</f>
        <v>1</v>
      </c>
    </row>
    <row r="24" spans="2:6" x14ac:dyDescent="0.35">
      <c r="B24" s="984" t="s">
        <v>1450</v>
      </c>
      <c r="C24" s="985" cm="1">
        <f t="array" ref="C24">SUMPRODUCT(ISNUMBER(SEARCH("736",'EFETIVO 11.05.2026'!$H$2:$H$1919))*('EFETIVO 11.05.2026'!$G$2:$G$1919="A")*('EFETIVO 11.05.2026'!$C$2:$C$1919=B24))</f>
        <v>4</v>
      </c>
      <c r="D24" s="985" cm="1">
        <f t="array" ref="D24">SUMPRODUCT(ISNUMBER(SEARCH("736",'EFETIVO 11.05.2026'!$H$2:$H$1919))*('EFETIVO 11.05.2026'!$G$2:$G$1919="D")*('EFETIVO 11.05.2026'!$C$2:$C$1919=B24))</f>
        <v>1</v>
      </c>
      <c r="E24" s="986">
        <f t="shared" si="0"/>
        <v>1.0025062656641603E-2</v>
      </c>
      <c r="F24" s="985" cm="1">
        <f t="array" ref="F24">SUMPRODUCT(ISNUMBER(SEARCH("736",'EFETIVO 11.05.2026'!$H$2:$H$1919))*(('EFETIVO 11.05.2026'!$G$2:$G$1919="F")+('EFETIVO 11.05.2026'!$G$2:$G$1919="P")+('EFETIVO 11.05.2026'!$G$2:$G$1919="T")+('EFETIVO 11.05.2026'!$G$2:$G$1919="M"))*('EFETIVO 11.05.2026'!$C$2:$C$1919=B24))</f>
        <v>0</v>
      </c>
    </row>
    <row r="25" spans="2:6" x14ac:dyDescent="0.35">
      <c r="B25" s="981" t="s">
        <v>419</v>
      </c>
      <c r="C25" s="982" cm="1">
        <f t="array" ref="C25">SUMPRODUCT(ISNUMBER(SEARCH("736",'EFETIVO 11.05.2026'!$H$2:$H$1919))*('EFETIVO 11.05.2026'!$G$2:$G$1919="A")*('EFETIVO 11.05.2026'!$C$2:$C$1919=B25))</f>
        <v>2</v>
      </c>
      <c r="D25" s="982" cm="1">
        <f t="array" ref="D25">SUMPRODUCT(ISNUMBER(SEARCH("736",'EFETIVO 11.05.2026'!$H$2:$H$1919))*('EFETIVO 11.05.2026'!$G$2:$G$1919="D")*('EFETIVO 11.05.2026'!$C$2:$C$1919=B25))</f>
        <v>1</v>
      </c>
      <c r="E25" s="983">
        <f t="shared" si="0"/>
        <v>5.0125313283208017E-3</v>
      </c>
      <c r="F25" s="982" cm="1">
        <f t="array" ref="F25">SUMPRODUCT(ISNUMBER(SEARCH("736",'EFETIVO 11.05.2026'!$H$2:$H$1919))*(('EFETIVO 11.05.2026'!$G$2:$G$1919="F")+('EFETIVO 11.05.2026'!$G$2:$G$1919="P")+('EFETIVO 11.05.2026'!$G$2:$G$1919="T")+('EFETIVO 11.05.2026'!$G$2:$G$1919="M"))*('EFETIVO 11.05.2026'!$C$2:$C$1919=B25))</f>
        <v>0</v>
      </c>
    </row>
    <row r="26" spans="2:6" x14ac:dyDescent="0.35">
      <c r="B26" s="984" t="s">
        <v>420</v>
      </c>
      <c r="C26" s="985" cm="1">
        <f t="array" ref="C26">SUMPRODUCT(ISNUMBER(SEARCH("736",'EFETIVO 11.05.2026'!$H$2:$H$1919))*('EFETIVO 11.05.2026'!$G$2:$G$1919="A")*('EFETIVO 11.05.2026'!$C$2:$C$1919=B26))</f>
        <v>82</v>
      </c>
      <c r="D26" s="985" cm="1">
        <f t="array" ref="D26">SUMPRODUCT(ISNUMBER(SEARCH("736",'EFETIVO 11.05.2026'!$H$2:$H$1919))*('EFETIVO 11.05.2026'!$G$2:$G$1919="D")*('EFETIVO 11.05.2026'!$C$2:$C$1919=B26))</f>
        <v>56</v>
      </c>
      <c r="E26" s="986">
        <f t="shared" si="0"/>
        <v>0.20551378446115287</v>
      </c>
      <c r="F26" s="985" cm="1">
        <f t="array" ref="F26">SUMPRODUCT(ISNUMBER(SEARCH("736",'EFETIVO 11.05.2026'!$H$2:$H$1919))*(('EFETIVO 11.05.2026'!$G$2:$G$1919="F")+('EFETIVO 11.05.2026'!$G$2:$G$1919="P")+('EFETIVO 11.05.2026'!$G$2:$G$1919="T")+('EFETIVO 11.05.2026'!$G$2:$G$1919="M"))*('EFETIVO 11.05.2026'!$C$2:$C$1919=B26))</f>
        <v>11</v>
      </c>
    </row>
    <row r="27" spans="2:6" x14ac:dyDescent="0.35">
      <c r="B27" s="981" t="s">
        <v>867</v>
      </c>
      <c r="C27" s="982" cm="1">
        <f t="array" ref="C27">SUMPRODUCT(ISNUMBER(SEARCH("736",'EFETIVO 11.05.2026'!$H$2:$H$1919))*('EFETIVO 11.05.2026'!$G$2:$G$1919="A")*('EFETIVO 11.05.2026'!$C$2:$C$1919=B27))</f>
        <v>1</v>
      </c>
      <c r="D27" s="982" cm="1">
        <f t="array" ref="D27">SUMPRODUCT(ISNUMBER(SEARCH("736",'EFETIVO 11.05.2026'!$H$2:$H$1919))*('EFETIVO 11.05.2026'!$G$2:$G$1919="D")*('EFETIVO 11.05.2026'!$C$2:$C$1919=B27))</f>
        <v>1</v>
      </c>
      <c r="E27" s="983">
        <f t="shared" si="0"/>
        <v>2.5062656641604009E-3</v>
      </c>
      <c r="F27" s="982" cm="1">
        <f t="array" ref="F27">SUMPRODUCT(ISNUMBER(SEARCH("736",'EFETIVO 11.05.2026'!$H$2:$H$1919))*(('EFETIVO 11.05.2026'!$G$2:$G$1919="F")+('EFETIVO 11.05.2026'!$G$2:$G$1919="P")+('EFETIVO 11.05.2026'!$G$2:$G$1919="T")+('EFETIVO 11.05.2026'!$G$2:$G$1919="M"))*('EFETIVO 11.05.2026'!$C$2:$C$1919=B27))</f>
        <v>0</v>
      </c>
    </row>
    <row r="28" spans="2:6" x14ac:dyDescent="0.35">
      <c r="B28" s="984" t="s">
        <v>421</v>
      </c>
      <c r="C28" s="985" cm="1">
        <f t="array" ref="C28">SUMPRODUCT(ISNUMBER(SEARCH("736",'EFETIVO 11.05.2026'!$H$2:$H$1919))*('EFETIVO 11.05.2026'!$G$2:$G$1919="A")*('EFETIVO 11.05.2026'!$C$2:$C$1919=B28))</f>
        <v>5</v>
      </c>
      <c r="D28" s="985" cm="1">
        <f t="array" ref="D28">SUMPRODUCT(ISNUMBER(SEARCH("736",'EFETIVO 11.05.2026'!$H$2:$H$1919))*('EFETIVO 11.05.2026'!$G$2:$G$1919="D")*('EFETIVO 11.05.2026'!$C$2:$C$1919=B28))</f>
        <v>1</v>
      </c>
      <c r="E28" s="986">
        <f t="shared" si="0"/>
        <v>1.2531328320802004E-2</v>
      </c>
      <c r="F28" s="985" cm="1">
        <f t="array" ref="F28">SUMPRODUCT(ISNUMBER(SEARCH("736",'EFETIVO 11.05.2026'!$H$2:$H$1919))*(('EFETIVO 11.05.2026'!$G$2:$G$1919="F")+('EFETIVO 11.05.2026'!$G$2:$G$1919="P")+('EFETIVO 11.05.2026'!$G$2:$G$1919="T")+('EFETIVO 11.05.2026'!$G$2:$G$1919="M"))*('EFETIVO 11.05.2026'!$C$2:$C$1919=B28))</f>
        <v>0</v>
      </c>
    </row>
    <row r="29" spans="2:6" x14ac:dyDescent="0.35">
      <c r="B29" s="981" t="s">
        <v>423</v>
      </c>
      <c r="C29" s="982" cm="1">
        <f t="array" ref="C29">SUMPRODUCT(ISNUMBER(SEARCH("736",'EFETIVO 11.05.2026'!$H$2:$H$1919))*('EFETIVO 11.05.2026'!$G$2:$G$1919="A")*('EFETIVO 11.05.2026'!$C$2:$C$1919=B29))</f>
        <v>1</v>
      </c>
      <c r="D29" s="982" cm="1">
        <f t="array" ref="D29">SUMPRODUCT(ISNUMBER(SEARCH("736",'EFETIVO 11.05.2026'!$H$2:$H$1919))*('EFETIVO 11.05.2026'!$G$2:$G$1919="D")*('EFETIVO 11.05.2026'!$C$2:$C$1919=B29))</f>
        <v>0</v>
      </c>
      <c r="E29" s="983">
        <f t="shared" si="0"/>
        <v>2.5062656641604009E-3</v>
      </c>
      <c r="F29" s="982" cm="1">
        <f t="array" ref="F29">SUMPRODUCT(ISNUMBER(SEARCH("736",'EFETIVO 11.05.2026'!$H$2:$H$1919))*(('EFETIVO 11.05.2026'!$G$2:$G$1919="F")+('EFETIVO 11.05.2026'!$G$2:$G$1919="P")+('EFETIVO 11.05.2026'!$G$2:$G$1919="T")+('EFETIVO 11.05.2026'!$G$2:$G$1919="M"))*('EFETIVO 11.05.2026'!$C$2:$C$1919=B29))</f>
        <v>0</v>
      </c>
    </row>
    <row r="30" spans="2:6" x14ac:dyDescent="0.35">
      <c r="B30" s="984" t="s">
        <v>424</v>
      </c>
      <c r="C30" s="985" cm="1">
        <f t="array" ref="C30">SUMPRODUCT(ISNUMBER(SEARCH("736",'EFETIVO 11.05.2026'!$H$2:$H$1919))*('EFETIVO 11.05.2026'!$G$2:$G$1919="A")*('EFETIVO 11.05.2026'!$C$2:$C$1919=B30))</f>
        <v>1</v>
      </c>
      <c r="D30" s="985" cm="1">
        <f t="array" ref="D30">SUMPRODUCT(ISNUMBER(SEARCH("736",'EFETIVO 11.05.2026'!$H$2:$H$1919))*('EFETIVO 11.05.2026'!$G$2:$G$1919="D")*('EFETIVO 11.05.2026'!$C$2:$C$1919=B30))</f>
        <v>0</v>
      </c>
      <c r="E30" s="986">
        <f t="shared" si="0"/>
        <v>2.5062656641604009E-3</v>
      </c>
      <c r="F30" s="985" cm="1">
        <f t="array" ref="F30">SUMPRODUCT(ISNUMBER(SEARCH("736",'EFETIVO 11.05.2026'!$H$2:$H$1919))*(('EFETIVO 11.05.2026'!$G$2:$G$1919="F")+('EFETIVO 11.05.2026'!$G$2:$G$1919="P")+('EFETIVO 11.05.2026'!$G$2:$G$1919="T")+('EFETIVO 11.05.2026'!$G$2:$G$1919="M"))*('EFETIVO 11.05.2026'!$C$2:$C$1919=B30))</f>
        <v>0</v>
      </c>
    </row>
    <row r="31" spans="2:6" x14ac:dyDescent="0.35">
      <c r="B31" s="981" t="s">
        <v>425</v>
      </c>
      <c r="C31" s="982" cm="1">
        <f t="array" ref="C31">SUMPRODUCT(ISNUMBER(SEARCH("736",'EFETIVO 11.05.2026'!$H$2:$H$1919))*('EFETIVO 11.05.2026'!$G$2:$G$1919="A")*('EFETIVO 11.05.2026'!$C$2:$C$1919=B31))</f>
        <v>3</v>
      </c>
      <c r="D31" s="982" cm="1">
        <f t="array" ref="D31">SUMPRODUCT(ISNUMBER(SEARCH("736",'EFETIVO 11.05.2026'!$H$2:$H$1919))*('EFETIVO 11.05.2026'!$G$2:$G$1919="D")*('EFETIVO 11.05.2026'!$C$2:$C$1919=B31))</f>
        <v>1</v>
      </c>
      <c r="E31" s="983">
        <f t="shared" si="0"/>
        <v>7.5187969924812026E-3</v>
      </c>
      <c r="F31" s="982" cm="1">
        <f t="array" ref="F31">SUMPRODUCT(ISNUMBER(SEARCH("736",'EFETIVO 11.05.2026'!$H$2:$H$1919))*(('EFETIVO 11.05.2026'!$G$2:$G$1919="F")+('EFETIVO 11.05.2026'!$G$2:$G$1919="P")+('EFETIVO 11.05.2026'!$G$2:$G$1919="T")+('EFETIVO 11.05.2026'!$G$2:$G$1919="M"))*('EFETIVO 11.05.2026'!$C$2:$C$1919=B31))</f>
        <v>0</v>
      </c>
    </row>
    <row r="32" spans="2:6" x14ac:dyDescent="0.35">
      <c r="B32" s="984" t="s">
        <v>1848</v>
      </c>
      <c r="C32" s="985" cm="1">
        <f t="array" ref="C32">SUMPRODUCT(ISNUMBER(SEARCH("736",'EFETIVO 11.05.2026'!$H$2:$H$1919))*('EFETIVO 11.05.2026'!$G$2:$G$1919="A")*('EFETIVO 11.05.2026'!$C$2:$C$1919=B32))</f>
        <v>0</v>
      </c>
      <c r="D32" s="985" cm="1">
        <f t="array" ref="D32">SUMPRODUCT(ISNUMBER(SEARCH("736",'EFETIVO 11.05.2026'!$H$2:$H$1919))*('EFETIVO 11.05.2026'!$G$2:$G$1919="D")*('EFETIVO 11.05.2026'!$C$2:$C$1919=B32))</f>
        <v>1</v>
      </c>
      <c r="E32" s="986">
        <f t="shared" si="0"/>
        <v>0</v>
      </c>
      <c r="F32" s="985" cm="1">
        <f t="array" ref="F32">SUMPRODUCT(ISNUMBER(SEARCH("736",'EFETIVO 11.05.2026'!$H$2:$H$1919))*(('EFETIVO 11.05.2026'!$G$2:$G$1919="F")+('EFETIVO 11.05.2026'!$G$2:$G$1919="P")+('EFETIVO 11.05.2026'!$G$2:$G$1919="T")+('EFETIVO 11.05.2026'!$G$2:$G$1919="M"))*('EFETIVO 11.05.2026'!$C$2:$C$1919=B32))</f>
        <v>0</v>
      </c>
    </row>
    <row r="33" spans="2:6" x14ac:dyDescent="0.35">
      <c r="B33" s="981" t="s">
        <v>1677</v>
      </c>
      <c r="C33" s="982" cm="1">
        <f t="array" ref="C33">SUMPRODUCT(ISNUMBER(SEARCH("736",'EFETIVO 11.05.2026'!$H$2:$H$1919))*('EFETIVO 11.05.2026'!$G$2:$G$1919="A")*('EFETIVO 11.05.2026'!$C$2:$C$1919=B33))</f>
        <v>1</v>
      </c>
      <c r="D33" s="982" cm="1">
        <f t="array" ref="D33">SUMPRODUCT(ISNUMBER(SEARCH("736",'EFETIVO 11.05.2026'!$H$2:$H$1919))*('EFETIVO 11.05.2026'!$G$2:$G$1919="D")*('EFETIVO 11.05.2026'!$C$2:$C$1919=B33))</f>
        <v>0</v>
      </c>
      <c r="E33" s="983">
        <f t="shared" si="0"/>
        <v>2.5062656641604009E-3</v>
      </c>
      <c r="F33" s="982" cm="1">
        <f t="array" ref="F33">SUMPRODUCT(ISNUMBER(SEARCH("736",'EFETIVO 11.05.2026'!$H$2:$H$1919))*(('EFETIVO 11.05.2026'!$G$2:$G$1919="F")+('EFETIVO 11.05.2026'!$G$2:$G$1919="P")+('EFETIVO 11.05.2026'!$G$2:$G$1919="T")+('EFETIVO 11.05.2026'!$G$2:$G$1919="M"))*('EFETIVO 11.05.2026'!$C$2:$C$1919=B33))</f>
        <v>0</v>
      </c>
    </row>
    <row r="34" spans="2:6" x14ac:dyDescent="0.35">
      <c r="B34" s="984" t="s">
        <v>1622</v>
      </c>
      <c r="C34" s="985" cm="1">
        <f t="array" ref="C34">SUMPRODUCT(ISNUMBER(SEARCH("736",'EFETIVO 11.05.2026'!$H$2:$H$1919))*('EFETIVO 11.05.2026'!$G$2:$G$1919="A")*('EFETIVO 11.05.2026'!$C$2:$C$1919=B34))</f>
        <v>2</v>
      </c>
      <c r="D34" s="985" cm="1">
        <f t="array" ref="D34">SUMPRODUCT(ISNUMBER(SEARCH("736",'EFETIVO 11.05.2026'!$H$2:$H$1919))*('EFETIVO 11.05.2026'!$G$2:$G$1919="D")*('EFETIVO 11.05.2026'!$C$2:$C$1919=B34))</f>
        <v>0</v>
      </c>
      <c r="E34" s="986">
        <f t="shared" si="0"/>
        <v>5.0125313283208017E-3</v>
      </c>
      <c r="F34" s="985" cm="1">
        <f t="array" ref="F34">SUMPRODUCT(ISNUMBER(SEARCH("736",'EFETIVO 11.05.2026'!$H$2:$H$1919))*(('EFETIVO 11.05.2026'!$G$2:$G$1919="F")+('EFETIVO 11.05.2026'!$G$2:$G$1919="P")+('EFETIVO 11.05.2026'!$G$2:$G$1919="T")+('EFETIVO 11.05.2026'!$G$2:$G$1919="M"))*('EFETIVO 11.05.2026'!$C$2:$C$1919=B34))</f>
        <v>0</v>
      </c>
    </row>
    <row r="35" spans="2:6" x14ac:dyDescent="0.35">
      <c r="B35" s="981" t="s">
        <v>4367</v>
      </c>
      <c r="C35" s="982" cm="1">
        <f t="array" ref="C35">SUMPRODUCT(ISNUMBER(SEARCH("736",'EFETIVO 11.05.2026'!$H$2:$H$1919))*('EFETIVO 11.05.2026'!$G$2:$G$1919="A")*('EFETIVO 11.05.2026'!$C$2:$C$1919=B35))</f>
        <v>1</v>
      </c>
      <c r="D35" s="982" cm="1">
        <f t="array" ref="D35">SUMPRODUCT(ISNUMBER(SEARCH("736",'EFETIVO 11.05.2026'!$H$2:$H$1919))*('EFETIVO 11.05.2026'!$G$2:$G$1919="D")*('EFETIVO 11.05.2026'!$C$2:$C$1919=B35))</f>
        <v>0</v>
      </c>
      <c r="E35" s="983">
        <f t="shared" si="0"/>
        <v>2.5062656641604009E-3</v>
      </c>
      <c r="F35" s="982" cm="1">
        <f t="array" ref="F35">SUMPRODUCT(ISNUMBER(SEARCH("736",'EFETIVO 11.05.2026'!$H$2:$H$1919))*(('EFETIVO 11.05.2026'!$G$2:$G$1919="F")+('EFETIVO 11.05.2026'!$G$2:$G$1919="P")+('EFETIVO 11.05.2026'!$G$2:$G$1919="T")+('EFETIVO 11.05.2026'!$G$2:$G$1919="M"))*('EFETIVO 11.05.2026'!$C$2:$C$1919=B35))</f>
        <v>0</v>
      </c>
    </row>
    <row r="36" spans="2:6" x14ac:dyDescent="0.35">
      <c r="B36" s="984" t="s">
        <v>1968</v>
      </c>
      <c r="C36" s="985" cm="1">
        <f t="array" ref="C36">SUMPRODUCT(ISNUMBER(SEARCH("736",'EFETIVO 11.05.2026'!$H$2:$H$1919))*('EFETIVO 11.05.2026'!$G$2:$G$1919="A")*('EFETIVO 11.05.2026'!$C$2:$C$1919=B36))</f>
        <v>1</v>
      </c>
      <c r="D36" s="985" cm="1">
        <f t="array" ref="D36">SUMPRODUCT(ISNUMBER(SEARCH("736",'EFETIVO 11.05.2026'!$H$2:$H$1919))*('EFETIVO 11.05.2026'!$G$2:$G$1919="D")*('EFETIVO 11.05.2026'!$C$2:$C$1919=B36))</f>
        <v>0</v>
      </c>
      <c r="E36" s="986">
        <f t="shared" si="0"/>
        <v>2.5062656641604009E-3</v>
      </c>
      <c r="F36" s="985" cm="1">
        <f t="array" ref="F36">SUMPRODUCT(ISNUMBER(SEARCH("736",'EFETIVO 11.05.2026'!$H$2:$H$1919))*(('EFETIVO 11.05.2026'!$G$2:$G$1919="F")+('EFETIVO 11.05.2026'!$G$2:$G$1919="P")+('EFETIVO 11.05.2026'!$G$2:$G$1919="T")+('EFETIVO 11.05.2026'!$G$2:$G$1919="M"))*('EFETIVO 11.05.2026'!$C$2:$C$1919=B36))</f>
        <v>0</v>
      </c>
    </row>
    <row r="37" spans="2:6" x14ac:dyDescent="0.35">
      <c r="B37" s="981" t="s">
        <v>578</v>
      </c>
      <c r="C37" s="982" cm="1">
        <f t="array" ref="C37">SUMPRODUCT(ISNUMBER(SEARCH("736",'EFETIVO 11.05.2026'!$H$2:$H$1919))*('EFETIVO 11.05.2026'!$G$2:$G$1919="A")*('EFETIVO 11.05.2026'!$C$2:$C$1919=B37))</f>
        <v>17</v>
      </c>
      <c r="D37" s="982" cm="1">
        <f t="array" ref="D37">SUMPRODUCT(ISNUMBER(SEARCH("736",'EFETIVO 11.05.2026'!$H$2:$H$1919))*('EFETIVO 11.05.2026'!$G$2:$G$1919="D")*('EFETIVO 11.05.2026'!$C$2:$C$1919=B37))</f>
        <v>6</v>
      </c>
      <c r="E37" s="983">
        <f t="shared" si="0"/>
        <v>4.2606516290726815E-2</v>
      </c>
      <c r="F37" s="982" cm="1">
        <f t="array" ref="F37">SUMPRODUCT(ISNUMBER(SEARCH("736",'EFETIVO 11.05.2026'!$H$2:$H$1919))*(('EFETIVO 11.05.2026'!$G$2:$G$1919="F")+('EFETIVO 11.05.2026'!$G$2:$G$1919="P")+('EFETIVO 11.05.2026'!$G$2:$G$1919="T")+('EFETIVO 11.05.2026'!$G$2:$G$1919="M"))*('EFETIVO 11.05.2026'!$C$2:$C$1919=B37))</f>
        <v>5</v>
      </c>
    </row>
    <row r="38" spans="2:6" x14ac:dyDescent="0.35">
      <c r="B38" s="984" t="s">
        <v>841</v>
      </c>
      <c r="C38" s="985" cm="1">
        <f t="array" ref="C38">SUMPRODUCT(ISNUMBER(SEARCH("736",'EFETIVO 11.05.2026'!$H$2:$H$1919))*('EFETIVO 11.05.2026'!$G$2:$G$1919="A")*('EFETIVO 11.05.2026'!$C$2:$C$1919=B38))</f>
        <v>1</v>
      </c>
      <c r="D38" s="985" cm="1">
        <f t="array" ref="D38">SUMPRODUCT(ISNUMBER(SEARCH("736",'EFETIVO 11.05.2026'!$H$2:$H$1919))*('EFETIVO 11.05.2026'!$G$2:$G$1919="D")*('EFETIVO 11.05.2026'!$C$2:$C$1919=B38))</f>
        <v>0</v>
      </c>
      <c r="E38" s="986">
        <f t="shared" si="0"/>
        <v>2.5062656641604009E-3</v>
      </c>
      <c r="F38" s="985" cm="1">
        <f t="array" ref="F38">SUMPRODUCT(ISNUMBER(SEARCH("736",'EFETIVO 11.05.2026'!$H$2:$H$1919))*(('EFETIVO 11.05.2026'!$G$2:$G$1919="F")+('EFETIVO 11.05.2026'!$G$2:$G$1919="P")+('EFETIVO 11.05.2026'!$G$2:$G$1919="T")+('EFETIVO 11.05.2026'!$G$2:$G$1919="M"))*('EFETIVO 11.05.2026'!$C$2:$C$1919=B38))</f>
        <v>0</v>
      </c>
    </row>
    <row r="39" spans="2:6" x14ac:dyDescent="0.35">
      <c r="B39" s="981" t="s">
        <v>430</v>
      </c>
      <c r="C39" s="982" cm="1">
        <f t="array" ref="C39">SUMPRODUCT(ISNUMBER(SEARCH("736",'EFETIVO 11.05.2026'!$H$2:$H$1919))*('EFETIVO 11.05.2026'!$G$2:$G$1919="A")*('EFETIVO 11.05.2026'!$C$2:$C$1919=B39))</f>
        <v>1</v>
      </c>
      <c r="D39" s="982" cm="1">
        <f t="array" ref="D39">SUMPRODUCT(ISNUMBER(SEARCH("736",'EFETIVO 11.05.2026'!$H$2:$H$1919))*('EFETIVO 11.05.2026'!$G$2:$G$1919="D")*('EFETIVO 11.05.2026'!$C$2:$C$1919=B39))</f>
        <v>0</v>
      </c>
      <c r="E39" s="983">
        <f t="shared" si="0"/>
        <v>2.5062656641604009E-3</v>
      </c>
      <c r="F39" s="982" cm="1">
        <f t="array" ref="F39">SUMPRODUCT(ISNUMBER(SEARCH("736",'EFETIVO 11.05.2026'!$H$2:$H$1919))*(('EFETIVO 11.05.2026'!$G$2:$G$1919="F")+('EFETIVO 11.05.2026'!$G$2:$G$1919="P")+('EFETIVO 11.05.2026'!$G$2:$G$1919="T")+('EFETIVO 11.05.2026'!$G$2:$G$1919="M"))*('EFETIVO 11.05.2026'!$C$2:$C$1919=B39))</f>
        <v>0</v>
      </c>
    </row>
    <row r="40" spans="2:6" x14ac:dyDescent="0.35">
      <c r="B40" s="984" t="s">
        <v>1931</v>
      </c>
      <c r="C40" s="985" cm="1">
        <f t="array" ref="C40">SUMPRODUCT(ISNUMBER(SEARCH("736",'EFETIVO 11.05.2026'!$H$2:$H$1919))*('EFETIVO 11.05.2026'!$G$2:$G$1919="A")*('EFETIVO 11.05.2026'!$C$2:$C$1919=B40))</f>
        <v>2</v>
      </c>
      <c r="D40" s="985" cm="1">
        <f t="array" ref="D40">SUMPRODUCT(ISNUMBER(SEARCH("736",'EFETIVO 11.05.2026'!$H$2:$H$1919))*('EFETIVO 11.05.2026'!$G$2:$G$1919="D")*('EFETIVO 11.05.2026'!$C$2:$C$1919=B40))</f>
        <v>0</v>
      </c>
      <c r="E40" s="986">
        <f t="shared" si="0"/>
        <v>5.0125313283208017E-3</v>
      </c>
      <c r="F40" s="985" cm="1">
        <f t="array" ref="F40">SUMPRODUCT(ISNUMBER(SEARCH("736",'EFETIVO 11.05.2026'!$H$2:$H$1919))*(('EFETIVO 11.05.2026'!$G$2:$G$1919="F")+('EFETIVO 11.05.2026'!$G$2:$G$1919="P")+('EFETIVO 11.05.2026'!$G$2:$G$1919="T")+('EFETIVO 11.05.2026'!$G$2:$G$1919="M"))*('EFETIVO 11.05.2026'!$C$2:$C$1919=B40))</f>
        <v>0</v>
      </c>
    </row>
    <row r="41" spans="2:6" x14ac:dyDescent="0.35">
      <c r="B41" s="981" t="s">
        <v>1263</v>
      </c>
      <c r="C41" s="982" cm="1">
        <f t="array" ref="C41">SUMPRODUCT(ISNUMBER(SEARCH("736",'EFETIVO 11.05.2026'!$H$2:$H$1919))*('EFETIVO 11.05.2026'!$G$2:$G$1919="A")*('EFETIVO 11.05.2026'!$C$2:$C$1919=B41))</f>
        <v>5</v>
      </c>
      <c r="D41" s="982" cm="1">
        <f t="array" ref="D41">SUMPRODUCT(ISNUMBER(SEARCH("736",'EFETIVO 11.05.2026'!$H$2:$H$1919))*('EFETIVO 11.05.2026'!$G$2:$G$1919="D")*('EFETIVO 11.05.2026'!$C$2:$C$1919=B41))</f>
        <v>2</v>
      </c>
      <c r="E41" s="983">
        <f t="shared" si="0"/>
        <v>1.2531328320802004E-2</v>
      </c>
      <c r="F41" s="982" cm="1">
        <f t="array" ref="F41">SUMPRODUCT(ISNUMBER(SEARCH("736",'EFETIVO 11.05.2026'!$H$2:$H$1919))*(('EFETIVO 11.05.2026'!$G$2:$G$1919="F")+('EFETIVO 11.05.2026'!$G$2:$G$1919="P")+('EFETIVO 11.05.2026'!$G$2:$G$1919="T")+('EFETIVO 11.05.2026'!$G$2:$G$1919="M"))*('EFETIVO 11.05.2026'!$C$2:$C$1919=B41))</f>
        <v>0</v>
      </c>
    </row>
    <row r="42" spans="2:6" x14ac:dyDescent="0.35">
      <c r="B42" s="984" t="s">
        <v>1148</v>
      </c>
      <c r="C42" s="985" cm="1">
        <f t="array" ref="C42">SUMPRODUCT(ISNUMBER(SEARCH("736",'EFETIVO 11.05.2026'!$H$2:$H$1919))*('EFETIVO 11.05.2026'!$G$2:$G$1919="A")*('EFETIVO 11.05.2026'!$C$2:$C$1919=B42))</f>
        <v>9</v>
      </c>
      <c r="D42" s="985" cm="1">
        <f t="array" ref="D42">SUMPRODUCT(ISNUMBER(SEARCH("736",'EFETIVO 11.05.2026'!$H$2:$H$1919))*('EFETIVO 11.05.2026'!$G$2:$G$1919="D")*('EFETIVO 11.05.2026'!$C$2:$C$1919=B42))</f>
        <v>2</v>
      </c>
      <c r="E42" s="986">
        <f t="shared" si="0"/>
        <v>2.2556390977443608E-2</v>
      </c>
      <c r="F42" s="985" cm="1">
        <f t="array" ref="F42">SUMPRODUCT(ISNUMBER(SEARCH("736",'EFETIVO 11.05.2026'!$H$2:$H$1919))*(('EFETIVO 11.05.2026'!$G$2:$G$1919="F")+('EFETIVO 11.05.2026'!$G$2:$G$1919="P")+('EFETIVO 11.05.2026'!$G$2:$G$1919="T")+('EFETIVO 11.05.2026'!$G$2:$G$1919="M"))*('EFETIVO 11.05.2026'!$C$2:$C$1919=B42))</f>
        <v>2</v>
      </c>
    </row>
    <row r="43" spans="2:6" x14ac:dyDescent="0.35">
      <c r="B43" s="981" t="s">
        <v>1076</v>
      </c>
      <c r="C43" s="982" cm="1">
        <f t="array" ref="C43">SUMPRODUCT(ISNUMBER(SEARCH("736",'EFETIVO 11.05.2026'!$H$2:$H$1919))*('EFETIVO 11.05.2026'!$G$2:$G$1919="A")*('EFETIVO 11.05.2026'!$C$2:$C$1919=B43))</f>
        <v>1</v>
      </c>
      <c r="D43" s="982" cm="1">
        <f t="array" ref="D43">SUMPRODUCT(ISNUMBER(SEARCH("736",'EFETIVO 11.05.2026'!$H$2:$H$1919))*('EFETIVO 11.05.2026'!$G$2:$G$1919="D")*('EFETIVO 11.05.2026'!$C$2:$C$1919=B43))</f>
        <v>0</v>
      </c>
      <c r="E43" s="983">
        <f t="shared" si="0"/>
        <v>2.5062656641604009E-3</v>
      </c>
      <c r="F43" s="982" cm="1">
        <f t="array" ref="F43">SUMPRODUCT(ISNUMBER(SEARCH("736",'EFETIVO 11.05.2026'!$H$2:$H$1919))*(('EFETIVO 11.05.2026'!$G$2:$G$1919="F")+('EFETIVO 11.05.2026'!$G$2:$G$1919="P")+('EFETIVO 11.05.2026'!$G$2:$G$1919="T")+('EFETIVO 11.05.2026'!$G$2:$G$1919="M"))*('EFETIVO 11.05.2026'!$C$2:$C$1919=B43))</f>
        <v>0</v>
      </c>
    </row>
    <row r="44" spans="2:6" x14ac:dyDescent="0.35">
      <c r="B44" s="984" t="s">
        <v>2479</v>
      </c>
      <c r="C44" s="985" cm="1">
        <f t="array" ref="C44">SUMPRODUCT(ISNUMBER(SEARCH("736",'EFETIVO 11.05.2026'!$H$2:$H$1919))*('EFETIVO 11.05.2026'!$G$2:$G$1919="A")*('EFETIVO 11.05.2026'!$C$2:$C$1919=B44))</f>
        <v>2</v>
      </c>
      <c r="D44" s="985" cm="1">
        <f t="array" ref="D44">SUMPRODUCT(ISNUMBER(SEARCH("736",'EFETIVO 11.05.2026'!$H$2:$H$1919))*('EFETIVO 11.05.2026'!$G$2:$G$1919="D")*('EFETIVO 11.05.2026'!$C$2:$C$1919=B44))</f>
        <v>2</v>
      </c>
      <c r="E44" s="986">
        <f t="shared" si="0"/>
        <v>5.0125313283208017E-3</v>
      </c>
      <c r="F44" s="985" cm="1">
        <f t="array" ref="F44">SUMPRODUCT(ISNUMBER(SEARCH("736",'EFETIVO 11.05.2026'!$H$2:$H$1919))*(('EFETIVO 11.05.2026'!$G$2:$G$1919="F")+('EFETIVO 11.05.2026'!$G$2:$G$1919="P")+('EFETIVO 11.05.2026'!$G$2:$G$1919="T")+('EFETIVO 11.05.2026'!$G$2:$G$1919="M"))*('EFETIVO 11.05.2026'!$C$2:$C$1919=B44))</f>
        <v>0</v>
      </c>
    </row>
    <row r="45" spans="2:6" x14ac:dyDescent="0.35">
      <c r="B45" s="981" t="s">
        <v>431</v>
      </c>
      <c r="C45" s="982" cm="1">
        <f t="array" ref="C45">SUMPRODUCT(ISNUMBER(SEARCH("736",'EFETIVO 11.05.2026'!$H$2:$H$1919))*('EFETIVO 11.05.2026'!$G$2:$G$1919="A")*('EFETIVO 11.05.2026'!$C$2:$C$1919=B45))</f>
        <v>1</v>
      </c>
      <c r="D45" s="982" cm="1">
        <f t="array" ref="D45">SUMPRODUCT(ISNUMBER(SEARCH("736",'EFETIVO 11.05.2026'!$H$2:$H$1919))*('EFETIVO 11.05.2026'!$G$2:$G$1919="D")*('EFETIVO 11.05.2026'!$C$2:$C$1919=B45))</f>
        <v>0</v>
      </c>
      <c r="E45" s="983">
        <f t="shared" si="0"/>
        <v>2.5062656641604009E-3</v>
      </c>
      <c r="F45" s="982" cm="1">
        <f t="array" ref="F45">SUMPRODUCT(ISNUMBER(SEARCH("736",'EFETIVO 11.05.2026'!$H$2:$H$1919))*(('EFETIVO 11.05.2026'!$G$2:$G$1919="F")+('EFETIVO 11.05.2026'!$G$2:$G$1919="P")+('EFETIVO 11.05.2026'!$G$2:$G$1919="T")+('EFETIVO 11.05.2026'!$G$2:$G$1919="M"))*('EFETIVO 11.05.2026'!$C$2:$C$1919=B45))</f>
        <v>0</v>
      </c>
    </row>
    <row r="46" spans="2:6" x14ac:dyDescent="0.35">
      <c r="B46" s="984" t="s">
        <v>432</v>
      </c>
      <c r="C46" s="985" cm="1">
        <f t="array" ref="C46">SUMPRODUCT(ISNUMBER(SEARCH("736",'EFETIVO 11.05.2026'!$H$2:$H$1919))*('EFETIVO 11.05.2026'!$G$2:$G$1919="A")*('EFETIVO 11.05.2026'!$C$2:$C$1919=B46))</f>
        <v>1</v>
      </c>
      <c r="D46" s="985" cm="1">
        <f t="array" ref="D46">SUMPRODUCT(ISNUMBER(SEARCH("736",'EFETIVO 11.05.2026'!$H$2:$H$1919))*('EFETIVO 11.05.2026'!$G$2:$G$1919="D")*('EFETIVO 11.05.2026'!$C$2:$C$1919=B46))</f>
        <v>0</v>
      </c>
      <c r="E46" s="986">
        <f t="shared" si="0"/>
        <v>2.5062656641604009E-3</v>
      </c>
      <c r="F46" s="985" cm="1">
        <f t="array" ref="F46">SUMPRODUCT(ISNUMBER(SEARCH("736",'EFETIVO 11.05.2026'!$H$2:$H$1919))*(('EFETIVO 11.05.2026'!$G$2:$G$1919="F")+('EFETIVO 11.05.2026'!$G$2:$G$1919="P")+('EFETIVO 11.05.2026'!$G$2:$G$1919="T")+('EFETIVO 11.05.2026'!$G$2:$G$1919="M"))*('EFETIVO 11.05.2026'!$C$2:$C$1919=B46))</f>
        <v>0</v>
      </c>
    </row>
    <row r="47" spans="2:6" x14ac:dyDescent="0.35">
      <c r="B47" s="981" t="s">
        <v>1585</v>
      </c>
      <c r="C47" s="982" cm="1">
        <f t="array" ref="C47">SUMPRODUCT(ISNUMBER(SEARCH("736",'EFETIVO 11.05.2026'!$H$2:$H$1919))*('EFETIVO 11.05.2026'!$G$2:$G$1919="A")*('EFETIVO 11.05.2026'!$C$2:$C$1919=B47))</f>
        <v>1</v>
      </c>
      <c r="D47" s="982" cm="1">
        <f t="array" ref="D47">SUMPRODUCT(ISNUMBER(SEARCH("736",'EFETIVO 11.05.2026'!$H$2:$H$1919))*('EFETIVO 11.05.2026'!$G$2:$G$1919="D")*('EFETIVO 11.05.2026'!$C$2:$C$1919=B47))</f>
        <v>1</v>
      </c>
      <c r="E47" s="983">
        <f t="shared" ref="E47:E78" si="1">IFERROR(C47/$C$6,0)</f>
        <v>2.5062656641604009E-3</v>
      </c>
      <c r="F47" s="982" cm="1">
        <f t="array" ref="F47">SUMPRODUCT(ISNUMBER(SEARCH("736",'EFETIVO 11.05.2026'!$H$2:$H$1919))*(('EFETIVO 11.05.2026'!$G$2:$G$1919="F")+('EFETIVO 11.05.2026'!$G$2:$G$1919="P")+('EFETIVO 11.05.2026'!$G$2:$G$1919="T")+('EFETIVO 11.05.2026'!$G$2:$G$1919="M"))*('EFETIVO 11.05.2026'!$C$2:$C$1919=B47))</f>
        <v>0</v>
      </c>
    </row>
    <row r="48" spans="2:6" x14ac:dyDescent="0.35">
      <c r="B48" s="984" t="s">
        <v>620</v>
      </c>
      <c r="C48" s="985" cm="1">
        <f t="array" ref="C48">SUMPRODUCT(ISNUMBER(SEARCH("736",'EFETIVO 11.05.2026'!$H$2:$H$1919))*('EFETIVO 11.05.2026'!$G$2:$G$1919="A")*('EFETIVO 11.05.2026'!$C$2:$C$1919=B48))</f>
        <v>1</v>
      </c>
      <c r="D48" s="985" cm="1">
        <f t="array" ref="D48">SUMPRODUCT(ISNUMBER(SEARCH("736",'EFETIVO 11.05.2026'!$H$2:$H$1919))*('EFETIVO 11.05.2026'!$G$2:$G$1919="D")*('EFETIVO 11.05.2026'!$C$2:$C$1919=B48))</f>
        <v>0</v>
      </c>
      <c r="E48" s="986">
        <f t="shared" si="1"/>
        <v>2.5062656641604009E-3</v>
      </c>
      <c r="F48" s="985" cm="1">
        <f t="array" ref="F48">SUMPRODUCT(ISNUMBER(SEARCH("736",'EFETIVO 11.05.2026'!$H$2:$H$1919))*(('EFETIVO 11.05.2026'!$G$2:$G$1919="F")+('EFETIVO 11.05.2026'!$G$2:$G$1919="P")+('EFETIVO 11.05.2026'!$G$2:$G$1919="T")+('EFETIVO 11.05.2026'!$G$2:$G$1919="M"))*('EFETIVO 11.05.2026'!$C$2:$C$1919=B48))</f>
        <v>0</v>
      </c>
    </row>
    <row r="49" spans="2:6" x14ac:dyDescent="0.35">
      <c r="B49" s="981" t="s">
        <v>1229</v>
      </c>
      <c r="C49" s="982" cm="1">
        <f t="array" ref="C49">SUMPRODUCT(ISNUMBER(SEARCH("736",'EFETIVO 11.05.2026'!$H$2:$H$1919))*('EFETIVO 11.05.2026'!$G$2:$G$1919="A")*('EFETIVO 11.05.2026'!$C$2:$C$1919=B49))</f>
        <v>1</v>
      </c>
      <c r="D49" s="982" cm="1">
        <f t="array" ref="D49">SUMPRODUCT(ISNUMBER(SEARCH("736",'EFETIVO 11.05.2026'!$H$2:$H$1919))*('EFETIVO 11.05.2026'!$G$2:$G$1919="D")*('EFETIVO 11.05.2026'!$C$2:$C$1919=B49))</f>
        <v>0</v>
      </c>
      <c r="E49" s="983">
        <f t="shared" si="1"/>
        <v>2.5062656641604009E-3</v>
      </c>
      <c r="F49" s="982" cm="1">
        <f t="array" ref="F49">SUMPRODUCT(ISNUMBER(SEARCH("736",'EFETIVO 11.05.2026'!$H$2:$H$1919))*(('EFETIVO 11.05.2026'!$G$2:$G$1919="F")+('EFETIVO 11.05.2026'!$G$2:$G$1919="P")+('EFETIVO 11.05.2026'!$G$2:$G$1919="T")+('EFETIVO 11.05.2026'!$G$2:$G$1919="M"))*('EFETIVO 11.05.2026'!$C$2:$C$1919=B49))</f>
        <v>0</v>
      </c>
    </row>
    <row r="50" spans="2:6" x14ac:dyDescent="0.35">
      <c r="B50" s="984" t="s">
        <v>1155</v>
      </c>
      <c r="C50" s="985" cm="1">
        <f t="array" ref="C50">SUMPRODUCT(ISNUMBER(SEARCH("736",'EFETIVO 11.05.2026'!$H$2:$H$1919))*('EFETIVO 11.05.2026'!$G$2:$G$1919="A")*('EFETIVO 11.05.2026'!$C$2:$C$1919=B50))</f>
        <v>1</v>
      </c>
      <c r="D50" s="985" cm="1">
        <f t="array" ref="D50">SUMPRODUCT(ISNUMBER(SEARCH("736",'EFETIVO 11.05.2026'!$H$2:$H$1919))*('EFETIVO 11.05.2026'!$G$2:$G$1919="D")*('EFETIVO 11.05.2026'!$C$2:$C$1919=B50))</f>
        <v>0</v>
      </c>
      <c r="E50" s="986">
        <f t="shared" si="1"/>
        <v>2.5062656641604009E-3</v>
      </c>
      <c r="F50" s="985" cm="1">
        <f t="array" ref="F50">SUMPRODUCT(ISNUMBER(SEARCH("736",'EFETIVO 11.05.2026'!$H$2:$H$1919))*(('EFETIVO 11.05.2026'!$G$2:$G$1919="F")+('EFETIVO 11.05.2026'!$G$2:$G$1919="P")+('EFETIVO 11.05.2026'!$G$2:$G$1919="T")+('EFETIVO 11.05.2026'!$G$2:$G$1919="M"))*('EFETIVO 11.05.2026'!$C$2:$C$1919=B50))</f>
        <v>0</v>
      </c>
    </row>
    <row r="51" spans="2:6" x14ac:dyDescent="0.35">
      <c r="B51" s="981" t="s">
        <v>433</v>
      </c>
      <c r="C51" s="982" cm="1">
        <f t="array" ref="C51">SUMPRODUCT(ISNUMBER(SEARCH("736",'EFETIVO 11.05.2026'!$H$2:$H$1919))*('EFETIVO 11.05.2026'!$G$2:$G$1919="A")*('EFETIVO 11.05.2026'!$C$2:$C$1919=B51))</f>
        <v>9</v>
      </c>
      <c r="D51" s="982" cm="1">
        <f t="array" ref="D51">SUMPRODUCT(ISNUMBER(SEARCH("736",'EFETIVO 11.05.2026'!$H$2:$H$1919))*('EFETIVO 11.05.2026'!$G$2:$G$1919="D")*('EFETIVO 11.05.2026'!$C$2:$C$1919=B51))</f>
        <v>2</v>
      </c>
      <c r="E51" s="983">
        <f t="shared" si="1"/>
        <v>2.2556390977443608E-2</v>
      </c>
      <c r="F51" s="982" cm="1">
        <f t="array" ref="F51">SUMPRODUCT(ISNUMBER(SEARCH("736",'EFETIVO 11.05.2026'!$H$2:$H$1919))*(('EFETIVO 11.05.2026'!$G$2:$G$1919="F")+('EFETIVO 11.05.2026'!$G$2:$G$1919="P")+('EFETIVO 11.05.2026'!$G$2:$G$1919="T")+('EFETIVO 11.05.2026'!$G$2:$G$1919="M"))*('EFETIVO 11.05.2026'!$C$2:$C$1919=B51))</f>
        <v>0</v>
      </c>
    </row>
    <row r="52" spans="2:6" x14ac:dyDescent="0.35">
      <c r="B52" s="984" t="s">
        <v>3323</v>
      </c>
      <c r="C52" s="985" cm="1">
        <f t="array" ref="C52">SUMPRODUCT(ISNUMBER(SEARCH("736",'EFETIVO 11.05.2026'!$H$2:$H$1919))*('EFETIVO 11.05.2026'!$G$2:$G$1919="A")*('EFETIVO 11.05.2026'!$C$2:$C$1919=B52))</f>
        <v>1</v>
      </c>
      <c r="D52" s="985" cm="1">
        <f t="array" ref="D52">SUMPRODUCT(ISNUMBER(SEARCH("736",'EFETIVO 11.05.2026'!$H$2:$H$1919))*('EFETIVO 11.05.2026'!$G$2:$G$1919="D")*('EFETIVO 11.05.2026'!$C$2:$C$1919=B52))</f>
        <v>0</v>
      </c>
      <c r="E52" s="986">
        <f t="shared" si="1"/>
        <v>2.5062656641604009E-3</v>
      </c>
      <c r="F52" s="985" cm="1">
        <f t="array" ref="F52">SUMPRODUCT(ISNUMBER(SEARCH("736",'EFETIVO 11.05.2026'!$H$2:$H$1919))*(('EFETIVO 11.05.2026'!$G$2:$G$1919="F")+('EFETIVO 11.05.2026'!$G$2:$G$1919="P")+('EFETIVO 11.05.2026'!$G$2:$G$1919="T")+('EFETIVO 11.05.2026'!$G$2:$G$1919="M"))*('EFETIVO 11.05.2026'!$C$2:$C$1919=B52))</f>
        <v>0</v>
      </c>
    </row>
    <row r="53" spans="2:6" x14ac:dyDescent="0.35">
      <c r="B53" s="981" t="s">
        <v>434</v>
      </c>
      <c r="C53" s="982" cm="1">
        <f t="array" ref="C53">SUMPRODUCT(ISNUMBER(SEARCH("736",'EFETIVO 11.05.2026'!$H$2:$H$1919))*('EFETIVO 11.05.2026'!$G$2:$G$1919="A")*('EFETIVO 11.05.2026'!$C$2:$C$1919=B53))</f>
        <v>1</v>
      </c>
      <c r="D53" s="982" cm="1">
        <f t="array" ref="D53">SUMPRODUCT(ISNUMBER(SEARCH("736",'EFETIVO 11.05.2026'!$H$2:$H$1919))*('EFETIVO 11.05.2026'!$G$2:$G$1919="D")*('EFETIVO 11.05.2026'!$C$2:$C$1919=B53))</f>
        <v>0</v>
      </c>
      <c r="E53" s="983">
        <f t="shared" si="1"/>
        <v>2.5062656641604009E-3</v>
      </c>
      <c r="F53" s="982" cm="1">
        <f t="array" ref="F53">SUMPRODUCT(ISNUMBER(SEARCH("736",'EFETIVO 11.05.2026'!$H$2:$H$1919))*(('EFETIVO 11.05.2026'!$G$2:$G$1919="F")+('EFETIVO 11.05.2026'!$G$2:$G$1919="P")+('EFETIVO 11.05.2026'!$G$2:$G$1919="T")+('EFETIVO 11.05.2026'!$G$2:$G$1919="M"))*('EFETIVO 11.05.2026'!$C$2:$C$1919=B53))</f>
        <v>0</v>
      </c>
    </row>
    <row r="54" spans="2:6" x14ac:dyDescent="0.35">
      <c r="B54" s="984" t="s">
        <v>436</v>
      </c>
      <c r="C54" s="985" cm="1">
        <f t="array" ref="C54">SUMPRODUCT(ISNUMBER(SEARCH("736",'EFETIVO 11.05.2026'!$H$2:$H$1919))*('EFETIVO 11.05.2026'!$G$2:$G$1919="A")*('EFETIVO 11.05.2026'!$C$2:$C$1919=B54))</f>
        <v>2</v>
      </c>
      <c r="D54" s="985" cm="1">
        <f t="array" ref="D54">SUMPRODUCT(ISNUMBER(SEARCH("736",'EFETIVO 11.05.2026'!$H$2:$H$1919))*('EFETIVO 11.05.2026'!$G$2:$G$1919="D")*('EFETIVO 11.05.2026'!$C$2:$C$1919=B54))</f>
        <v>1</v>
      </c>
      <c r="E54" s="986">
        <f t="shared" si="1"/>
        <v>5.0125313283208017E-3</v>
      </c>
      <c r="F54" s="985" cm="1">
        <f t="array" ref="F54">SUMPRODUCT(ISNUMBER(SEARCH("736",'EFETIVO 11.05.2026'!$H$2:$H$1919))*(('EFETIVO 11.05.2026'!$G$2:$G$1919="F")+('EFETIVO 11.05.2026'!$G$2:$G$1919="P")+('EFETIVO 11.05.2026'!$G$2:$G$1919="T")+('EFETIVO 11.05.2026'!$G$2:$G$1919="M"))*('EFETIVO 11.05.2026'!$C$2:$C$1919=B54))</f>
        <v>0</v>
      </c>
    </row>
    <row r="55" spans="2:6" x14ac:dyDescent="0.35">
      <c r="B55" s="981" t="s">
        <v>872</v>
      </c>
      <c r="C55" s="982" cm="1">
        <f t="array" ref="C55">SUMPRODUCT(ISNUMBER(SEARCH("736",'EFETIVO 11.05.2026'!$H$2:$H$1919))*('EFETIVO 11.05.2026'!$G$2:$G$1919="A")*('EFETIVO 11.05.2026'!$C$2:$C$1919=B55))</f>
        <v>3</v>
      </c>
      <c r="D55" s="982" cm="1">
        <f t="array" ref="D55">SUMPRODUCT(ISNUMBER(SEARCH("736",'EFETIVO 11.05.2026'!$H$2:$H$1919))*('EFETIVO 11.05.2026'!$G$2:$G$1919="D")*('EFETIVO 11.05.2026'!$C$2:$C$1919=B55))</f>
        <v>0</v>
      </c>
      <c r="E55" s="983">
        <f t="shared" si="1"/>
        <v>7.5187969924812026E-3</v>
      </c>
      <c r="F55" s="982" cm="1">
        <f t="array" ref="F55">SUMPRODUCT(ISNUMBER(SEARCH("736",'EFETIVO 11.05.2026'!$H$2:$H$1919))*(('EFETIVO 11.05.2026'!$G$2:$G$1919="F")+('EFETIVO 11.05.2026'!$G$2:$G$1919="P")+('EFETIVO 11.05.2026'!$G$2:$G$1919="T")+('EFETIVO 11.05.2026'!$G$2:$G$1919="M"))*('EFETIVO 11.05.2026'!$C$2:$C$1919=B55))</f>
        <v>0</v>
      </c>
    </row>
    <row r="56" spans="2:6" x14ac:dyDescent="0.35">
      <c r="B56" s="984" t="s">
        <v>437</v>
      </c>
      <c r="C56" s="985" cm="1">
        <f t="array" ref="C56">SUMPRODUCT(ISNUMBER(SEARCH("736",'EFETIVO 11.05.2026'!$H$2:$H$1919))*('EFETIVO 11.05.2026'!$G$2:$G$1919="A")*('EFETIVO 11.05.2026'!$C$2:$C$1919=B56))</f>
        <v>2</v>
      </c>
      <c r="D56" s="985" cm="1">
        <f t="array" ref="D56">SUMPRODUCT(ISNUMBER(SEARCH("736",'EFETIVO 11.05.2026'!$H$2:$H$1919))*('EFETIVO 11.05.2026'!$G$2:$G$1919="D")*('EFETIVO 11.05.2026'!$C$2:$C$1919=B56))</f>
        <v>3</v>
      </c>
      <c r="E56" s="986">
        <f t="shared" si="1"/>
        <v>5.0125313283208017E-3</v>
      </c>
      <c r="F56" s="985" cm="1">
        <f t="array" ref="F56">SUMPRODUCT(ISNUMBER(SEARCH("736",'EFETIVO 11.05.2026'!$H$2:$H$1919))*(('EFETIVO 11.05.2026'!$G$2:$G$1919="F")+('EFETIVO 11.05.2026'!$G$2:$G$1919="P")+('EFETIVO 11.05.2026'!$G$2:$G$1919="T")+('EFETIVO 11.05.2026'!$G$2:$G$1919="M"))*('EFETIVO 11.05.2026'!$C$2:$C$1919=B56))</f>
        <v>0</v>
      </c>
    </row>
    <row r="57" spans="2:6" x14ac:dyDescent="0.35">
      <c r="B57" s="981" t="s">
        <v>438</v>
      </c>
      <c r="C57" s="982" cm="1">
        <f t="array" ref="C57">SUMPRODUCT(ISNUMBER(SEARCH("736",'EFETIVO 11.05.2026'!$H$2:$H$1919))*('EFETIVO 11.05.2026'!$G$2:$G$1919="A")*('EFETIVO 11.05.2026'!$C$2:$C$1919=B57))</f>
        <v>3</v>
      </c>
      <c r="D57" s="982" cm="1">
        <f t="array" ref="D57">SUMPRODUCT(ISNUMBER(SEARCH("736",'EFETIVO 11.05.2026'!$H$2:$H$1919))*('EFETIVO 11.05.2026'!$G$2:$G$1919="D")*('EFETIVO 11.05.2026'!$C$2:$C$1919=B57))</f>
        <v>0</v>
      </c>
      <c r="E57" s="983">
        <f t="shared" si="1"/>
        <v>7.5187969924812026E-3</v>
      </c>
      <c r="F57" s="982" cm="1">
        <f t="array" ref="F57">SUMPRODUCT(ISNUMBER(SEARCH("736",'EFETIVO 11.05.2026'!$H$2:$H$1919))*(('EFETIVO 11.05.2026'!$G$2:$G$1919="F")+('EFETIVO 11.05.2026'!$G$2:$G$1919="P")+('EFETIVO 11.05.2026'!$G$2:$G$1919="T")+('EFETIVO 11.05.2026'!$G$2:$G$1919="M"))*('EFETIVO 11.05.2026'!$C$2:$C$1919=B57))</f>
        <v>1</v>
      </c>
    </row>
    <row r="58" spans="2:6" x14ac:dyDescent="0.35">
      <c r="B58" s="984" t="s">
        <v>2961</v>
      </c>
      <c r="C58" s="985" cm="1">
        <f t="array" ref="C58">SUMPRODUCT(ISNUMBER(SEARCH("736",'EFETIVO 11.05.2026'!$H$2:$H$1919))*('EFETIVO 11.05.2026'!$G$2:$G$1919="A")*('EFETIVO 11.05.2026'!$C$2:$C$1919=B58))</f>
        <v>1</v>
      </c>
      <c r="D58" s="985" cm="1">
        <f t="array" ref="D58">SUMPRODUCT(ISNUMBER(SEARCH("736",'EFETIVO 11.05.2026'!$H$2:$H$1919))*('EFETIVO 11.05.2026'!$G$2:$G$1919="D")*('EFETIVO 11.05.2026'!$C$2:$C$1919=B58))</f>
        <v>0</v>
      </c>
      <c r="E58" s="986">
        <f t="shared" si="1"/>
        <v>2.5062656641604009E-3</v>
      </c>
      <c r="F58" s="985" cm="1">
        <f t="array" ref="F58">SUMPRODUCT(ISNUMBER(SEARCH("736",'EFETIVO 11.05.2026'!$H$2:$H$1919))*(('EFETIVO 11.05.2026'!$G$2:$G$1919="F")+('EFETIVO 11.05.2026'!$G$2:$G$1919="P")+('EFETIVO 11.05.2026'!$G$2:$G$1919="T")+('EFETIVO 11.05.2026'!$G$2:$G$1919="M"))*('EFETIVO 11.05.2026'!$C$2:$C$1919=B58))</f>
        <v>0</v>
      </c>
    </row>
    <row r="59" spans="2:6" x14ac:dyDescent="0.35">
      <c r="B59" s="981" t="s">
        <v>796</v>
      </c>
      <c r="C59" s="982" cm="1">
        <f t="array" ref="C59">SUMPRODUCT(ISNUMBER(SEARCH("736",'EFETIVO 11.05.2026'!$H$2:$H$1919))*('EFETIVO 11.05.2026'!$G$2:$G$1919="A")*('EFETIVO 11.05.2026'!$C$2:$C$1919=B59))</f>
        <v>4</v>
      </c>
      <c r="D59" s="982" cm="1">
        <f t="array" ref="D59">SUMPRODUCT(ISNUMBER(SEARCH("736",'EFETIVO 11.05.2026'!$H$2:$H$1919))*('EFETIVO 11.05.2026'!$G$2:$G$1919="D")*('EFETIVO 11.05.2026'!$C$2:$C$1919=B59))</f>
        <v>0</v>
      </c>
      <c r="E59" s="983">
        <f t="shared" si="1"/>
        <v>1.0025062656641603E-2</v>
      </c>
      <c r="F59" s="982" cm="1">
        <f t="array" ref="F59">SUMPRODUCT(ISNUMBER(SEARCH("736",'EFETIVO 11.05.2026'!$H$2:$H$1919))*(('EFETIVO 11.05.2026'!$G$2:$G$1919="F")+('EFETIVO 11.05.2026'!$G$2:$G$1919="P")+('EFETIVO 11.05.2026'!$G$2:$G$1919="T")+('EFETIVO 11.05.2026'!$G$2:$G$1919="M"))*('EFETIVO 11.05.2026'!$C$2:$C$1919=B59))</f>
        <v>2</v>
      </c>
    </row>
    <row r="60" spans="2:6" x14ac:dyDescent="0.35">
      <c r="B60" s="984" t="s">
        <v>439</v>
      </c>
      <c r="C60" s="985" cm="1">
        <f t="array" ref="C60">SUMPRODUCT(ISNUMBER(SEARCH("736",'EFETIVO 11.05.2026'!$H$2:$H$1919))*('EFETIVO 11.05.2026'!$G$2:$G$1919="A")*('EFETIVO 11.05.2026'!$C$2:$C$1919=B60))</f>
        <v>4</v>
      </c>
      <c r="D60" s="985" cm="1">
        <f t="array" ref="D60">SUMPRODUCT(ISNUMBER(SEARCH("736",'EFETIVO 11.05.2026'!$H$2:$H$1919))*('EFETIVO 11.05.2026'!$G$2:$G$1919="D")*('EFETIVO 11.05.2026'!$C$2:$C$1919=B60))</f>
        <v>3</v>
      </c>
      <c r="E60" s="986">
        <f t="shared" si="1"/>
        <v>1.0025062656641603E-2</v>
      </c>
      <c r="F60" s="985" cm="1">
        <f t="array" ref="F60">SUMPRODUCT(ISNUMBER(SEARCH("736",'EFETIVO 11.05.2026'!$H$2:$H$1919))*(('EFETIVO 11.05.2026'!$G$2:$G$1919="F")+('EFETIVO 11.05.2026'!$G$2:$G$1919="P")+('EFETIVO 11.05.2026'!$G$2:$G$1919="T")+('EFETIVO 11.05.2026'!$G$2:$G$1919="M"))*('EFETIVO 11.05.2026'!$C$2:$C$1919=B60))</f>
        <v>1</v>
      </c>
    </row>
    <row r="61" spans="2:6" x14ac:dyDescent="0.35">
      <c r="B61" s="981" t="s">
        <v>1511</v>
      </c>
      <c r="C61" s="982" cm="1">
        <f t="array" ref="C61">SUMPRODUCT(ISNUMBER(SEARCH("736",'EFETIVO 11.05.2026'!$H$2:$H$1919))*('EFETIVO 11.05.2026'!$G$2:$G$1919="A")*('EFETIVO 11.05.2026'!$C$2:$C$1919=B61))</f>
        <v>1</v>
      </c>
      <c r="D61" s="982" cm="1">
        <f t="array" ref="D61">SUMPRODUCT(ISNUMBER(SEARCH("736",'EFETIVO 11.05.2026'!$H$2:$H$1919))*('EFETIVO 11.05.2026'!$G$2:$G$1919="D")*('EFETIVO 11.05.2026'!$C$2:$C$1919=B61))</f>
        <v>1</v>
      </c>
      <c r="E61" s="983">
        <f t="shared" si="1"/>
        <v>2.5062656641604009E-3</v>
      </c>
      <c r="F61" s="982" cm="1">
        <f t="array" ref="F61">SUMPRODUCT(ISNUMBER(SEARCH("736",'EFETIVO 11.05.2026'!$H$2:$H$1919))*(('EFETIVO 11.05.2026'!$G$2:$G$1919="F")+('EFETIVO 11.05.2026'!$G$2:$G$1919="P")+('EFETIVO 11.05.2026'!$G$2:$G$1919="T")+('EFETIVO 11.05.2026'!$G$2:$G$1919="M"))*('EFETIVO 11.05.2026'!$C$2:$C$1919=B61))</f>
        <v>0</v>
      </c>
    </row>
    <row r="62" spans="2:6" x14ac:dyDescent="0.35">
      <c r="B62" s="984" t="s">
        <v>440</v>
      </c>
      <c r="C62" s="985" cm="1">
        <f t="array" ref="C62">SUMPRODUCT(ISNUMBER(SEARCH("736",'EFETIVO 11.05.2026'!$H$2:$H$1919))*('EFETIVO 11.05.2026'!$G$2:$G$1919="A")*('EFETIVO 11.05.2026'!$C$2:$C$1919=B62))</f>
        <v>4</v>
      </c>
      <c r="D62" s="985" cm="1">
        <f t="array" ref="D62">SUMPRODUCT(ISNUMBER(SEARCH("736",'EFETIVO 11.05.2026'!$H$2:$H$1919))*('EFETIVO 11.05.2026'!$G$2:$G$1919="D")*('EFETIVO 11.05.2026'!$C$2:$C$1919=B62))</f>
        <v>1</v>
      </c>
      <c r="E62" s="986">
        <f t="shared" si="1"/>
        <v>1.0025062656641603E-2</v>
      </c>
      <c r="F62" s="985" cm="1">
        <f t="array" ref="F62">SUMPRODUCT(ISNUMBER(SEARCH("736",'EFETIVO 11.05.2026'!$H$2:$H$1919))*(('EFETIVO 11.05.2026'!$G$2:$G$1919="F")+('EFETIVO 11.05.2026'!$G$2:$G$1919="P")+('EFETIVO 11.05.2026'!$G$2:$G$1919="T")+('EFETIVO 11.05.2026'!$G$2:$G$1919="M"))*('EFETIVO 11.05.2026'!$C$2:$C$1919=B62))</f>
        <v>0</v>
      </c>
    </row>
    <row r="63" spans="2:6" x14ac:dyDescent="0.35">
      <c r="B63" s="981" t="s">
        <v>1028</v>
      </c>
      <c r="C63" s="982" cm="1">
        <f t="array" ref="C63">SUMPRODUCT(ISNUMBER(SEARCH("736",'EFETIVO 11.05.2026'!$H$2:$H$1919))*('EFETIVO 11.05.2026'!$G$2:$G$1919="A")*('EFETIVO 11.05.2026'!$C$2:$C$1919=B63))</f>
        <v>2</v>
      </c>
      <c r="D63" s="982" cm="1">
        <f t="array" ref="D63">SUMPRODUCT(ISNUMBER(SEARCH("736",'EFETIVO 11.05.2026'!$H$2:$H$1919))*('EFETIVO 11.05.2026'!$G$2:$G$1919="D")*('EFETIVO 11.05.2026'!$C$2:$C$1919=B63))</f>
        <v>0</v>
      </c>
      <c r="E63" s="983">
        <f t="shared" si="1"/>
        <v>5.0125313283208017E-3</v>
      </c>
      <c r="F63" s="982" cm="1">
        <f t="array" ref="F63">SUMPRODUCT(ISNUMBER(SEARCH("736",'EFETIVO 11.05.2026'!$H$2:$H$1919))*(('EFETIVO 11.05.2026'!$G$2:$G$1919="F")+('EFETIVO 11.05.2026'!$G$2:$G$1919="P")+('EFETIVO 11.05.2026'!$G$2:$G$1919="T")+('EFETIVO 11.05.2026'!$G$2:$G$1919="M"))*('EFETIVO 11.05.2026'!$C$2:$C$1919=B63))</f>
        <v>0</v>
      </c>
    </row>
    <row r="64" spans="2:6" x14ac:dyDescent="0.35">
      <c r="B64" s="984" t="s">
        <v>1803</v>
      </c>
      <c r="C64" s="985" cm="1">
        <f t="array" ref="C64">SUMPRODUCT(ISNUMBER(SEARCH("736",'EFETIVO 11.05.2026'!$H$2:$H$1919))*('EFETIVO 11.05.2026'!$G$2:$G$1919="A")*('EFETIVO 11.05.2026'!$C$2:$C$1919=B64))</f>
        <v>0</v>
      </c>
      <c r="D64" s="985" cm="1">
        <f t="array" ref="D64">SUMPRODUCT(ISNUMBER(SEARCH("736",'EFETIVO 11.05.2026'!$H$2:$H$1919))*('EFETIVO 11.05.2026'!$G$2:$G$1919="D")*('EFETIVO 11.05.2026'!$C$2:$C$1919=B64))</f>
        <v>1</v>
      </c>
      <c r="E64" s="986">
        <f t="shared" si="1"/>
        <v>0</v>
      </c>
      <c r="F64" s="985" cm="1">
        <f t="array" ref="F64">SUMPRODUCT(ISNUMBER(SEARCH("736",'EFETIVO 11.05.2026'!$H$2:$H$1919))*(('EFETIVO 11.05.2026'!$G$2:$G$1919="F")+('EFETIVO 11.05.2026'!$G$2:$G$1919="P")+('EFETIVO 11.05.2026'!$G$2:$G$1919="T")+('EFETIVO 11.05.2026'!$G$2:$G$1919="M"))*('EFETIVO 11.05.2026'!$C$2:$C$1919=B64))</f>
        <v>0</v>
      </c>
    </row>
    <row r="65" spans="2:6" x14ac:dyDescent="0.35">
      <c r="B65" s="981" t="s">
        <v>625</v>
      </c>
      <c r="C65" s="982" cm="1">
        <f t="array" ref="C65">SUMPRODUCT(ISNUMBER(SEARCH("736",'EFETIVO 11.05.2026'!$H$2:$H$1919))*('EFETIVO 11.05.2026'!$G$2:$G$1919="A")*('EFETIVO 11.05.2026'!$C$2:$C$1919=B65))</f>
        <v>2</v>
      </c>
      <c r="D65" s="982" cm="1">
        <f t="array" ref="D65">SUMPRODUCT(ISNUMBER(SEARCH("736",'EFETIVO 11.05.2026'!$H$2:$H$1919))*('EFETIVO 11.05.2026'!$G$2:$G$1919="D")*('EFETIVO 11.05.2026'!$C$2:$C$1919=B65))</f>
        <v>0</v>
      </c>
      <c r="E65" s="983">
        <f t="shared" si="1"/>
        <v>5.0125313283208017E-3</v>
      </c>
      <c r="F65" s="982" cm="1">
        <f t="array" ref="F65">SUMPRODUCT(ISNUMBER(SEARCH("736",'EFETIVO 11.05.2026'!$H$2:$H$1919))*(('EFETIVO 11.05.2026'!$G$2:$G$1919="F")+('EFETIVO 11.05.2026'!$G$2:$G$1919="P")+('EFETIVO 11.05.2026'!$G$2:$G$1919="T")+('EFETIVO 11.05.2026'!$G$2:$G$1919="M"))*('EFETIVO 11.05.2026'!$C$2:$C$1919=B65))</f>
        <v>0</v>
      </c>
    </row>
    <row r="66" spans="2:6" x14ac:dyDescent="0.35">
      <c r="B66" s="984" t="s">
        <v>544</v>
      </c>
      <c r="C66" s="985" cm="1">
        <f t="array" ref="C66">SUMPRODUCT(ISNUMBER(SEARCH("736",'EFETIVO 11.05.2026'!$H$2:$H$1919))*('EFETIVO 11.05.2026'!$G$2:$G$1919="A")*('EFETIVO 11.05.2026'!$C$2:$C$1919=B66))</f>
        <v>8</v>
      </c>
      <c r="D66" s="985" cm="1">
        <f t="array" ref="D66">SUMPRODUCT(ISNUMBER(SEARCH("736",'EFETIVO 11.05.2026'!$H$2:$H$1919))*('EFETIVO 11.05.2026'!$G$2:$G$1919="D")*('EFETIVO 11.05.2026'!$C$2:$C$1919=B66))</f>
        <v>0</v>
      </c>
      <c r="E66" s="986">
        <f t="shared" si="1"/>
        <v>2.0050125313283207E-2</v>
      </c>
      <c r="F66" s="985" cm="1">
        <f t="array" ref="F66">SUMPRODUCT(ISNUMBER(SEARCH("736",'EFETIVO 11.05.2026'!$H$2:$H$1919))*(('EFETIVO 11.05.2026'!$G$2:$G$1919="F")+('EFETIVO 11.05.2026'!$G$2:$G$1919="P")+('EFETIVO 11.05.2026'!$G$2:$G$1919="T")+('EFETIVO 11.05.2026'!$G$2:$G$1919="M"))*('EFETIVO 11.05.2026'!$C$2:$C$1919=B66))</f>
        <v>1</v>
      </c>
    </row>
    <row r="67" spans="2:6" x14ac:dyDescent="0.35">
      <c r="B67" s="981" t="s">
        <v>527</v>
      </c>
      <c r="C67" s="982" cm="1">
        <f t="array" ref="C67">SUMPRODUCT(ISNUMBER(SEARCH("736",'EFETIVO 11.05.2026'!$H$2:$H$1919))*('EFETIVO 11.05.2026'!$G$2:$G$1919="A")*('EFETIVO 11.05.2026'!$C$2:$C$1919=B67))</f>
        <v>2</v>
      </c>
      <c r="D67" s="982" cm="1">
        <f t="array" ref="D67">SUMPRODUCT(ISNUMBER(SEARCH("736",'EFETIVO 11.05.2026'!$H$2:$H$1919))*('EFETIVO 11.05.2026'!$G$2:$G$1919="D")*('EFETIVO 11.05.2026'!$C$2:$C$1919=B67))</f>
        <v>0</v>
      </c>
      <c r="E67" s="983">
        <f t="shared" si="1"/>
        <v>5.0125313283208017E-3</v>
      </c>
      <c r="F67" s="982" cm="1">
        <f t="array" ref="F67">SUMPRODUCT(ISNUMBER(SEARCH("736",'EFETIVO 11.05.2026'!$H$2:$H$1919))*(('EFETIVO 11.05.2026'!$G$2:$G$1919="F")+('EFETIVO 11.05.2026'!$G$2:$G$1919="P")+('EFETIVO 11.05.2026'!$G$2:$G$1919="T")+('EFETIVO 11.05.2026'!$G$2:$G$1919="M"))*('EFETIVO 11.05.2026'!$C$2:$C$1919=B67))</f>
        <v>0</v>
      </c>
    </row>
    <row r="68" spans="2:6" x14ac:dyDescent="0.35">
      <c r="B68" s="984" t="s">
        <v>2613</v>
      </c>
      <c r="C68" s="985" cm="1">
        <f t="array" ref="C68">SUMPRODUCT(ISNUMBER(SEARCH("736",'EFETIVO 11.05.2026'!$H$2:$H$1919))*('EFETIVO 11.05.2026'!$G$2:$G$1919="A")*('EFETIVO 11.05.2026'!$C$2:$C$1919=B68))</f>
        <v>1</v>
      </c>
      <c r="D68" s="985" cm="1">
        <f t="array" ref="D68">SUMPRODUCT(ISNUMBER(SEARCH("736",'EFETIVO 11.05.2026'!$H$2:$H$1919))*('EFETIVO 11.05.2026'!$G$2:$G$1919="D")*('EFETIVO 11.05.2026'!$C$2:$C$1919=B68))</f>
        <v>1</v>
      </c>
      <c r="E68" s="986">
        <f t="shared" si="1"/>
        <v>2.5062656641604009E-3</v>
      </c>
      <c r="F68" s="985" cm="1">
        <f t="array" ref="F68">SUMPRODUCT(ISNUMBER(SEARCH("736",'EFETIVO 11.05.2026'!$H$2:$H$1919))*(('EFETIVO 11.05.2026'!$G$2:$G$1919="F")+('EFETIVO 11.05.2026'!$G$2:$G$1919="P")+('EFETIVO 11.05.2026'!$G$2:$G$1919="T")+('EFETIVO 11.05.2026'!$G$2:$G$1919="M"))*('EFETIVO 11.05.2026'!$C$2:$C$1919=B68))</f>
        <v>0</v>
      </c>
    </row>
    <row r="69" spans="2:6" x14ac:dyDescent="0.35">
      <c r="B69" s="981" t="s">
        <v>591</v>
      </c>
      <c r="C69" s="982" cm="1">
        <f t="array" ref="C69">SUMPRODUCT(ISNUMBER(SEARCH("736",'EFETIVO 11.05.2026'!$H$2:$H$1919))*('EFETIVO 11.05.2026'!$G$2:$G$1919="A")*('EFETIVO 11.05.2026'!$C$2:$C$1919=B69))</f>
        <v>3</v>
      </c>
      <c r="D69" s="982" cm="1">
        <f t="array" ref="D69">SUMPRODUCT(ISNUMBER(SEARCH("736",'EFETIVO 11.05.2026'!$H$2:$H$1919))*('EFETIVO 11.05.2026'!$G$2:$G$1919="D")*('EFETIVO 11.05.2026'!$C$2:$C$1919=B69))</f>
        <v>1</v>
      </c>
      <c r="E69" s="983">
        <f t="shared" si="1"/>
        <v>7.5187969924812026E-3</v>
      </c>
      <c r="F69" s="982" cm="1">
        <f t="array" ref="F69">SUMPRODUCT(ISNUMBER(SEARCH("736",'EFETIVO 11.05.2026'!$H$2:$H$1919))*(('EFETIVO 11.05.2026'!$G$2:$G$1919="F")+('EFETIVO 11.05.2026'!$G$2:$G$1919="P")+('EFETIVO 11.05.2026'!$G$2:$G$1919="T")+('EFETIVO 11.05.2026'!$G$2:$G$1919="M"))*('EFETIVO 11.05.2026'!$C$2:$C$1919=B69))</f>
        <v>1</v>
      </c>
    </row>
    <row r="70" spans="2:6" x14ac:dyDescent="0.35">
      <c r="B70" s="984" t="s">
        <v>441</v>
      </c>
      <c r="C70" s="985" cm="1">
        <f t="array" ref="C70">SUMPRODUCT(ISNUMBER(SEARCH("736",'EFETIVO 11.05.2026'!$H$2:$H$1919))*('EFETIVO 11.05.2026'!$G$2:$G$1919="A")*('EFETIVO 11.05.2026'!$C$2:$C$1919=B70))</f>
        <v>1</v>
      </c>
      <c r="D70" s="985" cm="1">
        <f t="array" ref="D70">SUMPRODUCT(ISNUMBER(SEARCH("736",'EFETIVO 11.05.2026'!$H$2:$H$1919))*('EFETIVO 11.05.2026'!$G$2:$G$1919="D")*('EFETIVO 11.05.2026'!$C$2:$C$1919=B70))</f>
        <v>2</v>
      </c>
      <c r="E70" s="986">
        <f t="shared" si="1"/>
        <v>2.5062656641604009E-3</v>
      </c>
      <c r="F70" s="985" cm="1">
        <f t="array" ref="F70">SUMPRODUCT(ISNUMBER(SEARCH("736",'EFETIVO 11.05.2026'!$H$2:$H$1919))*(('EFETIVO 11.05.2026'!$G$2:$G$1919="F")+('EFETIVO 11.05.2026'!$G$2:$G$1919="P")+('EFETIVO 11.05.2026'!$G$2:$G$1919="T")+('EFETIVO 11.05.2026'!$G$2:$G$1919="M"))*('EFETIVO 11.05.2026'!$C$2:$C$1919=B70))</f>
        <v>1</v>
      </c>
    </row>
    <row r="71" spans="2:6" x14ac:dyDescent="0.35">
      <c r="B71" s="981" t="s">
        <v>1072</v>
      </c>
      <c r="C71" s="982" cm="1">
        <f t="array" ref="C71">SUMPRODUCT(ISNUMBER(SEARCH("736",'EFETIVO 11.05.2026'!$H$2:$H$1919))*('EFETIVO 11.05.2026'!$G$2:$G$1919="A")*('EFETIVO 11.05.2026'!$C$2:$C$1919=B71))</f>
        <v>4</v>
      </c>
      <c r="D71" s="982" cm="1">
        <f t="array" ref="D71">SUMPRODUCT(ISNUMBER(SEARCH("736",'EFETIVO 11.05.2026'!$H$2:$H$1919))*('EFETIVO 11.05.2026'!$G$2:$G$1919="D")*('EFETIVO 11.05.2026'!$C$2:$C$1919=B71))</f>
        <v>0</v>
      </c>
      <c r="E71" s="983">
        <f t="shared" si="1"/>
        <v>1.0025062656641603E-2</v>
      </c>
      <c r="F71" s="982" cm="1">
        <f t="array" ref="F71">SUMPRODUCT(ISNUMBER(SEARCH("736",'EFETIVO 11.05.2026'!$H$2:$H$1919))*(('EFETIVO 11.05.2026'!$G$2:$G$1919="F")+('EFETIVO 11.05.2026'!$G$2:$G$1919="P")+('EFETIVO 11.05.2026'!$G$2:$G$1919="T")+('EFETIVO 11.05.2026'!$G$2:$G$1919="M"))*('EFETIVO 11.05.2026'!$C$2:$C$1919=B71))</f>
        <v>0</v>
      </c>
    </row>
    <row r="72" spans="2:6" x14ac:dyDescent="0.35">
      <c r="B72" s="984" t="s">
        <v>606</v>
      </c>
      <c r="C72" s="985" cm="1">
        <f t="array" ref="C72">SUMPRODUCT(ISNUMBER(SEARCH("736",'EFETIVO 11.05.2026'!$H$2:$H$1919))*('EFETIVO 11.05.2026'!$G$2:$G$1919="A")*('EFETIVO 11.05.2026'!$C$2:$C$1919=B72))</f>
        <v>6</v>
      </c>
      <c r="D72" s="985" cm="1">
        <f t="array" ref="D72">SUMPRODUCT(ISNUMBER(SEARCH("736",'EFETIVO 11.05.2026'!$H$2:$H$1919))*('EFETIVO 11.05.2026'!$G$2:$G$1919="D")*('EFETIVO 11.05.2026'!$C$2:$C$1919=B72))</f>
        <v>6</v>
      </c>
      <c r="E72" s="986">
        <f t="shared" si="1"/>
        <v>1.5037593984962405E-2</v>
      </c>
      <c r="F72" s="985" cm="1">
        <f t="array" ref="F72">SUMPRODUCT(ISNUMBER(SEARCH("736",'EFETIVO 11.05.2026'!$H$2:$H$1919))*(('EFETIVO 11.05.2026'!$G$2:$G$1919="F")+('EFETIVO 11.05.2026'!$G$2:$G$1919="P")+('EFETIVO 11.05.2026'!$G$2:$G$1919="T")+('EFETIVO 11.05.2026'!$G$2:$G$1919="M"))*('EFETIVO 11.05.2026'!$C$2:$C$1919=B72))</f>
        <v>2</v>
      </c>
    </row>
    <row r="73" spans="2:6" x14ac:dyDescent="0.35">
      <c r="B73" s="981" t="s">
        <v>443</v>
      </c>
      <c r="C73" s="982" cm="1">
        <f t="array" ref="C73">SUMPRODUCT(ISNUMBER(SEARCH("736",'EFETIVO 11.05.2026'!$H$2:$H$1919))*('EFETIVO 11.05.2026'!$G$2:$G$1919="A")*('EFETIVO 11.05.2026'!$C$2:$C$1919=B73))</f>
        <v>15</v>
      </c>
      <c r="D73" s="982" cm="1">
        <f t="array" ref="D73">SUMPRODUCT(ISNUMBER(SEARCH("736",'EFETIVO 11.05.2026'!$H$2:$H$1919))*('EFETIVO 11.05.2026'!$G$2:$G$1919="D")*('EFETIVO 11.05.2026'!$C$2:$C$1919=B73))</f>
        <v>11</v>
      </c>
      <c r="E73" s="983">
        <f t="shared" si="1"/>
        <v>3.7593984962406013E-2</v>
      </c>
      <c r="F73" s="982" cm="1">
        <f t="array" ref="F73">SUMPRODUCT(ISNUMBER(SEARCH("736",'EFETIVO 11.05.2026'!$H$2:$H$1919))*(('EFETIVO 11.05.2026'!$G$2:$G$1919="F")+('EFETIVO 11.05.2026'!$G$2:$G$1919="P")+('EFETIVO 11.05.2026'!$G$2:$G$1919="T")+('EFETIVO 11.05.2026'!$G$2:$G$1919="M"))*('EFETIVO 11.05.2026'!$C$2:$C$1919=B73))</f>
        <v>0</v>
      </c>
    </row>
    <row r="74" spans="2:6" x14ac:dyDescent="0.35">
      <c r="B74" s="984" t="s">
        <v>2549</v>
      </c>
      <c r="C74" s="985" cm="1">
        <f t="array" ref="C74">SUMPRODUCT(ISNUMBER(SEARCH("736",'EFETIVO 11.05.2026'!$H$2:$H$1919))*('EFETIVO 11.05.2026'!$G$2:$G$1919="A")*('EFETIVO 11.05.2026'!$C$2:$C$1919=B74))</f>
        <v>1</v>
      </c>
      <c r="D74" s="985" cm="1">
        <f t="array" ref="D74">SUMPRODUCT(ISNUMBER(SEARCH("736",'EFETIVO 11.05.2026'!$H$2:$H$1919))*('EFETIVO 11.05.2026'!$G$2:$G$1919="D")*('EFETIVO 11.05.2026'!$C$2:$C$1919=B74))</f>
        <v>0</v>
      </c>
      <c r="E74" s="986">
        <f t="shared" si="1"/>
        <v>2.5062656641604009E-3</v>
      </c>
      <c r="F74" s="985" cm="1">
        <f t="array" ref="F74">SUMPRODUCT(ISNUMBER(SEARCH("736",'EFETIVO 11.05.2026'!$H$2:$H$1919))*(('EFETIVO 11.05.2026'!$G$2:$G$1919="F")+('EFETIVO 11.05.2026'!$G$2:$G$1919="P")+('EFETIVO 11.05.2026'!$G$2:$G$1919="T")+('EFETIVO 11.05.2026'!$G$2:$G$1919="M"))*('EFETIVO 11.05.2026'!$C$2:$C$1919=B74))</f>
        <v>1</v>
      </c>
    </row>
    <row r="75" spans="2:6" x14ac:dyDescent="0.35">
      <c r="B75" s="981" t="s">
        <v>4243</v>
      </c>
      <c r="C75" s="982" cm="1">
        <f t="array" ref="C75">SUMPRODUCT(ISNUMBER(SEARCH("736",'EFETIVO 11.05.2026'!$H$2:$H$1919))*('EFETIVO 11.05.2026'!$G$2:$G$1919="A")*('EFETIVO 11.05.2026'!$C$2:$C$1919=B75))</f>
        <v>2</v>
      </c>
      <c r="D75" s="982" cm="1">
        <f t="array" ref="D75">SUMPRODUCT(ISNUMBER(SEARCH("736",'EFETIVO 11.05.2026'!$H$2:$H$1919))*('EFETIVO 11.05.2026'!$G$2:$G$1919="D")*('EFETIVO 11.05.2026'!$C$2:$C$1919=B75))</f>
        <v>0</v>
      </c>
      <c r="E75" s="983">
        <f t="shared" si="1"/>
        <v>5.0125313283208017E-3</v>
      </c>
      <c r="F75" s="982" cm="1">
        <f t="array" ref="F75">SUMPRODUCT(ISNUMBER(SEARCH("736",'EFETIVO 11.05.2026'!$H$2:$H$1919))*(('EFETIVO 11.05.2026'!$G$2:$G$1919="F")+('EFETIVO 11.05.2026'!$G$2:$G$1919="P")+('EFETIVO 11.05.2026'!$G$2:$G$1919="T")+('EFETIVO 11.05.2026'!$G$2:$G$1919="M"))*('EFETIVO 11.05.2026'!$C$2:$C$1919=B75))</f>
        <v>0</v>
      </c>
    </row>
    <row r="76" spans="2:6" x14ac:dyDescent="0.35">
      <c r="B76" s="984" t="s">
        <v>444</v>
      </c>
      <c r="C76" s="985" cm="1">
        <f t="array" ref="C76">SUMPRODUCT(ISNUMBER(SEARCH("736",'EFETIVO 11.05.2026'!$H$2:$H$1919))*('EFETIVO 11.05.2026'!$G$2:$G$1919="A")*('EFETIVO 11.05.2026'!$C$2:$C$1919=B76))</f>
        <v>4</v>
      </c>
      <c r="D76" s="985" cm="1">
        <f t="array" ref="D76">SUMPRODUCT(ISNUMBER(SEARCH("736",'EFETIVO 11.05.2026'!$H$2:$H$1919))*('EFETIVO 11.05.2026'!$G$2:$G$1919="D")*('EFETIVO 11.05.2026'!$C$2:$C$1919=B76))</f>
        <v>2</v>
      </c>
      <c r="E76" s="986">
        <f t="shared" si="1"/>
        <v>1.0025062656641603E-2</v>
      </c>
      <c r="F76" s="985" cm="1">
        <f t="array" ref="F76">SUMPRODUCT(ISNUMBER(SEARCH("736",'EFETIVO 11.05.2026'!$H$2:$H$1919))*(('EFETIVO 11.05.2026'!$G$2:$G$1919="F")+('EFETIVO 11.05.2026'!$G$2:$G$1919="P")+('EFETIVO 11.05.2026'!$G$2:$G$1919="T")+('EFETIVO 11.05.2026'!$G$2:$G$1919="M"))*('EFETIVO 11.05.2026'!$C$2:$C$1919=B76))</f>
        <v>0</v>
      </c>
    </row>
    <row r="77" spans="2:6" x14ac:dyDescent="0.35">
      <c r="B77" s="981" t="s">
        <v>445</v>
      </c>
      <c r="C77" s="982" cm="1">
        <f t="array" ref="C77">SUMPRODUCT(ISNUMBER(SEARCH("736",'EFETIVO 11.05.2026'!$H$2:$H$1919))*('EFETIVO 11.05.2026'!$G$2:$G$1919="A")*('EFETIVO 11.05.2026'!$C$2:$C$1919=B77))</f>
        <v>3</v>
      </c>
      <c r="D77" s="982" cm="1">
        <f t="array" ref="D77">SUMPRODUCT(ISNUMBER(SEARCH("736",'EFETIVO 11.05.2026'!$H$2:$H$1919))*('EFETIVO 11.05.2026'!$G$2:$G$1919="D")*('EFETIVO 11.05.2026'!$C$2:$C$1919=B77))</f>
        <v>0</v>
      </c>
      <c r="E77" s="983">
        <f t="shared" si="1"/>
        <v>7.5187969924812026E-3</v>
      </c>
      <c r="F77" s="982" cm="1">
        <f t="array" ref="F77">SUMPRODUCT(ISNUMBER(SEARCH("736",'EFETIVO 11.05.2026'!$H$2:$H$1919))*(('EFETIVO 11.05.2026'!$G$2:$G$1919="F")+('EFETIVO 11.05.2026'!$G$2:$G$1919="P")+('EFETIVO 11.05.2026'!$G$2:$G$1919="T")+('EFETIVO 11.05.2026'!$G$2:$G$1919="M"))*('EFETIVO 11.05.2026'!$C$2:$C$1919=B77))</f>
        <v>0</v>
      </c>
    </row>
    <row r="78" spans="2:6" x14ac:dyDescent="0.35">
      <c r="B78" s="984" t="s">
        <v>2008</v>
      </c>
      <c r="C78" s="985" cm="1">
        <f t="array" ref="C78">SUMPRODUCT(ISNUMBER(SEARCH("736",'EFETIVO 11.05.2026'!$H$2:$H$1919))*('EFETIVO 11.05.2026'!$G$2:$G$1919="A")*('EFETIVO 11.05.2026'!$C$2:$C$1919=B78))</f>
        <v>2</v>
      </c>
      <c r="D78" s="985" cm="1">
        <f t="array" ref="D78">SUMPRODUCT(ISNUMBER(SEARCH("736",'EFETIVO 11.05.2026'!$H$2:$H$1919))*('EFETIVO 11.05.2026'!$G$2:$G$1919="D")*('EFETIVO 11.05.2026'!$C$2:$C$1919=B78))</f>
        <v>0</v>
      </c>
      <c r="E78" s="986">
        <f t="shared" si="1"/>
        <v>5.0125313283208017E-3</v>
      </c>
      <c r="F78" s="985" cm="1">
        <f t="array" ref="F78">SUMPRODUCT(ISNUMBER(SEARCH("736",'EFETIVO 11.05.2026'!$H$2:$H$1919))*(('EFETIVO 11.05.2026'!$G$2:$G$1919="F")+('EFETIVO 11.05.2026'!$G$2:$G$1919="P")+('EFETIVO 11.05.2026'!$G$2:$G$1919="T")+('EFETIVO 11.05.2026'!$G$2:$G$1919="M"))*('EFETIVO 11.05.2026'!$C$2:$C$1919=B78))</f>
        <v>0</v>
      </c>
    </row>
    <row r="79" spans="2:6" x14ac:dyDescent="0.35">
      <c r="B79" s="981" t="s">
        <v>1876</v>
      </c>
      <c r="C79" s="982" cm="1">
        <f t="array" ref="C79">SUMPRODUCT(ISNUMBER(SEARCH("736",'EFETIVO 11.05.2026'!$H$2:$H$1919))*('EFETIVO 11.05.2026'!$G$2:$G$1919="A")*('EFETIVO 11.05.2026'!$C$2:$C$1919=B79))</f>
        <v>2</v>
      </c>
      <c r="D79" s="982" cm="1">
        <f t="array" ref="D79">SUMPRODUCT(ISNUMBER(SEARCH("736",'EFETIVO 11.05.2026'!$H$2:$H$1919))*('EFETIVO 11.05.2026'!$G$2:$G$1919="D")*('EFETIVO 11.05.2026'!$C$2:$C$1919=B79))</f>
        <v>2</v>
      </c>
      <c r="E79" s="983">
        <f t="shared" ref="E79:E108" si="2">IFERROR(C79/$C$6,0)</f>
        <v>5.0125313283208017E-3</v>
      </c>
      <c r="F79" s="982" cm="1">
        <f t="array" ref="F79">SUMPRODUCT(ISNUMBER(SEARCH("736",'EFETIVO 11.05.2026'!$H$2:$H$1919))*(('EFETIVO 11.05.2026'!$G$2:$G$1919="F")+('EFETIVO 11.05.2026'!$G$2:$G$1919="P")+('EFETIVO 11.05.2026'!$G$2:$G$1919="T")+('EFETIVO 11.05.2026'!$G$2:$G$1919="M"))*('EFETIVO 11.05.2026'!$C$2:$C$1919=B79))</f>
        <v>0</v>
      </c>
    </row>
    <row r="80" spans="2:6" x14ac:dyDescent="0.35">
      <c r="B80" s="984" t="s">
        <v>2030</v>
      </c>
      <c r="C80" s="985" cm="1">
        <f t="array" ref="C80">SUMPRODUCT(ISNUMBER(SEARCH("736",'EFETIVO 11.05.2026'!$H$2:$H$1919))*('EFETIVO 11.05.2026'!$G$2:$G$1919="A")*('EFETIVO 11.05.2026'!$C$2:$C$1919=B80))</f>
        <v>1</v>
      </c>
      <c r="D80" s="985" cm="1">
        <f t="array" ref="D80">SUMPRODUCT(ISNUMBER(SEARCH("736",'EFETIVO 11.05.2026'!$H$2:$H$1919))*('EFETIVO 11.05.2026'!$G$2:$G$1919="D")*('EFETIVO 11.05.2026'!$C$2:$C$1919=B80))</f>
        <v>0</v>
      </c>
      <c r="E80" s="986">
        <f t="shared" si="2"/>
        <v>2.5062656641604009E-3</v>
      </c>
      <c r="F80" s="985" cm="1">
        <f t="array" ref="F80">SUMPRODUCT(ISNUMBER(SEARCH("736",'EFETIVO 11.05.2026'!$H$2:$H$1919))*(('EFETIVO 11.05.2026'!$G$2:$G$1919="F")+('EFETIVO 11.05.2026'!$G$2:$G$1919="P")+('EFETIVO 11.05.2026'!$G$2:$G$1919="T")+('EFETIVO 11.05.2026'!$G$2:$G$1919="M"))*('EFETIVO 11.05.2026'!$C$2:$C$1919=B80))</f>
        <v>0</v>
      </c>
    </row>
    <row r="81" spans="2:6" x14ac:dyDescent="0.35">
      <c r="B81" s="981" t="s">
        <v>1084</v>
      </c>
      <c r="C81" s="982" cm="1">
        <f t="array" ref="C81">SUMPRODUCT(ISNUMBER(SEARCH("736",'EFETIVO 11.05.2026'!$H$2:$H$1919))*('EFETIVO 11.05.2026'!$G$2:$G$1919="A")*('EFETIVO 11.05.2026'!$C$2:$C$1919=B81))</f>
        <v>2</v>
      </c>
      <c r="D81" s="982" cm="1">
        <f t="array" ref="D81">SUMPRODUCT(ISNUMBER(SEARCH("736",'EFETIVO 11.05.2026'!$H$2:$H$1919))*('EFETIVO 11.05.2026'!$G$2:$G$1919="D")*('EFETIVO 11.05.2026'!$C$2:$C$1919=B81))</f>
        <v>1</v>
      </c>
      <c r="E81" s="983">
        <f t="shared" si="2"/>
        <v>5.0125313283208017E-3</v>
      </c>
      <c r="F81" s="982" cm="1">
        <f t="array" ref="F81">SUMPRODUCT(ISNUMBER(SEARCH("736",'EFETIVO 11.05.2026'!$H$2:$H$1919))*(('EFETIVO 11.05.2026'!$G$2:$G$1919="F")+('EFETIVO 11.05.2026'!$G$2:$G$1919="P")+('EFETIVO 11.05.2026'!$G$2:$G$1919="T")+('EFETIVO 11.05.2026'!$G$2:$G$1919="M"))*('EFETIVO 11.05.2026'!$C$2:$C$1919=B81))</f>
        <v>0</v>
      </c>
    </row>
    <row r="82" spans="2:6" x14ac:dyDescent="0.35">
      <c r="B82" s="984" t="s">
        <v>874</v>
      </c>
      <c r="C82" s="985" cm="1">
        <f t="array" ref="C82">SUMPRODUCT(ISNUMBER(SEARCH("736",'EFETIVO 11.05.2026'!$H$2:$H$1919))*('EFETIVO 11.05.2026'!$G$2:$G$1919="A")*('EFETIVO 11.05.2026'!$C$2:$C$1919=B82))</f>
        <v>1</v>
      </c>
      <c r="D82" s="985" cm="1">
        <f t="array" ref="D82">SUMPRODUCT(ISNUMBER(SEARCH("736",'EFETIVO 11.05.2026'!$H$2:$H$1919))*('EFETIVO 11.05.2026'!$G$2:$G$1919="D")*('EFETIVO 11.05.2026'!$C$2:$C$1919=B82))</f>
        <v>0</v>
      </c>
      <c r="E82" s="986">
        <f t="shared" si="2"/>
        <v>2.5062656641604009E-3</v>
      </c>
      <c r="F82" s="985" cm="1">
        <f t="array" ref="F82">SUMPRODUCT(ISNUMBER(SEARCH("736",'EFETIVO 11.05.2026'!$H$2:$H$1919))*(('EFETIVO 11.05.2026'!$G$2:$G$1919="F")+('EFETIVO 11.05.2026'!$G$2:$G$1919="P")+('EFETIVO 11.05.2026'!$G$2:$G$1919="T")+('EFETIVO 11.05.2026'!$G$2:$G$1919="M"))*('EFETIVO 11.05.2026'!$C$2:$C$1919=B82))</f>
        <v>0</v>
      </c>
    </row>
    <row r="83" spans="2:6" x14ac:dyDescent="0.35">
      <c r="B83" s="981" t="s">
        <v>446</v>
      </c>
      <c r="C83" s="982" cm="1">
        <f t="array" ref="C83">SUMPRODUCT(ISNUMBER(SEARCH("736",'EFETIVO 11.05.2026'!$H$2:$H$1919))*('EFETIVO 11.05.2026'!$G$2:$G$1919="A")*('EFETIVO 11.05.2026'!$C$2:$C$1919=B83))</f>
        <v>0</v>
      </c>
      <c r="D83" s="982" cm="1">
        <f t="array" ref="D83">SUMPRODUCT(ISNUMBER(SEARCH("736",'EFETIVO 11.05.2026'!$H$2:$H$1919))*('EFETIVO 11.05.2026'!$G$2:$G$1919="D")*('EFETIVO 11.05.2026'!$C$2:$C$1919=B83))</f>
        <v>2</v>
      </c>
      <c r="E83" s="983">
        <f t="shared" si="2"/>
        <v>0</v>
      </c>
      <c r="F83" s="982" cm="1">
        <f t="array" ref="F83">SUMPRODUCT(ISNUMBER(SEARCH("736",'EFETIVO 11.05.2026'!$H$2:$H$1919))*(('EFETIVO 11.05.2026'!$G$2:$G$1919="F")+('EFETIVO 11.05.2026'!$G$2:$G$1919="P")+('EFETIVO 11.05.2026'!$G$2:$G$1919="T")+('EFETIVO 11.05.2026'!$G$2:$G$1919="M"))*('EFETIVO 11.05.2026'!$C$2:$C$1919=B83))</f>
        <v>0</v>
      </c>
    </row>
    <row r="84" spans="2:6" x14ac:dyDescent="0.35">
      <c r="B84" s="984" t="s">
        <v>768</v>
      </c>
      <c r="C84" s="985" cm="1">
        <f t="array" ref="C84">SUMPRODUCT(ISNUMBER(SEARCH("736",'EFETIVO 11.05.2026'!$H$2:$H$1919))*('EFETIVO 11.05.2026'!$G$2:$G$1919="A")*('EFETIVO 11.05.2026'!$C$2:$C$1919=B84))</f>
        <v>2</v>
      </c>
      <c r="D84" s="985" cm="1">
        <f t="array" ref="D84">SUMPRODUCT(ISNUMBER(SEARCH("736",'EFETIVO 11.05.2026'!$H$2:$H$1919))*('EFETIVO 11.05.2026'!$G$2:$G$1919="D")*('EFETIVO 11.05.2026'!$C$2:$C$1919=B84))</f>
        <v>0</v>
      </c>
      <c r="E84" s="986">
        <f t="shared" si="2"/>
        <v>5.0125313283208017E-3</v>
      </c>
      <c r="F84" s="985" cm="1">
        <f t="array" ref="F84">SUMPRODUCT(ISNUMBER(SEARCH("736",'EFETIVO 11.05.2026'!$H$2:$H$1919))*(('EFETIVO 11.05.2026'!$G$2:$G$1919="F")+('EFETIVO 11.05.2026'!$G$2:$G$1919="P")+('EFETIVO 11.05.2026'!$G$2:$G$1919="T")+('EFETIVO 11.05.2026'!$G$2:$G$1919="M"))*('EFETIVO 11.05.2026'!$C$2:$C$1919=B84))</f>
        <v>0</v>
      </c>
    </row>
    <row r="85" spans="2:6" x14ac:dyDescent="0.35">
      <c r="B85" s="981" t="s">
        <v>3871</v>
      </c>
      <c r="C85" s="982" cm="1">
        <f t="array" ref="C85">SUMPRODUCT(ISNUMBER(SEARCH("736",'EFETIVO 11.05.2026'!$H$2:$H$1919))*('EFETIVO 11.05.2026'!$G$2:$G$1919="A")*('EFETIVO 11.05.2026'!$C$2:$C$1919=B85))</f>
        <v>1</v>
      </c>
      <c r="D85" s="982" cm="1">
        <f t="array" ref="D85">SUMPRODUCT(ISNUMBER(SEARCH("736",'EFETIVO 11.05.2026'!$H$2:$H$1919))*('EFETIVO 11.05.2026'!$G$2:$G$1919="D")*('EFETIVO 11.05.2026'!$C$2:$C$1919=B85))</f>
        <v>0</v>
      </c>
      <c r="E85" s="983">
        <f t="shared" si="2"/>
        <v>2.5062656641604009E-3</v>
      </c>
      <c r="F85" s="982" cm="1">
        <f t="array" ref="F85">SUMPRODUCT(ISNUMBER(SEARCH("736",'EFETIVO 11.05.2026'!$H$2:$H$1919))*(('EFETIVO 11.05.2026'!$G$2:$G$1919="F")+('EFETIVO 11.05.2026'!$G$2:$G$1919="P")+('EFETIVO 11.05.2026'!$G$2:$G$1919="T")+('EFETIVO 11.05.2026'!$G$2:$G$1919="M"))*('EFETIVO 11.05.2026'!$C$2:$C$1919=B85))</f>
        <v>0</v>
      </c>
    </row>
    <row r="86" spans="2:6" x14ac:dyDescent="0.35">
      <c r="B86" s="984" t="s">
        <v>2292</v>
      </c>
      <c r="C86" s="985" cm="1">
        <f t="array" ref="C86">SUMPRODUCT(ISNUMBER(SEARCH("736",'EFETIVO 11.05.2026'!$H$2:$H$1919))*('EFETIVO 11.05.2026'!$G$2:$G$1919="A")*('EFETIVO 11.05.2026'!$C$2:$C$1919=B86))</f>
        <v>0</v>
      </c>
      <c r="D86" s="985" cm="1">
        <f t="array" ref="D86">SUMPRODUCT(ISNUMBER(SEARCH("736",'EFETIVO 11.05.2026'!$H$2:$H$1919))*('EFETIVO 11.05.2026'!$G$2:$G$1919="D")*('EFETIVO 11.05.2026'!$C$2:$C$1919=B86))</f>
        <v>1</v>
      </c>
      <c r="E86" s="986">
        <f t="shared" si="2"/>
        <v>0</v>
      </c>
      <c r="F86" s="985" cm="1">
        <f t="array" ref="F86">SUMPRODUCT(ISNUMBER(SEARCH("736",'EFETIVO 11.05.2026'!$H$2:$H$1919))*(('EFETIVO 11.05.2026'!$G$2:$G$1919="F")+('EFETIVO 11.05.2026'!$G$2:$G$1919="P")+('EFETIVO 11.05.2026'!$G$2:$G$1919="T")+('EFETIVO 11.05.2026'!$G$2:$G$1919="M"))*('EFETIVO 11.05.2026'!$C$2:$C$1919=B86))</f>
        <v>0</v>
      </c>
    </row>
    <row r="87" spans="2:6" x14ac:dyDescent="0.35">
      <c r="B87" s="981" t="s">
        <v>450</v>
      </c>
      <c r="C87" s="982" cm="1">
        <f t="array" ref="C87">SUMPRODUCT(ISNUMBER(SEARCH("736",'EFETIVO 11.05.2026'!$H$2:$H$1919))*('EFETIVO 11.05.2026'!$G$2:$G$1919="A")*('EFETIVO 11.05.2026'!$C$2:$C$1919=B87))</f>
        <v>1</v>
      </c>
      <c r="D87" s="982" cm="1">
        <f t="array" ref="D87">SUMPRODUCT(ISNUMBER(SEARCH("736",'EFETIVO 11.05.2026'!$H$2:$H$1919))*('EFETIVO 11.05.2026'!$G$2:$G$1919="D")*('EFETIVO 11.05.2026'!$C$2:$C$1919=B87))</f>
        <v>0</v>
      </c>
      <c r="E87" s="983">
        <f t="shared" si="2"/>
        <v>2.5062656641604009E-3</v>
      </c>
      <c r="F87" s="982" cm="1">
        <f t="array" ref="F87">SUMPRODUCT(ISNUMBER(SEARCH("736",'EFETIVO 11.05.2026'!$H$2:$H$1919))*(('EFETIVO 11.05.2026'!$G$2:$G$1919="F")+('EFETIVO 11.05.2026'!$G$2:$G$1919="P")+('EFETIVO 11.05.2026'!$G$2:$G$1919="T")+('EFETIVO 11.05.2026'!$G$2:$G$1919="M"))*('EFETIVO 11.05.2026'!$C$2:$C$1919=B87))</f>
        <v>0</v>
      </c>
    </row>
    <row r="88" spans="2:6" x14ac:dyDescent="0.35">
      <c r="B88" s="984" t="s">
        <v>1125</v>
      </c>
      <c r="C88" s="985" cm="1">
        <f t="array" ref="C88">SUMPRODUCT(ISNUMBER(SEARCH("736",'EFETIVO 11.05.2026'!$H$2:$H$1919))*('EFETIVO 11.05.2026'!$G$2:$G$1919="A")*('EFETIVO 11.05.2026'!$C$2:$C$1919=B88))</f>
        <v>2</v>
      </c>
      <c r="D88" s="985" cm="1">
        <f t="array" ref="D88">SUMPRODUCT(ISNUMBER(SEARCH("736",'EFETIVO 11.05.2026'!$H$2:$H$1919))*('EFETIVO 11.05.2026'!$G$2:$G$1919="D")*('EFETIVO 11.05.2026'!$C$2:$C$1919=B88))</f>
        <v>1</v>
      </c>
      <c r="E88" s="986">
        <f t="shared" si="2"/>
        <v>5.0125313283208017E-3</v>
      </c>
      <c r="F88" s="985" cm="1">
        <f t="array" ref="F88">SUMPRODUCT(ISNUMBER(SEARCH("736",'EFETIVO 11.05.2026'!$H$2:$H$1919))*(('EFETIVO 11.05.2026'!$G$2:$G$1919="F")+('EFETIVO 11.05.2026'!$G$2:$G$1919="P")+('EFETIVO 11.05.2026'!$G$2:$G$1919="T")+('EFETIVO 11.05.2026'!$G$2:$G$1919="M"))*('EFETIVO 11.05.2026'!$C$2:$C$1919=B88))</f>
        <v>0</v>
      </c>
    </row>
    <row r="89" spans="2:6" x14ac:dyDescent="0.35">
      <c r="B89" s="981" t="s">
        <v>451</v>
      </c>
      <c r="C89" s="982" cm="1">
        <f t="array" ref="C89">SUMPRODUCT(ISNUMBER(SEARCH("736",'EFETIVO 11.05.2026'!$H$2:$H$1919))*('EFETIVO 11.05.2026'!$G$2:$G$1919="A")*('EFETIVO 11.05.2026'!$C$2:$C$1919=B89))</f>
        <v>3</v>
      </c>
      <c r="D89" s="982" cm="1">
        <f t="array" ref="D89">SUMPRODUCT(ISNUMBER(SEARCH("736",'EFETIVO 11.05.2026'!$H$2:$H$1919))*('EFETIVO 11.05.2026'!$G$2:$G$1919="D")*('EFETIVO 11.05.2026'!$C$2:$C$1919=B89))</f>
        <v>0</v>
      </c>
      <c r="E89" s="983">
        <f t="shared" si="2"/>
        <v>7.5187969924812026E-3</v>
      </c>
      <c r="F89" s="982" cm="1">
        <f t="array" ref="F89">SUMPRODUCT(ISNUMBER(SEARCH("736",'EFETIVO 11.05.2026'!$H$2:$H$1919))*(('EFETIVO 11.05.2026'!$G$2:$G$1919="F")+('EFETIVO 11.05.2026'!$G$2:$G$1919="P")+('EFETIVO 11.05.2026'!$G$2:$G$1919="T")+('EFETIVO 11.05.2026'!$G$2:$G$1919="M"))*('EFETIVO 11.05.2026'!$C$2:$C$1919=B89))</f>
        <v>0</v>
      </c>
    </row>
    <row r="90" spans="2:6" x14ac:dyDescent="0.35">
      <c r="B90" s="984" t="s">
        <v>3495</v>
      </c>
      <c r="C90" s="985" cm="1">
        <f t="array" ref="C90">SUMPRODUCT(ISNUMBER(SEARCH("736",'EFETIVO 11.05.2026'!$H$2:$H$1919))*('EFETIVO 11.05.2026'!$G$2:$G$1919="A")*('EFETIVO 11.05.2026'!$C$2:$C$1919=B90))</f>
        <v>1</v>
      </c>
      <c r="D90" s="985" cm="1">
        <f t="array" ref="D90">SUMPRODUCT(ISNUMBER(SEARCH("736",'EFETIVO 11.05.2026'!$H$2:$H$1919))*('EFETIVO 11.05.2026'!$G$2:$G$1919="D")*('EFETIVO 11.05.2026'!$C$2:$C$1919=B90))</f>
        <v>0</v>
      </c>
      <c r="E90" s="986">
        <f t="shared" si="2"/>
        <v>2.5062656641604009E-3</v>
      </c>
      <c r="F90" s="985" cm="1">
        <f t="array" ref="F90">SUMPRODUCT(ISNUMBER(SEARCH("736",'EFETIVO 11.05.2026'!$H$2:$H$1919))*(('EFETIVO 11.05.2026'!$G$2:$G$1919="F")+('EFETIVO 11.05.2026'!$G$2:$G$1919="P")+('EFETIVO 11.05.2026'!$G$2:$G$1919="T")+('EFETIVO 11.05.2026'!$G$2:$G$1919="M"))*('EFETIVO 11.05.2026'!$C$2:$C$1919=B90))</f>
        <v>0</v>
      </c>
    </row>
    <row r="91" spans="2:6" x14ac:dyDescent="0.35">
      <c r="B91" s="981" t="s">
        <v>453</v>
      </c>
      <c r="C91" s="982" cm="1">
        <f t="array" ref="C91">SUMPRODUCT(ISNUMBER(SEARCH("736",'EFETIVO 11.05.2026'!$H$2:$H$1919))*('EFETIVO 11.05.2026'!$G$2:$G$1919="A")*('EFETIVO 11.05.2026'!$C$2:$C$1919=B91))</f>
        <v>1</v>
      </c>
      <c r="D91" s="982" cm="1">
        <f t="array" ref="D91">SUMPRODUCT(ISNUMBER(SEARCH("736",'EFETIVO 11.05.2026'!$H$2:$H$1919))*('EFETIVO 11.05.2026'!$G$2:$G$1919="D")*('EFETIVO 11.05.2026'!$C$2:$C$1919=B91))</f>
        <v>0</v>
      </c>
      <c r="E91" s="983">
        <f t="shared" si="2"/>
        <v>2.5062656641604009E-3</v>
      </c>
      <c r="F91" s="982" cm="1">
        <f t="array" ref="F91">SUMPRODUCT(ISNUMBER(SEARCH("736",'EFETIVO 11.05.2026'!$H$2:$H$1919))*(('EFETIVO 11.05.2026'!$G$2:$G$1919="F")+('EFETIVO 11.05.2026'!$G$2:$G$1919="P")+('EFETIVO 11.05.2026'!$G$2:$G$1919="T")+('EFETIVO 11.05.2026'!$G$2:$G$1919="M"))*('EFETIVO 11.05.2026'!$C$2:$C$1919=B91))</f>
        <v>0</v>
      </c>
    </row>
    <row r="92" spans="2:6" x14ac:dyDescent="0.35">
      <c r="B92" s="984" t="s">
        <v>454</v>
      </c>
      <c r="C92" s="985" cm="1">
        <f t="array" ref="C92">SUMPRODUCT(ISNUMBER(SEARCH("736",'EFETIVO 11.05.2026'!$H$2:$H$1919))*('EFETIVO 11.05.2026'!$G$2:$G$1919="A")*('EFETIVO 11.05.2026'!$C$2:$C$1919=B92))</f>
        <v>1</v>
      </c>
      <c r="D92" s="985" cm="1">
        <f t="array" ref="D92">SUMPRODUCT(ISNUMBER(SEARCH("736",'EFETIVO 11.05.2026'!$H$2:$H$1919))*('EFETIVO 11.05.2026'!$G$2:$G$1919="D")*('EFETIVO 11.05.2026'!$C$2:$C$1919=B92))</f>
        <v>0</v>
      </c>
      <c r="E92" s="986">
        <f t="shared" si="2"/>
        <v>2.5062656641604009E-3</v>
      </c>
      <c r="F92" s="985" cm="1">
        <f t="array" ref="F92">SUMPRODUCT(ISNUMBER(SEARCH("736",'EFETIVO 11.05.2026'!$H$2:$H$1919))*(('EFETIVO 11.05.2026'!$G$2:$G$1919="F")+('EFETIVO 11.05.2026'!$G$2:$G$1919="P")+('EFETIVO 11.05.2026'!$G$2:$G$1919="T")+('EFETIVO 11.05.2026'!$G$2:$G$1919="M"))*('EFETIVO 11.05.2026'!$C$2:$C$1919=B92))</f>
        <v>0</v>
      </c>
    </row>
    <row r="93" spans="2:6" x14ac:dyDescent="0.35">
      <c r="B93" s="981" t="s">
        <v>455</v>
      </c>
      <c r="C93" s="982" cm="1">
        <f t="array" ref="C93">SUMPRODUCT(ISNUMBER(SEARCH("736",'EFETIVO 11.05.2026'!$H$2:$H$1919))*('EFETIVO 11.05.2026'!$G$2:$G$1919="A")*('EFETIVO 11.05.2026'!$C$2:$C$1919=B93))</f>
        <v>7</v>
      </c>
      <c r="D93" s="982" cm="1">
        <f t="array" ref="D93">SUMPRODUCT(ISNUMBER(SEARCH("736",'EFETIVO 11.05.2026'!$H$2:$H$1919))*('EFETIVO 11.05.2026'!$G$2:$G$1919="D")*('EFETIVO 11.05.2026'!$C$2:$C$1919=B93))</f>
        <v>2</v>
      </c>
      <c r="E93" s="983">
        <f t="shared" si="2"/>
        <v>1.7543859649122806E-2</v>
      </c>
      <c r="F93" s="982" cm="1">
        <f t="array" ref="F93">SUMPRODUCT(ISNUMBER(SEARCH("736",'EFETIVO 11.05.2026'!$H$2:$H$1919))*(('EFETIVO 11.05.2026'!$G$2:$G$1919="F")+('EFETIVO 11.05.2026'!$G$2:$G$1919="P")+('EFETIVO 11.05.2026'!$G$2:$G$1919="T")+('EFETIVO 11.05.2026'!$G$2:$G$1919="M"))*('EFETIVO 11.05.2026'!$C$2:$C$1919=B93))</f>
        <v>0</v>
      </c>
    </row>
    <row r="94" spans="2:6" x14ac:dyDescent="0.35">
      <c r="B94" s="984" t="s">
        <v>2627</v>
      </c>
      <c r="C94" s="985" cm="1">
        <f t="array" ref="C94">SUMPRODUCT(ISNUMBER(SEARCH("736",'EFETIVO 11.05.2026'!$H$2:$H$1919))*('EFETIVO 11.05.2026'!$G$2:$G$1919="A")*('EFETIVO 11.05.2026'!$C$2:$C$1919=B94))</f>
        <v>1</v>
      </c>
      <c r="D94" s="985" cm="1">
        <f t="array" ref="D94">SUMPRODUCT(ISNUMBER(SEARCH("736",'EFETIVO 11.05.2026'!$H$2:$H$1919))*('EFETIVO 11.05.2026'!$G$2:$G$1919="D")*('EFETIVO 11.05.2026'!$C$2:$C$1919=B94))</f>
        <v>0</v>
      </c>
      <c r="E94" s="986">
        <f t="shared" si="2"/>
        <v>2.5062656641604009E-3</v>
      </c>
      <c r="F94" s="985" cm="1">
        <f t="array" ref="F94">SUMPRODUCT(ISNUMBER(SEARCH("736",'EFETIVO 11.05.2026'!$H$2:$H$1919))*(('EFETIVO 11.05.2026'!$G$2:$G$1919="F")+('EFETIVO 11.05.2026'!$G$2:$G$1919="P")+('EFETIVO 11.05.2026'!$G$2:$G$1919="T")+('EFETIVO 11.05.2026'!$G$2:$G$1919="M"))*('EFETIVO 11.05.2026'!$C$2:$C$1919=B94))</f>
        <v>0</v>
      </c>
    </row>
    <row r="95" spans="2:6" x14ac:dyDescent="0.35">
      <c r="B95" s="981" t="s">
        <v>600</v>
      </c>
      <c r="C95" s="982" cm="1">
        <f t="array" ref="C95">SUMPRODUCT(ISNUMBER(SEARCH("736",'EFETIVO 11.05.2026'!$H$2:$H$1919))*('EFETIVO 11.05.2026'!$G$2:$G$1919="A")*('EFETIVO 11.05.2026'!$C$2:$C$1919=B95))</f>
        <v>3</v>
      </c>
      <c r="D95" s="982" cm="1">
        <f t="array" ref="D95">SUMPRODUCT(ISNUMBER(SEARCH("736",'EFETIVO 11.05.2026'!$H$2:$H$1919))*('EFETIVO 11.05.2026'!$G$2:$G$1919="D")*('EFETIVO 11.05.2026'!$C$2:$C$1919=B95))</f>
        <v>0</v>
      </c>
      <c r="E95" s="983">
        <f t="shared" si="2"/>
        <v>7.5187969924812026E-3</v>
      </c>
      <c r="F95" s="982" cm="1">
        <f t="array" ref="F95">SUMPRODUCT(ISNUMBER(SEARCH("736",'EFETIVO 11.05.2026'!$H$2:$H$1919))*(('EFETIVO 11.05.2026'!$G$2:$G$1919="F")+('EFETIVO 11.05.2026'!$G$2:$G$1919="P")+('EFETIVO 11.05.2026'!$G$2:$G$1919="T")+('EFETIVO 11.05.2026'!$G$2:$G$1919="M"))*('EFETIVO 11.05.2026'!$C$2:$C$1919=B95))</f>
        <v>0</v>
      </c>
    </row>
    <row r="96" spans="2:6" x14ac:dyDescent="0.35">
      <c r="B96" s="984" t="s">
        <v>1539</v>
      </c>
      <c r="C96" s="985" cm="1">
        <f t="array" ref="C96">SUMPRODUCT(ISNUMBER(SEARCH("736",'EFETIVO 11.05.2026'!$H$2:$H$1919))*('EFETIVO 11.05.2026'!$G$2:$G$1919="A")*('EFETIVO 11.05.2026'!$C$2:$C$1919=B96))</f>
        <v>0</v>
      </c>
      <c r="D96" s="985" cm="1">
        <f t="array" ref="D96">SUMPRODUCT(ISNUMBER(SEARCH("736",'EFETIVO 11.05.2026'!$H$2:$H$1919))*('EFETIVO 11.05.2026'!$G$2:$G$1919="D")*('EFETIVO 11.05.2026'!$C$2:$C$1919=B96))</f>
        <v>1</v>
      </c>
      <c r="E96" s="986">
        <f t="shared" si="2"/>
        <v>0</v>
      </c>
      <c r="F96" s="985" cm="1">
        <f t="array" ref="F96">SUMPRODUCT(ISNUMBER(SEARCH("736",'EFETIVO 11.05.2026'!$H$2:$H$1919))*(('EFETIVO 11.05.2026'!$G$2:$G$1919="F")+('EFETIVO 11.05.2026'!$G$2:$G$1919="P")+('EFETIVO 11.05.2026'!$G$2:$G$1919="T")+('EFETIVO 11.05.2026'!$G$2:$G$1919="M"))*('EFETIVO 11.05.2026'!$C$2:$C$1919=B96))</f>
        <v>0</v>
      </c>
    </row>
    <row r="97" spans="2:6" x14ac:dyDescent="0.35">
      <c r="B97" s="981" t="s">
        <v>1769</v>
      </c>
      <c r="C97" s="982" cm="1">
        <f t="array" ref="C97">SUMPRODUCT(ISNUMBER(SEARCH("736",'EFETIVO 11.05.2026'!$H$2:$H$1919))*('EFETIVO 11.05.2026'!$G$2:$G$1919="A")*('EFETIVO 11.05.2026'!$C$2:$C$1919=B97))</f>
        <v>1</v>
      </c>
      <c r="D97" s="982" cm="1">
        <f t="array" ref="D97">SUMPRODUCT(ISNUMBER(SEARCH("736",'EFETIVO 11.05.2026'!$H$2:$H$1919))*('EFETIVO 11.05.2026'!$G$2:$G$1919="D")*('EFETIVO 11.05.2026'!$C$2:$C$1919=B97))</f>
        <v>0</v>
      </c>
      <c r="E97" s="983">
        <f t="shared" si="2"/>
        <v>2.5062656641604009E-3</v>
      </c>
      <c r="F97" s="982" cm="1">
        <f t="array" ref="F97">SUMPRODUCT(ISNUMBER(SEARCH("736",'EFETIVO 11.05.2026'!$H$2:$H$1919))*(('EFETIVO 11.05.2026'!$G$2:$G$1919="F")+('EFETIVO 11.05.2026'!$G$2:$G$1919="P")+('EFETIVO 11.05.2026'!$G$2:$G$1919="T")+('EFETIVO 11.05.2026'!$G$2:$G$1919="M"))*('EFETIVO 11.05.2026'!$C$2:$C$1919=B97))</f>
        <v>0</v>
      </c>
    </row>
    <row r="98" spans="2:6" x14ac:dyDescent="0.35">
      <c r="B98" s="984" t="s">
        <v>456</v>
      </c>
      <c r="C98" s="985" cm="1">
        <f t="array" ref="C98">SUMPRODUCT(ISNUMBER(SEARCH("736",'EFETIVO 11.05.2026'!$H$2:$H$1919))*('EFETIVO 11.05.2026'!$G$2:$G$1919="A")*('EFETIVO 11.05.2026'!$C$2:$C$1919=B98))</f>
        <v>2</v>
      </c>
      <c r="D98" s="985" cm="1">
        <f t="array" ref="D98">SUMPRODUCT(ISNUMBER(SEARCH("736",'EFETIVO 11.05.2026'!$H$2:$H$1919))*('EFETIVO 11.05.2026'!$G$2:$G$1919="D")*('EFETIVO 11.05.2026'!$C$2:$C$1919=B98))</f>
        <v>0</v>
      </c>
      <c r="E98" s="986">
        <f t="shared" si="2"/>
        <v>5.0125313283208017E-3</v>
      </c>
      <c r="F98" s="985" cm="1">
        <f t="array" ref="F98">SUMPRODUCT(ISNUMBER(SEARCH("736",'EFETIVO 11.05.2026'!$H$2:$H$1919))*(('EFETIVO 11.05.2026'!$G$2:$G$1919="F")+('EFETIVO 11.05.2026'!$G$2:$G$1919="P")+('EFETIVO 11.05.2026'!$G$2:$G$1919="T")+('EFETIVO 11.05.2026'!$G$2:$G$1919="M"))*('EFETIVO 11.05.2026'!$C$2:$C$1919=B98))</f>
        <v>1</v>
      </c>
    </row>
    <row r="99" spans="2:6" x14ac:dyDescent="0.35">
      <c r="B99" s="981" t="s">
        <v>2751</v>
      </c>
      <c r="C99" s="982" cm="1">
        <f t="array" ref="C99">SUMPRODUCT(ISNUMBER(SEARCH("736",'EFETIVO 11.05.2026'!$H$2:$H$1919))*('EFETIVO 11.05.2026'!$G$2:$G$1919="A")*('EFETIVO 11.05.2026'!$C$2:$C$1919=B99))</f>
        <v>1</v>
      </c>
      <c r="D99" s="982" cm="1">
        <f t="array" ref="D99">SUMPRODUCT(ISNUMBER(SEARCH("736",'EFETIVO 11.05.2026'!$H$2:$H$1919))*('EFETIVO 11.05.2026'!$G$2:$G$1919="D")*('EFETIVO 11.05.2026'!$C$2:$C$1919=B99))</f>
        <v>0</v>
      </c>
      <c r="E99" s="983">
        <f t="shared" si="2"/>
        <v>2.5062656641604009E-3</v>
      </c>
      <c r="F99" s="982" cm="1">
        <f t="array" ref="F99">SUMPRODUCT(ISNUMBER(SEARCH("736",'EFETIVO 11.05.2026'!$H$2:$H$1919))*(('EFETIVO 11.05.2026'!$G$2:$G$1919="F")+('EFETIVO 11.05.2026'!$G$2:$G$1919="P")+('EFETIVO 11.05.2026'!$G$2:$G$1919="T")+('EFETIVO 11.05.2026'!$G$2:$G$1919="M"))*('EFETIVO 11.05.2026'!$C$2:$C$1919=B99))</f>
        <v>1</v>
      </c>
    </row>
    <row r="100" spans="2:6" x14ac:dyDescent="0.35">
      <c r="B100" s="984" t="s">
        <v>1213</v>
      </c>
      <c r="C100" s="985" cm="1">
        <f t="array" ref="C100">SUMPRODUCT(ISNUMBER(SEARCH("736",'EFETIVO 11.05.2026'!$H$2:$H$1919))*('EFETIVO 11.05.2026'!$G$2:$G$1919="A")*('EFETIVO 11.05.2026'!$C$2:$C$1919=B100))</f>
        <v>4</v>
      </c>
      <c r="D100" s="985" cm="1">
        <f t="array" ref="D100">SUMPRODUCT(ISNUMBER(SEARCH("736",'EFETIVO 11.05.2026'!$H$2:$H$1919))*('EFETIVO 11.05.2026'!$G$2:$G$1919="D")*('EFETIVO 11.05.2026'!$C$2:$C$1919=B100))</f>
        <v>2</v>
      </c>
      <c r="E100" s="986">
        <f t="shared" si="2"/>
        <v>1.0025062656641603E-2</v>
      </c>
      <c r="F100" s="985" cm="1">
        <f t="array" ref="F100">SUMPRODUCT(ISNUMBER(SEARCH("736",'EFETIVO 11.05.2026'!$H$2:$H$1919))*(('EFETIVO 11.05.2026'!$G$2:$G$1919="F")+('EFETIVO 11.05.2026'!$G$2:$G$1919="P")+('EFETIVO 11.05.2026'!$G$2:$G$1919="T")+('EFETIVO 11.05.2026'!$G$2:$G$1919="M"))*('EFETIVO 11.05.2026'!$C$2:$C$1919=B100))</f>
        <v>0</v>
      </c>
    </row>
    <row r="101" spans="2:6" x14ac:dyDescent="0.35">
      <c r="B101" s="981" t="s">
        <v>1834</v>
      </c>
      <c r="C101" s="982" cm="1">
        <f t="array" ref="C101">SUMPRODUCT(ISNUMBER(SEARCH("736",'EFETIVO 11.05.2026'!$H$2:$H$1919))*('EFETIVO 11.05.2026'!$G$2:$G$1919="A")*('EFETIVO 11.05.2026'!$C$2:$C$1919=B101))</f>
        <v>1</v>
      </c>
      <c r="D101" s="982" cm="1">
        <f t="array" ref="D101">SUMPRODUCT(ISNUMBER(SEARCH("736",'EFETIVO 11.05.2026'!$H$2:$H$1919))*('EFETIVO 11.05.2026'!$G$2:$G$1919="D")*('EFETIVO 11.05.2026'!$C$2:$C$1919=B101))</f>
        <v>1</v>
      </c>
      <c r="E101" s="983">
        <f t="shared" si="2"/>
        <v>2.5062656641604009E-3</v>
      </c>
      <c r="F101" s="982" cm="1">
        <f t="array" ref="F101">SUMPRODUCT(ISNUMBER(SEARCH("736",'EFETIVO 11.05.2026'!$H$2:$H$1919))*(('EFETIVO 11.05.2026'!$G$2:$G$1919="F")+('EFETIVO 11.05.2026'!$G$2:$G$1919="P")+('EFETIVO 11.05.2026'!$G$2:$G$1919="T")+('EFETIVO 11.05.2026'!$G$2:$G$1919="M"))*('EFETIVO 11.05.2026'!$C$2:$C$1919=B101))</f>
        <v>0</v>
      </c>
    </row>
    <row r="102" spans="2:6" x14ac:dyDescent="0.35">
      <c r="B102" s="984" t="s">
        <v>1291</v>
      </c>
      <c r="C102" s="985" cm="1">
        <f t="array" ref="C102">SUMPRODUCT(ISNUMBER(SEARCH("736",'EFETIVO 11.05.2026'!$H$2:$H$1919))*('EFETIVO 11.05.2026'!$G$2:$G$1919="A")*('EFETIVO 11.05.2026'!$C$2:$C$1919=B102))</f>
        <v>3</v>
      </c>
      <c r="D102" s="985" cm="1">
        <f t="array" ref="D102">SUMPRODUCT(ISNUMBER(SEARCH("736",'EFETIVO 11.05.2026'!$H$2:$H$1919))*('EFETIVO 11.05.2026'!$G$2:$G$1919="D")*('EFETIVO 11.05.2026'!$C$2:$C$1919=B102))</f>
        <v>1</v>
      </c>
      <c r="E102" s="986">
        <f t="shared" si="2"/>
        <v>7.5187969924812026E-3</v>
      </c>
      <c r="F102" s="985" cm="1">
        <f t="array" ref="F102">SUMPRODUCT(ISNUMBER(SEARCH("736",'EFETIVO 11.05.2026'!$H$2:$H$1919))*(('EFETIVO 11.05.2026'!$G$2:$G$1919="F")+('EFETIVO 11.05.2026'!$G$2:$G$1919="P")+('EFETIVO 11.05.2026'!$G$2:$G$1919="T")+('EFETIVO 11.05.2026'!$G$2:$G$1919="M"))*('EFETIVO 11.05.2026'!$C$2:$C$1919=B102))</f>
        <v>0</v>
      </c>
    </row>
    <row r="103" spans="2:6" x14ac:dyDescent="0.35">
      <c r="B103" s="981" t="s">
        <v>457</v>
      </c>
      <c r="C103" s="982" cm="1">
        <f t="array" ref="C103">SUMPRODUCT(ISNUMBER(SEARCH("736",'EFETIVO 11.05.2026'!$H$2:$H$1919))*('EFETIVO 11.05.2026'!$G$2:$G$1919="A")*('EFETIVO 11.05.2026'!$C$2:$C$1919=B103))</f>
        <v>7</v>
      </c>
      <c r="D103" s="982" cm="1">
        <f t="array" ref="D103">SUMPRODUCT(ISNUMBER(SEARCH("736",'EFETIVO 11.05.2026'!$H$2:$H$1919))*('EFETIVO 11.05.2026'!$G$2:$G$1919="D")*('EFETIVO 11.05.2026'!$C$2:$C$1919=B103))</f>
        <v>8</v>
      </c>
      <c r="E103" s="983">
        <f t="shared" si="2"/>
        <v>1.7543859649122806E-2</v>
      </c>
      <c r="F103" s="982" cm="1">
        <f t="array" ref="F103">SUMPRODUCT(ISNUMBER(SEARCH("736",'EFETIVO 11.05.2026'!$H$2:$H$1919))*(('EFETIVO 11.05.2026'!$G$2:$G$1919="F")+('EFETIVO 11.05.2026'!$G$2:$G$1919="P")+('EFETIVO 11.05.2026'!$G$2:$G$1919="T")+('EFETIVO 11.05.2026'!$G$2:$G$1919="M"))*('EFETIVO 11.05.2026'!$C$2:$C$1919=B103))</f>
        <v>0</v>
      </c>
    </row>
    <row r="104" spans="2:6" x14ac:dyDescent="0.35">
      <c r="B104" s="984" t="s">
        <v>1440</v>
      </c>
      <c r="C104" s="985" cm="1">
        <f t="array" ref="C104">SUMPRODUCT(ISNUMBER(SEARCH("736",'EFETIVO 11.05.2026'!$H$2:$H$1919))*('EFETIVO 11.05.2026'!$G$2:$G$1919="A")*('EFETIVO 11.05.2026'!$C$2:$C$1919=B104))</f>
        <v>2</v>
      </c>
      <c r="D104" s="985" cm="1">
        <f t="array" ref="D104">SUMPRODUCT(ISNUMBER(SEARCH("736",'EFETIVO 11.05.2026'!$H$2:$H$1919))*('EFETIVO 11.05.2026'!$G$2:$G$1919="D")*('EFETIVO 11.05.2026'!$C$2:$C$1919=B104))</f>
        <v>1</v>
      </c>
      <c r="E104" s="986">
        <f t="shared" si="2"/>
        <v>5.0125313283208017E-3</v>
      </c>
      <c r="F104" s="985" cm="1">
        <f t="array" ref="F104">SUMPRODUCT(ISNUMBER(SEARCH("736",'EFETIVO 11.05.2026'!$H$2:$H$1919))*(('EFETIVO 11.05.2026'!$G$2:$G$1919="F")+('EFETIVO 11.05.2026'!$G$2:$G$1919="P")+('EFETIVO 11.05.2026'!$G$2:$G$1919="T")+('EFETIVO 11.05.2026'!$G$2:$G$1919="M"))*('EFETIVO 11.05.2026'!$C$2:$C$1919=B104))</f>
        <v>1</v>
      </c>
    </row>
    <row r="105" spans="2:6" x14ac:dyDescent="0.35">
      <c r="B105" s="981" t="s">
        <v>751</v>
      </c>
      <c r="C105" s="982" cm="1">
        <f t="array" ref="C105">SUMPRODUCT(ISNUMBER(SEARCH("736",'EFETIVO 11.05.2026'!$H$2:$H$1919))*('EFETIVO 11.05.2026'!$G$2:$G$1919="A")*('EFETIVO 11.05.2026'!$C$2:$C$1919=B105))</f>
        <v>1</v>
      </c>
      <c r="D105" s="982" cm="1">
        <f t="array" ref="D105">SUMPRODUCT(ISNUMBER(SEARCH("736",'EFETIVO 11.05.2026'!$H$2:$H$1919))*('EFETIVO 11.05.2026'!$G$2:$G$1919="D")*('EFETIVO 11.05.2026'!$C$2:$C$1919=B105))</f>
        <v>0</v>
      </c>
      <c r="E105" s="983">
        <f t="shared" si="2"/>
        <v>2.5062656641604009E-3</v>
      </c>
      <c r="F105" s="982" cm="1">
        <f t="array" ref="F105">SUMPRODUCT(ISNUMBER(SEARCH("736",'EFETIVO 11.05.2026'!$H$2:$H$1919))*(('EFETIVO 11.05.2026'!$G$2:$G$1919="F")+('EFETIVO 11.05.2026'!$G$2:$G$1919="P")+('EFETIVO 11.05.2026'!$G$2:$G$1919="T")+('EFETIVO 11.05.2026'!$G$2:$G$1919="M"))*('EFETIVO 11.05.2026'!$C$2:$C$1919=B105))</f>
        <v>0</v>
      </c>
    </row>
    <row r="106" spans="2:6" x14ac:dyDescent="0.35">
      <c r="B106" s="984" t="s">
        <v>763</v>
      </c>
      <c r="C106" s="985" cm="1">
        <f t="array" ref="C106">SUMPRODUCT(ISNUMBER(SEARCH("736",'EFETIVO 11.05.2026'!$H$2:$H$1919))*('EFETIVO 11.05.2026'!$G$2:$G$1919="A")*('EFETIVO 11.05.2026'!$C$2:$C$1919=B106))</f>
        <v>4</v>
      </c>
      <c r="D106" s="985" cm="1">
        <f t="array" ref="D106">SUMPRODUCT(ISNUMBER(SEARCH("736",'EFETIVO 11.05.2026'!$H$2:$H$1919))*('EFETIVO 11.05.2026'!$G$2:$G$1919="D")*('EFETIVO 11.05.2026'!$C$2:$C$1919=B106))</f>
        <v>0</v>
      </c>
      <c r="E106" s="986">
        <f t="shared" si="2"/>
        <v>1.0025062656641603E-2</v>
      </c>
      <c r="F106" s="985" cm="1">
        <f t="array" ref="F106">SUMPRODUCT(ISNUMBER(SEARCH("736",'EFETIVO 11.05.2026'!$H$2:$H$1919))*(('EFETIVO 11.05.2026'!$G$2:$G$1919="F")+('EFETIVO 11.05.2026'!$G$2:$G$1919="P")+('EFETIVO 11.05.2026'!$G$2:$G$1919="T")+('EFETIVO 11.05.2026'!$G$2:$G$1919="M"))*('EFETIVO 11.05.2026'!$C$2:$C$1919=B106))</f>
        <v>1</v>
      </c>
    </row>
    <row r="107" spans="2:6" x14ac:dyDescent="0.35">
      <c r="B107" s="981" t="s">
        <v>458</v>
      </c>
      <c r="C107" s="982" cm="1">
        <f t="array" ref="C107">SUMPRODUCT(ISNUMBER(SEARCH("736",'EFETIVO 11.05.2026'!$H$2:$H$1919))*('EFETIVO 11.05.2026'!$G$2:$G$1919="A")*('EFETIVO 11.05.2026'!$C$2:$C$1919=B107))</f>
        <v>4</v>
      </c>
      <c r="D107" s="982" cm="1">
        <f t="array" ref="D107">SUMPRODUCT(ISNUMBER(SEARCH("736",'EFETIVO 11.05.2026'!$H$2:$H$1919))*('EFETIVO 11.05.2026'!$G$2:$G$1919="D")*('EFETIVO 11.05.2026'!$C$2:$C$1919=B107))</f>
        <v>1</v>
      </c>
      <c r="E107" s="983">
        <f t="shared" si="2"/>
        <v>1.0025062656641603E-2</v>
      </c>
      <c r="F107" s="982" cm="1">
        <f t="array" ref="F107">SUMPRODUCT(ISNUMBER(SEARCH("736",'EFETIVO 11.05.2026'!$H$2:$H$1919))*(('EFETIVO 11.05.2026'!$G$2:$G$1919="F")+('EFETIVO 11.05.2026'!$G$2:$G$1919="P")+('EFETIVO 11.05.2026'!$G$2:$G$1919="T")+('EFETIVO 11.05.2026'!$G$2:$G$1919="M"))*('EFETIVO 11.05.2026'!$C$2:$C$1919=B107))</f>
        <v>0</v>
      </c>
    </row>
    <row r="108" spans="2:6" x14ac:dyDescent="0.35">
      <c r="B108" s="987" t="s">
        <v>459</v>
      </c>
      <c r="C108" s="988">
        <f>C6</f>
        <v>399</v>
      </c>
      <c r="D108" s="988">
        <f>C7</f>
        <v>180</v>
      </c>
      <c r="E108" s="989">
        <f t="shared" si="2"/>
        <v>1</v>
      </c>
      <c r="F108" s="988">
        <f>C9</f>
        <v>35</v>
      </c>
    </row>
    <row r="110" spans="2:6" ht="26.15" customHeight="1" x14ac:dyDescent="0.45">
      <c r="B110" s="1395" t="s">
        <v>4803</v>
      </c>
      <c r="C110" s="1395"/>
      <c r="D110" s="1395"/>
      <c r="E110" s="1395"/>
    </row>
    <row r="112" spans="2:6" x14ac:dyDescent="0.35">
      <c r="B112" s="252" t="s">
        <v>475</v>
      </c>
      <c r="C112" s="252" t="s">
        <v>396</v>
      </c>
      <c r="D112" s="252" t="s">
        <v>476</v>
      </c>
      <c r="E112" s="252" t="s">
        <v>462</v>
      </c>
    </row>
    <row r="113" spans="2:5" x14ac:dyDescent="0.35">
      <c r="B113" s="992">
        <v>1</v>
      </c>
      <c r="C113" s="981" t="str" cm="1">
        <f t="array" ref="C113">IFERROR(INDEX($B$15:$B$107,SMALL(IF($C$15:$C$107=1,ROW($C$15:$C$107)-ROW($C$15)+1),$B113)),"")</f>
        <v>ANALISTA DE SUPRIMENTOS I</v>
      </c>
      <c r="D113" s="981" t="str" cm="1">
        <f t="array" ref="D113">IF(C113="","",IFERROR(INDEX('EFETIVO 11.05.2026'!$B$2:$B$1919,MATCH(1,(ISNUMBER(SEARCH("736",'EFETIVO 11.05.2026'!$H$2:$H$1919)))*('EFETIVO 11.05.2026'!$G$2:$G$1919="A")*('EFETIVO 11.05.2026'!$C$2:$C$1919=C113),0)),""))</f>
        <v>ISRAEL VICTOR BARBOSA</v>
      </c>
      <c r="E113" s="981" t="str" cm="1">
        <f t="array" ref="E113">IF(C113="","",IFERROR(INDEX('EFETIVO 11.05.2026'!$I$2:$I$1919,MATCH(1,(ISNUMBER(SEARCH("736",'EFETIVO 11.05.2026'!$H$2:$H$1919)))*('EFETIVO 11.05.2026'!$G$2:$G$1919="A")*('EFETIVO 11.05.2026'!$C$2:$C$1919=C113),0)),""))</f>
        <v>IMBETIBA</v>
      </c>
    </row>
    <row r="114" spans="2:5" x14ac:dyDescent="0.35">
      <c r="B114" s="993">
        <v>2</v>
      </c>
      <c r="C114" s="984" t="str" cm="1">
        <f t="array" ref="C114">IFERROR(INDEX($B$15:$B$107,SMALL(IF($C$15:$C$107=1,ROW($C$15:$C$107)-ROW($C$15)+1),$B114)),"")</f>
        <v>AUXILIAR ADMINISTRATIVO</v>
      </c>
      <c r="D114" s="984" t="str" cm="1">
        <f t="array" ref="D114">IF(C114="","",IFERROR(INDEX('EFETIVO 11.05.2026'!$B$2:$B$1919,MATCH(1,(ISNUMBER(SEARCH("736",'EFETIVO 11.05.2026'!$H$2:$H$1919)))*('EFETIVO 11.05.2026'!$G$2:$G$1919="A")*('EFETIVO 11.05.2026'!$C$2:$C$1919=C114),0)),""))</f>
        <v>EDUARDO AUGUSTO VIEIRA</v>
      </c>
      <c r="E114" s="984" t="str" cm="1">
        <f t="array" ref="E114">IF(C114="","",IFERROR(INDEX('EFETIVO 11.05.2026'!$I$2:$I$1919,MATCH(1,(ISNUMBER(SEARCH("736",'EFETIVO 11.05.2026'!$H$2:$H$1919)))*('EFETIVO 11.05.2026'!$G$2:$G$1919="A")*('EFETIVO 11.05.2026'!$C$2:$C$1919=C114),0)),""))</f>
        <v>IMBETIBA</v>
      </c>
    </row>
    <row r="115" spans="2:5" x14ac:dyDescent="0.35">
      <c r="B115" s="992">
        <v>3</v>
      </c>
      <c r="C115" s="981" t="str" cm="1">
        <f t="array" ref="C115">IFERROR(INDEX($B$15:$B$107,SMALL(IF($C$15:$C$107=1,ROW($C$15:$C$107)-ROW($C$15)+1),$B115)),"")</f>
        <v>AUXILIAR DE ALMOXARIFE</v>
      </c>
      <c r="D115" s="981" t="str" cm="1">
        <f t="array" ref="D115">IF(C115="","",IFERROR(INDEX('EFETIVO 11.05.2026'!$B$2:$B$1919,MATCH(1,(ISNUMBER(SEARCH("736",'EFETIVO 11.05.2026'!$H$2:$H$1919)))*('EFETIVO 11.05.2026'!$G$2:$G$1919="A")*('EFETIVO 11.05.2026'!$C$2:$C$1919=C115),0)),""))</f>
        <v>ALLEY CARVALHO ROCHA</v>
      </c>
      <c r="E115" s="981" t="str" cm="1">
        <f t="array" ref="E115">IF(C115="","",IFERROR(INDEX('EFETIVO 11.05.2026'!$I$2:$I$1919,MATCH(1,(ISNUMBER(SEARCH("736",'EFETIVO 11.05.2026'!$H$2:$H$1919)))*('EFETIVO 11.05.2026'!$G$2:$G$1919="A")*('EFETIVO 11.05.2026'!$C$2:$C$1919=C115),0)),""))</f>
        <v>IMBETIBA</v>
      </c>
    </row>
    <row r="116" spans="2:5" x14ac:dyDescent="0.35">
      <c r="B116" s="993">
        <v>4</v>
      </c>
      <c r="C116" s="984" t="str" cm="1">
        <f t="array" ref="C116">IFERROR(INDEX($B$15:$B$107,SMALL(IF($C$15:$C$107=1,ROW($C$15:$C$107)-ROW($C$15)+1),$B116)),"")</f>
        <v>AUXILIAR DE SMS</v>
      </c>
      <c r="D116" s="984" t="str" cm="1">
        <f t="array" ref="D116">IF(C116="","",IFERROR(INDEX('EFETIVO 11.05.2026'!$B$2:$B$1919,MATCH(1,(ISNUMBER(SEARCH("736",'EFETIVO 11.05.2026'!$H$2:$H$1919)))*('EFETIVO 11.05.2026'!$G$2:$G$1919="A")*('EFETIVO 11.05.2026'!$C$2:$C$1919=C116),0)),""))</f>
        <v>GLEICIMARA DUTRA GIVIGI</v>
      </c>
      <c r="E116" s="984" t="str" cm="1">
        <f t="array" ref="E116">IF(C116="","",IFERROR(INDEX('EFETIVO 11.05.2026'!$I$2:$I$1919,MATCH(1,(ISNUMBER(SEARCH("736",'EFETIVO 11.05.2026'!$H$2:$H$1919)))*('EFETIVO 11.05.2026'!$G$2:$G$1919="A")*('EFETIVO 11.05.2026'!$C$2:$C$1919=C116),0)),""))</f>
        <v>IMBETIBA</v>
      </c>
    </row>
    <row r="117" spans="2:5" x14ac:dyDescent="0.35">
      <c r="B117" s="992">
        <v>5</v>
      </c>
      <c r="C117" s="981" t="str" cm="1">
        <f t="array" ref="C117">IFERROR(INDEX($B$15:$B$107,SMALL(IF($C$15:$C$107=1,ROW($C$15:$C$107)-ROW($C$15)+1),$B117)),"")</f>
        <v>CALDEIREIRO</v>
      </c>
      <c r="D117" s="981" t="str" cm="1">
        <f t="array" ref="D117">IF(C117="","",IFERROR(INDEX('EFETIVO 11.05.2026'!$B$2:$B$1919,MATCH(1,(ISNUMBER(SEARCH("736",'EFETIVO 11.05.2026'!$H$2:$H$1919)))*('EFETIVO 11.05.2026'!$G$2:$G$1919="A")*('EFETIVO 11.05.2026'!$C$2:$C$1919=C117),0)),""))</f>
        <v>DIEGO GAMA RODRIGUES</v>
      </c>
      <c r="E117" s="981" t="str" cm="1">
        <f t="array" ref="E117">IF(C117="","",IFERROR(INDEX('EFETIVO 11.05.2026'!$I$2:$I$1919,MATCH(1,(ISNUMBER(SEARCH("736",'EFETIVO 11.05.2026'!$H$2:$H$1919)))*('EFETIVO 11.05.2026'!$G$2:$G$1919="A")*('EFETIVO 11.05.2026'!$C$2:$C$1919=C117),0)),""))</f>
        <v>IMBETIBA</v>
      </c>
    </row>
    <row r="118" spans="2:5" x14ac:dyDescent="0.35">
      <c r="B118" s="993">
        <v>6</v>
      </c>
      <c r="C118" s="984" t="str" cm="1">
        <f t="array" ref="C118">IFERROR(INDEX($B$15:$B$107,SMALL(IF($C$15:$C$107=1,ROW($C$15:$C$107)-ROW($C$15)+1),$B118)),"")</f>
        <v>CARPINTEIRO</v>
      </c>
      <c r="D118" s="984" t="str" cm="1">
        <f t="array" ref="D118">IF(C118="","",IFERROR(INDEX('EFETIVO 11.05.2026'!$B$2:$B$1919,MATCH(1,(ISNUMBER(SEARCH("736",'EFETIVO 11.05.2026'!$H$2:$H$1919)))*('EFETIVO 11.05.2026'!$G$2:$G$1919="A")*('EFETIVO 11.05.2026'!$C$2:$C$1919=C118),0)),""))</f>
        <v>CLAUDEMAR JOSE DA SILVA</v>
      </c>
      <c r="E118" s="984" t="str" cm="1">
        <f t="array" ref="E118">IF(C118="","",IFERROR(INDEX('EFETIVO 11.05.2026'!$I$2:$I$1919,MATCH(1,(ISNUMBER(SEARCH("736",'EFETIVO 11.05.2026'!$H$2:$H$1919)))*('EFETIVO 11.05.2026'!$G$2:$G$1919="A")*('EFETIVO 11.05.2026'!$C$2:$C$1919=C118),0)),""))</f>
        <v>IMBETIBA</v>
      </c>
    </row>
    <row r="119" spans="2:5" x14ac:dyDescent="0.35">
      <c r="B119" s="992">
        <v>7</v>
      </c>
      <c r="C119" s="981" t="str" cm="1">
        <f t="array" ref="C119">IFERROR(INDEX($B$15:$B$107,SMALL(IF($C$15:$C$107=1,ROW($C$15:$C$107)-ROW($C$15)+1),$B119)),"")</f>
        <v>COORDENADOR DE APOIO</v>
      </c>
      <c r="D119" s="981" t="str" cm="1">
        <f t="array" ref="D119">IF(C119="","",IFERROR(INDEX('EFETIVO 11.05.2026'!$B$2:$B$1919,MATCH(1,(ISNUMBER(SEARCH("736",'EFETIVO 11.05.2026'!$H$2:$H$1919)))*('EFETIVO 11.05.2026'!$G$2:$G$1919="A")*('EFETIVO 11.05.2026'!$C$2:$C$1919=C119),0)),""))</f>
        <v>MARIANA MARIA RIBEIRO</v>
      </c>
      <c r="E119" s="981" t="str" cm="1">
        <f t="array" ref="E119">IF(C119="","",IFERROR(INDEX('EFETIVO 11.05.2026'!$I$2:$I$1919,MATCH(1,(ISNUMBER(SEARCH("736",'EFETIVO 11.05.2026'!$H$2:$H$1919)))*('EFETIVO 11.05.2026'!$G$2:$G$1919="A")*('EFETIVO 11.05.2026'!$C$2:$C$1919=C119),0)),""))</f>
        <v>IMBETIBA</v>
      </c>
    </row>
    <row r="120" spans="2:5" x14ac:dyDescent="0.35">
      <c r="B120" s="993">
        <v>8</v>
      </c>
      <c r="C120" s="984" t="str" cm="1">
        <f t="array" ref="C120">IFERROR(INDEX($B$15:$B$107,SMALL(IF($C$15:$C$107=1,ROW($C$15:$C$107)-ROW($C$15)+1),$B120)),"")</f>
        <v>DESENHISTA PROJETISTA I</v>
      </c>
      <c r="D120" s="984" t="str" cm="1">
        <f t="array" ref="D120">IF(C120="","",IFERROR(INDEX('EFETIVO 11.05.2026'!$B$2:$B$1919,MATCH(1,(ISNUMBER(SEARCH("736",'EFETIVO 11.05.2026'!$H$2:$H$1919)))*('EFETIVO 11.05.2026'!$G$2:$G$1919="A")*('EFETIVO 11.05.2026'!$C$2:$C$1919=C120),0)),""))</f>
        <v>STEFANI BATISTA DA SILVA</v>
      </c>
      <c r="E120" s="984" t="str" cm="1">
        <f t="array" ref="E120">IF(C120="","",IFERROR(INDEX('EFETIVO 11.05.2026'!$I$2:$I$1919,MATCH(1,(ISNUMBER(SEARCH("736",'EFETIVO 11.05.2026'!$H$2:$H$1919)))*('EFETIVO 11.05.2026'!$G$2:$G$1919="A")*('EFETIVO 11.05.2026'!$C$2:$C$1919=C120),0)),""))</f>
        <v>IMBETIBA</v>
      </c>
    </row>
    <row r="121" spans="2:5" x14ac:dyDescent="0.35">
      <c r="B121" s="992">
        <v>9</v>
      </c>
      <c r="C121" s="981" t="str" cm="1">
        <f t="array" ref="C121">IFERROR(INDEX($B$15:$B$107,SMALL(IF($C$15:$C$107=1,ROW($C$15:$C$107)-ROW($C$15)+1),$B121)),"")</f>
        <v>DUTEIRO</v>
      </c>
      <c r="D121" s="981" t="str" cm="1">
        <f t="array" ref="D121">IF(C121="","",IFERROR(INDEX('EFETIVO 11.05.2026'!$B$2:$B$1919,MATCH(1,(ISNUMBER(SEARCH("736",'EFETIVO 11.05.2026'!$H$2:$H$1919)))*('EFETIVO 11.05.2026'!$G$2:$G$1919="A")*('EFETIVO 11.05.2026'!$C$2:$C$1919=C121),0)),""))</f>
        <v>MANOEL IZIDRO DOS SANTOS</v>
      </c>
      <c r="E121" s="981" t="str" cm="1">
        <f t="array" ref="E121">IF(C121="","",IFERROR(INDEX('EFETIVO 11.05.2026'!$I$2:$I$1919,MATCH(1,(ISNUMBER(SEARCH("736",'EFETIVO 11.05.2026'!$H$2:$H$1919)))*('EFETIVO 11.05.2026'!$G$2:$G$1919="A")*('EFETIVO 11.05.2026'!$C$2:$C$1919=C121),0)),""))</f>
        <v>IMBETIBA</v>
      </c>
    </row>
    <row r="122" spans="2:5" x14ac:dyDescent="0.35">
      <c r="B122" s="993">
        <v>10</v>
      </c>
      <c r="C122" s="984" t="str" cm="1">
        <f t="array" ref="C122">IFERROR(INDEX($B$15:$B$107,SMALL(IF($C$15:$C$107=1,ROW($C$15:$C$107)-ROW($C$15)+1),$B122)),"")</f>
        <v>ENCARREGADO DE ANDAIME</v>
      </c>
      <c r="D122" s="984" t="str" cm="1">
        <f t="array" ref="D122">IF(C122="","",IFERROR(INDEX('EFETIVO 11.05.2026'!$B$2:$B$1919,MATCH(1,(ISNUMBER(SEARCH("736",'EFETIVO 11.05.2026'!$H$2:$H$1919)))*('EFETIVO 11.05.2026'!$G$2:$G$1919="A")*('EFETIVO 11.05.2026'!$C$2:$C$1919=C122),0)),""))</f>
        <v>ANTONIO SIRQUEIRA PEREIRA</v>
      </c>
      <c r="E122" s="984" t="str" cm="1">
        <f t="array" ref="E122">IF(C122="","",IFERROR(INDEX('EFETIVO 11.05.2026'!$I$2:$I$1919,MATCH(1,(ISNUMBER(SEARCH("736",'EFETIVO 11.05.2026'!$H$2:$H$1919)))*('EFETIVO 11.05.2026'!$G$2:$G$1919="A")*('EFETIVO 11.05.2026'!$C$2:$C$1919=C122),0)),""))</f>
        <v>IMBETIBA</v>
      </c>
    </row>
    <row r="123" spans="2:5" x14ac:dyDescent="0.35">
      <c r="B123" s="992">
        <v>11</v>
      </c>
      <c r="C123" s="981" t="str" cm="1">
        <f t="array" ref="C123">IFERROR(INDEX($B$15:$B$107,SMALL(IF($C$15:$C$107=1,ROW($C$15:$C$107)-ROW($C$15)+1),$B123)),"")</f>
        <v>ENCARREGADO DE CONSERVACAO E LIMPEZA</v>
      </c>
      <c r="D123" s="981" t="str" cm="1">
        <f t="array" ref="D123">IF(C123="","",IFERROR(INDEX('EFETIVO 11.05.2026'!$B$2:$B$1919,MATCH(1,(ISNUMBER(SEARCH("736",'EFETIVO 11.05.2026'!$H$2:$H$1919)))*('EFETIVO 11.05.2026'!$G$2:$G$1919="A")*('EFETIVO 11.05.2026'!$C$2:$C$1919=C123),0)),""))</f>
        <v>ALAN RESENDE DA SILVA</v>
      </c>
      <c r="E123" s="981" t="str" cm="1">
        <f t="array" ref="E123">IF(C123="","",IFERROR(INDEX('EFETIVO 11.05.2026'!$I$2:$I$1919,MATCH(1,(ISNUMBER(SEARCH("736",'EFETIVO 11.05.2026'!$H$2:$H$1919)))*('EFETIVO 11.05.2026'!$G$2:$G$1919="A")*('EFETIVO 11.05.2026'!$C$2:$C$1919=C123),0)),""))</f>
        <v>IMBETIBA</v>
      </c>
    </row>
    <row r="124" spans="2:5" x14ac:dyDescent="0.35">
      <c r="B124" s="993">
        <v>12</v>
      </c>
      <c r="C124" s="984" t="str" cm="1">
        <f t="array" ref="C124">IFERROR(INDEX($B$15:$B$107,SMALL(IF($C$15:$C$107=1,ROW($C$15:$C$107)-ROW($C$15)+1),$B124)),"")</f>
        <v>ENCARREGADO DE MOVIMENTACAO DE VOLUMES</v>
      </c>
      <c r="D124" s="984" t="str" cm="1">
        <f t="array" ref="D124">IF(C124="","",IFERROR(INDEX('EFETIVO 11.05.2026'!$B$2:$B$1919,MATCH(1,(ISNUMBER(SEARCH("736",'EFETIVO 11.05.2026'!$H$2:$H$1919)))*('EFETIVO 11.05.2026'!$G$2:$G$1919="A")*('EFETIVO 11.05.2026'!$C$2:$C$1919=C124),0)),""))</f>
        <v>ADEILSON GONCALVES CARDOSO</v>
      </c>
      <c r="E124" s="984" t="str" cm="1">
        <f t="array" ref="E124">IF(C124="","",IFERROR(INDEX('EFETIVO 11.05.2026'!$I$2:$I$1919,MATCH(1,(ISNUMBER(SEARCH("736",'EFETIVO 11.05.2026'!$H$2:$H$1919)))*('EFETIVO 11.05.2026'!$G$2:$G$1919="A")*('EFETIVO 11.05.2026'!$C$2:$C$1919=C124),0)),""))</f>
        <v>IMBETIBA</v>
      </c>
    </row>
    <row r="125" spans="2:5" x14ac:dyDescent="0.35">
      <c r="B125" s="992">
        <v>13</v>
      </c>
      <c r="C125" s="981" t="str" cm="1">
        <f t="array" ref="C125">IFERROR(INDEX($B$15:$B$107,SMALL(IF($C$15:$C$107=1,ROW($C$15:$C$107)-ROW($C$15)+1),$B125)),"")</f>
        <v>ENGENHEIRO AGRONOMO</v>
      </c>
      <c r="D125" s="981" t="str" cm="1">
        <f t="array" ref="D125">IF(C125="","",IFERROR(INDEX('EFETIVO 11.05.2026'!$B$2:$B$1919,MATCH(1,(ISNUMBER(SEARCH("736",'EFETIVO 11.05.2026'!$H$2:$H$1919)))*('EFETIVO 11.05.2026'!$G$2:$G$1919="A")*('EFETIVO 11.05.2026'!$C$2:$C$1919=C125),0)),""))</f>
        <v>HELEN BALDANI DUTRA GOMES</v>
      </c>
      <c r="E125" s="981" t="str" cm="1">
        <f t="array" ref="E125">IF(C125="","",IFERROR(INDEX('EFETIVO 11.05.2026'!$I$2:$I$1919,MATCH(1,(ISNUMBER(SEARCH("736",'EFETIVO 11.05.2026'!$H$2:$H$1919)))*('EFETIVO 11.05.2026'!$G$2:$G$1919="A")*('EFETIVO 11.05.2026'!$C$2:$C$1919=C125),0)),""))</f>
        <v>IMBETIBA</v>
      </c>
    </row>
    <row r="126" spans="2:5" x14ac:dyDescent="0.35">
      <c r="B126" s="993">
        <v>14</v>
      </c>
      <c r="C126" s="984" t="str" cm="1">
        <f t="array" ref="C126">IFERROR(INDEX($B$15:$B$107,SMALL(IF($C$15:$C$107=1,ROW($C$15:$C$107)-ROW($C$15)+1),$B126)),"")</f>
        <v>ENGENHEIRO CIVIL</v>
      </c>
      <c r="D126" s="984" t="str" cm="1">
        <f t="array" ref="D126">IF(C126="","",IFERROR(INDEX('EFETIVO 11.05.2026'!$B$2:$B$1919,MATCH(1,(ISNUMBER(SEARCH("736",'EFETIVO 11.05.2026'!$H$2:$H$1919)))*('EFETIVO 11.05.2026'!$G$2:$G$1919="A")*('EFETIVO 11.05.2026'!$C$2:$C$1919=C126),0)),""))</f>
        <v>JESSICA DA SILVA GOUVEIA SPALLA</v>
      </c>
      <c r="E126" s="984" t="str" cm="1">
        <f t="array" ref="E126">IF(C126="","",IFERROR(INDEX('EFETIVO 11.05.2026'!$I$2:$I$1919,MATCH(1,(ISNUMBER(SEARCH("736",'EFETIVO 11.05.2026'!$H$2:$H$1919)))*('EFETIVO 11.05.2026'!$G$2:$G$1919="A")*('EFETIVO 11.05.2026'!$C$2:$C$1919=C126),0)),""))</f>
        <v>IMBETIBA</v>
      </c>
    </row>
    <row r="127" spans="2:5" x14ac:dyDescent="0.35">
      <c r="B127" s="992">
        <v>15</v>
      </c>
      <c r="C127" s="981" t="str" cm="1">
        <f t="array" ref="C127">IFERROR(INDEX($B$15:$B$107,SMALL(IF($C$15:$C$107=1,ROW($C$15:$C$107)-ROW($C$15)+1),$B127)),"")</f>
        <v>ENGENHEIRO DE AUTOMACAO</v>
      </c>
      <c r="D127" s="981" t="str" cm="1">
        <f t="array" ref="D127">IF(C127="","",IFERROR(INDEX('EFETIVO 11.05.2026'!$B$2:$B$1919,MATCH(1,(ISNUMBER(SEARCH("736",'EFETIVO 11.05.2026'!$H$2:$H$1919)))*('EFETIVO 11.05.2026'!$G$2:$G$1919="A")*('EFETIVO 11.05.2026'!$C$2:$C$1919=C127),0)),""))</f>
        <v>GIULIANO PAOLO SANTOS ANDREIOLO</v>
      </c>
      <c r="E127" s="981" t="str" cm="1">
        <f t="array" ref="E127">IF(C127="","",IFERROR(INDEX('EFETIVO 11.05.2026'!$I$2:$I$1919,MATCH(1,(ISNUMBER(SEARCH("736",'EFETIVO 11.05.2026'!$H$2:$H$1919)))*('EFETIVO 11.05.2026'!$G$2:$G$1919="A")*('EFETIVO 11.05.2026'!$C$2:$C$1919=C127),0)),""))</f>
        <v>IMBETIBA</v>
      </c>
    </row>
    <row r="128" spans="2:5" x14ac:dyDescent="0.35">
      <c r="B128" s="993">
        <v>16</v>
      </c>
      <c r="C128" s="984" t="str" cm="1">
        <f t="array" ref="C128">IFERROR(INDEX($B$15:$B$107,SMALL(IF($C$15:$C$107=1,ROW($C$15:$C$107)-ROW($C$15)+1),$B128)),"")</f>
        <v>ENGENHEIRO ELETRICISTA</v>
      </c>
      <c r="D128" s="984" t="str" cm="1">
        <f t="array" ref="D128">IF(C128="","",IFERROR(INDEX('EFETIVO 11.05.2026'!$B$2:$B$1919,MATCH(1,(ISNUMBER(SEARCH("736",'EFETIVO 11.05.2026'!$H$2:$H$1919)))*('EFETIVO 11.05.2026'!$G$2:$G$1919="A")*('EFETIVO 11.05.2026'!$C$2:$C$1919=C128),0)),""))</f>
        <v>EVANILTON SALES MATO GROSSO</v>
      </c>
      <c r="E128" s="984" t="str" cm="1">
        <f t="array" ref="E128">IF(C128="","",IFERROR(INDEX('EFETIVO 11.05.2026'!$I$2:$I$1919,MATCH(1,(ISNUMBER(SEARCH("736",'EFETIVO 11.05.2026'!$H$2:$H$1919)))*('EFETIVO 11.05.2026'!$G$2:$G$1919="A")*('EFETIVO 11.05.2026'!$C$2:$C$1919=C128),0)),""))</f>
        <v>IMBETIBA</v>
      </c>
    </row>
    <row r="129" spans="2:6" x14ac:dyDescent="0.35">
      <c r="B129" s="992">
        <v>17</v>
      </c>
      <c r="C129" s="981" t="str" cm="1">
        <f t="array" ref="C129">IFERROR(INDEX($B$15:$B$107,SMALL(IF($C$15:$C$107=1,ROW($C$15:$C$107)-ROW($C$15)+1),$B129)),"")</f>
        <v>ENGENHEIRO MECANICO</v>
      </c>
      <c r="D129" s="981" t="str" cm="1">
        <f t="array" ref="D129">IF(C129="","",IFERROR(INDEX('EFETIVO 11.05.2026'!$B$2:$B$1919,MATCH(1,(ISNUMBER(SEARCH("736",'EFETIVO 11.05.2026'!$H$2:$H$1919)))*('EFETIVO 11.05.2026'!$G$2:$G$1919="A")*('EFETIVO 11.05.2026'!$C$2:$C$1919=C129),0)),""))</f>
        <v>NAIADE VIEIRA RAMOS</v>
      </c>
      <c r="E129" s="981" t="str" cm="1">
        <f t="array" ref="E129">IF(C129="","",IFERROR(INDEX('EFETIVO 11.05.2026'!$I$2:$I$1919,MATCH(1,(ISNUMBER(SEARCH("736",'EFETIVO 11.05.2026'!$H$2:$H$1919)))*('EFETIVO 11.05.2026'!$G$2:$G$1919="A")*('EFETIVO 11.05.2026'!$C$2:$C$1919=C129),0)),""))</f>
        <v>IMBETIBA</v>
      </c>
    </row>
    <row r="130" spans="2:6" x14ac:dyDescent="0.35">
      <c r="B130" s="993">
        <v>18</v>
      </c>
      <c r="C130" s="984" t="str" cm="1">
        <f t="array" ref="C130">IFERROR(INDEX($B$15:$B$107,SMALL(IF($C$15:$C$107=1,ROW($C$15:$C$107)-ROW($C$15)+1),$B130)),"")</f>
        <v>ENGENHEIRO MECANICO - HVAC</v>
      </c>
      <c r="D130" s="984" t="str" cm="1">
        <f t="array" ref="D130">IF(C130="","",IFERROR(INDEX('EFETIVO 11.05.2026'!$B$2:$B$1919,MATCH(1,(ISNUMBER(SEARCH("736",'EFETIVO 11.05.2026'!$H$2:$H$1919)))*('EFETIVO 11.05.2026'!$G$2:$G$1919="A")*('EFETIVO 11.05.2026'!$C$2:$C$1919=C130),0)),""))</f>
        <v>GILBERTO LUCAS DA SILVA JUNIOR</v>
      </c>
      <c r="E130" s="984" t="str" cm="1">
        <f t="array" ref="E130">IF(C130="","",IFERROR(INDEX('EFETIVO 11.05.2026'!$I$2:$I$1919,MATCH(1,(ISNUMBER(SEARCH("736",'EFETIVO 11.05.2026'!$H$2:$H$1919)))*('EFETIVO 11.05.2026'!$G$2:$G$1919="A")*('EFETIVO 11.05.2026'!$C$2:$C$1919=C130),0)),""))</f>
        <v>IMBETIBA</v>
      </c>
    </row>
    <row r="131" spans="2:6" x14ac:dyDescent="0.35">
      <c r="B131" s="992">
        <v>19</v>
      </c>
      <c r="C131" s="981" t="str" cm="1">
        <f t="array" ref="C131">IFERROR(INDEX($B$15:$B$107,SMALL(IF($C$15:$C$107=1,ROW($C$15:$C$107)-ROW($C$15)+1),$B131)),"")</f>
        <v>GERENTE DE FACILITIES</v>
      </c>
      <c r="D131" s="981" t="str" cm="1">
        <f t="array" ref="D131">IF(C131="","",IFERROR(INDEX('EFETIVO 11.05.2026'!$B$2:$B$1919,MATCH(1,(ISNUMBER(SEARCH("736",'EFETIVO 11.05.2026'!$H$2:$H$1919)))*('EFETIVO 11.05.2026'!$G$2:$G$1919="A")*('EFETIVO 11.05.2026'!$C$2:$C$1919=C131),0)),""))</f>
        <v>LUCIANA RIBEIRO NETO DE ANDRADE</v>
      </c>
      <c r="E131" s="981" t="str" cm="1">
        <f t="array" ref="E131">IF(C131="","",IFERROR(INDEX('EFETIVO 11.05.2026'!$I$2:$I$1919,MATCH(1,(ISNUMBER(SEARCH("736",'EFETIVO 11.05.2026'!$H$2:$H$1919)))*('EFETIVO 11.05.2026'!$G$2:$G$1919="A")*('EFETIVO 11.05.2026'!$C$2:$C$1919=C131),0)),""))</f>
        <v>IMBETIBA</v>
      </c>
    </row>
    <row r="132" spans="2:6" x14ac:dyDescent="0.35">
      <c r="B132" s="993">
        <v>20</v>
      </c>
      <c r="C132" s="984" t="str" cm="1">
        <f t="array" ref="C132">IFERROR(INDEX($B$15:$B$107,SMALL(IF($C$15:$C$107=1,ROW($C$15:$C$107)-ROW($C$15)+1),$B132)),"")</f>
        <v>GERENTE DE PROJETO</v>
      </c>
      <c r="D132" s="984" t="str" cm="1">
        <f t="array" ref="D132">IF(C132="","",IFERROR(INDEX('EFETIVO 11.05.2026'!$B$2:$B$1919,MATCH(1,(ISNUMBER(SEARCH("736",'EFETIVO 11.05.2026'!$H$2:$H$1919)))*('EFETIVO 11.05.2026'!$G$2:$G$1919="A")*('EFETIVO 11.05.2026'!$C$2:$C$1919=C132),0)),""))</f>
        <v>FABIO HENRIQUE SANTOS JUNIOR</v>
      </c>
      <c r="E132" s="984" t="str" cm="1">
        <f t="array" ref="E132">IF(C132="","",IFERROR(INDEX('EFETIVO 11.05.2026'!$I$2:$I$1919,MATCH(1,(ISNUMBER(SEARCH("736",'EFETIVO 11.05.2026'!$H$2:$H$1919)))*('EFETIVO 11.05.2026'!$G$2:$G$1919="A")*('EFETIVO 11.05.2026'!$C$2:$C$1919=C132),0)),""))</f>
        <v>IMBETIBA</v>
      </c>
    </row>
    <row r="135" spans="2:6" ht="26.15" customHeight="1" x14ac:dyDescent="0.45">
      <c r="B135" s="1395" t="s">
        <v>4804</v>
      </c>
      <c r="C135" s="1395"/>
      <c r="D135" s="1395"/>
    </row>
    <row r="136" spans="2:6" x14ac:dyDescent="0.35">
      <c r="B136" s="1394" t="s">
        <v>4805</v>
      </c>
      <c r="C136" s="1394"/>
      <c r="D136" s="1394"/>
      <c r="E136" s="1394"/>
      <c r="F136" s="1394"/>
    </row>
    <row r="138" spans="2:6" x14ac:dyDescent="0.35">
      <c r="B138" s="252" t="s">
        <v>479</v>
      </c>
      <c r="C138" s="252" t="s">
        <v>480</v>
      </c>
      <c r="D138" s="252" t="s">
        <v>481</v>
      </c>
    </row>
    <row r="139" spans="2:6" x14ac:dyDescent="0.35">
      <c r="B139" s="990">
        <v>2024</v>
      </c>
      <c r="C139" s="994" cm="1">
        <f t="array" ref="C139">SUMPRODUCT(ISNUMBER(SEARCH("736",'EFETIVO 11.05.2026'!$H$2:$H$1919))*(YEAR('EFETIVO 11.05.2026'!$E$2:$E$1919)=2024))</f>
        <v>152</v>
      </c>
      <c r="D139" s="994" cm="1">
        <f t="array" ref="D139">SUMPRODUCT(ISNUMBER(SEARCH("736",'EFETIVO 11.05.2026'!$H$2:$H$1919))*(IFERROR(YEAR('EFETIVO 11.05.2026'!$F$2:$F$1919),0)=2024))</f>
        <v>0</v>
      </c>
    </row>
    <row r="140" spans="2:6" x14ac:dyDescent="0.35">
      <c r="B140" s="991">
        <v>2025</v>
      </c>
      <c r="C140" s="995" cm="1">
        <f t="array" ref="C140">SUMPRODUCT(ISNUMBER(SEARCH("736",'EFETIVO 11.05.2026'!$H$2:$H$1919))*(YEAR('EFETIVO 11.05.2026'!$E$2:$E$1919)=2025))</f>
        <v>314</v>
      </c>
      <c r="D140" s="995" cm="1">
        <f t="array" ref="D140">SUMPRODUCT(ISNUMBER(SEARCH("736",'EFETIVO 11.05.2026'!$H$2:$H$1919))*(IFERROR(YEAR('EFETIVO 11.05.2026'!$F$2:$F$1919),0)=2025))</f>
        <v>113</v>
      </c>
    </row>
    <row r="141" spans="2:6" x14ac:dyDescent="0.35">
      <c r="B141" s="990">
        <v>2026</v>
      </c>
      <c r="C141" s="994" cm="1">
        <f t="array" ref="C141">SUMPRODUCT(ISNUMBER(SEARCH("736",'EFETIVO 11.05.2026'!$H$2:$H$1919))*(YEAR('EFETIVO 11.05.2026'!$E$2:$E$1919)=2026))</f>
        <v>72</v>
      </c>
      <c r="D141" s="994" cm="1">
        <f t="array" ref="D141">SUMPRODUCT(ISNUMBER(SEARCH("736",'EFETIVO 11.05.2026'!$H$2:$H$1919))*(IFERROR(YEAR('EFETIVO 11.05.2026'!$F$2:$F$1919),0)=2026))</f>
        <v>67</v>
      </c>
    </row>
    <row r="142" spans="2:6" x14ac:dyDescent="0.35">
      <c r="B142" s="304" t="s">
        <v>459</v>
      </c>
      <c r="C142" s="996">
        <f>SUM(C139:C141)</f>
        <v>538</v>
      </c>
      <c r="D142" s="996">
        <f>SUM(D139:D141)</f>
        <v>180</v>
      </c>
    </row>
  </sheetData>
  <mergeCells count="7">
    <mergeCell ref="B136:F136"/>
    <mergeCell ref="A1:G1"/>
    <mergeCell ref="A2:G2"/>
    <mergeCell ref="B4:F4"/>
    <mergeCell ref="B12:F12"/>
    <mergeCell ref="B110:E110"/>
    <mergeCell ref="B135:D135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232F-4736-4203-8641-DF1C50B28DC2}">
  <sheetPr codeName="Planilha16">
    <tabColor rgb="FF4A9B3E"/>
  </sheetPr>
  <dimension ref="A1:G130"/>
  <sheetViews>
    <sheetView workbookViewId="0">
      <pane ySplit="2" topLeftCell="A102" activePane="bottomLeft" state="frozen"/>
      <selection pane="bottomLeft" activeCell="D118" sqref="D118"/>
    </sheetView>
  </sheetViews>
  <sheetFormatPr defaultRowHeight="14.5" x14ac:dyDescent="0.35"/>
  <cols>
    <col min="1" max="1" width="3.26953125" customWidth="1"/>
    <col min="2" max="2" width="58.1796875" customWidth="1"/>
    <col min="3" max="3" width="17.26953125" customWidth="1"/>
    <col min="4" max="4" width="47.26953125" customWidth="1"/>
    <col min="5" max="5" width="25.453125" customWidth="1"/>
    <col min="6" max="6" width="20" customWidth="1"/>
    <col min="7" max="7" width="3.26953125" customWidth="1"/>
  </cols>
  <sheetData>
    <row r="1" spans="1:7" ht="34" customHeight="1" x14ac:dyDescent="0.35">
      <c r="A1" s="1002" t="s">
        <v>4806</v>
      </c>
      <c r="B1" s="1002"/>
      <c r="C1" s="1002"/>
      <c r="D1" s="1002"/>
      <c r="E1" s="1002"/>
      <c r="F1" s="1002"/>
      <c r="G1" s="1002"/>
    </row>
    <row r="2" spans="1:7" ht="22" customHeight="1" x14ac:dyDescent="0.35">
      <c r="A2" s="1003" t="s">
        <v>4795</v>
      </c>
      <c r="B2" s="1003"/>
      <c r="C2" s="1003"/>
      <c r="D2" s="1003"/>
      <c r="E2" s="1003"/>
      <c r="F2" s="1003"/>
      <c r="G2" s="1003"/>
    </row>
    <row r="4" spans="1:7" ht="26.15" customHeight="1" x14ac:dyDescent="0.45">
      <c r="B4" s="1395" t="s">
        <v>4807</v>
      </c>
      <c r="C4" s="1395"/>
      <c r="D4" s="1395"/>
      <c r="E4" s="1395"/>
      <c r="F4" s="1395"/>
    </row>
    <row r="5" spans="1:7" x14ac:dyDescent="0.35">
      <c r="B5" t="s">
        <v>4797</v>
      </c>
      <c r="C5" s="977" cm="1">
        <f t="array" ref="C5">SUMPRODUCT(ISNUMBER(SEARCH("737",'EFETIVO 11.05.2026'!$H$2:$H$1919))*(('EFETIVO 11.05.2026'!$G$2:$G$1919="A")+('EFETIVO 11.05.2026'!$G$2:$G$1919="D")+('EFETIVO 11.05.2026'!$G$2:$G$1919="F")+('EFETIVO 11.05.2026'!$G$2:$G$1919="P")+('EFETIVO 11.05.2026'!$G$2:$G$1919="T")+('EFETIVO 11.05.2026'!$G$2:$G$1919="M")))</f>
        <v>586</v>
      </c>
    </row>
    <row r="6" spans="1:7" x14ac:dyDescent="0.35">
      <c r="B6" t="s">
        <v>4798</v>
      </c>
      <c r="C6" s="977" cm="1">
        <f t="array" ref="C6">SUMPRODUCT(ISNUMBER(SEARCH("737",'EFETIVO 11.05.2026'!$H$2:$H$1919))*('EFETIVO 11.05.2026'!$G$2:$G$1919="A"))</f>
        <v>406</v>
      </c>
    </row>
    <row r="7" spans="1:7" x14ac:dyDescent="0.35">
      <c r="B7" t="s">
        <v>4799</v>
      </c>
      <c r="C7" s="977" cm="1">
        <f t="array" ref="C7">SUMPRODUCT(ISNUMBER(SEARCH("737",'EFETIVO 11.05.2026'!$H$2:$H$1919))*('EFETIVO 11.05.2026'!$G$2:$G$1919="D"))</f>
        <v>145</v>
      </c>
    </row>
    <row r="8" spans="1:7" x14ac:dyDescent="0.35">
      <c r="B8" t="s">
        <v>4800</v>
      </c>
      <c r="C8" s="978">
        <f>IFERROR(C7/C5,0)</f>
        <v>0.24744027303754265</v>
      </c>
    </row>
    <row r="9" spans="1:7" x14ac:dyDescent="0.35">
      <c r="B9" t="s">
        <v>4801</v>
      </c>
      <c r="C9" s="977" cm="1">
        <f t="array" ref="C9">SUMPRODUCT(ISNUMBER(SEARCH("737",'EFETIVO 11.05.2026'!$H$2:$H$1919))*(('EFETIVO 11.05.2026'!$G$2:$G$1919="F")+('EFETIVO 11.05.2026'!$G$2:$G$1919="P")+('EFETIVO 11.05.2026'!$G$2:$G$1919="T")+('EFETIVO 11.05.2026'!$G$2:$G$1919="M")))</f>
        <v>35</v>
      </c>
    </row>
    <row r="10" spans="1:7" x14ac:dyDescent="0.35">
      <c r="B10" s="997" t="s">
        <v>4802</v>
      </c>
      <c r="C10" s="980" cm="1">
        <f t="array" ref="C10">SUMPRODUCT(--(C15:C95&gt;0))</f>
        <v>72</v>
      </c>
    </row>
    <row r="12" spans="1:7" ht="26.15" customHeight="1" x14ac:dyDescent="0.45">
      <c r="B12" s="1395" t="s">
        <v>4792</v>
      </c>
      <c r="C12" s="1395"/>
      <c r="D12" s="1395"/>
      <c r="E12" s="1395"/>
      <c r="F12" s="1395"/>
    </row>
    <row r="14" spans="1:7" ht="22" customHeight="1" x14ac:dyDescent="0.35">
      <c r="B14" s="252" t="s">
        <v>396</v>
      </c>
      <c r="C14" s="252" t="s">
        <v>397</v>
      </c>
      <c r="D14" s="252" t="s">
        <v>398</v>
      </c>
      <c r="E14" s="252" t="s">
        <v>399</v>
      </c>
      <c r="F14" s="252" t="s">
        <v>400</v>
      </c>
    </row>
    <row r="15" spans="1:7" x14ac:dyDescent="0.35">
      <c r="B15" s="981" t="s">
        <v>1088</v>
      </c>
      <c r="C15" s="982" cm="1">
        <f t="array" ref="C15">SUMPRODUCT(ISNUMBER(SEARCH("737",'EFETIVO 11.05.2026'!$H$2:$H$1919))*('EFETIVO 11.05.2026'!$G$2:$G$1919="A")*('EFETIVO 11.05.2026'!$C$2:$C$1919=B15))</f>
        <v>21</v>
      </c>
      <c r="D15" s="982" cm="1">
        <f t="array" ref="D15">SUMPRODUCT(ISNUMBER(SEARCH("737",'EFETIVO 11.05.2026'!$H$2:$H$1919))*('EFETIVO 11.05.2026'!$G$2:$G$1919="D")*('EFETIVO 11.05.2026'!$C$2:$C$1919=B15))</f>
        <v>12</v>
      </c>
      <c r="E15" s="983">
        <f t="shared" ref="E15:E46" si="0">IFERROR(C15/$C$6,0)</f>
        <v>5.1724137931034482E-2</v>
      </c>
      <c r="F15" s="982" cm="1">
        <f t="array" ref="F15">SUMPRODUCT(ISNUMBER(SEARCH("737",'EFETIVO 11.05.2026'!$H$2:$H$1919))*(('EFETIVO 11.05.2026'!$G$2:$G$1919="F")+('EFETIVO 11.05.2026'!$G$2:$G$1919="P")+('EFETIVO 11.05.2026'!$G$2:$G$1919="T")+('EFETIVO 11.05.2026'!$G$2:$G$1919="M"))*('EFETIVO 11.05.2026'!$C$2:$C$1919=B15))</f>
        <v>4</v>
      </c>
    </row>
    <row r="16" spans="1:7" x14ac:dyDescent="0.35">
      <c r="B16" s="984" t="s">
        <v>409</v>
      </c>
      <c r="C16" s="985" cm="1">
        <f t="array" ref="C16">SUMPRODUCT(ISNUMBER(SEARCH("737",'EFETIVO 11.05.2026'!$H$2:$H$1919))*('EFETIVO 11.05.2026'!$G$2:$G$1919="A")*('EFETIVO 11.05.2026'!$C$2:$C$1919=B16))</f>
        <v>3</v>
      </c>
      <c r="D16" s="985" cm="1">
        <f t="array" ref="D16">SUMPRODUCT(ISNUMBER(SEARCH("737",'EFETIVO 11.05.2026'!$H$2:$H$1919))*('EFETIVO 11.05.2026'!$G$2:$G$1919="D")*('EFETIVO 11.05.2026'!$C$2:$C$1919=B16))</f>
        <v>3</v>
      </c>
      <c r="E16" s="986">
        <f t="shared" si="0"/>
        <v>7.3891625615763543E-3</v>
      </c>
      <c r="F16" s="985" cm="1">
        <f t="array" ref="F16">SUMPRODUCT(ISNUMBER(SEARCH("737",'EFETIVO 11.05.2026'!$H$2:$H$1919))*(('EFETIVO 11.05.2026'!$G$2:$G$1919="F")+('EFETIVO 11.05.2026'!$G$2:$G$1919="P")+('EFETIVO 11.05.2026'!$G$2:$G$1919="T")+('EFETIVO 11.05.2026'!$G$2:$G$1919="M"))*('EFETIVO 11.05.2026'!$C$2:$C$1919=B16))</f>
        <v>1</v>
      </c>
    </row>
    <row r="17" spans="2:6" x14ac:dyDescent="0.35">
      <c r="B17" s="981" t="s">
        <v>410</v>
      </c>
      <c r="C17" s="982" cm="1">
        <f t="array" ref="C17">SUMPRODUCT(ISNUMBER(SEARCH("737",'EFETIVO 11.05.2026'!$H$2:$H$1919))*('EFETIVO 11.05.2026'!$G$2:$G$1919="A")*('EFETIVO 11.05.2026'!$C$2:$C$1919=B17))</f>
        <v>25</v>
      </c>
      <c r="D17" s="982" cm="1">
        <f t="array" ref="D17">SUMPRODUCT(ISNUMBER(SEARCH("737",'EFETIVO 11.05.2026'!$H$2:$H$1919))*('EFETIVO 11.05.2026'!$G$2:$G$1919="D")*('EFETIVO 11.05.2026'!$C$2:$C$1919=B17))</f>
        <v>7</v>
      </c>
      <c r="E17" s="983">
        <f t="shared" si="0"/>
        <v>6.1576354679802957E-2</v>
      </c>
      <c r="F17" s="982" cm="1">
        <f t="array" ref="F17">SUMPRODUCT(ISNUMBER(SEARCH("737",'EFETIVO 11.05.2026'!$H$2:$H$1919))*(('EFETIVO 11.05.2026'!$G$2:$G$1919="F")+('EFETIVO 11.05.2026'!$G$2:$G$1919="P")+('EFETIVO 11.05.2026'!$G$2:$G$1919="T")+('EFETIVO 11.05.2026'!$G$2:$G$1919="M"))*('EFETIVO 11.05.2026'!$C$2:$C$1919=B17))</f>
        <v>3</v>
      </c>
    </row>
    <row r="18" spans="2:6" x14ac:dyDescent="0.35">
      <c r="B18" s="984" t="s">
        <v>411</v>
      </c>
      <c r="C18" s="985" cm="1">
        <f t="array" ref="C18">SUMPRODUCT(ISNUMBER(SEARCH("737",'EFETIVO 11.05.2026'!$H$2:$H$1919))*('EFETIVO 11.05.2026'!$G$2:$G$1919="A")*('EFETIVO 11.05.2026'!$C$2:$C$1919=B18))</f>
        <v>8</v>
      </c>
      <c r="D18" s="985" cm="1">
        <f t="array" ref="D18">SUMPRODUCT(ISNUMBER(SEARCH("737",'EFETIVO 11.05.2026'!$H$2:$H$1919))*('EFETIVO 11.05.2026'!$G$2:$G$1919="D")*('EFETIVO 11.05.2026'!$C$2:$C$1919=B18))</f>
        <v>2</v>
      </c>
      <c r="E18" s="986">
        <f t="shared" si="0"/>
        <v>1.9704433497536946E-2</v>
      </c>
      <c r="F18" s="985" cm="1">
        <f t="array" ref="F18">SUMPRODUCT(ISNUMBER(SEARCH("737",'EFETIVO 11.05.2026'!$H$2:$H$1919))*(('EFETIVO 11.05.2026'!$G$2:$G$1919="F")+('EFETIVO 11.05.2026'!$G$2:$G$1919="P")+('EFETIVO 11.05.2026'!$G$2:$G$1919="T")+('EFETIVO 11.05.2026'!$G$2:$G$1919="M"))*('EFETIVO 11.05.2026'!$C$2:$C$1919=B18))</f>
        <v>0</v>
      </c>
    </row>
    <row r="19" spans="2:6" x14ac:dyDescent="0.35">
      <c r="B19" s="981" t="s">
        <v>413</v>
      </c>
      <c r="C19" s="982" cm="1">
        <f t="array" ref="C19">SUMPRODUCT(ISNUMBER(SEARCH("737",'EFETIVO 11.05.2026'!$H$2:$H$1919))*('EFETIVO 11.05.2026'!$G$2:$G$1919="A")*('EFETIVO 11.05.2026'!$C$2:$C$1919=B19))</f>
        <v>5</v>
      </c>
      <c r="D19" s="982" cm="1">
        <f t="array" ref="D19">SUMPRODUCT(ISNUMBER(SEARCH("737",'EFETIVO 11.05.2026'!$H$2:$H$1919))*('EFETIVO 11.05.2026'!$G$2:$G$1919="D")*('EFETIVO 11.05.2026'!$C$2:$C$1919=B19))</f>
        <v>2</v>
      </c>
      <c r="E19" s="983">
        <f t="shared" si="0"/>
        <v>1.2315270935960592E-2</v>
      </c>
      <c r="F19" s="982" cm="1">
        <f t="array" ref="F19">SUMPRODUCT(ISNUMBER(SEARCH("737",'EFETIVO 11.05.2026'!$H$2:$H$1919))*(('EFETIVO 11.05.2026'!$G$2:$G$1919="F")+('EFETIVO 11.05.2026'!$G$2:$G$1919="P")+('EFETIVO 11.05.2026'!$G$2:$G$1919="T")+('EFETIVO 11.05.2026'!$G$2:$G$1919="M"))*('EFETIVO 11.05.2026'!$C$2:$C$1919=B19))</f>
        <v>0</v>
      </c>
    </row>
    <row r="20" spans="2:6" x14ac:dyDescent="0.35">
      <c r="B20" s="984" t="s">
        <v>415</v>
      </c>
      <c r="C20" s="985" cm="1">
        <f t="array" ref="C20">SUMPRODUCT(ISNUMBER(SEARCH("737",'EFETIVO 11.05.2026'!$H$2:$H$1919))*('EFETIVO 11.05.2026'!$G$2:$G$1919="A")*('EFETIVO 11.05.2026'!$C$2:$C$1919=B20))</f>
        <v>2</v>
      </c>
      <c r="D20" s="985" cm="1">
        <f t="array" ref="D20">SUMPRODUCT(ISNUMBER(SEARCH("737",'EFETIVO 11.05.2026'!$H$2:$H$1919))*('EFETIVO 11.05.2026'!$G$2:$G$1919="D")*('EFETIVO 11.05.2026'!$C$2:$C$1919=B20))</f>
        <v>4</v>
      </c>
      <c r="E20" s="986">
        <f t="shared" si="0"/>
        <v>4.9261083743842365E-3</v>
      </c>
      <c r="F20" s="985" cm="1">
        <f t="array" ref="F20">SUMPRODUCT(ISNUMBER(SEARCH("737",'EFETIVO 11.05.2026'!$H$2:$H$1919))*(('EFETIVO 11.05.2026'!$G$2:$G$1919="F")+('EFETIVO 11.05.2026'!$G$2:$G$1919="P")+('EFETIVO 11.05.2026'!$G$2:$G$1919="T")+('EFETIVO 11.05.2026'!$G$2:$G$1919="M"))*('EFETIVO 11.05.2026'!$C$2:$C$1919=B20))</f>
        <v>0</v>
      </c>
    </row>
    <row r="21" spans="2:6" x14ac:dyDescent="0.35">
      <c r="B21" s="981" t="s">
        <v>416</v>
      </c>
      <c r="C21" s="982" cm="1">
        <f t="array" ref="C21">SUMPRODUCT(ISNUMBER(SEARCH("737",'EFETIVO 11.05.2026'!$H$2:$H$1919))*('EFETIVO 11.05.2026'!$G$2:$G$1919="A")*('EFETIVO 11.05.2026'!$C$2:$C$1919=B21))</f>
        <v>8</v>
      </c>
      <c r="D21" s="982" cm="1">
        <f t="array" ref="D21">SUMPRODUCT(ISNUMBER(SEARCH("737",'EFETIVO 11.05.2026'!$H$2:$H$1919))*('EFETIVO 11.05.2026'!$G$2:$G$1919="D")*('EFETIVO 11.05.2026'!$C$2:$C$1919=B21))</f>
        <v>1</v>
      </c>
      <c r="E21" s="983">
        <f t="shared" si="0"/>
        <v>1.9704433497536946E-2</v>
      </c>
      <c r="F21" s="982" cm="1">
        <f t="array" ref="F21">SUMPRODUCT(ISNUMBER(SEARCH("737",'EFETIVO 11.05.2026'!$H$2:$H$1919))*(('EFETIVO 11.05.2026'!$G$2:$G$1919="F")+('EFETIVO 11.05.2026'!$G$2:$G$1919="P")+('EFETIVO 11.05.2026'!$G$2:$G$1919="T")+('EFETIVO 11.05.2026'!$G$2:$G$1919="M"))*('EFETIVO 11.05.2026'!$C$2:$C$1919=B21))</f>
        <v>0</v>
      </c>
    </row>
    <row r="22" spans="2:6" x14ac:dyDescent="0.35">
      <c r="B22" s="984" t="s">
        <v>1144</v>
      </c>
      <c r="C22" s="985" cm="1">
        <f t="array" ref="C22">SUMPRODUCT(ISNUMBER(SEARCH("737",'EFETIVO 11.05.2026'!$H$2:$H$1919))*('EFETIVO 11.05.2026'!$G$2:$G$1919="A")*('EFETIVO 11.05.2026'!$C$2:$C$1919=B22))</f>
        <v>30</v>
      </c>
      <c r="D22" s="985" cm="1">
        <f t="array" ref="D22">SUMPRODUCT(ISNUMBER(SEARCH("737",'EFETIVO 11.05.2026'!$H$2:$H$1919))*('EFETIVO 11.05.2026'!$G$2:$G$1919="D")*('EFETIVO 11.05.2026'!$C$2:$C$1919=B22))</f>
        <v>11</v>
      </c>
      <c r="E22" s="986">
        <f t="shared" si="0"/>
        <v>7.3891625615763554E-2</v>
      </c>
      <c r="F22" s="985" cm="1">
        <f t="array" ref="F22">SUMPRODUCT(ISNUMBER(SEARCH("737",'EFETIVO 11.05.2026'!$H$2:$H$1919))*(('EFETIVO 11.05.2026'!$G$2:$G$1919="F")+('EFETIVO 11.05.2026'!$G$2:$G$1919="P")+('EFETIVO 11.05.2026'!$G$2:$G$1919="T")+('EFETIVO 11.05.2026'!$G$2:$G$1919="M"))*('EFETIVO 11.05.2026'!$C$2:$C$1919=B22))</f>
        <v>0</v>
      </c>
    </row>
    <row r="23" spans="2:6" x14ac:dyDescent="0.35">
      <c r="B23" s="981" t="s">
        <v>1450</v>
      </c>
      <c r="C23" s="982" cm="1">
        <f t="array" ref="C23">SUMPRODUCT(ISNUMBER(SEARCH("737",'EFETIVO 11.05.2026'!$H$2:$H$1919))*('EFETIVO 11.05.2026'!$G$2:$G$1919="A")*('EFETIVO 11.05.2026'!$C$2:$C$1919=B23))</f>
        <v>2</v>
      </c>
      <c r="D23" s="982" cm="1">
        <f t="array" ref="D23">SUMPRODUCT(ISNUMBER(SEARCH("737",'EFETIVO 11.05.2026'!$H$2:$H$1919))*('EFETIVO 11.05.2026'!$G$2:$G$1919="D")*('EFETIVO 11.05.2026'!$C$2:$C$1919=B23))</f>
        <v>2</v>
      </c>
      <c r="E23" s="983">
        <f t="shared" si="0"/>
        <v>4.9261083743842365E-3</v>
      </c>
      <c r="F23" s="982" cm="1">
        <f t="array" ref="F23">SUMPRODUCT(ISNUMBER(SEARCH("737",'EFETIVO 11.05.2026'!$H$2:$H$1919))*(('EFETIVO 11.05.2026'!$G$2:$G$1919="F")+('EFETIVO 11.05.2026'!$G$2:$G$1919="P")+('EFETIVO 11.05.2026'!$G$2:$G$1919="T")+('EFETIVO 11.05.2026'!$G$2:$G$1919="M"))*('EFETIVO 11.05.2026'!$C$2:$C$1919=B23))</f>
        <v>0</v>
      </c>
    </row>
    <row r="24" spans="2:6" x14ac:dyDescent="0.35">
      <c r="B24" s="984" t="s">
        <v>419</v>
      </c>
      <c r="C24" s="985" cm="1">
        <f t="array" ref="C24">SUMPRODUCT(ISNUMBER(SEARCH("737",'EFETIVO 11.05.2026'!$H$2:$H$1919))*('EFETIVO 11.05.2026'!$G$2:$G$1919="A")*('EFETIVO 11.05.2026'!$C$2:$C$1919=B24))</f>
        <v>2</v>
      </c>
      <c r="D24" s="985" cm="1">
        <f t="array" ref="D24">SUMPRODUCT(ISNUMBER(SEARCH("737",'EFETIVO 11.05.2026'!$H$2:$H$1919))*('EFETIVO 11.05.2026'!$G$2:$G$1919="D")*('EFETIVO 11.05.2026'!$C$2:$C$1919=B24))</f>
        <v>0</v>
      </c>
      <c r="E24" s="986">
        <f t="shared" si="0"/>
        <v>4.9261083743842365E-3</v>
      </c>
      <c r="F24" s="985" cm="1">
        <f t="array" ref="F24">SUMPRODUCT(ISNUMBER(SEARCH("737",'EFETIVO 11.05.2026'!$H$2:$H$1919))*(('EFETIVO 11.05.2026'!$G$2:$G$1919="F")+('EFETIVO 11.05.2026'!$G$2:$G$1919="P")+('EFETIVO 11.05.2026'!$G$2:$G$1919="T")+('EFETIVO 11.05.2026'!$G$2:$G$1919="M"))*('EFETIVO 11.05.2026'!$C$2:$C$1919=B24))</f>
        <v>0</v>
      </c>
    </row>
    <row r="25" spans="2:6" x14ac:dyDescent="0.35">
      <c r="B25" s="981" t="s">
        <v>420</v>
      </c>
      <c r="C25" s="982" cm="1">
        <f t="array" ref="C25">SUMPRODUCT(ISNUMBER(SEARCH("737",'EFETIVO 11.05.2026'!$H$2:$H$1919))*('EFETIVO 11.05.2026'!$G$2:$G$1919="A")*('EFETIVO 11.05.2026'!$C$2:$C$1919=B25))</f>
        <v>87</v>
      </c>
      <c r="D25" s="982" cm="1">
        <f t="array" ref="D25">SUMPRODUCT(ISNUMBER(SEARCH("737",'EFETIVO 11.05.2026'!$H$2:$H$1919))*('EFETIVO 11.05.2026'!$G$2:$G$1919="D")*('EFETIVO 11.05.2026'!$C$2:$C$1919=B25))</f>
        <v>42</v>
      </c>
      <c r="E25" s="983">
        <f t="shared" si="0"/>
        <v>0.21428571428571427</v>
      </c>
      <c r="F25" s="982" cm="1">
        <f t="array" ref="F25">SUMPRODUCT(ISNUMBER(SEARCH("737",'EFETIVO 11.05.2026'!$H$2:$H$1919))*(('EFETIVO 11.05.2026'!$G$2:$G$1919="F")+('EFETIVO 11.05.2026'!$G$2:$G$1919="P")+('EFETIVO 11.05.2026'!$G$2:$G$1919="T")+('EFETIVO 11.05.2026'!$G$2:$G$1919="M"))*('EFETIVO 11.05.2026'!$C$2:$C$1919=B25))</f>
        <v>9</v>
      </c>
    </row>
    <row r="26" spans="2:6" x14ac:dyDescent="0.35">
      <c r="B26" s="984" t="s">
        <v>4071</v>
      </c>
      <c r="C26" s="985" cm="1">
        <f t="array" ref="C26">SUMPRODUCT(ISNUMBER(SEARCH("737",'EFETIVO 11.05.2026'!$H$2:$H$1919))*('EFETIVO 11.05.2026'!$G$2:$G$1919="A")*('EFETIVO 11.05.2026'!$C$2:$C$1919=B26))</f>
        <v>0</v>
      </c>
      <c r="D26" s="985" cm="1">
        <f t="array" ref="D26">SUMPRODUCT(ISNUMBER(SEARCH("737",'EFETIVO 11.05.2026'!$H$2:$H$1919))*('EFETIVO 11.05.2026'!$G$2:$G$1919="D")*('EFETIVO 11.05.2026'!$C$2:$C$1919=B26))</f>
        <v>1</v>
      </c>
      <c r="E26" s="986">
        <f t="shared" si="0"/>
        <v>0</v>
      </c>
      <c r="F26" s="985" cm="1">
        <f t="array" ref="F26">SUMPRODUCT(ISNUMBER(SEARCH("737",'EFETIVO 11.05.2026'!$H$2:$H$1919))*(('EFETIVO 11.05.2026'!$G$2:$G$1919="F")+('EFETIVO 11.05.2026'!$G$2:$G$1919="P")+('EFETIVO 11.05.2026'!$G$2:$G$1919="T")+('EFETIVO 11.05.2026'!$G$2:$G$1919="M"))*('EFETIVO 11.05.2026'!$C$2:$C$1919=B26))</f>
        <v>0</v>
      </c>
    </row>
    <row r="27" spans="2:6" x14ac:dyDescent="0.35">
      <c r="B27" s="981" t="s">
        <v>421</v>
      </c>
      <c r="C27" s="982" cm="1">
        <f t="array" ref="C27">SUMPRODUCT(ISNUMBER(SEARCH("737",'EFETIVO 11.05.2026'!$H$2:$H$1919))*('EFETIVO 11.05.2026'!$G$2:$G$1919="A")*('EFETIVO 11.05.2026'!$C$2:$C$1919=B27))</f>
        <v>4</v>
      </c>
      <c r="D27" s="982" cm="1">
        <f t="array" ref="D27">SUMPRODUCT(ISNUMBER(SEARCH("737",'EFETIVO 11.05.2026'!$H$2:$H$1919))*('EFETIVO 11.05.2026'!$G$2:$G$1919="D")*('EFETIVO 11.05.2026'!$C$2:$C$1919=B27))</f>
        <v>1</v>
      </c>
      <c r="E27" s="983">
        <f t="shared" si="0"/>
        <v>9.852216748768473E-3</v>
      </c>
      <c r="F27" s="982" cm="1">
        <f t="array" ref="F27">SUMPRODUCT(ISNUMBER(SEARCH("737",'EFETIVO 11.05.2026'!$H$2:$H$1919))*(('EFETIVO 11.05.2026'!$G$2:$G$1919="F")+('EFETIVO 11.05.2026'!$G$2:$G$1919="P")+('EFETIVO 11.05.2026'!$G$2:$G$1919="T")+('EFETIVO 11.05.2026'!$G$2:$G$1919="M"))*('EFETIVO 11.05.2026'!$C$2:$C$1919=B27))</f>
        <v>1</v>
      </c>
    </row>
    <row r="28" spans="2:6" x14ac:dyDescent="0.35">
      <c r="B28" s="984" t="s">
        <v>423</v>
      </c>
      <c r="C28" s="985" cm="1">
        <f t="array" ref="C28">SUMPRODUCT(ISNUMBER(SEARCH("737",'EFETIVO 11.05.2026'!$H$2:$H$1919))*('EFETIVO 11.05.2026'!$G$2:$G$1919="A")*('EFETIVO 11.05.2026'!$C$2:$C$1919=B28))</f>
        <v>1</v>
      </c>
      <c r="D28" s="985" cm="1">
        <f t="array" ref="D28">SUMPRODUCT(ISNUMBER(SEARCH("737",'EFETIVO 11.05.2026'!$H$2:$H$1919))*('EFETIVO 11.05.2026'!$G$2:$G$1919="D")*('EFETIVO 11.05.2026'!$C$2:$C$1919=B28))</f>
        <v>2</v>
      </c>
      <c r="E28" s="986">
        <f t="shared" si="0"/>
        <v>2.4630541871921183E-3</v>
      </c>
      <c r="F28" s="985" cm="1">
        <f t="array" ref="F28">SUMPRODUCT(ISNUMBER(SEARCH("737",'EFETIVO 11.05.2026'!$H$2:$H$1919))*(('EFETIVO 11.05.2026'!$G$2:$G$1919="F")+('EFETIVO 11.05.2026'!$G$2:$G$1919="P")+('EFETIVO 11.05.2026'!$G$2:$G$1919="T")+('EFETIVO 11.05.2026'!$G$2:$G$1919="M"))*('EFETIVO 11.05.2026'!$C$2:$C$1919=B28))</f>
        <v>0</v>
      </c>
    </row>
    <row r="29" spans="2:6" x14ac:dyDescent="0.35">
      <c r="B29" s="981" t="s">
        <v>424</v>
      </c>
      <c r="C29" s="982" cm="1">
        <f t="array" ref="C29">SUMPRODUCT(ISNUMBER(SEARCH("737",'EFETIVO 11.05.2026'!$H$2:$H$1919))*('EFETIVO 11.05.2026'!$G$2:$G$1919="A")*('EFETIVO 11.05.2026'!$C$2:$C$1919=B29))</f>
        <v>1</v>
      </c>
      <c r="D29" s="982" cm="1">
        <f t="array" ref="D29">SUMPRODUCT(ISNUMBER(SEARCH("737",'EFETIVO 11.05.2026'!$H$2:$H$1919))*('EFETIVO 11.05.2026'!$G$2:$G$1919="D")*('EFETIVO 11.05.2026'!$C$2:$C$1919=B29))</f>
        <v>0</v>
      </c>
      <c r="E29" s="983">
        <f t="shared" si="0"/>
        <v>2.4630541871921183E-3</v>
      </c>
      <c r="F29" s="982" cm="1">
        <f t="array" ref="F29">SUMPRODUCT(ISNUMBER(SEARCH("737",'EFETIVO 11.05.2026'!$H$2:$H$1919))*(('EFETIVO 11.05.2026'!$G$2:$G$1919="F")+('EFETIVO 11.05.2026'!$G$2:$G$1919="P")+('EFETIVO 11.05.2026'!$G$2:$G$1919="T")+('EFETIVO 11.05.2026'!$G$2:$G$1919="M"))*('EFETIVO 11.05.2026'!$C$2:$C$1919=B29))</f>
        <v>0</v>
      </c>
    </row>
    <row r="30" spans="2:6" x14ac:dyDescent="0.35">
      <c r="B30" s="984" t="s">
        <v>425</v>
      </c>
      <c r="C30" s="985" cm="1">
        <f t="array" ref="C30">SUMPRODUCT(ISNUMBER(SEARCH("737",'EFETIVO 11.05.2026'!$H$2:$H$1919))*('EFETIVO 11.05.2026'!$G$2:$G$1919="A")*('EFETIVO 11.05.2026'!$C$2:$C$1919=B30))</f>
        <v>7</v>
      </c>
      <c r="D30" s="985" cm="1">
        <f t="array" ref="D30">SUMPRODUCT(ISNUMBER(SEARCH("737",'EFETIVO 11.05.2026'!$H$2:$H$1919))*('EFETIVO 11.05.2026'!$G$2:$G$1919="D")*('EFETIVO 11.05.2026'!$C$2:$C$1919=B30))</f>
        <v>1</v>
      </c>
      <c r="E30" s="986">
        <f t="shared" si="0"/>
        <v>1.7241379310344827E-2</v>
      </c>
      <c r="F30" s="985" cm="1">
        <f t="array" ref="F30">SUMPRODUCT(ISNUMBER(SEARCH("737",'EFETIVO 11.05.2026'!$H$2:$H$1919))*(('EFETIVO 11.05.2026'!$G$2:$G$1919="F")+('EFETIVO 11.05.2026'!$G$2:$G$1919="P")+('EFETIVO 11.05.2026'!$G$2:$G$1919="T")+('EFETIVO 11.05.2026'!$G$2:$G$1919="M"))*('EFETIVO 11.05.2026'!$C$2:$C$1919=B30))</f>
        <v>0</v>
      </c>
    </row>
    <row r="31" spans="2:6" x14ac:dyDescent="0.35">
      <c r="B31" s="981" t="s">
        <v>1848</v>
      </c>
      <c r="C31" s="982" cm="1">
        <f t="array" ref="C31">SUMPRODUCT(ISNUMBER(SEARCH("737",'EFETIVO 11.05.2026'!$H$2:$H$1919))*('EFETIVO 11.05.2026'!$G$2:$G$1919="A")*('EFETIVO 11.05.2026'!$C$2:$C$1919=B31))</f>
        <v>0</v>
      </c>
      <c r="D31" s="982" cm="1">
        <f t="array" ref="D31">SUMPRODUCT(ISNUMBER(SEARCH("737",'EFETIVO 11.05.2026'!$H$2:$H$1919))*('EFETIVO 11.05.2026'!$G$2:$G$1919="D")*('EFETIVO 11.05.2026'!$C$2:$C$1919=B31))</f>
        <v>2</v>
      </c>
      <c r="E31" s="983">
        <f t="shared" si="0"/>
        <v>0</v>
      </c>
      <c r="F31" s="982" cm="1">
        <f t="array" ref="F31">SUMPRODUCT(ISNUMBER(SEARCH("737",'EFETIVO 11.05.2026'!$H$2:$H$1919))*(('EFETIVO 11.05.2026'!$G$2:$G$1919="F")+('EFETIVO 11.05.2026'!$G$2:$G$1919="P")+('EFETIVO 11.05.2026'!$G$2:$G$1919="T")+('EFETIVO 11.05.2026'!$G$2:$G$1919="M"))*('EFETIVO 11.05.2026'!$C$2:$C$1919=B31))</f>
        <v>0</v>
      </c>
    </row>
    <row r="32" spans="2:6" x14ac:dyDescent="0.35">
      <c r="B32" s="984" t="s">
        <v>1677</v>
      </c>
      <c r="C32" s="985" cm="1">
        <f t="array" ref="C32">SUMPRODUCT(ISNUMBER(SEARCH("737",'EFETIVO 11.05.2026'!$H$2:$H$1919))*('EFETIVO 11.05.2026'!$G$2:$G$1919="A")*('EFETIVO 11.05.2026'!$C$2:$C$1919=B32))</f>
        <v>1</v>
      </c>
      <c r="D32" s="985" cm="1">
        <f t="array" ref="D32">SUMPRODUCT(ISNUMBER(SEARCH("737",'EFETIVO 11.05.2026'!$H$2:$H$1919))*('EFETIVO 11.05.2026'!$G$2:$G$1919="D")*('EFETIVO 11.05.2026'!$C$2:$C$1919=B32))</f>
        <v>1</v>
      </c>
      <c r="E32" s="986">
        <f t="shared" si="0"/>
        <v>2.4630541871921183E-3</v>
      </c>
      <c r="F32" s="985" cm="1">
        <f t="array" ref="F32">SUMPRODUCT(ISNUMBER(SEARCH("737",'EFETIVO 11.05.2026'!$H$2:$H$1919))*(('EFETIVO 11.05.2026'!$G$2:$G$1919="F")+('EFETIVO 11.05.2026'!$G$2:$G$1919="P")+('EFETIVO 11.05.2026'!$G$2:$G$1919="T")+('EFETIVO 11.05.2026'!$G$2:$G$1919="M"))*('EFETIVO 11.05.2026'!$C$2:$C$1919=B32))</f>
        <v>0</v>
      </c>
    </row>
    <row r="33" spans="2:6" x14ac:dyDescent="0.35">
      <c r="B33" s="981" t="s">
        <v>426</v>
      </c>
      <c r="C33" s="982" cm="1">
        <f t="array" ref="C33">SUMPRODUCT(ISNUMBER(SEARCH("737",'EFETIVO 11.05.2026'!$H$2:$H$1919))*('EFETIVO 11.05.2026'!$G$2:$G$1919="A")*('EFETIVO 11.05.2026'!$C$2:$C$1919=B33))</f>
        <v>1</v>
      </c>
      <c r="D33" s="982" cm="1">
        <f t="array" ref="D33">SUMPRODUCT(ISNUMBER(SEARCH("737",'EFETIVO 11.05.2026'!$H$2:$H$1919))*('EFETIVO 11.05.2026'!$G$2:$G$1919="D")*('EFETIVO 11.05.2026'!$C$2:$C$1919=B33))</f>
        <v>0</v>
      </c>
      <c r="E33" s="983">
        <f t="shared" si="0"/>
        <v>2.4630541871921183E-3</v>
      </c>
      <c r="F33" s="982" cm="1">
        <f t="array" ref="F33">SUMPRODUCT(ISNUMBER(SEARCH("737",'EFETIVO 11.05.2026'!$H$2:$H$1919))*(('EFETIVO 11.05.2026'!$G$2:$G$1919="F")+('EFETIVO 11.05.2026'!$G$2:$G$1919="P")+('EFETIVO 11.05.2026'!$G$2:$G$1919="T")+('EFETIVO 11.05.2026'!$G$2:$G$1919="M"))*('EFETIVO 11.05.2026'!$C$2:$C$1919=B33))</f>
        <v>0</v>
      </c>
    </row>
    <row r="34" spans="2:6" x14ac:dyDescent="0.35">
      <c r="B34" s="984" t="s">
        <v>3803</v>
      </c>
      <c r="C34" s="985" cm="1">
        <f t="array" ref="C34">SUMPRODUCT(ISNUMBER(SEARCH("737",'EFETIVO 11.05.2026'!$H$2:$H$1919))*('EFETIVO 11.05.2026'!$G$2:$G$1919="A")*('EFETIVO 11.05.2026'!$C$2:$C$1919=B34))</f>
        <v>1</v>
      </c>
      <c r="D34" s="985" cm="1">
        <f t="array" ref="D34">SUMPRODUCT(ISNUMBER(SEARCH("737",'EFETIVO 11.05.2026'!$H$2:$H$1919))*('EFETIVO 11.05.2026'!$G$2:$G$1919="D")*('EFETIVO 11.05.2026'!$C$2:$C$1919=B34))</f>
        <v>0</v>
      </c>
      <c r="E34" s="986">
        <f t="shared" si="0"/>
        <v>2.4630541871921183E-3</v>
      </c>
      <c r="F34" s="985" cm="1">
        <f t="array" ref="F34">SUMPRODUCT(ISNUMBER(SEARCH("737",'EFETIVO 11.05.2026'!$H$2:$H$1919))*(('EFETIVO 11.05.2026'!$G$2:$G$1919="F")+('EFETIVO 11.05.2026'!$G$2:$G$1919="P")+('EFETIVO 11.05.2026'!$G$2:$G$1919="T")+('EFETIVO 11.05.2026'!$G$2:$G$1919="M"))*('EFETIVO 11.05.2026'!$C$2:$C$1919=B34))</f>
        <v>0</v>
      </c>
    </row>
    <row r="35" spans="2:6" x14ac:dyDescent="0.35">
      <c r="B35" s="981" t="s">
        <v>1968</v>
      </c>
      <c r="C35" s="982" cm="1">
        <f t="array" ref="C35">SUMPRODUCT(ISNUMBER(SEARCH("737",'EFETIVO 11.05.2026'!$H$2:$H$1919))*('EFETIVO 11.05.2026'!$G$2:$G$1919="A")*('EFETIVO 11.05.2026'!$C$2:$C$1919=B35))</f>
        <v>1</v>
      </c>
      <c r="D35" s="982" cm="1">
        <f t="array" ref="D35">SUMPRODUCT(ISNUMBER(SEARCH("737",'EFETIVO 11.05.2026'!$H$2:$H$1919))*('EFETIVO 11.05.2026'!$G$2:$G$1919="D")*('EFETIVO 11.05.2026'!$C$2:$C$1919=B35))</f>
        <v>0</v>
      </c>
      <c r="E35" s="983">
        <f t="shared" si="0"/>
        <v>2.4630541871921183E-3</v>
      </c>
      <c r="F35" s="982" cm="1">
        <f t="array" ref="F35">SUMPRODUCT(ISNUMBER(SEARCH("737",'EFETIVO 11.05.2026'!$H$2:$H$1919))*(('EFETIVO 11.05.2026'!$G$2:$G$1919="F")+('EFETIVO 11.05.2026'!$G$2:$G$1919="P")+('EFETIVO 11.05.2026'!$G$2:$G$1919="T")+('EFETIVO 11.05.2026'!$G$2:$G$1919="M"))*('EFETIVO 11.05.2026'!$C$2:$C$1919=B35))</f>
        <v>0</v>
      </c>
    </row>
    <row r="36" spans="2:6" x14ac:dyDescent="0.35">
      <c r="B36" s="984" t="s">
        <v>578</v>
      </c>
      <c r="C36" s="985" cm="1">
        <f t="array" ref="C36">SUMPRODUCT(ISNUMBER(SEARCH("737",'EFETIVO 11.05.2026'!$H$2:$H$1919))*('EFETIVO 11.05.2026'!$G$2:$G$1919="A")*('EFETIVO 11.05.2026'!$C$2:$C$1919=B36))</f>
        <v>28</v>
      </c>
      <c r="D36" s="985" cm="1">
        <f t="array" ref="D36">SUMPRODUCT(ISNUMBER(SEARCH("737",'EFETIVO 11.05.2026'!$H$2:$H$1919))*('EFETIVO 11.05.2026'!$G$2:$G$1919="D")*('EFETIVO 11.05.2026'!$C$2:$C$1919=B36))</f>
        <v>3</v>
      </c>
      <c r="E36" s="986">
        <f t="shared" si="0"/>
        <v>6.8965517241379309E-2</v>
      </c>
      <c r="F36" s="985" cm="1">
        <f t="array" ref="F36">SUMPRODUCT(ISNUMBER(SEARCH("737",'EFETIVO 11.05.2026'!$H$2:$H$1919))*(('EFETIVO 11.05.2026'!$G$2:$G$1919="F")+('EFETIVO 11.05.2026'!$G$2:$G$1919="P")+('EFETIVO 11.05.2026'!$G$2:$G$1919="T")+('EFETIVO 11.05.2026'!$G$2:$G$1919="M"))*('EFETIVO 11.05.2026'!$C$2:$C$1919=B36))</f>
        <v>3</v>
      </c>
    </row>
    <row r="37" spans="2:6" x14ac:dyDescent="0.35">
      <c r="B37" s="981" t="s">
        <v>1715</v>
      </c>
      <c r="C37" s="982" cm="1">
        <f t="array" ref="C37">SUMPRODUCT(ISNUMBER(SEARCH("737",'EFETIVO 11.05.2026'!$H$2:$H$1919))*('EFETIVO 11.05.2026'!$G$2:$G$1919="A")*('EFETIVO 11.05.2026'!$C$2:$C$1919=B37))</f>
        <v>2</v>
      </c>
      <c r="D37" s="982" cm="1">
        <f t="array" ref="D37">SUMPRODUCT(ISNUMBER(SEARCH("737",'EFETIVO 11.05.2026'!$H$2:$H$1919))*('EFETIVO 11.05.2026'!$G$2:$G$1919="D")*('EFETIVO 11.05.2026'!$C$2:$C$1919=B37))</f>
        <v>0</v>
      </c>
      <c r="E37" s="983">
        <f t="shared" si="0"/>
        <v>4.9261083743842365E-3</v>
      </c>
      <c r="F37" s="982" cm="1">
        <f t="array" ref="F37">SUMPRODUCT(ISNUMBER(SEARCH("737",'EFETIVO 11.05.2026'!$H$2:$H$1919))*(('EFETIVO 11.05.2026'!$G$2:$G$1919="F")+('EFETIVO 11.05.2026'!$G$2:$G$1919="P")+('EFETIVO 11.05.2026'!$G$2:$G$1919="T")+('EFETIVO 11.05.2026'!$G$2:$G$1919="M"))*('EFETIVO 11.05.2026'!$C$2:$C$1919=B37))</f>
        <v>0</v>
      </c>
    </row>
    <row r="38" spans="2:6" x14ac:dyDescent="0.35">
      <c r="B38" s="984" t="s">
        <v>841</v>
      </c>
      <c r="C38" s="985" cm="1">
        <f t="array" ref="C38">SUMPRODUCT(ISNUMBER(SEARCH("737",'EFETIVO 11.05.2026'!$H$2:$H$1919))*('EFETIVO 11.05.2026'!$G$2:$G$1919="A")*('EFETIVO 11.05.2026'!$C$2:$C$1919=B38))</f>
        <v>1</v>
      </c>
      <c r="D38" s="985" cm="1">
        <f t="array" ref="D38">SUMPRODUCT(ISNUMBER(SEARCH("737",'EFETIVO 11.05.2026'!$H$2:$H$1919))*('EFETIVO 11.05.2026'!$G$2:$G$1919="D")*('EFETIVO 11.05.2026'!$C$2:$C$1919=B38))</f>
        <v>0</v>
      </c>
      <c r="E38" s="986">
        <f t="shared" si="0"/>
        <v>2.4630541871921183E-3</v>
      </c>
      <c r="F38" s="985" cm="1">
        <f t="array" ref="F38">SUMPRODUCT(ISNUMBER(SEARCH("737",'EFETIVO 11.05.2026'!$H$2:$H$1919))*(('EFETIVO 11.05.2026'!$G$2:$G$1919="F")+('EFETIVO 11.05.2026'!$G$2:$G$1919="P")+('EFETIVO 11.05.2026'!$G$2:$G$1919="T")+('EFETIVO 11.05.2026'!$G$2:$G$1919="M"))*('EFETIVO 11.05.2026'!$C$2:$C$1919=B38))</f>
        <v>0</v>
      </c>
    </row>
    <row r="39" spans="2:6" x14ac:dyDescent="0.35">
      <c r="B39" s="981" t="s">
        <v>429</v>
      </c>
      <c r="C39" s="982" cm="1">
        <f t="array" ref="C39">SUMPRODUCT(ISNUMBER(SEARCH("737",'EFETIVO 11.05.2026'!$H$2:$H$1919))*('EFETIVO 11.05.2026'!$G$2:$G$1919="A")*('EFETIVO 11.05.2026'!$C$2:$C$1919=B39))</f>
        <v>1</v>
      </c>
      <c r="D39" s="982" cm="1">
        <f t="array" ref="D39">SUMPRODUCT(ISNUMBER(SEARCH("737",'EFETIVO 11.05.2026'!$H$2:$H$1919))*('EFETIVO 11.05.2026'!$G$2:$G$1919="D")*('EFETIVO 11.05.2026'!$C$2:$C$1919=B39))</f>
        <v>0</v>
      </c>
      <c r="E39" s="983">
        <f t="shared" si="0"/>
        <v>2.4630541871921183E-3</v>
      </c>
      <c r="F39" s="982" cm="1">
        <f t="array" ref="F39">SUMPRODUCT(ISNUMBER(SEARCH("737",'EFETIVO 11.05.2026'!$H$2:$H$1919))*(('EFETIVO 11.05.2026'!$G$2:$G$1919="F")+('EFETIVO 11.05.2026'!$G$2:$G$1919="P")+('EFETIVO 11.05.2026'!$G$2:$G$1919="T")+('EFETIVO 11.05.2026'!$G$2:$G$1919="M"))*('EFETIVO 11.05.2026'!$C$2:$C$1919=B39))</f>
        <v>0</v>
      </c>
    </row>
    <row r="40" spans="2:6" x14ac:dyDescent="0.35">
      <c r="B40" s="984" t="s">
        <v>430</v>
      </c>
      <c r="C40" s="985" cm="1">
        <f t="array" ref="C40">SUMPRODUCT(ISNUMBER(SEARCH("737",'EFETIVO 11.05.2026'!$H$2:$H$1919))*('EFETIVO 11.05.2026'!$G$2:$G$1919="A")*('EFETIVO 11.05.2026'!$C$2:$C$1919=B40))</f>
        <v>1</v>
      </c>
      <c r="D40" s="985" cm="1">
        <f t="array" ref="D40">SUMPRODUCT(ISNUMBER(SEARCH("737",'EFETIVO 11.05.2026'!$H$2:$H$1919))*('EFETIVO 11.05.2026'!$G$2:$G$1919="D")*('EFETIVO 11.05.2026'!$C$2:$C$1919=B40))</f>
        <v>0</v>
      </c>
      <c r="E40" s="986">
        <f t="shared" si="0"/>
        <v>2.4630541871921183E-3</v>
      </c>
      <c r="F40" s="985" cm="1">
        <f t="array" ref="F40">SUMPRODUCT(ISNUMBER(SEARCH("737",'EFETIVO 11.05.2026'!$H$2:$H$1919))*(('EFETIVO 11.05.2026'!$G$2:$G$1919="F")+('EFETIVO 11.05.2026'!$G$2:$G$1919="P")+('EFETIVO 11.05.2026'!$G$2:$G$1919="T")+('EFETIVO 11.05.2026'!$G$2:$G$1919="M"))*('EFETIVO 11.05.2026'!$C$2:$C$1919=B40))</f>
        <v>0</v>
      </c>
    </row>
    <row r="41" spans="2:6" x14ac:dyDescent="0.35">
      <c r="B41" s="981" t="s">
        <v>642</v>
      </c>
      <c r="C41" s="982" cm="1">
        <f t="array" ref="C41">SUMPRODUCT(ISNUMBER(SEARCH("737",'EFETIVO 11.05.2026'!$H$2:$H$1919))*('EFETIVO 11.05.2026'!$G$2:$G$1919="A")*('EFETIVO 11.05.2026'!$C$2:$C$1919=B41))</f>
        <v>1</v>
      </c>
      <c r="D41" s="982" cm="1">
        <f t="array" ref="D41">SUMPRODUCT(ISNUMBER(SEARCH("737",'EFETIVO 11.05.2026'!$H$2:$H$1919))*('EFETIVO 11.05.2026'!$G$2:$G$1919="D")*('EFETIVO 11.05.2026'!$C$2:$C$1919=B41))</f>
        <v>1</v>
      </c>
      <c r="E41" s="983">
        <f t="shared" si="0"/>
        <v>2.4630541871921183E-3</v>
      </c>
      <c r="F41" s="982" cm="1">
        <f t="array" ref="F41">SUMPRODUCT(ISNUMBER(SEARCH("737",'EFETIVO 11.05.2026'!$H$2:$H$1919))*(('EFETIVO 11.05.2026'!$G$2:$G$1919="F")+('EFETIVO 11.05.2026'!$G$2:$G$1919="P")+('EFETIVO 11.05.2026'!$G$2:$G$1919="T")+('EFETIVO 11.05.2026'!$G$2:$G$1919="M"))*('EFETIVO 11.05.2026'!$C$2:$C$1919=B41))</f>
        <v>0</v>
      </c>
    </row>
    <row r="42" spans="2:6" x14ac:dyDescent="0.35">
      <c r="B42" s="984" t="s">
        <v>1931</v>
      </c>
      <c r="C42" s="985" cm="1">
        <f t="array" ref="C42">SUMPRODUCT(ISNUMBER(SEARCH("737",'EFETIVO 11.05.2026'!$H$2:$H$1919))*('EFETIVO 11.05.2026'!$G$2:$G$1919="A")*('EFETIVO 11.05.2026'!$C$2:$C$1919=B42))</f>
        <v>1</v>
      </c>
      <c r="D42" s="985" cm="1">
        <f t="array" ref="D42">SUMPRODUCT(ISNUMBER(SEARCH("737",'EFETIVO 11.05.2026'!$H$2:$H$1919))*('EFETIVO 11.05.2026'!$G$2:$G$1919="D")*('EFETIVO 11.05.2026'!$C$2:$C$1919=B42))</f>
        <v>0</v>
      </c>
      <c r="E42" s="986">
        <f t="shared" si="0"/>
        <v>2.4630541871921183E-3</v>
      </c>
      <c r="F42" s="985" cm="1">
        <f t="array" ref="F42">SUMPRODUCT(ISNUMBER(SEARCH("737",'EFETIVO 11.05.2026'!$H$2:$H$1919))*(('EFETIVO 11.05.2026'!$G$2:$G$1919="F")+('EFETIVO 11.05.2026'!$G$2:$G$1919="P")+('EFETIVO 11.05.2026'!$G$2:$G$1919="T")+('EFETIVO 11.05.2026'!$G$2:$G$1919="M"))*('EFETIVO 11.05.2026'!$C$2:$C$1919=B42))</f>
        <v>0</v>
      </c>
    </row>
    <row r="43" spans="2:6" x14ac:dyDescent="0.35">
      <c r="B43" s="981" t="s">
        <v>1263</v>
      </c>
      <c r="C43" s="982" cm="1">
        <f t="array" ref="C43">SUMPRODUCT(ISNUMBER(SEARCH("737",'EFETIVO 11.05.2026'!$H$2:$H$1919))*('EFETIVO 11.05.2026'!$G$2:$G$1919="A")*('EFETIVO 11.05.2026'!$C$2:$C$1919=B43))</f>
        <v>4</v>
      </c>
      <c r="D43" s="982" cm="1">
        <f t="array" ref="D43">SUMPRODUCT(ISNUMBER(SEARCH("737",'EFETIVO 11.05.2026'!$H$2:$H$1919))*('EFETIVO 11.05.2026'!$G$2:$G$1919="D")*('EFETIVO 11.05.2026'!$C$2:$C$1919=B43))</f>
        <v>0</v>
      </c>
      <c r="E43" s="983">
        <f t="shared" si="0"/>
        <v>9.852216748768473E-3</v>
      </c>
      <c r="F43" s="982" cm="1">
        <f t="array" ref="F43">SUMPRODUCT(ISNUMBER(SEARCH("737",'EFETIVO 11.05.2026'!$H$2:$H$1919))*(('EFETIVO 11.05.2026'!$G$2:$G$1919="F")+('EFETIVO 11.05.2026'!$G$2:$G$1919="P")+('EFETIVO 11.05.2026'!$G$2:$G$1919="T")+('EFETIVO 11.05.2026'!$G$2:$G$1919="M"))*('EFETIVO 11.05.2026'!$C$2:$C$1919=B43))</f>
        <v>0</v>
      </c>
    </row>
    <row r="44" spans="2:6" x14ac:dyDescent="0.35">
      <c r="B44" s="984" t="s">
        <v>1148</v>
      </c>
      <c r="C44" s="985" cm="1">
        <f t="array" ref="C44">SUMPRODUCT(ISNUMBER(SEARCH("737",'EFETIVO 11.05.2026'!$H$2:$H$1919))*('EFETIVO 11.05.2026'!$G$2:$G$1919="A")*('EFETIVO 11.05.2026'!$C$2:$C$1919=B44))</f>
        <v>15</v>
      </c>
      <c r="D44" s="985" cm="1">
        <f t="array" ref="D44">SUMPRODUCT(ISNUMBER(SEARCH("737",'EFETIVO 11.05.2026'!$H$2:$H$1919))*('EFETIVO 11.05.2026'!$G$2:$G$1919="D")*('EFETIVO 11.05.2026'!$C$2:$C$1919=B44))</f>
        <v>0</v>
      </c>
      <c r="E44" s="986">
        <f t="shared" si="0"/>
        <v>3.6945812807881777E-2</v>
      </c>
      <c r="F44" s="985" cm="1">
        <f t="array" ref="F44">SUMPRODUCT(ISNUMBER(SEARCH("737",'EFETIVO 11.05.2026'!$H$2:$H$1919))*(('EFETIVO 11.05.2026'!$G$2:$G$1919="F")+('EFETIVO 11.05.2026'!$G$2:$G$1919="P")+('EFETIVO 11.05.2026'!$G$2:$G$1919="T")+('EFETIVO 11.05.2026'!$G$2:$G$1919="M"))*('EFETIVO 11.05.2026'!$C$2:$C$1919=B44))</f>
        <v>0</v>
      </c>
    </row>
    <row r="45" spans="2:6" x14ac:dyDescent="0.35">
      <c r="B45" s="981" t="s">
        <v>432</v>
      </c>
      <c r="C45" s="982" cm="1">
        <f t="array" ref="C45">SUMPRODUCT(ISNUMBER(SEARCH("737",'EFETIVO 11.05.2026'!$H$2:$H$1919))*('EFETIVO 11.05.2026'!$G$2:$G$1919="A")*('EFETIVO 11.05.2026'!$C$2:$C$1919=B45))</f>
        <v>2</v>
      </c>
      <c r="D45" s="982" cm="1">
        <f t="array" ref="D45">SUMPRODUCT(ISNUMBER(SEARCH("737",'EFETIVO 11.05.2026'!$H$2:$H$1919))*('EFETIVO 11.05.2026'!$G$2:$G$1919="D")*('EFETIVO 11.05.2026'!$C$2:$C$1919=B45))</f>
        <v>0</v>
      </c>
      <c r="E45" s="983">
        <f t="shared" si="0"/>
        <v>4.9261083743842365E-3</v>
      </c>
      <c r="F45" s="982" cm="1">
        <f t="array" ref="F45">SUMPRODUCT(ISNUMBER(SEARCH("737",'EFETIVO 11.05.2026'!$H$2:$H$1919))*(('EFETIVO 11.05.2026'!$G$2:$G$1919="F")+('EFETIVO 11.05.2026'!$G$2:$G$1919="P")+('EFETIVO 11.05.2026'!$G$2:$G$1919="T")+('EFETIVO 11.05.2026'!$G$2:$G$1919="M"))*('EFETIVO 11.05.2026'!$C$2:$C$1919=B45))</f>
        <v>0</v>
      </c>
    </row>
    <row r="46" spans="2:6" x14ac:dyDescent="0.35">
      <c r="B46" s="984" t="s">
        <v>1585</v>
      </c>
      <c r="C46" s="985" cm="1">
        <f t="array" ref="C46">SUMPRODUCT(ISNUMBER(SEARCH("737",'EFETIVO 11.05.2026'!$H$2:$H$1919))*('EFETIVO 11.05.2026'!$G$2:$G$1919="A")*('EFETIVO 11.05.2026'!$C$2:$C$1919=B46))</f>
        <v>1</v>
      </c>
      <c r="D46" s="985" cm="1">
        <f t="array" ref="D46">SUMPRODUCT(ISNUMBER(SEARCH("737",'EFETIVO 11.05.2026'!$H$2:$H$1919))*('EFETIVO 11.05.2026'!$G$2:$G$1919="D")*('EFETIVO 11.05.2026'!$C$2:$C$1919=B46))</f>
        <v>0</v>
      </c>
      <c r="E46" s="986">
        <f t="shared" si="0"/>
        <v>2.4630541871921183E-3</v>
      </c>
      <c r="F46" s="985" cm="1">
        <f t="array" ref="F46">SUMPRODUCT(ISNUMBER(SEARCH("737",'EFETIVO 11.05.2026'!$H$2:$H$1919))*(('EFETIVO 11.05.2026'!$G$2:$G$1919="F")+('EFETIVO 11.05.2026'!$G$2:$G$1919="P")+('EFETIVO 11.05.2026'!$G$2:$G$1919="T")+('EFETIVO 11.05.2026'!$G$2:$G$1919="M"))*('EFETIVO 11.05.2026'!$C$2:$C$1919=B46))</f>
        <v>0</v>
      </c>
    </row>
    <row r="47" spans="2:6" x14ac:dyDescent="0.35">
      <c r="B47" s="981" t="s">
        <v>620</v>
      </c>
      <c r="C47" s="982" cm="1">
        <f t="array" ref="C47">SUMPRODUCT(ISNUMBER(SEARCH("737",'EFETIVO 11.05.2026'!$H$2:$H$1919))*('EFETIVO 11.05.2026'!$G$2:$G$1919="A")*('EFETIVO 11.05.2026'!$C$2:$C$1919=B47))</f>
        <v>0</v>
      </c>
      <c r="D47" s="982" cm="1">
        <f t="array" ref="D47">SUMPRODUCT(ISNUMBER(SEARCH("737",'EFETIVO 11.05.2026'!$H$2:$H$1919))*('EFETIVO 11.05.2026'!$G$2:$G$1919="D")*('EFETIVO 11.05.2026'!$C$2:$C$1919=B47))</f>
        <v>0</v>
      </c>
      <c r="E47" s="983">
        <f t="shared" ref="E47:E78" si="1">IFERROR(C47/$C$6,0)</f>
        <v>0</v>
      </c>
      <c r="F47" s="982" cm="1">
        <f t="array" ref="F47">SUMPRODUCT(ISNUMBER(SEARCH("737",'EFETIVO 11.05.2026'!$H$2:$H$1919))*(('EFETIVO 11.05.2026'!$G$2:$G$1919="F")+('EFETIVO 11.05.2026'!$G$2:$G$1919="P")+('EFETIVO 11.05.2026'!$G$2:$G$1919="T")+('EFETIVO 11.05.2026'!$G$2:$G$1919="M"))*('EFETIVO 11.05.2026'!$C$2:$C$1919=B47))</f>
        <v>1</v>
      </c>
    </row>
    <row r="48" spans="2:6" x14ac:dyDescent="0.35">
      <c r="B48" s="984" t="s">
        <v>1229</v>
      </c>
      <c r="C48" s="985" cm="1">
        <f t="array" ref="C48">SUMPRODUCT(ISNUMBER(SEARCH("737",'EFETIVO 11.05.2026'!$H$2:$H$1919))*('EFETIVO 11.05.2026'!$G$2:$G$1919="A")*('EFETIVO 11.05.2026'!$C$2:$C$1919=B48))</f>
        <v>2</v>
      </c>
      <c r="D48" s="985" cm="1">
        <f t="array" ref="D48">SUMPRODUCT(ISNUMBER(SEARCH("737",'EFETIVO 11.05.2026'!$H$2:$H$1919))*('EFETIVO 11.05.2026'!$G$2:$G$1919="D")*('EFETIVO 11.05.2026'!$C$2:$C$1919=B48))</f>
        <v>0</v>
      </c>
      <c r="E48" s="986">
        <f t="shared" si="1"/>
        <v>4.9261083743842365E-3</v>
      </c>
      <c r="F48" s="985" cm="1">
        <f t="array" ref="F48">SUMPRODUCT(ISNUMBER(SEARCH("737",'EFETIVO 11.05.2026'!$H$2:$H$1919))*(('EFETIVO 11.05.2026'!$G$2:$G$1919="F")+('EFETIVO 11.05.2026'!$G$2:$G$1919="P")+('EFETIVO 11.05.2026'!$G$2:$G$1919="T")+('EFETIVO 11.05.2026'!$G$2:$G$1919="M"))*('EFETIVO 11.05.2026'!$C$2:$C$1919=B48))</f>
        <v>0</v>
      </c>
    </row>
    <row r="49" spans="2:6" x14ac:dyDescent="0.35">
      <c r="B49" s="981" t="s">
        <v>1155</v>
      </c>
      <c r="C49" s="982" cm="1">
        <f t="array" ref="C49">SUMPRODUCT(ISNUMBER(SEARCH("737",'EFETIVO 11.05.2026'!$H$2:$H$1919))*('EFETIVO 11.05.2026'!$G$2:$G$1919="A")*('EFETIVO 11.05.2026'!$C$2:$C$1919=B49))</f>
        <v>0</v>
      </c>
      <c r="D49" s="982" cm="1">
        <f t="array" ref="D49">SUMPRODUCT(ISNUMBER(SEARCH("737",'EFETIVO 11.05.2026'!$H$2:$H$1919))*('EFETIVO 11.05.2026'!$G$2:$G$1919="D")*('EFETIVO 11.05.2026'!$C$2:$C$1919=B49))</f>
        <v>2</v>
      </c>
      <c r="E49" s="983">
        <f t="shared" si="1"/>
        <v>0</v>
      </c>
      <c r="F49" s="982" cm="1">
        <f t="array" ref="F49">SUMPRODUCT(ISNUMBER(SEARCH("737",'EFETIVO 11.05.2026'!$H$2:$H$1919))*(('EFETIVO 11.05.2026'!$G$2:$G$1919="F")+('EFETIVO 11.05.2026'!$G$2:$G$1919="P")+('EFETIVO 11.05.2026'!$G$2:$G$1919="T")+('EFETIVO 11.05.2026'!$G$2:$G$1919="M"))*('EFETIVO 11.05.2026'!$C$2:$C$1919=B49))</f>
        <v>0</v>
      </c>
    </row>
    <row r="50" spans="2:6" x14ac:dyDescent="0.35">
      <c r="B50" s="984" t="s">
        <v>433</v>
      </c>
      <c r="C50" s="985" cm="1">
        <f t="array" ref="C50">SUMPRODUCT(ISNUMBER(SEARCH("737",'EFETIVO 11.05.2026'!$H$2:$H$1919))*('EFETIVO 11.05.2026'!$G$2:$G$1919="A")*('EFETIVO 11.05.2026'!$C$2:$C$1919=B50))</f>
        <v>9</v>
      </c>
      <c r="D50" s="985" cm="1">
        <f t="array" ref="D50">SUMPRODUCT(ISNUMBER(SEARCH("737",'EFETIVO 11.05.2026'!$H$2:$H$1919))*('EFETIVO 11.05.2026'!$G$2:$G$1919="D")*('EFETIVO 11.05.2026'!$C$2:$C$1919=B50))</f>
        <v>0</v>
      </c>
      <c r="E50" s="986">
        <f t="shared" si="1"/>
        <v>2.2167487684729065E-2</v>
      </c>
      <c r="F50" s="985" cm="1">
        <f t="array" ref="F50">SUMPRODUCT(ISNUMBER(SEARCH("737",'EFETIVO 11.05.2026'!$H$2:$H$1919))*(('EFETIVO 11.05.2026'!$G$2:$G$1919="F")+('EFETIVO 11.05.2026'!$G$2:$G$1919="P")+('EFETIVO 11.05.2026'!$G$2:$G$1919="T")+('EFETIVO 11.05.2026'!$G$2:$G$1919="M"))*('EFETIVO 11.05.2026'!$C$2:$C$1919=B50))</f>
        <v>0</v>
      </c>
    </row>
    <row r="51" spans="2:6" x14ac:dyDescent="0.35">
      <c r="B51" s="981" t="s">
        <v>434</v>
      </c>
      <c r="C51" s="982" cm="1">
        <f t="array" ref="C51">SUMPRODUCT(ISNUMBER(SEARCH("737",'EFETIVO 11.05.2026'!$H$2:$H$1919))*('EFETIVO 11.05.2026'!$G$2:$G$1919="A")*('EFETIVO 11.05.2026'!$C$2:$C$1919=B51))</f>
        <v>0</v>
      </c>
      <c r="D51" s="982" cm="1">
        <f t="array" ref="D51">SUMPRODUCT(ISNUMBER(SEARCH("737",'EFETIVO 11.05.2026'!$H$2:$H$1919))*('EFETIVO 11.05.2026'!$G$2:$G$1919="D")*('EFETIVO 11.05.2026'!$C$2:$C$1919=B51))</f>
        <v>0</v>
      </c>
      <c r="E51" s="983">
        <f t="shared" si="1"/>
        <v>0</v>
      </c>
      <c r="F51" s="982" cm="1">
        <f t="array" ref="F51">SUMPRODUCT(ISNUMBER(SEARCH("737",'EFETIVO 11.05.2026'!$H$2:$H$1919))*(('EFETIVO 11.05.2026'!$G$2:$G$1919="F")+('EFETIVO 11.05.2026'!$G$2:$G$1919="P")+('EFETIVO 11.05.2026'!$G$2:$G$1919="T")+('EFETIVO 11.05.2026'!$G$2:$G$1919="M"))*('EFETIVO 11.05.2026'!$C$2:$C$1919=B51))</f>
        <v>1</v>
      </c>
    </row>
    <row r="52" spans="2:6" x14ac:dyDescent="0.35">
      <c r="B52" s="984" t="s">
        <v>2365</v>
      </c>
      <c r="C52" s="985" cm="1">
        <f t="array" ref="C52">SUMPRODUCT(ISNUMBER(SEARCH("737",'EFETIVO 11.05.2026'!$H$2:$H$1919))*('EFETIVO 11.05.2026'!$G$2:$G$1919="A")*('EFETIVO 11.05.2026'!$C$2:$C$1919=B52))</f>
        <v>1</v>
      </c>
      <c r="D52" s="985" cm="1">
        <f t="array" ref="D52">SUMPRODUCT(ISNUMBER(SEARCH("737",'EFETIVO 11.05.2026'!$H$2:$H$1919))*('EFETIVO 11.05.2026'!$G$2:$G$1919="D")*('EFETIVO 11.05.2026'!$C$2:$C$1919=B52))</f>
        <v>1</v>
      </c>
      <c r="E52" s="986">
        <f t="shared" si="1"/>
        <v>2.4630541871921183E-3</v>
      </c>
      <c r="F52" s="985" cm="1">
        <f t="array" ref="F52">SUMPRODUCT(ISNUMBER(SEARCH("737",'EFETIVO 11.05.2026'!$H$2:$H$1919))*(('EFETIVO 11.05.2026'!$G$2:$G$1919="F")+('EFETIVO 11.05.2026'!$G$2:$G$1919="P")+('EFETIVO 11.05.2026'!$G$2:$G$1919="T")+('EFETIVO 11.05.2026'!$G$2:$G$1919="M"))*('EFETIVO 11.05.2026'!$C$2:$C$1919=B52))</f>
        <v>0</v>
      </c>
    </row>
    <row r="53" spans="2:6" x14ac:dyDescent="0.35">
      <c r="B53" s="981" t="s">
        <v>436</v>
      </c>
      <c r="C53" s="982" cm="1">
        <f t="array" ref="C53">SUMPRODUCT(ISNUMBER(SEARCH("737",'EFETIVO 11.05.2026'!$H$2:$H$1919))*('EFETIVO 11.05.2026'!$G$2:$G$1919="A")*('EFETIVO 11.05.2026'!$C$2:$C$1919=B53))</f>
        <v>6</v>
      </c>
      <c r="D53" s="982" cm="1">
        <f t="array" ref="D53">SUMPRODUCT(ISNUMBER(SEARCH("737",'EFETIVO 11.05.2026'!$H$2:$H$1919))*('EFETIVO 11.05.2026'!$G$2:$G$1919="D")*('EFETIVO 11.05.2026'!$C$2:$C$1919=B53))</f>
        <v>0</v>
      </c>
      <c r="E53" s="983">
        <f t="shared" si="1"/>
        <v>1.4778325123152709E-2</v>
      </c>
      <c r="F53" s="982" cm="1">
        <f t="array" ref="F53">SUMPRODUCT(ISNUMBER(SEARCH("737",'EFETIVO 11.05.2026'!$H$2:$H$1919))*(('EFETIVO 11.05.2026'!$G$2:$G$1919="F")+('EFETIVO 11.05.2026'!$G$2:$G$1919="P")+('EFETIVO 11.05.2026'!$G$2:$G$1919="T")+('EFETIVO 11.05.2026'!$G$2:$G$1919="M"))*('EFETIVO 11.05.2026'!$C$2:$C$1919=B53))</f>
        <v>0</v>
      </c>
    </row>
    <row r="54" spans="2:6" x14ac:dyDescent="0.35">
      <c r="B54" s="984" t="s">
        <v>872</v>
      </c>
      <c r="C54" s="985" cm="1">
        <f t="array" ref="C54">SUMPRODUCT(ISNUMBER(SEARCH("737",'EFETIVO 11.05.2026'!$H$2:$H$1919))*('EFETIVO 11.05.2026'!$G$2:$G$1919="A")*('EFETIVO 11.05.2026'!$C$2:$C$1919=B54))</f>
        <v>1</v>
      </c>
      <c r="D54" s="985" cm="1">
        <f t="array" ref="D54">SUMPRODUCT(ISNUMBER(SEARCH("737",'EFETIVO 11.05.2026'!$H$2:$H$1919))*('EFETIVO 11.05.2026'!$G$2:$G$1919="D")*('EFETIVO 11.05.2026'!$C$2:$C$1919=B54))</f>
        <v>0</v>
      </c>
      <c r="E54" s="986">
        <f t="shared" si="1"/>
        <v>2.4630541871921183E-3</v>
      </c>
      <c r="F54" s="985" cm="1">
        <f t="array" ref="F54">SUMPRODUCT(ISNUMBER(SEARCH("737",'EFETIVO 11.05.2026'!$H$2:$H$1919))*(('EFETIVO 11.05.2026'!$G$2:$G$1919="F")+('EFETIVO 11.05.2026'!$G$2:$G$1919="P")+('EFETIVO 11.05.2026'!$G$2:$G$1919="T")+('EFETIVO 11.05.2026'!$G$2:$G$1919="M"))*('EFETIVO 11.05.2026'!$C$2:$C$1919=B54))</f>
        <v>0</v>
      </c>
    </row>
    <row r="55" spans="2:6" x14ac:dyDescent="0.35">
      <c r="B55" s="981" t="s">
        <v>437</v>
      </c>
      <c r="C55" s="982" cm="1">
        <f t="array" ref="C55">SUMPRODUCT(ISNUMBER(SEARCH("737",'EFETIVO 11.05.2026'!$H$2:$H$1919))*('EFETIVO 11.05.2026'!$G$2:$G$1919="A")*('EFETIVO 11.05.2026'!$C$2:$C$1919=B55))</f>
        <v>5</v>
      </c>
      <c r="D55" s="982" cm="1">
        <f t="array" ref="D55">SUMPRODUCT(ISNUMBER(SEARCH("737",'EFETIVO 11.05.2026'!$H$2:$H$1919))*('EFETIVO 11.05.2026'!$G$2:$G$1919="D")*('EFETIVO 11.05.2026'!$C$2:$C$1919=B55))</f>
        <v>2</v>
      </c>
      <c r="E55" s="983">
        <f t="shared" si="1"/>
        <v>1.2315270935960592E-2</v>
      </c>
      <c r="F55" s="982" cm="1">
        <f t="array" ref="F55">SUMPRODUCT(ISNUMBER(SEARCH("737",'EFETIVO 11.05.2026'!$H$2:$H$1919))*(('EFETIVO 11.05.2026'!$G$2:$G$1919="F")+('EFETIVO 11.05.2026'!$G$2:$G$1919="P")+('EFETIVO 11.05.2026'!$G$2:$G$1919="T")+('EFETIVO 11.05.2026'!$G$2:$G$1919="M"))*('EFETIVO 11.05.2026'!$C$2:$C$1919=B55))</f>
        <v>1</v>
      </c>
    </row>
    <row r="56" spans="2:6" x14ac:dyDescent="0.35">
      <c r="B56" s="984" t="s">
        <v>438</v>
      </c>
      <c r="C56" s="985" cm="1">
        <f t="array" ref="C56">SUMPRODUCT(ISNUMBER(SEARCH("737",'EFETIVO 11.05.2026'!$H$2:$H$1919))*('EFETIVO 11.05.2026'!$G$2:$G$1919="A")*('EFETIVO 11.05.2026'!$C$2:$C$1919=B56))</f>
        <v>5</v>
      </c>
      <c r="D56" s="985" cm="1">
        <f t="array" ref="D56">SUMPRODUCT(ISNUMBER(SEARCH("737",'EFETIVO 11.05.2026'!$H$2:$H$1919))*('EFETIVO 11.05.2026'!$G$2:$G$1919="D")*('EFETIVO 11.05.2026'!$C$2:$C$1919=B56))</f>
        <v>1</v>
      </c>
      <c r="E56" s="986">
        <f t="shared" si="1"/>
        <v>1.2315270935960592E-2</v>
      </c>
      <c r="F56" s="985" cm="1">
        <f t="array" ref="F56">SUMPRODUCT(ISNUMBER(SEARCH("737",'EFETIVO 11.05.2026'!$H$2:$H$1919))*(('EFETIVO 11.05.2026'!$G$2:$G$1919="F")+('EFETIVO 11.05.2026'!$G$2:$G$1919="P")+('EFETIVO 11.05.2026'!$G$2:$G$1919="T")+('EFETIVO 11.05.2026'!$G$2:$G$1919="M"))*('EFETIVO 11.05.2026'!$C$2:$C$1919=B56))</f>
        <v>0</v>
      </c>
    </row>
    <row r="57" spans="2:6" x14ac:dyDescent="0.35">
      <c r="B57" s="981" t="s">
        <v>2961</v>
      </c>
      <c r="C57" s="982" cm="1">
        <f t="array" ref="C57">SUMPRODUCT(ISNUMBER(SEARCH("737",'EFETIVO 11.05.2026'!$H$2:$H$1919))*('EFETIVO 11.05.2026'!$G$2:$G$1919="A")*('EFETIVO 11.05.2026'!$C$2:$C$1919=B57))</f>
        <v>1</v>
      </c>
      <c r="D57" s="982" cm="1">
        <f t="array" ref="D57">SUMPRODUCT(ISNUMBER(SEARCH("737",'EFETIVO 11.05.2026'!$H$2:$H$1919))*('EFETIVO 11.05.2026'!$G$2:$G$1919="D")*('EFETIVO 11.05.2026'!$C$2:$C$1919=B57))</f>
        <v>0</v>
      </c>
      <c r="E57" s="983">
        <f t="shared" si="1"/>
        <v>2.4630541871921183E-3</v>
      </c>
      <c r="F57" s="982" cm="1">
        <f t="array" ref="F57">SUMPRODUCT(ISNUMBER(SEARCH("737",'EFETIVO 11.05.2026'!$H$2:$H$1919))*(('EFETIVO 11.05.2026'!$G$2:$G$1919="F")+('EFETIVO 11.05.2026'!$G$2:$G$1919="P")+('EFETIVO 11.05.2026'!$G$2:$G$1919="T")+('EFETIVO 11.05.2026'!$G$2:$G$1919="M"))*('EFETIVO 11.05.2026'!$C$2:$C$1919=B57))</f>
        <v>0</v>
      </c>
    </row>
    <row r="58" spans="2:6" x14ac:dyDescent="0.35">
      <c r="B58" s="984" t="s">
        <v>439</v>
      </c>
      <c r="C58" s="985" cm="1">
        <f t="array" ref="C58">SUMPRODUCT(ISNUMBER(SEARCH("737",'EFETIVO 11.05.2026'!$H$2:$H$1919))*('EFETIVO 11.05.2026'!$G$2:$G$1919="A")*('EFETIVO 11.05.2026'!$C$2:$C$1919=B58))</f>
        <v>5</v>
      </c>
      <c r="D58" s="985" cm="1">
        <f t="array" ref="D58">SUMPRODUCT(ISNUMBER(SEARCH("737",'EFETIVO 11.05.2026'!$H$2:$H$1919))*('EFETIVO 11.05.2026'!$G$2:$G$1919="D")*('EFETIVO 11.05.2026'!$C$2:$C$1919=B58))</f>
        <v>6</v>
      </c>
      <c r="E58" s="986">
        <f t="shared" si="1"/>
        <v>1.2315270935960592E-2</v>
      </c>
      <c r="F58" s="985" cm="1">
        <f t="array" ref="F58">SUMPRODUCT(ISNUMBER(SEARCH("737",'EFETIVO 11.05.2026'!$H$2:$H$1919))*(('EFETIVO 11.05.2026'!$G$2:$G$1919="F")+('EFETIVO 11.05.2026'!$G$2:$G$1919="P")+('EFETIVO 11.05.2026'!$G$2:$G$1919="T")+('EFETIVO 11.05.2026'!$G$2:$G$1919="M"))*('EFETIVO 11.05.2026'!$C$2:$C$1919=B58))</f>
        <v>0</v>
      </c>
    </row>
    <row r="59" spans="2:6" x14ac:dyDescent="0.35">
      <c r="B59" s="981" t="s">
        <v>440</v>
      </c>
      <c r="C59" s="982" cm="1">
        <f t="array" ref="C59">SUMPRODUCT(ISNUMBER(SEARCH("737",'EFETIVO 11.05.2026'!$H$2:$H$1919))*('EFETIVO 11.05.2026'!$G$2:$G$1919="A")*('EFETIVO 11.05.2026'!$C$2:$C$1919=B59))</f>
        <v>1</v>
      </c>
      <c r="D59" s="982" cm="1">
        <f t="array" ref="D59">SUMPRODUCT(ISNUMBER(SEARCH("737",'EFETIVO 11.05.2026'!$H$2:$H$1919))*('EFETIVO 11.05.2026'!$G$2:$G$1919="D")*('EFETIVO 11.05.2026'!$C$2:$C$1919=B59))</f>
        <v>0</v>
      </c>
      <c r="E59" s="983">
        <f t="shared" si="1"/>
        <v>2.4630541871921183E-3</v>
      </c>
      <c r="F59" s="982" cm="1">
        <f t="array" ref="F59">SUMPRODUCT(ISNUMBER(SEARCH("737",'EFETIVO 11.05.2026'!$H$2:$H$1919))*(('EFETIVO 11.05.2026'!$G$2:$G$1919="F")+('EFETIVO 11.05.2026'!$G$2:$G$1919="P")+('EFETIVO 11.05.2026'!$G$2:$G$1919="T")+('EFETIVO 11.05.2026'!$G$2:$G$1919="M"))*('EFETIVO 11.05.2026'!$C$2:$C$1919=B59))</f>
        <v>1</v>
      </c>
    </row>
    <row r="60" spans="2:6" x14ac:dyDescent="0.35">
      <c r="B60" s="984" t="s">
        <v>1121</v>
      </c>
      <c r="C60" s="985" cm="1">
        <f t="array" ref="C60">SUMPRODUCT(ISNUMBER(SEARCH("737",'EFETIVO 11.05.2026'!$H$2:$H$1919))*('EFETIVO 11.05.2026'!$G$2:$G$1919="A")*('EFETIVO 11.05.2026'!$C$2:$C$1919=B60))</f>
        <v>1</v>
      </c>
      <c r="D60" s="985" cm="1">
        <f t="array" ref="D60">SUMPRODUCT(ISNUMBER(SEARCH("737",'EFETIVO 11.05.2026'!$H$2:$H$1919))*('EFETIVO 11.05.2026'!$G$2:$G$1919="D")*('EFETIVO 11.05.2026'!$C$2:$C$1919=B60))</f>
        <v>0</v>
      </c>
      <c r="E60" s="986">
        <f t="shared" si="1"/>
        <v>2.4630541871921183E-3</v>
      </c>
      <c r="F60" s="985" cm="1">
        <f t="array" ref="F60">SUMPRODUCT(ISNUMBER(SEARCH("737",'EFETIVO 11.05.2026'!$H$2:$H$1919))*(('EFETIVO 11.05.2026'!$G$2:$G$1919="F")+('EFETIVO 11.05.2026'!$G$2:$G$1919="P")+('EFETIVO 11.05.2026'!$G$2:$G$1919="T")+('EFETIVO 11.05.2026'!$G$2:$G$1919="M"))*('EFETIVO 11.05.2026'!$C$2:$C$1919=B60))</f>
        <v>0</v>
      </c>
    </row>
    <row r="61" spans="2:6" x14ac:dyDescent="0.35">
      <c r="B61" s="981" t="s">
        <v>625</v>
      </c>
      <c r="C61" s="982" cm="1">
        <f t="array" ref="C61">SUMPRODUCT(ISNUMBER(SEARCH("737",'EFETIVO 11.05.2026'!$H$2:$H$1919))*('EFETIVO 11.05.2026'!$G$2:$G$1919="A")*('EFETIVO 11.05.2026'!$C$2:$C$1919=B61))</f>
        <v>2</v>
      </c>
      <c r="D61" s="982" cm="1">
        <f t="array" ref="D61">SUMPRODUCT(ISNUMBER(SEARCH("737",'EFETIVO 11.05.2026'!$H$2:$H$1919))*('EFETIVO 11.05.2026'!$G$2:$G$1919="D")*('EFETIVO 11.05.2026'!$C$2:$C$1919=B61))</f>
        <v>0</v>
      </c>
      <c r="E61" s="983">
        <f t="shared" si="1"/>
        <v>4.9261083743842365E-3</v>
      </c>
      <c r="F61" s="982" cm="1">
        <f t="array" ref="F61">SUMPRODUCT(ISNUMBER(SEARCH("737",'EFETIVO 11.05.2026'!$H$2:$H$1919))*(('EFETIVO 11.05.2026'!$G$2:$G$1919="F")+('EFETIVO 11.05.2026'!$G$2:$G$1919="P")+('EFETIVO 11.05.2026'!$G$2:$G$1919="T")+('EFETIVO 11.05.2026'!$G$2:$G$1919="M"))*('EFETIVO 11.05.2026'!$C$2:$C$1919=B61))</f>
        <v>0</v>
      </c>
    </row>
    <row r="62" spans="2:6" x14ac:dyDescent="0.35">
      <c r="B62" s="984" t="s">
        <v>544</v>
      </c>
      <c r="C62" s="985" cm="1">
        <f t="array" ref="C62">SUMPRODUCT(ISNUMBER(SEARCH("737",'EFETIVO 11.05.2026'!$H$2:$H$1919))*('EFETIVO 11.05.2026'!$G$2:$G$1919="A")*('EFETIVO 11.05.2026'!$C$2:$C$1919=B62))</f>
        <v>11</v>
      </c>
      <c r="D62" s="985" cm="1">
        <f t="array" ref="D62">SUMPRODUCT(ISNUMBER(SEARCH("737",'EFETIVO 11.05.2026'!$H$2:$H$1919))*('EFETIVO 11.05.2026'!$G$2:$G$1919="D")*('EFETIVO 11.05.2026'!$C$2:$C$1919=B62))</f>
        <v>1</v>
      </c>
      <c r="E62" s="986">
        <f t="shared" si="1"/>
        <v>2.7093596059113302E-2</v>
      </c>
      <c r="F62" s="985" cm="1">
        <f t="array" ref="F62">SUMPRODUCT(ISNUMBER(SEARCH("737",'EFETIVO 11.05.2026'!$H$2:$H$1919))*(('EFETIVO 11.05.2026'!$G$2:$G$1919="F")+('EFETIVO 11.05.2026'!$G$2:$G$1919="P")+('EFETIVO 11.05.2026'!$G$2:$G$1919="T")+('EFETIVO 11.05.2026'!$G$2:$G$1919="M"))*('EFETIVO 11.05.2026'!$C$2:$C$1919=B62))</f>
        <v>2</v>
      </c>
    </row>
    <row r="63" spans="2:6" x14ac:dyDescent="0.35">
      <c r="B63" s="981" t="s">
        <v>527</v>
      </c>
      <c r="C63" s="982" cm="1">
        <f t="array" ref="C63">SUMPRODUCT(ISNUMBER(SEARCH("737",'EFETIVO 11.05.2026'!$H$2:$H$1919))*('EFETIVO 11.05.2026'!$G$2:$G$1919="A")*('EFETIVO 11.05.2026'!$C$2:$C$1919=B63))</f>
        <v>2</v>
      </c>
      <c r="D63" s="982" cm="1">
        <f t="array" ref="D63">SUMPRODUCT(ISNUMBER(SEARCH("737",'EFETIVO 11.05.2026'!$H$2:$H$1919))*('EFETIVO 11.05.2026'!$G$2:$G$1919="D")*('EFETIVO 11.05.2026'!$C$2:$C$1919=B63))</f>
        <v>1</v>
      </c>
      <c r="E63" s="983">
        <f t="shared" si="1"/>
        <v>4.9261083743842365E-3</v>
      </c>
      <c r="F63" s="982" cm="1">
        <f t="array" ref="F63">SUMPRODUCT(ISNUMBER(SEARCH("737",'EFETIVO 11.05.2026'!$H$2:$H$1919))*(('EFETIVO 11.05.2026'!$G$2:$G$1919="F")+('EFETIVO 11.05.2026'!$G$2:$G$1919="P")+('EFETIVO 11.05.2026'!$G$2:$G$1919="T")+('EFETIVO 11.05.2026'!$G$2:$G$1919="M"))*('EFETIVO 11.05.2026'!$C$2:$C$1919=B63))</f>
        <v>0</v>
      </c>
    </row>
    <row r="64" spans="2:6" x14ac:dyDescent="0.35">
      <c r="B64" s="984" t="s">
        <v>591</v>
      </c>
      <c r="C64" s="985" cm="1">
        <f t="array" ref="C64">SUMPRODUCT(ISNUMBER(SEARCH("737",'EFETIVO 11.05.2026'!$H$2:$H$1919))*('EFETIVO 11.05.2026'!$G$2:$G$1919="A")*('EFETIVO 11.05.2026'!$C$2:$C$1919=B64))</f>
        <v>6</v>
      </c>
      <c r="D64" s="985" cm="1">
        <f t="array" ref="D64">SUMPRODUCT(ISNUMBER(SEARCH("737",'EFETIVO 11.05.2026'!$H$2:$H$1919))*('EFETIVO 11.05.2026'!$G$2:$G$1919="D")*('EFETIVO 11.05.2026'!$C$2:$C$1919=B64))</f>
        <v>2</v>
      </c>
      <c r="E64" s="986">
        <f t="shared" si="1"/>
        <v>1.4778325123152709E-2</v>
      </c>
      <c r="F64" s="985" cm="1">
        <f t="array" ref="F64">SUMPRODUCT(ISNUMBER(SEARCH("737",'EFETIVO 11.05.2026'!$H$2:$H$1919))*(('EFETIVO 11.05.2026'!$G$2:$G$1919="F")+('EFETIVO 11.05.2026'!$G$2:$G$1919="P")+('EFETIVO 11.05.2026'!$G$2:$G$1919="T")+('EFETIVO 11.05.2026'!$G$2:$G$1919="M"))*('EFETIVO 11.05.2026'!$C$2:$C$1919=B64))</f>
        <v>0</v>
      </c>
    </row>
    <row r="65" spans="2:6" x14ac:dyDescent="0.35">
      <c r="B65" s="981" t="s">
        <v>441</v>
      </c>
      <c r="C65" s="982" cm="1">
        <f t="array" ref="C65">SUMPRODUCT(ISNUMBER(SEARCH("737",'EFETIVO 11.05.2026'!$H$2:$H$1919))*('EFETIVO 11.05.2026'!$G$2:$G$1919="A")*('EFETIVO 11.05.2026'!$C$2:$C$1919=B65))</f>
        <v>7</v>
      </c>
      <c r="D65" s="982" cm="1">
        <f t="array" ref="D65">SUMPRODUCT(ISNUMBER(SEARCH("737",'EFETIVO 11.05.2026'!$H$2:$H$1919))*('EFETIVO 11.05.2026'!$G$2:$G$1919="D")*('EFETIVO 11.05.2026'!$C$2:$C$1919=B65))</f>
        <v>1</v>
      </c>
      <c r="E65" s="983">
        <f t="shared" si="1"/>
        <v>1.7241379310344827E-2</v>
      </c>
      <c r="F65" s="982" cm="1">
        <f t="array" ref="F65">SUMPRODUCT(ISNUMBER(SEARCH("737",'EFETIVO 11.05.2026'!$H$2:$H$1919))*(('EFETIVO 11.05.2026'!$G$2:$G$1919="F")+('EFETIVO 11.05.2026'!$G$2:$G$1919="P")+('EFETIVO 11.05.2026'!$G$2:$G$1919="T")+('EFETIVO 11.05.2026'!$G$2:$G$1919="M"))*('EFETIVO 11.05.2026'!$C$2:$C$1919=B65))</f>
        <v>0</v>
      </c>
    </row>
    <row r="66" spans="2:6" x14ac:dyDescent="0.35">
      <c r="B66" s="984" t="s">
        <v>442</v>
      </c>
      <c r="C66" s="985" cm="1">
        <f t="array" ref="C66">SUMPRODUCT(ISNUMBER(SEARCH("737",'EFETIVO 11.05.2026'!$H$2:$H$1919))*('EFETIVO 11.05.2026'!$G$2:$G$1919="A")*('EFETIVO 11.05.2026'!$C$2:$C$1919=B66))</f>
        <v>1</v>
      </c>
      <c r="D66" s="985" cm="1">
        <f t="array" ref="D66">SUMPRODUCT(ISNUMBER(SEARCH("737",'EFETIVO 11.05.2026'!$H$2:$H$1919))*('EFETIVO 11.05.2026'!$G$2:$G$1919="D")*('EFETIVO 11.05.2026'!$C$2:$C$1919=B66))</f>
        <v>0</v>
      </c>
      <c r="E66" s="986">
        <f t="shared" si="1"/>
        <v>2.4630541871921183E-3</v>
      </c>
      <c r="F66" s="985" cm="1">
        <f t="array" ref="F66">SUMPRODUCT(ISNUMBER(SEARCH("737",'EFETIVO 11.05.2026'!$H$2:$H$1919))*(('EFETIVO 11.05.2026'!$G$2:$G$1919="F")+('EFETIVO 11.05.2026'!$G$2:$G$1919="P")+('EFETIVO 11.05.2026'!$G$2:$G$1919="T")+('EFETIVO 11.05.2026'!$G$2:$G$1919="M"))*('EFETIVO 11.05.2026'!$C$2:$C$1919=B66))</f>
        <v>0</v>
      </c>
    </row>
    <row r="67" spans="2:6" x14ac:dyDescent="0.35">
      <c r="B67" s="981" t="s">
        <v>1072</v>
      </c>
      <c r="C67" s="982" cm="1">
        <f t="array" ref="C67">SUMPRODUCT(ISNUMBER(SEARCH("737",'EFETIVO 11.05.2026'!$H$2:$H$1919))*('EFETIVO 11.05.2026'!$G$2:$G$1919="A")*('EFETIVO 11.05.2026'!$C$2:$C$1919=B67))</f>
        <v>6</v>
      </c>
      <c r="D67" s="982" cm="1">
        <f t="array" ref="D67">SUMPRODUCT(ISNUMBER(SEARCH("737",'EFETIVO 11.05.2026'!$H$2:$H$1919))*('EFETIVO 11.05.2026'!$G$2:$G$1919="D")*('EFETIVO 11.05.2026'!$C$2:$C$1919=B67))</f>
        <v>2</v>
      </c>
      <c r="E67" s="983">
        <f t="shared" si="1"/>
        <v>1.4778325123152709E-2</v>
      </c>
      <c r="F67" s="982" cm="1">
        <f t="array" ref="F67">SUMPRODUCT(ISNUMBER(SEARCH("737",'EFETIVO 11.05.2026'!$H$2:$H$1919))*(('EFETIVO 11.05.2026'!$G$2:$G$1919="F")+('EFETIVO 11.05.2026'!$G$2:$G$1919="P")+('EFETIVO 11.05.2026'!$G$2:$G$1919="T")+('EFETIVO 11.05.2026'!$G$2:$G$1919="M"))*('EFETIVO 11.05.2026'!$C$2:$C$1919=B67))</f>
        <v>1</v>
      </c>
    </row>
    <row r="68" spans="2:6" x14ac:dyDescent="0.35">
      <c r="B68" s="984" t="s">
        <v>606</v>
      </c>
      <c r="C68" s="985" cm="1">
        <f t="array" ref="C68">SUMPRODUCT(ISNUMBER(SEARCH("737",'EFETIVO 11.05.2026'!$H$2:$H$1919))*('EFETIVO 11.05.2026'!$G$2:$G$1919="A")*('EFETIVO 11.05.2026'!$C$2:$C$1919=B68))</f>
        <v>5</v>
      </c>
      <c r="D68" s="985" cm="1">
        <f t="array" ref="D68">SUMPRODUCT(ISNUMBER(SEARCH("737",'EFETIVO 11.05.2026'!$H$2:$H$1919))*('EFETIVO 11.05.2026'!$G$2:$G$1919="D")*('EFETIVO 11.05.2026'!$C$2:$C$1919=B68))</f>
        <v>5</v>
      </c>
      <c r="E68" s="986">
        <f t="shared" si="1"/>
        <v>1.2315270935960592E-2</v>
      </c>
      <c r="F68" s="985" cm="1">
        <f t="array" ref="F68">SUMPRODUCT(ISNUMBER(SEARCH("737",'EFETIVO 11.05.2026'!$H$2:$H$1919))*(('EFETIVO 11.05.2026'!$G$2:$G$1919="F")+('EFETIVO 11.05.2026'!$G$2:$G$1919="P")+('EFETIVO 11.05.2026'!$G$2:$G$1919="T")+('EFETIVO 11.05.2026'!$G$2:$G$1919="M"))*('EFETIVO 11.05.2026'!$C$2:$C$1919=B68))</f>
        <v>1</v>
      </c>
    </row>
    <row r="69" spans="2:6" x14ac:dyDescent="0.35">
      <c r="B69" s="981" t="s">
        <v>443</v>
      </c>
      <c r="C69" s="982" cm="1">
        <f t="array" ref="C69">SUMPRODUCT(ISNUMBER(SEARCH("737",'EFETIVO 11.05.2026'!$H$2:$H$1919))*('EFETIVO 11.05.2026'!$G$2:$G$1919="A")*('EFETIVO 11.05.2026'!$C$2:$C$1919=B69))</f>
        <v>9</v>
      </c>
      <c r="D69" s="982" cm="1">
        <f t="array" ref="D69">SUMPRODUCT(ISNUMBER(SEARCH("737",'EFETIVO 11.05.2026'!$H$2:$H$1919))*('EFETIVO 11.05.2026'!$G$2:$G$1919="D")*('EFETIVO 11.05.2026'!$C$2:$C$1919=B69))</f>
        <v>1</v>
      </c>
      <c r="E69" s="983">
        <f t="shared" si="1"/>
        <v>2.2167487684729065E-2</v>
      </c>
      <c r="F69" s="982" cm="1">
        <f t="array" ref="F69">SUMPRODUCT(ISNUMBER(SEARCH("737",'EFETIVO 11.05.2026'!$H$2:$H$1919))*(('EFETIVO 11.05.2026'!$G$2:$G$1919="F")+('EFETIVO 11.05.2026'!$G$2:$G$1919="P")+('EFETIVO 11.05.2026'!$G$2:$G$1919="T")+('EFETIVO 11.05.2026'!$G$2:$G$1919="M"))*('EFETIVO 11.05.2026'!$C$2:$C$1919=B69))</f>
        <v>0</v>
      </c>
    </row>
    <row r="70" spans="2:6" x14ac:dyDescent="0.35">
      <c r="B70" s="984" t="s">
        <v>444</v>
      </c>
      <c r="C70" s="985" cm="1">
        <f t="array" ref="C70">SUMPRODUCT(ISNUMBER(SEARCH("737",'EFETIVO 11.05.2026'!$H$2:$H$1919))*('EFETIVO 11.05.2026'!$G$2:$G$1919="A")*('EFETIVO 11.05.2026'!$C$2:$C$1919=B70))</f>
        <v>4</v>
      </c>
      <c r="D70" s="985" cm="1">
        <f t="array" ref="D70">SUMPRODUCT(ISNUMBER(SEARCH("737",'EFETIVO 11.05.2026'!$H$2:$H$1919))*('EFETIVO 11.05.2026'!$G$2:$G$1919="D")*('EFETIVO 11.05.2026'!$C$2:$C$1919=B70))</f>
        <v>0</v>
      </c>
      <c r="E70" s="986">
        <f t="shared" si="1"/>
        <v>9.852216748768473E-3</v>
      </c>
      <c r="F70" s="985" cm="1">
        <f t="array" ref="F70">SUMPRODUCT(ISNUMBER(SEARCH("737",'EFETIVO 11.05.2026'!$H$2:$H$1919))*(('EFETIVO 11.05.2026'!$G$2:$G$1919="F")+('EFETIVO 11.05.2026'!$G$2:$G$1919="P")+('EFETIVO 11.05.2026'!$G$2:$G$1919="T")+('EFETIVO 11.05.2026'!$G$2:$G$1919="M"))*('EFETIVO 11.05.2026'!$C$2:$C$1919=B70))</f>
        <v>0</v>
      </c>
    </row>
    <row r="71" spans="2:6" x14ac:dyDescent="0.35">
      <c r="B71" s="981" t="s">
        <v>445</v>
      </c>
      <c r="C71" s="982" cm="1">
        <f t="array" ref="C71">SUMPRODUCT(ISNUMBER(SEARCH("737",'EFETIVO 11.05.2026'!$H$2:$H$1919))*('EFETIVO 11.05.2026'!$G$2:$G$1919="A")*('EFETIVO 11.05.2026'!$C$2:$C$1919=B71))</f>
        <v>4</v>
      </c>
      <c r="D71" s="982" cm="1">
        <f t="array" ref="D71">SUMPRODUCT(ISNUMBER(SEARCH("737",'EFETIVO 11.05.2026'!$H$2:$H$1919))*('EFETIVO 11.05.2026'!$G$2:$G$1919="D")*('EFETIVO 11.05.2026'!$C$2:$C$1919=B71))</f>
        <v>2</v>
      </c>
      <c r="E71" s="983">
        <f t="shared" si="1"/>
        <v>9.852216748768473E-3</v>
      </c>
      <c r="F71" s="982" cm="1">
        <f t="array" ref="F71">SUMPRODUCT(ISNUMBER(SEARCH("737",'EFETIVO 11.05.2026'!$H$2:$H$1919))*(('EFETIVO 11.05.2026'!$G$2:$G$1919="F")+('EFETIVO 11.05.2026'!$G$2:$G$1919="P")+('EFETIVO 11.05.2026'!$G$2:$G$1919="T")+('EFETIVO 11.05.2026'!$G$2:$G$1919="M"))*('EFETIVO 11.05.2026'!$C$2:$C$1919=B71))</f>
        <v>0</v>
      </c>
    </row>
    <row r="72" spans="2:6" x14ac:dyDescent="0.35">
      <c r="B72" s="984" t="s">
        <v>2008</v>
      </c>
      <c r="C72" s="985" cm="1">
        <f t="array" ref="C72">SUMPRODUCT(ISNUMBER(SEARCH("737",'EFETIVO 11.05.2026'!$H$2:$H$1919))*('EFETIVO 11.05.2026'!$G$2:$G$1919="A")*('EFETIVO 11.05.2026'!$C$2:$C$1919=B72))</f>
        <v>2</v>
      </c>
      <c r="D72" s="985" cm="1">
        <f t="array" ref="D72">SUMPRODUCT(ISNUMBER(SEARCH("737",'EFETIVO 11.05.2026'!$H$2:$H$1919))*('EFETIVO 11.05.2026'!$G$2:$G$1919="D")*('EFETIVO 11.05.2026'!$C$2:$C$1919=B72))</f>
        <v>4</v>
      </c>
      <c r="E72" s="986">
        <f t="shared" si="1"/>
        <v>4.9261083743842365E-3</v>
      </c>
      <c r="F72" s="985" cm="1">
        <f t="array" ref="F72">SUMPRODUCT(ISNUMBER(SEARCH("737",'EFETIVO 11.05.2026'!$H$2:$H$1919))*(('EFETIVO 11.05.2026'!$G$2:$G$1919="F")+('EFETIVO 11.05.2026'!$G$2:$G$1919="P")+('EFETIVO 11.05.2026'!$G$2:$G$1919="T")+('EFETIVO 11.05.2026'!$G$2:$G$1919="M"))*('EFETIVO 11.05.2026'!$C$2:$C$1919=B72))</f>
        <v>0</v>
      </c>
    </row>
    <row r="73" spans="2:6" x14ac:dyDescent="0.35">
      <c r="B73" s="981" t="s">
        <v>2030</v>
      </c>
      <c r="C73" s="982" cm="1">
        <f t="array" ref="C73">SUMPRODUCT(ISNUMBER(SEARCH("737",'EFETIVO 11.05.2026'!$H$2:$H$1919))*('EFETIVO 11.05.2026'!$G$2:$G$1919="A")*('EFETIVO 11.05.2026'!$C$2:$C$1919=B73))</f>
        <v>1</v>
      </c>
      <c r="D73" s="982" cm="1">
        <f t="array" ref="D73">SUMPRODUCT(ISNUMBER(SEARCH("737",'EFETIVO 11.05.2026'!$H$2:$H$1919))*('EFETIVO 11.05.2026'!$G$2:$G$1919="D")*('EFETIVO 11.05.2026'!$C$2:$C$1919=B73))</f>
        <v>0</v>
      </c>
      <c r="E73" s="983">
        <f t="shared" si="1"/>
        <v>2.4630541871921183E-3</v>
      </c>
      <c r="F73" s="982" cm="1">
        <f t="array" ref="F73">SUMPRODUCT(ISNUMBER(SEARCH("737",'EFETIVO 11.05.2026'!$H$2:$H$1919))*(('EFETIVO 11.05.2026'!$G$2:$G$1919="F")+('EFETIVO 11.05.2026'!$G$2:$G$1919="P")+('EFETIVO 11.05.2026'!$G$2:$G$1919="T")+('EFETIVO 11.05.2026'!$G$2:$G$1919="M"))*('EFETIVO 11.05.2026'!$C$2:$C$1919=B73))</f>
        <v>0</v>
      </c>
    </row>
    <row r="74" spans="2:6" x14ac:dyDescent="0.35">
      <c r="B74" s="984" t="s">
        <v>1084</v>
      </c>
      <c r="C74" s="985" cm="1">
        <f t="array" ref="C74">SUMPRODUCT(ISNUMBER(SEARCH("737",'EFETIVO 11.05.2026'!$H$2:$H$1919))*('EFETIVO 11.05.2026'!$G$2:$G$1919="A")*('EFETIVO 11.05.2026'!$C$2:$C$1919=B74))</f>
        <v>2</v>
      </c>
      <c r="D74" s="985" cm="1">
        <f t="array" ref="D74">SUMPRODUCT(ISNUMBER(SEARCH("737",'EFETIVO 11.05.2026'!$H$2:$H$1919))*('EFETIVO 11.05.2026'!$G$2:$G$1919="D")*('EFETIVO 11.05.2026'!$C$2:$C$1919=B74))</f>
        <v>0</v>
      </c>
      <c r="E74" s="986">
        <f t="shared" si="1"/>
        <v>4.9261083743842365E-3</v>
      </c>
      <c r="F74" s="985" cm="1">
        <f t="array" ref="F74">SUMPRODUCT(ISNUMBER(SEARCH("737",'EFETIVO 11.05.2026'!$H$2:$H$1919))*(('EFETIVO 11.05.2026'!$G$2:$G$1919="F")+('EFETIVO 11.05.2026'!$G$2:$G$1919="P")+('EFETIVO 11.05.2026'!$G$2:$G$1919="T")+('EFETIVO 11.05.2026'!$G$2:$G$1919="M"))*('EFETIVO 11.05.2026'!$C$2:$C$1919=B74))</f>
        <v>0</v>
      </c>
    </row>
    <row r="75" spans="2:6" x14ac:dyDescent="0.35">
      <c r="B75" s="981" t="s">
        <v>874</v>
      </c>
      <c r="C75" s="982" cm="1">
        <f t="array" ref="C75">SUMPRODUCT(ISNUMBER(SEARCH("737",'EFETIVO 11.05.2026'!$H$2:$H$1919))*('EFETIVO 11.05.2026'!$G$2:$G$1919="A")*('EFETIVO 11.05.2026'!$C$2:$C$1919=B75))</f>
        <v>0</v>
      </c>
      <c r="D75" s="982" cm="1">
        <f t="array" ref="D75">SUMPRODUCT(ISNUMBER(SEARCH("737",'EFETIVO 11.05.2026'!$H$2:$H$1919))*('EFETIVO 11.05.2026'!$G$2:$G$1919="D")*('EFETIVO 11.05.2026'!$C$2:$C$1919=B75))</f>
        <v>2</v>
      </c>
      <c r="E75" s="983">
        <f t="shared" si="1"/>
        <v>0</v>
      </c>
      <c r="F75" s="982" cm="1">
        <f t="array" ref="F75">SUMPRODUCT(ISNUMBER(SEARCH("737",'EFETIVO 11.05.2026'!$H$2:$H$1919))*(('EFETIVO 11.05.2026'!$G$2:$G$1919="F")+('EFETIVO 11.05.2026'!$G$2:$G$1919="P")+('EFETIVO 11.05.2026'!$G$2:$G$1919="T")+('EFETIVO 11.05.2026'!$G$2:$G$1919="M"))*('EFETIVO 11.05.2026'!$C$2:$C$1919=B75))</f>
        <v>0</v>
      </c>
    </row>
    <row r="76" spans="2:6" x14ac:dyDescent="0.35">
      <c r="B76" s="984" t="s">
        <v>446</v>
      </c>
      <c r="C76" s="985" cm="1">
        <f t="array" ref="C76">SUMPRODUCT(ISNUMBER(SEARCH("737",'EFETIVO 11.05.2026'!$H$2:$H$1919))*('EFETIVO 11.05.2026'!$G$2:$G$1919="A")*('EFETIVO 11.05.2026'!$C$2:$C$1919=B76))</f>
        <v>1</v>
      </c>
      <c r="D76" s="985" cm="1">
        <f t="array" ref="D76">SUMPRODUCT(ISNUMBER(SEARCH("737",'EFETIVO 11.05.2026'!$H$2:$H$1919))*('EFETIVO 11.05.2026'!$G$2:$G$1919="D")*('EFETIVO 11.05.2026'!$C$2:$C$1919=B76))</f>
        <v>0</v>
      </c>
      <c r="E76" s="986">
        <f t="shared" si="1"/>
        <v>2.4630541871921183E-3</v>
      </c>
      <c r="F76" s="985" cm="1">
        <f t="array" ref="F76">SUMPRODUCT(ISNUMBER(SEARCH("737",'EFETIVO 11.05.2026'!$H$2:$H$1919))*(('EFETIVO 11.05.2026'!$G$2:$G$1919="F")+('EFETIVO 11.05.2026'!$G$2:$G$1919="P")+('EFETIVO 11.05.2026'!$G$2:$G$1919="T")+('EFETIVO 11.05.2026'!$G$2:$G$1919="M"))*('EFETIVO 11.05.2026'!$C$2:$C$1919=B76))</f>
        <v>0</v>
      </c>
    </row>
    <row r="77" spans="2:6" x14ac:dyDescent="0.35">
      <c r="B77" s="981" t="s">
        <v>2921</v>
      </c>
      <c r="C77" s="982" cm="1">
        <f t="array" ref="C77">SUMPRODUCT(ISNUMBER(SEARCH("737",'EFETIVO 11.05.2026'!$H$2:$H$1919))*('EFETIVO 11.05.2026'!$G$2:$G$1919="A")*('EFETIVO 11.05.2026'!$C$2:$C$1919=B77))</f>
        <v>1</v>
      </c>
      <c r="D77" s="982" cm="1">
        <f t="array" ref="D77">SUMPRODUCT(ISNUMBER(SEARCH("737",'EFETIVO 11.05.2026'!$H$2:$H$1919))*('EFETIVO 11.05.2026'!$G$2:$G$1919="D")*('EFETIVO 11.05.2026'!$C$2:$C$1919=B77))</f>
        <v>0</v>
      </c>
      <c r="E77" s="983">
        <f t="shared" si="1"/>
        <v>2.4630541871921183E-3</v>
      </c>
      <c r="F77" s="982" cm="1">
        <f t="array" ref="F77">SUMPRODUCT(ISNUMBER(SEARCH("737",'EFETIVO 11.05.2026'!$H$2:$H$1919))*(('EFETIVO 11.05.2026'!$G$2:$G$1919="F")+('EFETIVO 11.05.2026'!$G$2:$G$1919="P")+('EFETIVO 11.05.2026'!$G$2:$G$1919="T")+('EFETIVO 11.05.2026'!$G$2:$G$1919="M"))*('EFETIVO 11.05.2026'!$C$2:$C$1919=B77))</f>
        <v>0</v>
      </c>
    </row>
    <row r="78" spans="2:6" x14ac:dyDescent="0.35">
      <c r="B78" s="984" t="s">
        <v>1125</v>
      </c>
      <c r="C78" s="985" cm="1">
        <f t="array" ref="C78">SUMPRODUCT(ISNUMBER(SEARCH("737",'EFETIVO 11.05.2026'!$H$2:$H$1919))*('EFETIVO 11.05.2026'!$G$2:$G$1919="A")*('EFETIVO 11.05.2026'!$C$2:$C$1919=B78))</f>
        <v>5</v>
      </c>
      <c r="D78" s="985" cm="1">
        <f t="array" ref="D78">SUMPRODUCT(ISNUMBER(SEARCH("737",'EFETIVO 11.05.2026'!$H$2:$H$1919))*('EFETIVO 11.05.2026'!$G$2:$G$1919="D")*('EFETIVO 11.05.2026'!$C$2:$C$1919=B78))</f>
        <v>1</v>
      </c>
      <c r="E78" s="986">
        <f t="shared" si="1"/>
        <v>1.2315270935960592E-2</v>
      </c>
      <c r="F78" s="985" cm="1">
        <f t="array" ref="F78">SUMPRODUCT(ISNUMBER(SEARCH("737",'EFETIVO 11.05.2026'!$H$2:$H$1919))*(('EFETIVO 11.05.2026'!$G$2:$G$1919="F")+('EFETIVO 11.05.2026'!$G$2:$G$1919="P")+('EFETIVO 11.05.2026'!$G$2:$G$1919="T")+('EFETIVO 11.05.2026'!$G$2:$G$1919="M"))*('EFETIVO 11.05.2026'!$C$2:$C$1919=B78))</f>
        <v>1</v>
      </c>
    </row>
    <row r="79" spans="2:6" x14ac:dyDescent="0.35">
      <c r="B79" s="981" t="s">
        <v>3495</v>
      </c>
      <c r="C79" s="982" cm="1">
        <f t="array" ref="C79">SUMPRODUCT(ISNUMBER(SEARCH("737",'EFETIVO 11.05.2026'!$H$2:$H$1919))*('EFETIVO 11.05.2026'!$G$2:$G$1919="A")*('EFETIVO 11.05.2026'!$C$2:$C$1919=B79))</f>
        <v>1</v>
      </c>
      <c r="D79" s="982" cm="1">
        <f t="array" ref="D79">SUMPRODUCT(ISNUMBER(SEARCH("737",'EFETIVO 11.05.2026'!$H$2:$H$1919))*('EFETIVO 11.05.2026'!$G$2:$G$1919="D")*('EFETIVO 11.05.2026'!$C$2:$C$1919=B79))</f>
        <v>0</v>
      </c>
      <c r="E79" s="983">
        <f t="shared" ref="E79:E96" si="2">IFERROR(C79/$C$6,0)</f>
        <v>2.4630541871921183E-3</v>
      </c>
      <c r="F79" s="982" cm="1">
        <f t="array" ref="F79">SUMPRODUCT(ISNUMBER(SEARCH("737",'EFETIVO 11.05.2026'!$H$2:$H$1919))*(('EFETIVO 11.05.2026'!$G$2:$G$1919="F")+('EFETIVO 11.05.2026'!$G$2:$G$1919="P")+('EFETIVO 11.05.2026'!$G$2:$G$1919="T")+('EFETIVO 11.05.2026'!$G$2:$G$1919="M"))*('EFETIVO 11.05.2026'!$C$2:$C$1919=B79))</f>
        <v>0</v>
      </c>
    </row>
    <row r="80" spans="2:6" x14ac:dyDescent="0.35">
      <c r="B80" s="984" t="s">
        <v>455</v>
      </c>
      <c r="C80" s="985" cm="1">
        <f t="array" ref="C80">SUMPRODUCT(ISNUMBER(SEARCH("737",'EFETIVO 11.05.2026'!$H$2:$H$1919))*('EFETIVO 11.05.2026'!$G$2:$G$1919="A")*('EFETIVO 11.05.2026'!$C$2:$C$1919=B80))</f>
        <v>4</v>
      </c>
      <c r="D80" s="985" cm="1">
        <f t="array" ref="D80">SUMPRODUCT(ISNUMBER(SEARCH("737",'EFETIVO 11.05.2026'!$H$2:$H$1919))*('EFETIVO 11.05.2026'!$G$2:$G$1919="D")*('EFETIVO 11.05.2026'!$C$2:$C$1919=B80))</f>
        <v>3</v>
      </c>
      <c r="E80" s="986">
        <f t="shared" si="2"/>
        <v>9.852216748768473E-3</v>
      </c>
      <c r="F80" s="985" cm="1">
        <f t="array" ref="F80">SUMPRODUCT(ISNUMBER(SEARCH("737",'EFETIVO 11.05.2026'!$H$2:$H$1919))*(('EFETIVO 11.05.2026'!$G$2:$G$1919="F")+('EFETIVO 11.05.2026'!$G$2:$G$1919="P")+('EFETIVO 11.05.2026'!$G$2:$G$1919="T")+('EFETIVO 11.05.2026'!$G$2:$G$1919="M"))*('EFETIVO 11.05.2026'!$C$2:$C$1919=B80))</f>
        <v>0</v>
      </c>
    </row>
    <row r="81" spans="2:6" x14ac:dyDescent="0.35">
      <c r="B81" s="981" t="s">
        <v>2627</v>
      </c>
      <c r="C81" s="982" cm="1">
        <f t="array" ref="C81">SUMPRODUCT(ISNUMBER(SEARCH("737",'EFETIVO 11.05.2026'!$H$2:$H$1919))*('EFETIVO 11.05.2026'!$G$2:$G$1919="A")*('EFETIVO 11.05.2026'!$C$2:$C$1919=B81))</f>
        <v>1</v>
      </c>
      <c r="D81" s="982" cm="1">
        <f t="array" ref="D81">SUMPRODUCT(ISNUMBER(SEARCH("737",'EFETIVO 11.05.2026'!$H$2:$H$1919))*('EFETIVO 11.05.2026'!$G$2:$G$1919="D")*('EFETIVO 11.05.2026'!$C$2:$C$1919=B81))</f>
        <v>0</v>
      </c>
      <c r="E81" s="983">
        <f t="shared" si="2"/>
        <v>2.4630541871921183E-3</v>
      </c>
      <c r="F81" s="982" cm="1">
        <f t="array" ref="F81">SUMPRODUCT(ISNUMBER(SEARCH("737",'EFETIVO 11.05.2026'!$H$2:$H$1919))*(('EFETIVO 11.05.2026'!$G$2:$G$1919="F")+('EFETIVO 11.05.2026'!$G$2:$G$1919="P")+('EFETIVO 11.05.2026'!$G$2:$G$1919="T")+('EFETIVO 11.05.2026'!$G$2:$G$1919="M"))*('EFETIVO 11.05.2026'!$C$2:$C$1919=B81))</f>
        <v>0</v>
      </c>
    </row>
    <row r="82" spans="2:6" x14ac:dyDescent="0.35">
      <c r="B82" s="984" t="s">
        <v>600</v>
      </c>
      <c r="C82" s="985" cm="1">
        <f t="array" ref="C82">SUMPRODUCT(ISNUMBER(SEARCH("737",'EFETIVO 11.05.2026'!$H$2:$H$1919))*('EFETIVO 11.05.2026'!$G$2:$G$1919="A")*('EFETIVO 11.05.2026'!$C$2:$C$1919=B82))</f>
        <v>4</v>
      </c>
      <c r="D82" s="985" cm="1">
        <f t="array" ref="D82">SUMPRODUCT(ISNUMBER(SEARCH("737",'EFETIVO 11.05.2026'!$H$2:$H$1919))*('EFETIVO 11.05.2026'!$G$2:$G$1919="D")*('EFETIVO 11.05.2026'!$C$2:$C$1919=B82))</f>
        <v>1</v>
      </c>
      <c r="E82" s="986">
        <f t="shared" si="2"/>
        <v>9.852216748768473E-3</v>
      </c>
      <c r="F82" s="985" cm="1">
        <f t="array" ref="F82">SUMPRODUCT(ISNUMBER(SEARCH("737",'EFETIVO 11.05.2026'!$H$2:$H$1919))*(('EFETIVO 11.05.2026'!$G$2:$G$1919="F")+('EFETIVO 11.05.2026'!$G$2:$G$1919="P")+('EFETIVO 11.05.2026'!$G$2:$G$1919="T")+('EFETIVO 11.05.2026'!$G$2:$G$1919="M"))*('EFETIVO 11.05.2026'!$C$2:$C$1919=B82))</f>
        <v>1</v>
      </c>
    </row>
    <row r="83" spans="2:6" x14ac:dyDescent="0.35">
      <c r="B83" s="981" t="s">
        <v>2917</v>
      </c>
      <c r="C83" s="982" cm="1">
        <f t="array" ref="C83">SUMPRODUCT(ISNUMBER(SEARCH("737",'EFETIVO 11.05.2026'!$H$2:$H$1919))*('EFETIVO 11.05.2026'!$G$2:$G$1919="A")*('EFETIVO 11.05.2026'!$C$2:$C$1919=B83))</f>
        <v>1</v>
      </c>
      <c r="D83" s="982" cm="1">
        <f t="array" ref="D83">SUMPRODUCT(ISNUMBER(SEARCH("737",'EFETIVO 11.05.2026'!$H$2:$H$1919))*('EFETIVO 11.05.2026'!$G$2:$G$1919="D")*('EFETIVO 11.05.2026'!$C$2:$C$1919=B83))</f>
        <v>0</v>
      </c>
      <c r="E83" s="983">
        <f t="shared" si="2"/>
        <v>2.4630541871921183E-3</v>
      </c>
      <c r="F83" s="982" cm="1">
        <f t="array" ref="F83">SUMPRODUCT(ISNUMBER(SEARCH("737",'EFETIVO 11.05.2026'!$H$2:$H$1919))*(('EFETIVO 11.05.2026'!$G$2:$G$1919="F")+('EFETIVO 11.05.2026'!$G$2:$G$1919="P")+('EFETIVO 11.05.2026'!$G$2:$G$1919="T")+('EFETIVO 11.05.2026'!$G$2:$G$1919="M"))*('EFETIVO 11.05.2026'!$C$2:$C$1919=B83))</f>
        <v>0</v>
      </c>
    </row>
    <row r="84" spans="2:6" x14ac:dyDescent="0.35">
      <c r="B84" s="984" t="s">
        <v>456</v>
      </c>
      <c r="C84" s="985" cm="1">
        <f t="array" ref="C84">SUMPRODUCT(ISNUMBER(SEARCH("737",'EFETIVO 11.05.2026'!$H$2:$H$1919))*('EFETIVO 11.05.2026'!$G$2:$G$1919="A")*('EFETIVO 11.05.2026'!$C$2:$C$1919=B84))</f>
        <v>2</v>
      </c>
      <c r="D84" s="985" cm="1">
        <f t="array" ref="D84">SUMPRODUCT(ISNUMBER(SEARCH("737",'EFETIVO 11.05.2026'!$H$2:$H$1919))*('EFETIVO 11.05.2026'!$G$2:$G$1919="D")*('EFETIVO 11.05.2026'!$C$2:$C$1919=B84))</f>
        <v>4</v>
      </c>
      <c r="E84" s="986">
        <f t="shared" si="2"/>
        <v>4.9261083743842365E-3</v>
      </c>
      <c r="F84" s="985" cm="1">
        <f t="array" ref="F84">SUMPRODUCT(ISNUMBER(SEARCH("737",'EFETIVO 11.05.2026'!$H$2:$H$1919))*(('EFETIVO 11.05.2026'!$G$2:$G$1919="F")+('EFETIVO 11.05.2026'!$G$2:$G$1919="P")+('EFETIVO 11.05.2026'!$G$2:$G$1919="T")+('EFETIVO 11.05.2026'!$G$2:$G$1919="M"))*('EFETIVO 11.05.2026'!$C$2:$C$1919=B84))</f>
        <v>0</v>
      </c>
    </row>
    <row r="85" spans="2:6" x14ac:dyDescent="0.35">
      <c r="B85" s="981" t="s">
        <v>1696</v>
      </c>
      <c r="C85" s="982" cm="1">
        <f t="array" ref="C85">SUMPRODUCT(ISNUMBER(SEARCH("737",'EFETIVO 11.05.2026'!$H$2:$H$1919))*('EFETIVO 11.05.2026'!$G$2:$G$1919="A")*('EFETIVO 11.05.2026'!$C$2:$C$1919=B85))</f>
        <v>0</v>
      </c>
      <c r="D85" s="982" cm="1">
        <f t="array" ref="D85">SUMPRODUCT(ISNUMBER(SEARCH("737",'EFETIVO 11.05.2026'!$H$2:$H$1919))*('EFETIVO 11.05.2026'!$G$2:$G$1919="D")*('EFETIVO 11.05.2026'!$C$2:$C$1919=B85))</f>
        <v>0</v>
      </c>
      <c r="E85" s="983">
        <f t="shared" si="2"/>
        <v>0</v>
      </c>
      <c r="F85" s="982" cm="1">
        <f t="array" ref="F85">SUMPRODUCT(ISNUMBER(SEARCH("737",'EFETIVO 11.05.2026'!$H$2:$H$1919))*(('EFETIVO 11.05.2026'!$G$2:$G$1919="F")+('EFETIVO 11.05.2026'!$G$2:$G$1919="P")+('EFETIVO 11.05.2026'!$G$2:$G$1919="T")+('EFETIVO 11.05.2026'!$G$2:$G$1919="M"))*('EFETIVO 11.05.2026'!$C$2:$C$1919=B85))</f>
        <v>1</v>
      </c>
    </row>
    <row r="86" spans="2:6" x14ac:dyDescent="0.35">
      <c r="B86" s="984" t="s">
        <v>2751</v>
      </c>
      <c r="C86" s="985" cm="1">
        <f t="array" ref="C86">SUMPRODUCT(ISNUMBER(SEARCH("737",'EFETIVO 11.05.2026'!$H$2:$H$1919))*('EFETIVO 11.05.2026'!$G$2:$G$1919="A")*('EFETIVO 11.05.2026'!$C$2:$C$1919=B86))</f>
        <v>2</v>
      </c>
      <c r="D86" s="985" cm="1">
        <f t="array" ref="D86">SUMPRODUCT(ISNUMBER(SEARCH("737",'EFETIVO 11.05.2026'!$H$2:$H$1919))*('EFETIVO 11.05.2026'!$G$2:$G$1919="D")*('EFETIVO 11.05.2026'!$C$2:$C$1919=B86))</f>
        <v>0</v>
      </c>
      <c r="E86" s="986">
        <f t="shared" si="2"/>
        <v>4.9261083743842365E-3</v>
      </c>
      <c r="F86" s="985" cm="1">
        <f t="array" ref="F86">SUMPRODUCT(ISNUMBER(SEARCH("737",'EFETIVO 11.05.2026'!$H$2:$H$1919))*(('EFETIVO 11.05.2026'!$G$2:$G$1919="F")+('EFETIVO 11.05.2026'!$G$2:$G$1919="P")+('EFETIVO 11.05.2026'!$G$2:$G$1919="T")+('EFETIVO 11.05.2026'!$G$2:$G$1919="M"))*('EFETIVO 11.05.2026'!$C$2:$C$1919=B86))</f>
        <v>0</v>
      </c>
    </row>
    <row r="87" spans="2:6" x14ac:dyDescent="0.35">
      <c r="B87" s="981" t="s">
        <v>1213</v>
      </c>
      <c r="C87" s="982" cm="1">
        <f t="array" ref="C87">SUMPRODUCT(ISNUMBER(SEARCH("737",'EFETIVO 11.05.2026'!$H$2:$H$1919))*('EFETIVO 11.05.2026'!$G$2:$G$1919="A")*('EFETIVO 11.05.2026'!$C$2:$C$1919=B87))</f>
        <v>3</v>
      </c>
      <c r="D87" s="982" cm="1">
        <f t="array" ref="D87">SUMPRODUCT(ISNUMBER(SEARCH("737",'EFETIVO 11.05.2026'!$H$2:$H$1919))*('EFETIVO 11.05.2026'!$G$2:$G$1919="D")*('EFETIVO 11.05.2026'!$C$2:$C$1919=B87))</f>
        <v>0</v>
      </c>
      <c r="E87" s="983">
        <f t="shared" si="2"/>
        <v>7.3891625615763543E-3</v>
      </c>
      <c r="F87" s="982" cm="1">
        <f t="array" ref="F87">SUMPRODUCT(ISNUMBER(SEARCH("737",'EFETIVO 11.05.2026'!$H$2:$H$1919))*(('EFETIVO 11.05.2026'!$G$2:$G$1919="F")+('EFETIVO 11.05.2026'!$G$2:$G$1919="P")+('EFETIVO 11.05.2026'!$G$2:$G$1919="T")+('EFETIVO 11.05.2026'!$G$2:$G$1919="M"))*('EFETIVO 11.05.2026'!$C$2:$C$1919=B87))</f>
        <v>0</v>
      </c>
    </row>
    <row r="88" spans="2:6" x14ac:dyDescent="0.35">
      <c r="B88" s="984" t="s">
        <v>1834</v>
      </c>
      <c r="C88" s="985" cm="1">
        <f t="array" ref="C88">SUMPRODUCT(ISNUMBER(SEARCH("737",'EFETIVO 11.05.2026'!$H$2:$H$1919))*('EFETIVO 11.05.2026'!$G$2:$G$1919="A")*('EFETIVO 11.05.2026'!$C$2:$C$1919=B88))</f>
        <v>1</v>
      </c>
      <c r="D88" s="985" cm="1">
        <f t="array" ref="D88">SUMPRODUCT(ISNUMBER(SEARCH("737",'EFETIVO 11.05.2026'!$H$2:$H$1919))*('EFETIVO 11.05.2026'!$G$2:$G$1919="D")*('EFETIVO 11.05.2026'!$C$2:$C$1919=B88))</f>
        <v>0</v>
      </c>
      <c r="E88" s="986">
        <f t="shared" si="2"/>
        <v>2.4630541871921183E-3</v>
      </c>
      <c r="F88" s="985" cm="1">
        <f t="array" ref="F88">SUMPRODUCT(ISNUMBER(SEARCH("737",'EFETIVO 11.05.2026'!$H$2:$H$1919))*(('EFETIVO 11.05.2026'!$G$2:$G$1919="F")+('EFETIVO 11.05.2026'!$G$2:$G$1919="P")+('EFETIVO 11.05.2026'!$G$2:$G$1919="T")+('EFETIVO 11.05.2026'!$G$2:$G$1919="M"))*('EFETIVO 11.05.2026'!$C$2:$C$1919=B88))</f>
        <v>0</v>
      </c>
    </row>
    <row r="89" spans="2:6" x14ac:dyDescent="0.35">
      <c r="B89" s="981" t="s">
        <v>3532</v>
      </c>
      <c r="C89" s="982" cm="1">
        <f t="array" ref="C89">SUMPRODUCT(ISNUMBER(SEARCH("737",'EFETIVO 11.05.2026'!$H$2:$H$1919))*('EFETIVO 11.05.2026'!$G$2:$G$1919="A")*('EFETIVO 11.05.2026'!$C$2:$C$1919=B89))</f>
        <v>1</v>
      </c>
      <c r="D89" s="982" cm="1">
        <f t="array" ref="D89">SUMPRODUCT(ISNUMBER(SEARCH("737",'EFETIVO 11.05.2026'!$H$2:$H$1919))*('EFETIVO 11.05.2026'!$G$2:$G$1919="D")*('EFETIVO 11.05.2026'!$C$2:$C$1919=B89))</f>
        <v>0</v>
      </c>
      <c r="E89" s="983">
        <f t="shared" si="2"/>
        <v>2.4630541871921183E-3</v>
      </c>
      <c r="F89" s="982" cm="1">
        <f t="array" ref="F89">SUMPRODUCT(ISNUMBER(SEARCH("737",'EFETIVO 11.05.2026'!$H$2:$H$1919))*(('EFETIVO 11.05.2026'!$G$2:$G$1919="F")+('EFETIVO 11.05.2026'!$G$2:$G$1919="P")+('EFETIVO 11.05.2026'!$G$2:$G$1919="T")+('EFETIVO 11.05.2026'!$G$2:$G$1919="M"))*('EFETIVO 11.05.2026'!$C$2:$C$1919=B89))</f>
        <v>0</v>
      </c>
    </row>
    <row r="90" spans="2:6" x14ac:dyDescent="0.35">
      <c r="B90" s="984" t="s">
        <v>457</v>
      </c>
      <c r="C90" s="985" cm="1">
        <f t="array" ref="C90">SUMPRODUCT(ISNUMBER(SEARCH("737",'EFETIVO 11.05.2026'!$H$2:$H$1919))*('EFETIVO 11.05.2026'!$G$2:$G$1919="A")*('EFETIVO 11.05.2026'!$C$2:$C$1919=B90))</f>
        <v>6</v>
      </c>
      <c r="D90" s="985" cm="1">
        <f t="array" ref="D90">SUMPRODUCT(ISNUMBER(SEARCH("737",'EFETIVO 11.05.2026'!$H$2:$H$1919))*('EFETIVO 11.05.2026'!$G$2:$G$1919="D")*('EFETIVO 11.05.2026'!$C$2:$C$1919=B90))</f>
        <v>2</v>
      </c>
      <c r="E90" s="986">
        <f t="shared" si="2"/>
        <v>1.4778325123152709E-2</v>
      </c>
      <c r="F90" s="985" cm="1">
        <f t="array" ref="F90">SUMPRODUCT(ISNUMBER(SEARCH("737",'EFETIVO 11.05.2026'!$H$2:$H$1919))*(('EFETIVO 11.05.2026'!$G$2:$G$1919="F")+('EFETIVO 11.05.2026'!$G$2:$G$1919="P")+('EFETIVO 11.05.2026'!$G$2:$G$1919="T")+('EFETIVO 11.05.2026'!$G$2:$G$1919="M"))*('EFETIVO 11.05.2026'!$C$2:$C$1919=B90))</f>
        <v>0</v>
      </c>
    </row>
    <row r="91" spans="2:6" x14ac:dyDescent="0.35">
      <c r="B91" s="981" t="s">
        <v>1440</v>
      </c>
      <c r="C91" s="982" cm="1">
        <f t="array" ref="C91">SUMPRODUCT(ISNUMBER(SEARCH("737",'EFETIVO 11.05.2026'!$H$2:$H$1919))*('EFETIVO 11.05.2026'!$G$2:$G$1919="A")*('EFETIVO 11.05.2026'!$C$2:$C$1919=B91))</f>
        <v>2</v>
      </c>
      <c r="D91" s="982" cm="1">
        <f t="array" ref="D91">SUMPRODUCT(ISNUMBER(SEARCH("737",'EFETIVO 11.05.2026'!$H$2:$H$1919))*('EFETIVO 11.05.2026'!$G$2:$G$1919="D")*('EFETIVO 11.05.2026'!$C$2:$C$1919=B91))</f>
        <v>1</v>
      </c>
      <c r="E91" s="983">
        <f t="shared" si="2"/>
        <v>4.9261083743842365E-3</v>
      </c>
      <c r="F91" s="982" cm="1">
        <f t="array" ref="F91">SUMPRODUCT(ISNUMBER(SEARCH("737",'EFETIVO 11.05.2026'!$H$2:$H$1919))*(('EFETIVO 11.05.2026'!$G$2:$G$1919="F")+('EFETIVO 11.05.2026'!$G$2:$G$1919="P")+('EFETIVO 11.05.2026'!$G$2:$G$1919="T")+('EFETIVO 11.05.2026'!$G$2:$G$1919="M"))*('EFETIVO 11.05.2026'!$C$2:$C$1919=B91))</f>
        <v>0</v>
      </c>
    </row>
    <row r="92" spans="2:6" x14ac:dyDescent="0.35">
      <c r="B92" s="984" t="s">
        <v>751</v>
      </c>
      <c r="C92" s="985" cm="1">
        <f t="array" ref="C92">SUMPRODUCT(ISNUMBER(SEARCH("737",'EFETIVO 11.05.2026'!$H$2:$H$1919))*('EFETIVO 11.05.2026'!$G$2:$G$1919="A")*('EFETIVO 11.05.2026'!$C$2:$C$1919=B92))</f>
        <v>0</v>
      </c>
      <c r="D92" s="985" cm="1">
        <f t="array" ref="D92">SUMPRODUCT(ISNUMBER(SEARCH("737",'EFETIVO 11.05.2026'!$H$2:$H$1919))*('EFETIVO 11.05.2026'!$G$2:$G$1919="D")*('EFETIVO 11.05.2026'!$C$2:$C$1919=B92))</f>
        <v>0</v>
      </c>
      <c r="E92" s="986">
        <f t="shared" si="2"/>
        <v>0</v>
      </c>
      <c r="F92" s="985" cm="1">
        <f t="array" ref="F92">SUMPRODUCT(ISNUMBER(SEARCH("737",'EFETIVO 11.05.2026'!$H$2:$H$1919))*(('EFETIVO 11.05.2026'!$G$2:$G$1919="F")+('EFETIVO 11.05.2026'!$G$2:$G$1919="P")+('EFETIVO 11.05.2026'!$G$2:$G$1919="T")+('EFETIVO 11.05.2026'!$G$2:$G$1919="M"))*('EFETIVO 11.05.2026'!$C$2:$C$1919=B92))</f>
        <v>1</v>
      </c>
    </row>
    <row r="93" spans="2:6" x14ac:dyDescent="0.35">
      <c r="B93" s="981" t="s">
        <v>1349</v>
      </c>
      <c r="C93" s="982" cm="1">
        <f t="array" ref="C93">SUMPRODUCT(ISNUMBER(SEARCH("737",'EFETIVO 11.05.2026'!$H$2:$H$1919))*('EFETIVO 11.05.2026'!$G$2:$G$1919="A")*('EFETIVO 11.05.2026'!$C$2:$C$1919=B93))</f>
        <v>0</v>
      </c>
      <c r="D93" s="982" cm="1">
        <f t="array" ref="D93">SUMPRODUCT(ISNUMBER(SEARCH("737",'EFETIVO 11.05.2026'!$H$2:$H$1919))*('EFETIVO 11.05.2026'!$G$2:$G$1919="D")*('EFETIVO 11.05.2026'!$C$2:$C$1919=B93))</f>
        <v>1</v>
      </c>
      <c r="E93" s="983">
        <f t="shared" si="2"/>
        <v>0</v>
      </c>
      <c r="F93" s="982" cm="1">
        <f t="array" ref="F93">SUMPRODUCT(ISNUMBER(SEARCH("737",'EFETIVO 11.05.2026'!$H$2:$H$1919))*(('EFETIVO 11.05.2026'!$G$2:$G$1919="F")+('EFETIVO 11.05.2026'!$G$2:$G$1919="P")+('EFETIVO 11.05.2026'!$G$2:$G$1919="T")+('EFETIVO 11.05.2026'!$G$2:$G$1919="M"))*('EFETIVO 11.05.2026'!$C$2:$C$1919=B93))</f>
        <v>0</v>
      </c>
    </row>
    <row r="94" spans="2:6" x14ac:dyDescent="0.35">
      <c r="B94" s="984" t="s">
        <v>763</v>
      </c>
      <c r="C94" s="985" cm="1">
        <f t="array" ref="C94">SUMPRODUCT(ISNUMBER(SEARCH("737",'EFETIVO 11.05.2026'!$H$2:$H$1919))*('EFETIVO 11.05.2026'!$G$2:$G$1919="A")*('EFETIVO 11.05.2026'!$C$2:$C$1919=B94))</f>
        <v>4</v>
      </c>
      <c r="D94" s="985" cm="1">
        <f t="array" ref="D94">SUMPRODUCT(ISNUMBER(SEARCH("737",'EFETIVO 11.05.2026'!$H$2:$H$1919))*('EFETIVO 11.05.2026'!$G$2:$G$1919="D")*('EFETIVO 11.05.2026'!$C$2:$C$1919=B94))</f>
        <v>0</v>
      </c>
      <c r="E94" s="986">
        <f t="shared" si="2"/>
        <v>9.852216748768473E-3</v>
      </c>
      <c r="F94" s="985" cm="1">
        <f t="array" ref="F94">SUMPRODUCT(ISNUMBER(SEARCH("737",'EFETIVO 11.05.2026'!$H$2:$H$1919))*(('EFETIVO 11.05.2026'!$G$2:$G$1919="F")+('EFETIVO 11.05.2026'!$G$2:$G$1919="P")+('EFETIVO 11.05.2026'!$G$2:$G$1919="T")+('EFETIVO 11.05.2026'!$G$2:$G$1919="M"))*('EFETIVO 11.05.2026'!$C$2:$C$1919=B94))</f>
        <v>2</v>
      </c>
    </row>
    <row r="95" spans="2:6" x14ac:dyDescent="0.35">
      <c r="B95" s="981" t="s">
        <v>458</v>
      </c>
      <c r="C95" s="982" cm="1">
        <f t="array" ref="C95">SUMPRODUCT(ISNUMBER(SEARCH("737",'EFETIVO 11.05.2026'!$H$2:$H$1919))*('EFETIVO 11.05.2026'!$G$2:$G$1919="A")*('EFETIVO 11.05.2026'!$C$2:$C$1919=B95))</f>
        <v>1</v>
      </c>
      <c r="D95" s="982" cm="1">
        <f t="array" ref="D95">SUMPRODUCT(ISNUMBER(SEARCH("737",'EFETIVO 11.05.2026'!$H$2:$H$1919))*('EFETIVO 11.05.2026'!$G$2:$G$1919="D")*('EFETIVO 11.05.2026'!$C$2:$C$1919=B95))</f>
        <v>1</v>
      </c>
      <c r="E95" s="983">
        <f t="shared" si="2"/>
        <v>2.4630541871921183E-3</v>
      </c>
      <c r="F95" s="982" cm="1">
        <f t="array" ref="F95">SUMPRODUCT(ISNUMBER(SEARCH("737",'EFETIVO 11.05.2026'!$H$2:$H$1919))*(('EFETIVO 11.05.2026'!$G$2:$G$1919="F")+('EFETIVO 11.05.2026'!$G$2:$G$1919="P")+('EFETIVO 11.05.2026'!$G$2:$G$1919="T")+('EFETIVO 11.05.2026'!$G$2:$G$1919="M"))*('EFETIVO 11.05.2026'!$C$2:$C$1919=B95))</f>
        <v>0</v>
      </c>
    </row>
    <row r="96" spans="2:6" x14ac:dyDescent="0.35">
      <c r="B96" s="987" t="s">
        <v>459</v>
      </c>
      <c r="C96" s="988">
        <f>C6</f>
        <v>406</v>
      </c>
      <c r="D96" s="988">
        <f>C7</f>
        <v>145</v>
      </c>
      <c r="E96" s="989">
        <f t="shared" si="2"/>
        <v>1</v>
      </c>
      <c r="F96" s="988">
        <f>C9</f>
        <v>35</v>
      </c>
    </row>
    <row r="98" spans="2:5" ht="26.15" customHeight="1" x14ac:dyDescent="0.45">
      <c r="B98" s="1395" t="s">
        <v>4808</v>
      </c>
      <c r="C98" s="1395"/>
      <c r="D98" s="1395"/>
      <c r="E98" s="1395"/>
    </row>
    <row r="100" spans="2:5" x14ac:dyDescent="0.35">
      <c r="B100" s="252" t="s">
        <v>475</v>
      </c>
      <c r="C100" s="252" t="s">
        <v>396</v>
      </c>
      <c r="D100" s="252" t="s">
        <v>476</v>
      </c>
      <c r="E100" s="252" t="s">
        <v>462</v>
      </c>
    </row>
    <row r="101" spans="2:5" x14ac:dyDescent="0.35">
      <c r="B101" s="992">
        <v>1</v>
      </c>
      <c r="C101" s="981" t="str" cm="1">
        <f t="array" ref="C101">IFERROR(INDEX($B$15:$B$95,SMALL(IF($C$15:$C$95=1,ROW($C$15:$C$95)-ROW($C$15)+1),$B101)),"")</f>
        <v>CALDEIREIRO</v>
      </c>
      <c r="D101" s="981" t="str" cm="1">
        <f t="array" ref="D101">IF(C101="","",IFERROR(INDEX('EFETIVO 11.05.2026'!$B$2:$B$1919,MATCH(1,(ISNUMBER(SEARCH("737",'EFETIVO 11.05.2026'!$H$2:$H$1919)))*('EFETIVO 11.05.2026'!$G$2:$G$1919="A")*('EFETIVO 11.05.2026'!$C$2:$C$1919=C101),0)),""))</f>
        <v>CARLOS ANDRE MACEDO NUNES</v>
      </c>
      <c r="E101" s="981" t="str" cm="1">
        <f t="array" ref="E101">IF(C101="","",IFERROR(INDEX('EFETIVO 11.05.2026'!$I$2:$I$1919,MATCH(1,(ISNUMBER(SEARCH("737",'EFETIVO 11.05.2026'!$H$2:$H$1919)))*('EFETIVO 11.05.2026'!$G$2:$G$1919="A")*('EFETIVO 11.05.2026'!$C$2:$C$1919=C101),0)),""))</f>
        <v>IMBOASSICA</v>
      </c>
    </row>
    <row r="102" spans="2:5" x14ac:dyDescent="0.35">
      <c r="B102" s="993">
        <v>2</v>
      </c>
      <c r="C102" s="984" t="str" cm="1">
        <f t="array" ref="C102">IFERROR(INDEX($B$15:$B$95,SMALL(IF($C$15:$C$95=1,ROW($C$15:$C$95)-ROW($C$15)+1),$B102)),"")</f>
        <v>CARPINTEIRO</v>
      </c>
      <c r="D102" s="984" t="str" cm="1">
        <f t="array" ref="D102">IF(C102="","",IFERROR(INDEX('EFETIVO 11.05.2026'!$B$2:$B$1919,MATCH(1,(ISNUMBER(SEARCH("737",'EFETIVO 11.05.2026'!$H$2:$H$1919)))*('EFETIVO 11.05.2026'!$G$2:$G$1919="A")*('EFETIVO 11.05.2026'!$C$2:$C$1919=C102),0)),""))</f>
        <v>JOILSON ANDERSON DUQUE DA ROSA</v>
      </c>
      <c r="E102" s="984" t="str" cm="1">
        <f t="array" ref="E102">IF(C102="","",IFERROR(INDEX('EFETIVO 11.05.2026'!$I$2:$I$1919,MATCH(1,(ISNUMBER(SEARCH("737",'EFETIVO 11.05.2026'!$H$2:$H$1919)))*('EFETIVO 11.05.2026'!$G$2:$G$1919="A")*('EFETIVO 11.05.2026'!$C$2:$C$1919=C102),0)),""))</f>
        <v>IMBOASSICA</v>
      </c>
    </row>
    <row r="103" spans="2:5" x14ac:dyDescent="0.35">
      <c r="B103" s="992">
        <v>3</v>
      </c>
      <c r="C103" s="981" t="str" cm="1">
        <f t="array" ref="C103">IFERROR(INDEX($B$15:$B$95,SMALL(IF($C$15:$C$95=1,ROW($C$15:$C$95)-ROW($C$15)+1),$B103)),"")</f>
        <v>COORDENADOR DE APOIO</v>
      </c>
      <c r="D103" s="981" t="str" cm="1">
        <f t="array" ref="D103">IF(C103="","",IFERROR(INDEX('EFETIVO 11.05.2026'!$B$2:$B$1919,MATCH(1,(ISNUMBER(SEARCH("737",'EFETIVO 11.05.2026'!$H$2:$H$1919)))*('EFETIVO 11.05.2026'!$G$2:$G$1919="A")*('EFETIVO 11.05.2026'!$C$2:$C$1919=C103),0)),""))</f>
        <v>CARLOS ROBERTO GOMES MURTA</v>
      </c>
      <c r="E103" s="981" t="str" cm="1">
        <f t="array" ref="E103">IF(C103="","",IFERROR(INDEX('EFETIVO 11.05.2026'!$I$2:$I$1919,MATCH(1,(ISNUMBER(SEARCH("737",'EFETIVO 11.05.2026'!$H$2:$H$1919)))*('EFETIVO 11.05.2026'!$G$2:$G$1919="A")*('EFETIVO 11.05.2026'!$C$2:$C$1919=C103),0)),""))</f>
        <v>IMBOASSICA</v>
      </c>
    </row>
    <row r="104" spans="2:5" x14ac:dyDescent="0.35">
      <c r="B104" s="993">
        <v>4</v>
      </c>
      <c r="C104" s="984" t="str" cm="1">
        <f t="array" ref="C104">IFERROR(INDEX($B$15:$B$95,SMALL(IF($C$15:$C$95=1,ROW($C$15:$C$95)-ROW($C$15)+1),$B104)),"")</f>
        <v>COORDENADOR DE MANUTENCAO</v>
      </c>
      <c r="D104" s="984" t="str" cm="1">
        <f t="array" ref="D104">IF(C104="","",IFERROR(INDEX('EFETIVO 11.05.2026'!$B$2:$B$1919,MATCH(1,(ISNUMBER(SEARCH("737",'EFETIVO 11.05.2026'!$H$2:$H$1919)))*('EFETIVO 11.05.2026'!$G$2:$G$1919="A")*('EFETIVO 11.05.2026'!$C$2:$C$1919=C104),0)),""))</f>
        <v>ATAIDES XAVIER DE ANDRADE FILHO</v>
      </c>
      <c r="E104" s="984" t="str" cm="1">
        <f t="array" ref="E104">IF(C104="","",IFERROR(INDEX('EFETIVO 11.05.2026'!$I$2:$I$1919,MATCH(1,(ISNUMBER(SEARCH("737",'EFETIVO 11.05.2026'!$H$2:$H$1919)))*('EFETIVO 11.05.2026'!$G$2:$G$1919="A")*('EFETIVO 11.05.2026'!$C$2:$C$1919=C104),0)),""))</f>
        <v>IMBOASSICA</v>
      </c>
    </row>
    <row r="105" spans="2:5" x14ac:dyDescent="0.35">
      <c r="B105" s="992">
        <v>5</v>
      </c>
      <c r="C105" s="981" t="str" cm="1">
        <f t="array" ref="C105">IFERROR(INDEX($B$15:$B$95,SMALL(IF($C$15:$C$95=1,ROW($C$15:$C$95)-ROW($C$15)+1),$B105)),"")</f>
        <v>COORDENADOR DE PLANEJAMENTO</v>
      </c>
      <c r="D105" s="981" t="str" cm="1">
        <f t="array" ref="D105">IF(C105="","",IFERROR(INDEX('EFETIVO 11.05.2026'!$B$2:$B$1919,MATCH(1,(ISNUMBER(SEARCH("737",'EFETIVO 11.05.2026'!$H$2:$H$1919)))*('EFETIVO 11.05.2026'!$G$2:$G$1919="A")*('EFETIVO 11.05.2026'!$C$2:$C$1919=C105),0)),""))</f>
        <v>NATHALIA AQUINO FERREIRA</v>
      </c>
      <c r="E105" s="981" t="str" cm="1">
        <f t="array" ref="E105">IF(C105="","",IFERROR(INDEX('EFETIVO 11.05.2026'!$I$2:$I$1919,MATCH(1,(ISNUMBER(SEARCH("737",'EFETIVO 11.05.2026'!$H$2:$H$1919)))*('EFETIVO 11.05.2026'!$G$2:$G$1919="A")*('EFETIVO 11.05.2026'!$C$2:$C$1919=C105),0)),""))</f>
        <v>IMBOASSICA</v>
      </c>
    </row>
    <row r="106" spans="2:5" x14ac:dyDescent="0.35">
      <c r="B106" s="993">
        <v>6</v>
      </c>
      <c r="C106" s="984" t="str" cm="1">
        <f t="array" ref="C106">IFERROR(INDEX($B$15:$B$95,SMALL(IF($C$15:$C$95=1,ROW($C$15:$C$95)-ROW($C$15)+1),$B106)),"")</f>
        <v>DUTEIRO</v>
      </c>
      <c r="D106" s="984" t="str" cm="1">
        <f t="array" ref="D106">IF(C106="","",IFERROR(INDEX('EFETIVO 11.05.2026'!$B$2:$B$1919,MATCH(1,(ISNUMBER(SEARCH("737",'EFETIVO 11.05.2026'!$H$2:$H$1919)))*('EFETIVO 11.05.2026'!$G$2:$G$1919="A")*('EFETIVO 11.05.2026'!$C$2:$C$1919=C106),0)),""))</f>
        <v>DIEGO DOS SANTOS SANTANA</v>
      </c>
      <c r="E106" s="984" t="str" cm="1">
        <f t="array" ref="E106">IF(C106="","",IFERROR(INDEX('EFETIVO 11.05.2026'!$I$2:$I$1919,MATCH(1,(ISNUMBER(SEARCH("737",'EFETIVO 11.05.2026'!$H$2:$H$1919)))*('EFETIVO 11.05.2026'!$G$2:$G$1919="A")*('EFETIVO 11.05.2026'!$C$2:$C$1919=C106),0)),""))</f>
        <v>IMBOASSICA</v>
      </c>
    </row>
    <row r="107" spans="2:5" x14ac:dyDescent="0.35">
      <c r="B107" s="992">
        <v>7</v>
      </c>
      <c r="C107" s="981" t="str" cm="1">
        <f t="array" ref="C107">IFERROR(INDEX($B$15:$B$95,SMALL(IF($C$15:$C$95=1,ROW($C$15:$C$95)-ROW($C$15)+1),$B107)),"")</f>
        <v>ENCARREGADO DE ANDAIME</v>
      </c>
      <c r="D107" s="981" t="str" cm="1">
        <f t="array" ref="D107">IF(C107="","",IFERROR(INDEX('EFETIVO 11.05.2026'!$B$2:$B$1919,MATCH(1,(ISNUMBER(SEARCH("737",'EFETIVO 11.05.2026'!$H$2:$H$1919)))*('EFETIVO 11.05.2026'!$G$2:$G$1919="A")*('EFETIVO 11.05.2026'!$C$2:$C$1919=C107),0)),""))</f>
        <v>ANDREW CORDEIRO DA SILVA</v>
      </c>
      <c r="E107" s="981" t="str" cm="1">
        <f t="array" ref="E107">IF(C107="","",IFERROR(INDEX('EFETIVO 11.05.2026'!$I$2:$I$1919,MATCH(1,(ISNUMBER(SEARCH("737",'EFETIVO 11.05.2026'!$H$2:$H$1919)))*('EFETIVO 11.05.2026'!$G$2:$G$1919="A")*('EFETIVO 11.05.2026'!$C$2:$C$1919=C107),0)),""))</f>
        <v>IMBOASSICA</v>
      </c>
    </row>
    <row r="108" spans="2:5" x14ac:dyDescent="0.35">
      <c r="B108" s="993">
        <v>8</v>
      </c>
      <c r="C108" s="984" t="str" cm="1">
        <f t="array" ref="C108">IFERROR(INDEX($B$15:$B$95,SMALL(IF($C$15:$C$95=1,ROW($C$15:$C$95)-ROW($C$15)+1),$B108)),"")</f>
        <v>ENCARREGADO DE AREAS VERDES</v>
      </c>
      <c r="D108" s="984" t="str" cm="1">
        <f t="array" ref="D108">IF(C108="","",IFERROR(INDEX('EFETIVO 11.05.2026'!$B$2:$B$1919,MATCH(1,(ISNUMBER(SEARCH("737",'EFETIVO 11.05.2026'!$H$2:$H$1919)))*('EFETIVO 11.05.2026'!$G$2:$G$1919="A")*('EFETIVO 11.05.2026'!$C$2:$C$1919=C108),0)),""))</f>
        <v>ELIVELTON PEREIRA DA SILVA</v>
      </c>
      <c r="E108" s="984" t="str" cm="1">
        <f t="array" ref="E108">IF(C108="","",IFERROR(INDEX('EFETIVO 11.05.2026'!$I$2:$I$1919,MATCH(1,(ISNUMBER(SEARCH("737",'EFETIVO 11.05.2026'!$H$2:$H$1919)))*('EFETIVO 11.05.2026'!$G$2:$G$1919="A")*('EFETIVO 11.05.2026'!$C$2:$C$1919=C108),0)),""))</f>
        <v>IMBOASSICA</v>
      </c>
    </row>
    <row r="109" spans="2:5" x14ac:dyDescent="0.35">
      <c r="B109" s="992">
        <v>9</v>
      </c>
      <c r="C109" s="981" t="str" cm="1">
        <f t="array" ref="C109">IFERROR(INDEX($B$15:$B$95,SMALL(IF($C$15:$C$95=1,ROW($C$15:$C$95)-ROW($C$15)+1),$B109)),"")</f>
        <v>ENCARREGADO DE CONSERVACAO E LIMPEZA</v>
      </c>
      <c r="D109" s="981" t="str" cm="1">
        <f t="array" ref="D109">IF(C109="","",IFERROR(INDEX('EFETIVO 11.05.2026'!$B$2:$B$1919,MATCH(1,(ISNUMBER(SEARCH("737",'EFETIVO 11.05.2026'!$H$2:$H$1919)))*('EFETIVO 11.05.2026'!$G$2:$G$1919="A")*('EFETIVO 11.05.2026'!$C$2:$C$1919=C109),0)),""))</f>
        <v>ANA LUIZA PEREIRA RIBEIRO</v>
      </c>
      <c r="E109" s="981" t="str" cm="1">
        <f t="array" ref="E109">IF(C109="","",IFERROR(INDEX('EFETIVO 11.05.2026'!$I$2:$I$1919,MATCH(1,(ISNUMBER(SEARCH("737",'EFETIVO 11.05.2026'!$H$2:$H$1919)))*('EFETIVO 11.05.2026'!$G$2:$G$1919="A")*('EFETIVO 11.05.2026'!$C$2:$C$1919=C109),0)),""))</f>
        <v>IMBOASSICA</v>
      </c>
    </row>
    <row r="110" spans="2:5" x14ac:dyDescent="0.35">
      <c r="B110" s="993">
        <v>10</v>
      </c>
      <c r="C110" s="984" t="str" cm="1">
        <f t="array" ref="C110">IFERROR(INDEX($B$15:$B$95,SMALL(IF($C$15:$C$95=1,ROW($C$15:$C$95)-ROW($C$15)+1),$B110)),"")</f>
        <v>ENCARREGADO DE ELETRICA</v>
      </c>
      <c r="D110" s="984" t="str" cm="1">
        <f t="array" ref="D110">IF(C110="","",IFERROR(INDEX('EFETIVO 11.05.2026'!$B$2:$B$1919,MATCH(1,(ISNUMBER(SEARCH("737",'EFETIVO 11.05.2026'!$H$2:$H$1919)))*('EFETIVO 11.05.2026'!$G$2:$G$1919="A")*('EFETIVO 11.05.2026'!$C$2:$C$1919=C110),0)),""))</f>
        <v>ANDRE DAVI SIQUEIRA PINTO</v>
      </c>
      <c r="E110" s="984" t="str" cm="1">
        <f t="array" ref="E110">IF(C110="","",IFERROR(INDEX('EFETIVO 11.05.2026'!$I$2:$I$1919,MATCH(1,(ISNUMBER(SEARCH("737",'EFETIVO 11.05.2026'!$H$2:$H$1919)))*('EFETIVO 11.05.2026'!$G$2:$G$1919="A")*('EFETIVO 11.05.2026'!$C$2:$C$1919=C110),0)),""))</f>
        <v>IMBOASSICA</v>
      </c>
    </row>
    <row r="111" spans="2:5" x14ac:dyDescent="0.35">
      <c r="B111" s="992">
        <v>11</v>
      </c>
      <c r="C111" s="981" t="str" cm="1">
        <f t="array" ref="C111">IFERROR(INDEX($B$15:$B$95,SMALL(IF($C$15:$C$95=1,ROW($C$15:$C$95)-ROW($C$15)+1),$B111)),"")</f>
        <v>ENCARREGADO DE JARDINAGEM</v>
      </c>
      <c r="D111" s="981" t="str" cm="1">
        <f t="array" ref="D111">IF(C111="","",IFERROR(INDEX('EFETIVO 11.05.2026'!$B$2:$B$1919,MATCH(1,(ISNUMBER(SEARCH("737",'EFETIVO 11.05.2026'!$H$2:$H$1919)))*('EFETIVO 11.05.2026'!$G$2:$G$1919="A")*('EFETIVO 11.05.2026'!$C$2:$C$1919=C111),0)),""))</f>
        <v>RAFAEL DE ANDRADE KLEIN</v>
      </c>
      <c r="E111" s="981" t="str" cm="1">
        <f t="array" ref="E111">IF(C111="","",IFERROR(INDEX('EFETIVO 11.05.2026'!$I$2:$I$1919,MATCH(1,(ISNUMBER(SEARCH("737",'EFETIVO 11.05.2026'!$H$2:$H$1919)))*('EFETIVO 11.05.2026'!$G$2:$G$1919="A")*('EFETIVO 11.05.2026'!$C$2:$C$1919=C111),0)),""))</f>
        <v>IMBOASSICA</v>
      </c>
    </row>
    <row r="112" spans="2:5" x14ac:dyDescent="0.35">
      <c r="B112" s="993">
        <v>12</v>
      </c>
      <c r="C112" s="984" t="str" cm="1">
        <f t="array" ref="C112">IFERROR(INDEX($B$15:$B$95,SMALL(IF($C$15:$C$95=1,ROW($C$15:$C$95)-ROW($C$15)+1),$B112)),"")</f>
        <v>ENGENHEIRO DE AUTOMACAO</v>
      </c>
      <c r="D112" s="984" t="str" cm="1">
        <f t="array" ref="D112">IF(C112="","",IFERROR(INDEX('EFETIVO 11.05.2026'!$B$2:$B$1919,MATCH(1,(ISNUMBER(SEARCH("737",'EFETIVO 11.05.2026'!$H$2:$H$1919)))*('EFETIVO 11.05.2026'!$G$2:$G$1919="A")*('EFETIVO 11.05.2026'!$C$2:$C$1919=C112),0)),""))</f>
        <v>BRUNO DE ARAUJO OLIVEIRA</v>
      </c>
      <c r="E112" s="984" t="str" cm="1">
        <f t="array" ref="E112">IF(C112="","",IFERROR(INDEX('EFETIVO 11.05.2026'!$I$2:$I$1919,MATCH(1,(ISNUMBER(SEARCH("737",'EFETIVO 11.05.2026'!$H$2:$H$1919)))*('EFETIVO 11.05.2026'!$G$2:$G$1919="A")*('EFETIVO 11.05.2026'!$C$2:$C$1919=C112),0)),""))</f>
        <v>IMBOASSICA</v>
      </c>
    </row>
    <row r="113" spans="2:6" x14ac:dyDescent="0.35">
      <c r="B113" s="992">
        <v>13</v>
      </c>
      <c r="C113" s="981" t="str" cm="1">
        <f t="array" ref="C113">IFERROR(INDEX($B$15:$B$95,SMALL(IF($C$15:$C$95=1,ROW($C$15:$C$95)-ROW($C$15)+1),$B113)),"")</f>
        <v>INSTRUMENTISTA</v>
      </c>
      <c r="D113" s="981" t="str" cm="1">
        <f t="array" ref="D113">IF(C113="","",IFERROR(INDEX('EFETIVO 11.05.2026'!$B$2:$B$1919,MATCH(1,(ISNUMBER(SEARCH("737",'EFETIVO 11.05.2026'!$H$2:$H$1919)))*('EFETIVO 11.05.2026'!$G$2:$G$1919="A")*('EFETIVO 11.05.2026'!$C$2:$C$1919=C113),0)),""))</f>
        <v>GABRIEL SOARES GONCALVES</v>
      </c>
      <c r="E113" s="981" t="str" cm="1">
        <f t="array" ref="E113">IF(C113="","",IFERROR(INDEX('EFETIVO 11.05.2026'!$I$2:$I$1919,MATCH(1,(ISNUMBER(SEARCH("737",'EFETIVO 11.05.2026'!$H$2:$H$1919)))*('EFETIVO 11.05.2026'!$G$2:$G$1919="A")*('EFETIVO 11.05.2026'!$C$2:$C$1919=C113),0)),""))</f>
        <v>IMBOASSICA</v>
      </c>
    </row>
    <row r="114" spans="2:6" x14ac:dyDescent="0.35">
      <c r="B114" s="993">
        <v>14</v>
      </c>
      <c r="C114" s="984" t="str" cm="1">
        <f t="array" ref="C114">IFERROR(INDEX($B$15:$B$95,SMALL(IF($C$15:$C$95=1,ROW($C$15:$C$95)-ROW($C$15)+1),$B114)),"")</f>
        <v>MARCENEIRO</v>
      </c>
      <c r="D114" s="984" t="str" cm="1">
        <f t="array" ref="D114">IF(C114="","",IFERROR(INDEX('EFETIVO 11.05.2026'!$B$2:$B$1919,MATCH(1,(ISNUMBER(SEARCH("737",'EFETIVO 11.05.2026'!$H$2:$H$1919)))*('EFETIVO 11.05.2026'!$G$2:$G$1919="A")*('EFETIVO 11.05.2026'!$C$2:$C$1919=C114),0)),""))</f>
        <v>ELIVAR EUCLIDES DOS SANTOS</v>
      </c>
      <c r="E114" s="984" t="str" cm="1">
        <f t="array" ref="E114">IF(C114="","",IFERROR(INDEX('EFETIVO 11.05.2026'!$I$2:$I$1919,MATCH(1,(ISNUMBER(SEARCH("737",'EFETIVO 11.05.2026'!$H$2:$H$1919)))*('EFETIVO 11.05.2026'!$G$2:$G$1919="A")*('EFETIVO 11.05.2026'!$C$2:$C$1919=C114),0)),""))</f>
        <v>IMBOASSICA</v>
      </c>
    </row>
    <row r="115" spans="2:6" x14ac:dyDescent="0.35">
      <c r="B115" s="992">
        <v>15</v>
      </c>
      <c r="C115" s="981" t="str" cm="1">
        <f t="array" ref="C115">IFERROR(INDEX($B$15:$B$95,SMALL(IF($C$15:$C$95=1,ROW($C$15:$C$95)-ROW($C$15)+1),$B115)),"")</f>
        <v>MECANICO DE REFRIGERACAO II</v>
      </c>
      <c r="D115" s="981" t="str" cm="1">
        <f t="array" ref="D115">IF(C115="","",IFERROR(INDEX('EFETIVO 11.05.2026'!$B$2:$B$1919,MATCH(1,(ISNUMBER(SEARCH("737",'EFETIVO 11.05.2026'!$H$2:$H$1919)))*('EFETIVO 11.05.2026'!$G$2:$G$1919="A")*('EFETIVO 11.05.2026'!$C$2:$C$1919=C115),0)),""))</f>
        <v>JOSE JOAQUIM HERNANDES DE CASTRO</v>
      </c>
      <c r="E115" s="981" t="str" cm="1">
        <f t="array" ref="E115">IF(C115="","",IFERROR(INDEX('EFETIVO 11.05.2026'!$I$2:$I$1919,MATCH(1,(ISNUMBER(SEARCH("737",'EFETIVO 11.05.2026'!$H$2:$H$1919)))*('EFETIVO 11.05.2026'!$G$2:$G$1919="A")*('EFETIVO 11.05.2026'!$C$2:$C$1919=C115),0)),""))</f>
        <v>IMBOASSICA</v>
      </c>
    </row>
    <row r="116" spans="2:6" x14ac:dyDescent="0.35">
      <c r="B116" s="993">
        <v>16</v>
      </c>
      <c r="C116" s="984" t="str" cm="1">
        <f t="array" ref="C116">IFERROR(INDEX($B$15:$B$95,SMALL(IF($C$15:$C$95=1,ROW($C$15:$C$95)-ROW($C$15)+1),$B116)),"")</f>
        <v>MOTORISTA</v>
      </c>
      <c r="D116" s="984" t="str" cm="1">
        <f t="array" ref="D116">IF(C116="","",IFERROR(INDEX('EFETIVO 11.05.2026'!$B$2:$B$1919,MATCH(1,(ISNUMBER(SEARCH("737",'EFETIVO 11.05.2026'!$H$2:$H$1919)))*('EFETIVO 11.05.2026'!$G$2:$G$1919="A")*('EFETIVO 11.05.2026'!$C$2:$C$1919=C116),0)),""))</f>
        <v>JOSENILDO OLIVEIRA DOS SANTOS</v>
      </c>
      <c r="E116" s="984" t="str" cm="1">
        <f t="array" ref="E116">IF(C116="","",IFERROR(INDEX('EFETIVO 11.05.2026'!$I$2:$I$1919,MATCH(1,(ISNUMBER(SEARCH("737",'EFETIVO 11.05.2026'!$H$2:$H$1919)))*('EFETIVO 11.05.2026'!$G$2:$G$1919="A")*('EFETIVO 11.05.2026'!$C$2:$C$1919=C116),0)),""))</f>
        <v>IMBOASSICA</v>
      </c>
    </row>
    <row r="117" spans="2:6" x14ac:dyDescent="0.35">
      <c r="B117" s="992">
        <v>17</v>
      </c>
      <c r="C117" s="981" t="str" cm="1">
        <f t="array" ref="C117">IFERROR(INDEX($B$15:$B$95,SMALL(IF($C$15:$C$95=1,ROW($C$15:$C$95)-ROW($C$15)+1),$B117)),"")</f>
        <v>MOTORISTA DE CAMINHAO MUNCK</v>
      </c>
      <c r="D117" s="981" t="str" cm="1">
        <f t="array" ref="D117">IF(C117="","",IFERROR(INDEX('EFETIVO 11.05.2026'!$B$2:$B$1919,MATCH(1,(ISNUMBER(SEARCH("737",'EFETIVO 11.05.2026'!$H$2:$H$1919)))*('EFETIVO 11.05.2026'!$G$2:$G$1919="A")*('EFETIVO 11.05.2026'!$C$2:$C$1919=C117),0)),""))</f>
        <v>ADRIANO DA SILVA FERNANDES</v>
      </c>
      <c r="E117" s="981" t="str" cm="1">
        <f t="array" ref="E117">IF(C117="","",IFERROR(INDEX('EFETIVO 11.05.2026'!$I$2:$I$1919,MATCH(1,(ISNUMBER(SEARCH("737",'EFETIVO 11.05.2026'!$H$2:$H$1919)))*('EFETIVO 11.05.2026'!$G$2:$G$1919="A")*('EFETIVO 11.05.2026'!$C$2:$C$1919=C117),0)),""))</f>
        <v>IMBOASSICA</v>
      </c>
    </row>
    <row r="118" spans="2:6" x14ac:dyDescent="0.35">
      <c r="B118" s="993">
        <v>18</v>
      </c>
      <c r="C118" s="984" t="str" cm="1">
        <f t="array" ref="C118">IFERROR(INDEX($B$15:$B$95,SMALL(IF($C$15:$C$95=1,ROW($C$15:$C$95)-ROW($C$15)+1),$B118)),"")</f>
        <v>OPERADOR DE RPAS</v>
      </c>
      <c r="D118" s="984" t="str" cm="1">
        <f t="array" ref="D118">IF(C118="","",IFERROR(INDEX('EFETIVO 11.05.2026'!$B$2:$B$1919,MATCH(1,(ISNUMBER(SEARCH("737",'EFETIVO 11.05.2026'!$H$2:$H$1919)))*('EFETIVO 11.05.2026'!$G$2:$G$1919="A")*('EFETIVO 11.05.2026'!$C$2:$C$1919=C118),0)),""))</f>
        <v>JOAO PEDRO APARECIDO ROMANO</v>
      </c>
      <c r="E118" s="984" t="str" cm="1">
        <f t="array" ref="E118">IF(C118="","",IFERROR(INDEX('EFETIVO 11.05.2026'!$I$2:$I$1919,MATCH(1,(ISNUMBER(SEARCH("737",'EFETIVO 11.05.2026'!$H$2:$H$1919)))*('EFETIVO 11.05.2026'!$G$2:$G$1919="A")*('EFETIVO 11.05.2026'!$C$2:$C$1919=C118),0)),""))</f>
        <v>IMBOASSICA</v>
      </c>
    </row>
    <row r="119" spans="2:6" x14ac:dyDescent="0.35">
      <c r="B119" s="992">
        <v>19</v>
      </c>
      <c r="C119" s="981" t="str" cm="1">
        <f t="array" ref="C119">IFERROR(INDEX($B$15:$B$95,SMALL(IF($C$15:$C$95=1,ROW($C$15:$C$95)-ROW($C$15)+1),$B119)),"")</f>
        <v>SERRALHEIRO</v>
      </c>
      <c r="D119" s="981" t="str" cm="1">
        <f t="array" ref="D119">IF(C119="","",IFERROR(INDEX('EFETIVO 11.05.2026'!$B$2:$B$1919,MATCH(1,(ISNUMBER(SEARCH("737",'EFETIVO 11.05.2026'!$H$2:$H$1919)))*('EFETIVO 11.05.2026'!$G$2:$G$1919="A")*('EFETIVO 11.05.2026'!$C$2:$C$1919=C119),0)),""))</f>
        <v>EDENILTON LIMA DOS SANTOS JUNIOR</v>
      </c>
      <c r="E119" s="981" t="str" cm="1">
        <f t="array" ref="E119">IF(C119="","",IFERROR(INDEX('EFETIVO 11.05.2026'!$I$2:$I$1919,MATCH(1,(ISNUMBER(SEARCH("737",'EFETIVO 11.05.2026'!$H$2:$H$1919)))*('EFETIVO 11.05.2026'!$G$2:$G$1919="A")*('EFETIVO 11.05.2026'!$C$2:$C$1919=C119),0)),""))</f>
        <v>IMBOASSICA</v>
      </c>
    </row>
    <row r="120" spans="2:6" x14ac:dyDescent="0.35">
      <c r="B120" s="993">
        <v>20</v>
      </c>
      <c r="C120" s="984" t="str" cm="1">
        <f t="array" ref="C120">IFERROR(INDEX($B$15:$B$95,SMALL(IF($C$15:$C$95=1,ROW($C$15:$C$95)-ROW($C$15)+1),$B120)),"")</f>
        <v>SUPERVISOR ADMINISTRATIVO</v>
      </c>
      <c r="D120" s="984" t="str" cm="1">
        <f t="array" ref="D120">IF(C120="","",IFERROR(INDEX('EFETIVO 11.05.2026'!$B$2:$B$1919,MATCH(1,(ISNUMBER(SEARCH("737",'EFETIVO 11.05.2026'!$H$2:$H$1919)))*('EFETIVO 11.05.2026'!$G$2:$G$1919="A")*('EFETIVO 11.05.2026'!$C$2:$C$1919=C120),0)),""))</f>
        <v>SIMONE OLIVEIRA DA SILVA</v>
      </c>
      <c r="E120" s="984" t="str" cm="1">
        <f t="array" ref="E120">IF(C120="","",IFERROR(INDEX('EFETIVO 11.05.2026'!$I$2:$I$1919,MATCH(1,(ISNUMBER(SEARCH("737",'EFETIVO 11.05.2026'!$H$2:$H$1919)))*('EFETIVO 11.05.2026'!$G$2:$G$1919="A")*('EFETIVO 11.05.2026'!$C$2:$C$1919=C120),0)),""))</f>
        <v>IMBOASSICA</v>
      </c>
    </row>
    <row r="123" spans="2:6" ht="26.15" customHeight="1" x14ac:dyDescent="0.45">
      <c r="B123" s="1395" t="s">
        <v>4804</v>
      </c>
      <c r="C123" s="1395"/>
      <c r="D123" s="1395"/>
    </row>
    <row r="124" spans="2:6" x14ac:dyDescent="0.35">
      <c r="B124" s="1394" t="s">
        <v>4805</v>
      </c>
      <c r="C124" s="1394"/>
      <c r="D124" s="1394"/>
      <c r="E124" s="1394"/>
      <c r="F124" s="1394"/>
    </row>
    <row r="126" spans="2:6" x14ac:dyDescent="0.35">
      <c r="B126" s="252" t="s">
        <v>479</v>
      </c>
      <c r="C126" s="252" t="s">
        <v>480</v>
      </c>
      <c r="D126" s="252" t="s">
        <v>481</v>
      </c>
    </row>
    <row r="127" spans="2:6" x14ac:dyDescent="0.35">
      <c r="B127" s="990">
        <v>2024</v>
      </c>
      <c r="C127" s="994" cm="1">
        <f t="array" ref="C127">SUMPRODUCT(ISNUMBER(SEARCH("737",'EFETIVO 11.05.2026'!$H$2:$H$1919))*(YEAR('EFETIVO 11.05.2026'!$E$2:$E$1919)=2024))</f>
        <v>230</v>
      </c>
      <c r="D127" s="994" cm="1">
        <f t="array" ref="D127">SUMPRODUCT(ISNUMBER(SEARCH("737",'EFETIVO 11.05.2026'!$H$2:$H$1919))*(IFERROR(YEAR('EFETIVO 11.05.2026'!$F$2:$F$1919),0)=2024))</f>
        <v>0</v>
      </c>
    </row>
    <row r="128" spans="2:6" x14ac:dyDescent="0.35">
      <c r="B128" s="991">
        <v>2025</v>
      </c>
      <c r="C128" s="995" cm="1">
        <f t="array" ref="C128">SUMPRODUCT(ISNUMBER(SEARCH("737",'EFETIVO 11.05.2026'!$H$2:$H$1919))*(YEAR('EFETIVO 11.05.2026'!$E$2:$E$1919)=2025))</f>
        <v>216</v>
      </c>
      <c r="D128" s="995" cm="1">
        <f t="array" ref="D128">SUMPRODUCT(ISNUMBER(SEARCH("737",'EFETIVO 11.05.2026'!$H$2:$H$1919))*(IFERROR(YEAR('EFETIVO 11.05.2026'!$F$2:$F$1919),0)=2025))</f>
        <v>98</v>
      </c>
    </row>
    <row r="129" spans="2:4" x14ac:dyDescent="0.35">
      <c r="B129" s="990">
        <v>2026</v>
      </c>
      <c r="C129" s="994" cm="1">
        <f t="array" ref="C129">SUMPRODUCT(ISNUMBER(SEARCH("737",'EFETIVO 11.05.2026'!$H$2:$H$1919))*(YEAR('EFETIVO 11.05.2026'!$E$2:$E$1919)=2026))</f>
        <v>54</v>
      </c>
      <c r="D129" s="994" cm="1">
        <f t="array" ref="D129">SUMPRODUCT(ISNUMBER(SEARCH("737",'EFETIVO 11.05.2026'!$H$2:$H$1919))*(IFERROR(YEAR('EFETIVO 11.05.2026'!$F$2:$F$1919),0)=2026))</f>
        <v>47</v>
      </c>
    </row>
    <row r="130" spans="2:4" x14ac:dyDescent="0.35">
      <c r="B130" s="304" t="s">
        <v>459</v>
      </c>
      <c r="C130" s="996">
        <f>SUM(C127:C129)</f>
        <v>500</v>
      </c>
      <c r="D130" s="996">
        <f>SUM(D127:D129)</f>
        <v>145</v>
      </c>
    </row>
  </sheetData>
  <mergeCells count="7">
    <mergeCell ref="B124:F124"/>
    <mergeCell ref="A1:G1"/>
    <mergeCell ref="A2:G2"/>
    <mergeCell ref="B4:F4"/>
    <mergeCell ref="B12:F12"/>
    <mergeCell ref="B98:E98"/>
    <mergeCell ref="B123:D12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55FC-7B6C-4D0B-9F65-423AF5F4291A}">
  <sheetPr codeName="Planilha10">
    <tabColor theme="5" tint="-0.249977111117893"/>
  </sheetPr>
  <dimension ref="M3:CE30"/>
  <sheetViews>
    <sheetView showGridLines="0" topLeftCell="D1" zoomScale="85" zoomScaleNormal="85" workbookViewId="0">
      <selection activeCell="AR24" sqref="AR24"/>
    </sheetView>
  </sheetViews>
  <sheetFormatPr defaultColWidth="3.453125" defaultRowHeight="14.5" x14ac:dyDescent="0.35"/>
  <cols>
    <col min="22" max="22" width="3.7265625" customWidth="1"/>
    <col min="24" max="24" width="3.54296875" customWidth="1"/>
    <col min="25" max="25" width="3" customWidth="1"/>
    <col min="26" max="26" width="4.81640625" customWidth="1"/>
    <col min="27" max="27" width="5.81640625" customWidth="1"/>
    <col min="28" max="28" width="5" customWidth="1"/>
    <col min="29" max="29" width="5.54296875" customWidth="1"/>
    <col min="30" max="30" width="4.81640625" customWidth="1"/>
    <col min="31" max="31" width="3.1796875" customWidth="1"/>
    <col min="32" max="33" width="3.26953125" customWidth="1"/>
    <col min="34" max="34" width="4.453125" customWidth="1"/>
    <col min="35" max="35" width="5" customWidth="1"/>
    <col min="37" max="37" width="5.453125" customWidth="1"/>
    <col min="39" max="39" width="4.1796875" customWidth="1"/>
    <col min="42" max="42" width="3.26953125" customWidth="1"/>
    <col min="69" max="69" width="5.26953125" customWidth="1"/>
    <col min="72" max="72" width="3.54296875" customWidth="1"/>
    <col min="78" max="78" width="5.26953125" customWidth="1"/>
    <col min="80" max="80" width="6" customWidth="1"/>
    <col min="82" max="82" width="4.7265625" customWidth="1"/>
  </cols>
  <sheetData>
    <row r="3" spans="13:83" x14ac:dyDescent="0.35">
      <c r="AN3" s="174"/>
      <c r="AO3" s="1218" t="s">
        <v>65</v>
      </c>
      <c r="AP3" s="1218"/>
      <c r="AQ3" s="1218"/>
      <c r="AR3" s="1218"/>
      <c r="AS3" s="1218"/>
      <c r="AT3" s="1218"/>
      <c r="AU3" s="1218"/>
    </row>
    <row r="4" spans="13:83" x14ac:dyDescent="0.35">
      <c r="AN4" s="1246" t="s">
        <v>66</v>
      </c>
      <c r="AO4" s="1246"/>
      <c r="AP4" s="1246"/>
      <c r="AQ4" s="1246"/>
      <c r="AR4" s="1246"/>
      <c r="AS4" s="1246"/>
      <c r="AT4" s="1246"/>
      <c r="AU4" s="1246"/>
    </row>
    <row r="5" spans="13:83" x14ac:dyDescent="0.35">
      <c r="AQ5" s="154"/>
    </row>
    <row r="6" spans="13:83" x14ac:dyDescent="0.35">
      <c r="AQ6" s="154"/>
    </row>
    <row r="7" spans="13:83" x14ac:dyDescent="0.35">
      <c r="AN7" s="174">
        <v>1</v>
      </c>
      <c r="AO7" s="1218" t="s">
        <v>69</v>
      </c>
      <c r="AP7" s="1218"/>
      <c r="AQ7" s="1218"/>
      <c r="AR7" s="1218"/>
      <c r="AS7" s="1218"/>
      <c r="AT7" s="1218"/>
      <c r="AU7" s="1218"/>
    </row>
    <row r="8" spans="13:83" x14ac:dyDescent="0.35">
      <c r="AN8" s="1246" t="s">
        <v>72</v>
      </c>
      <c r="AO8" s="1246"/>
      <c r="AP8" s="1246"/>
      <c r="AQ8" s="1246"/>
      <c r="AR8" s="1246"/>
      <c r="AS8" s="1246"/>
      <c r="AT8" s="1246"/>
      <c r="AU8" s="1246"/>
    </row>
    <row r="9" spans="13:83" x14ac:dyDescent="0.35">
      <c r="AQ9" s="154"/>
    </row>
    <row r="10" spans="13:83" x14ac:dyDescent="0.35">
      <c r="AB10" s="226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38"/>
    </row>
    <row r="11" spans="13:83" x14ac:dyDescent="0.35">
      <c r="M11" s="226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91">
        <f>O13+O15+X13+X15+X17+X19+AG13+AG15</f>
        <v>8</v>
      </c>
      <c r="AS11" s="226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94"/>
      <c r="BO11" s="224"/>
      <c r="BP11" s="224"/>
      <c r="BQ11" s="224"/>
      <c r="BR11" s="224"/>
      <c r="BS11" s="224"/>
      <c r="BT11" s="224"/>
      <c r="BU11" s="224"/>
      <c r="BV11" s="224"/>
      <c r="BW11" s="290">
        <f>BE12+AU16+AU18+AU20+BE16+BE18+BN16+BN18</f>
        <v>5</v>
      </c>
      <c r="CE11" s="292"/>
    </row>
    <row r="12" spans="13:83" x14ac:dyDescent="0.35">
      <c r="M12" s="150"/>
      <c r="O12" s="1396" t="s">
        <v>4809</v>
      </c>
      <c r="P12" s="1396"/>
      <c r="Q12" s="1396"/>
      <c r="R12" s="1396"/>
      <c r="S12" s="1396"/>
      <c r="T12" s="1396"/>
      <c r="U12" s="1396"/>
      <c r="V12" s="1396"/>
      <c r="X12" s="1396" t="s">
        <v>4810</v>
      </c>
      <c r="Y12" s="1396"/>
      <c r="Z12" s="1396"/>
      <c r="AA12" s="1396"/>
      <c r="AB12" s="1396"/>
      <c r="AC12" s="1396"/>
      <c r="AD12" s="1396"/>
      <c r="AE12" s="1396"/>
      <c r="AG12" s="1396" t="s">
        <v>4811</v>
      </c>
      <c r="AH12" s="1396"/>
      <c r="AI12" s="1396"/>
      <c r="AJ12" s="1396"/>
      <c r="AK12" s="1396"/>
      <c r="AL12" s="1396"/>
      <c r="AM12" s="1396"/>
      <c r="AN12" s="1396"/>
      <c r="AP12" s="154"/>
      <c r="AS12" s="150"/>
      <c r="BE12" s="295">
        <v>1</v>
      </c>
      <c r="BF12" s="1397" t="s">
        <v>4812</v>
      </c>
      <c r="BG12" s="1397"/>
      <c r="BH12" s="1266"/>
      <c r="BI12" s="1397"/>
      <c r="BJ12" s="1397"/>
      <c r="BK12" s="1397"/>
      <c r="BL12" s="1398"/>
      <c r="BW12" s="154"/>
    </row>
    <row r="13" spans="13:83" x14ac:dyDescent="0.35">
      <c r="M13" s="150"/>
      <c r="O13" s="293">
        <v>1</v>
      </c>
      <c r="P13" s="1266" t="s">
        <v>4813</v>
      </c>
      <c r="Q13" s="1266"/>
      <c r="R13" s="1266"/>
      <c r="S13" s="1266"/>
      <c r="T13" s="1266"/>
      <c r="U13" s="1266"/>
      <c r="V13" s="1266"/>
      <c r="X13" s="174">
        <v>1</v>
      </c>
      <c r="Y13" s="1218" t="s">
        <v>4813</v>
      </c>
      <c r="Z13" s="1218"/>
      <c r="AA13" s="1218"/>
      <c r="AB13" s="1218"/>
      <c r="AC13" s="1218"/>
      <c r="AD13" s="1218"/>
      <c r="AE13" s="1218"/>
      <c r="AG13" s="258">
        <v>1</v>
      </c>
      <c r="AH13" s="1102" t="s">
        <v>4813</v>
      </c>
      <c r="AI13" s="1102"/>
      <c r="AJ13" s="1102"/>
      <c r="AK13" s="1102"/>
      <c r="AL13" s="1102"/>
      <c r="AM13" s="1102"/>
      <c r="AN13" s="1102"/>
      <c r="AP13" s="154"/>
      <c r="AS13" s="150"/>
      <c r="BE13" s="1399" t="s">
        <v>4814</v>
      </c>
      <c r="BF13" s="1400"/>
      <c r="BG13" s="1400"/>
      <c r="BH13" s="1400"/>
      <c r="BI13" s="1400"/>
      <c r="BJ13" s="1400"/>
      <c r="BK13" s="1400"/>
      <c r="BL13" s="1401"/>
      <c r="BW13" s="154"/>
    </row>
    <row r="14" spans="13:83" x14ac:dyDescent="0.35">
      <c r="M14" s="150"/>
      <c r="O14" s="1103" t="s">
        <v>4815</v>
      </c>
      <c r="P14" s="1104"/>
      <c r="Q14" s="1104"/>
      <c r="R14" s="1104"/>
      <c r="S14" s="1104"/>
      <c r="T14" s="1104"/>
      <c r="U14" s="1104"/>
      <c r="V14" s="1105"/>
      <c r="X14" s="1246" t="s">
        <v>4816</v>
      </c>
      <c r="Y14" s="1246"/>
      <c r="Z14" s="1246"/>
      <c r="AA14" s="1246"/>
      <c r="AB14" s="1246"/>
      <c r="AC14" s="1246"/>
      <c r="AD14" s="1246"/>
      <c r="AE14" s="1246"/>
      <c r="AG14" s="1103" t="s">
        <v>4817</v>
      </c>
      <c r="AH14" s="1104"/>
      <c r="AI14" s="1104"/>
      <c r="AJ14" s="1104"/>
      <c r="AK14" s="1104"/>
      <c r="AL14" s="1104"/>
      <c r="AM14" s="1104"/>
      <c r="AN14" s="1105"/>
      <c r="AP14" s="154"/>
      <c r="AS14" s="150"/>
      <c r="BW14" s="154"/>
    </row>
    <row r="15" spans="13:83" x14ac:dyDescent="0.35">
      <c r="M15" s="150"/>
      <c r="O15" s="258">
        <v>1</v>
      </c>
      <c r="P15" s="1102" t="s">
        <v>73</v>
      </c>
      <c r="Q15" s="1102"/>
      <c r="R15" s="1102"/>
      <c r="S15" s="1102"/>
      <c r="T15" s="1102"/>
      <c r="U15" s="1102"/>
      <c r="V15" s="1102"/>
      <c r="X15" s="174">
        <v>1</v>
      </c>
      <c r="Y15" s="1218" t="s">
        <v>73</v>
      </c>
      <c r="Z15" s="1218"/>
      <c r="AA15" s="1218"/>
      <c r="AB15" s="1218"/>
      <c r="AC15" s="1218"/>
      <c r="AD15" s="1218"/>
      <c r="AE15" s="1218"/>
      <c r="AG15" s="174">
        <v>1</v>
      </c>
      <c r="AH15" s="1218" t="s">
        <v>90</v>
      </c>
      <c r="AI15" s="1218"/>
      <c r="AJ15" s="1218"/>
      <c r="AK15" s="1218"/>
      <c r="AL15" s="1218"/>
      <c r="AM15" s="1218"/>
      <c r="AN15" s="1218"/>
      <c r="AP15" s="154"/>
      <c r="AS15" s="150"/>
      <c r="AU15" s="1396" t="s">
        <v>4818</v>
      </c>
      <c r="AV15" s="1396"/>
      <c r="AW15" s="1396"/>
      <c r="AX15" s="1396"/>
      <c r="AY15" s="1396"/>
      <c r="AZ15" s="1396"/>
      <c r="BA15" s="1396"/>
      <c r="BB15" s="1396"/>
      <c r="BE15" s="1396" t="s">
        <v>4819</v>
      </c>
      <c r="BF15" s="1396"/>
      <c r="BG15" s="1396"/>
      <c r="BH15" s="1396"/>
      <c r="BI15" s="1396"/>
      <c r="BJ15" s="1396"/>
      <c r="BK15" s="1396"/>
      <c r="BL15" s="1396"/>
      <c r="BN15" s="1396" t="s">
        <v>4820</v>
      </c>
      <c r="BO15" s="1396"/>
      <c r="BP15" s="1396"/>
      <c r="BQ15" s="1396"/>
      <c r="BR15" s="1396"/>
      <c r="BS15" s="1396"/>
      <c r="BT15" s="1396"/>
      <c r="BU15" s="1396"/>
      <c r="BW15" s="154"/>
    </row>
    <row r="16" spans="13:83" x14ac:dyDescent="0.35">
      <c r="M16" s="150"/>
      <c r="O16" s="1103" t="s">
        <v>4821</v>
      </c>
      <c r="P16" s="1104"/>
      <c r="Q16" s="1104"/>
      <c r="R16" s="1104"/>
      <c r="S16" s="1104"/>
      <c r="T16" s="1104"/>
      <c r="U16" s="1104"/>
      <c r="V16" s="1105"/>
      <c r="X16" s="1246" t="s">
        <v>4822</v>
      </c>
      <c r="Y16" s="1246"/>
      <c r="Z16" s="1246"/>
      <c r="AA16" s="1246"/>
      <c r="AB16" s="1246"/>
      <c r="AC16" s="1246"/>
      <c r="AD16" s="1246"/>
      <c r="AE16" s="1246"/>
      <c r="AG16" s="1402" t="s">
        <v>4823</v>
      </c>
      <c r="AH16" s="1402"/>
      <c r="AI16" s="1402"/>
      <c r="AJ16" s="1402"/>
      <c r="AK16" s="1402"/>
      <c r="AL16" s="1402"/>
      <c r="AM16" s="1402"/>
      <c r="AN16" s="1402"/>
      <c r="AP16" s="154"/>
      <c r="AS16" s="150"/>
      <c r="AU16" s="293">
        <v>1</v>
      </c>
      <c r="AV16" s="1266" t="s">
        <v>91</v>
      </c>
      <c r="AW16" s="1266"/>
      <c r="AX16" s="1266"/>
      <c r="AY16" s="1266"/>
      <c r="AZ16" s="1266"/>
      <c r="BA16" s="1266"/>
      <c r="BB16" s="1266"/>
      <c r="BE16" s="293">
        <v>1</v>
      </c>
      <c r="BF16" s="1266" t="s">
        <v>73</v>
      </c>
      <c r="BG16" s="1266"/>
      <c r="BH16" s="1266"/>
      <c r="BI16" s="1266"/>
      <c r="BJ16" s="1266"/>
      <c r="BK16" s="1266"/>
      <c r="BL16" s="1266"/>
      <c r="BN16" s="258">
        <v>1</v>
      </c>
      <c r="BO16" s="1102" t="s">
        <v>4824</v>
      </c>
      <c r="BP16" s="1102"/>
      <c r="BQ16" s="1102"/>
      <c r="BR16" s="1102"/>
      <c r="BS16" s="1102"/>
      <c r="BT16" s="1102"/>
      <c r="BU16" s="1102"/>
      <c r="BW16" s="154"/>
    </row>
    <row r="17" spans="13:75" x14ac:dyDescent="0.35">
      <c r="M17" s="150"/>
      <c r="X17" s="174">
        <v>1</v>
      </c>
      <c r="Y17" s="1218" t="s">
        <v>4825</v>
      </c>
      <c r="Z17" s="1218"/>
      <c r="AA17" s="1218"/>
      <c r="AB17" s="1218"/>
      <c r="AC17" s="1218"/>
      <c r="AD17" s="1218"/>
      <c r="AE17" s="1218"/>
      <c r="AP17" s="154"/>
      <c r="AS17" s="150"/>
      <c r="AU17" s="1103" t="s">
        <v>2264</v>
      </c>
      <c r="AV17" s="1104"/>
      <c r="AW17" s="1104"/>
      <c r="AX17" s="1104"/>
      <c r="AY17" s="1104"/>
      <c r="AZ17" s="1104"/>
      <c r="BA17" s="1104"/>
      <c r="BB17" s="1105"/>
      <c r="BE17" s="1103" t="s">
        <v>4826</v>
      </c>
      <c r="BF17" s="1104"/>
      <c r="BG17" s="1104"/>
      <c r="BH17" s="1104"/>
      <c r="BI17" s="1104"/>
      <c r="BJ17" s="1104"/>
      <c r="BK17" s="1104"/>
      <c r="BL17" s="1105"/>
      <c r="BN17" s="1103" t="s">
        <v>3082</v>
      </c>
      <c r="BO17" s="1104"/>
      <c r="BP17" s="1104"/>
      <c r="BQ17" s="1104"/>
      <c r="BR17" s="1104"/>
      <c r="BS17" s="1104"/>
      <c r="BT17" s="1104"/>
      <c r="BU17" s="1105"/>
      <c r="BW17" s="154"/>
    </row>
    <row r="18" spans="13:75" x14ac:dyDescent="0.35">
      <c r="M18" s="150"/>
      <c r="X18" s="1246" t="s">
        <v>4827</v>
      </c>
      <c r="Y18" s="1246"/>
      <c r="Z18" s="1246"/>
      <c r="AA18" s="1246"/>
      <c r="AB18" s="1246"/>
      <c r="AC18" s="1246"/>
      <c r="AD18" s="1246"/>
      <c r="AE18" s="1246"/>
      <c r="AP18" s="154"/>
      <c r="AS18" s="150"/>
      <c r="AU18" s="258">
        <v>1</v>
      </c>
      <c r="AV18" s="1102" t="s">
        <v>91</v>
      </c>
      <c r="AW18" s="1102"/>
      <c r="AX18" s="1102"/>
      <c r="AY18" s="1102"/>
      <c r="AZ18" s="1102"/>
      <c r="BA18" s="1102"/>
      <c r="BB18" s="1102"/>
      <c r="BE18" s="258"/>
      <c r="BF18" s="1102" t="s">
        <v>90</v>
      </c>
      <c r="BG18" s="1102"/>
      <c r="BH18" s="1102"/>
      <c r="BI18" s="1102"/>
      <c r="BJ18" s="1102"/>
      <c r="BK18" s="1102"/>
      <c r="BL18" s="1102"/>
      <c r="BN18" s="258"/>
      <c r="BO18" s="1102" t="s">
        <v>172</v>
      </c>
      <c r="BP18" s="1102"/>
      <c r="BQ18" s="1102"/>
      <c r="BR18" s="1102"/>
      <c r="BS18" s="1102"/>
      <c r="BT18" s="1102"/>
      <c r="BU18" s="1102"/>
      <c r="BW18" s="154"/>
    </row>
    <row r="19" spans="13:75" x14ac:dyDescent="0.35">
      <c r="M19" s="150"/>
      <c r="X19" s="174">
        <v>1</v>
      </c>
      <c r="Y19" s="1218" t="s">
        <v>90</v>
      </c>
      <c r="Z19" s="1218"/>
      <c r="AA19" s="1218"/>
      <c r="AB19" s="1218"/>
      <c r="AC19" s="1218"/>
      <c r="AD19" s="1218"/>
      <c r="AE19" s="1218"/>
      <c r="AP19" s="154"/>
      <c r="AS19" s="150"/>
      <c r="AU19" s="1103" t="s">
        <v>5463</v>
      </c>
      <c r="AV19" s="1104"/>
      <c r="AW19" s="1104"/>
      <c r="AX19" s="1104"/>
      <c r="AY19" s="1104"/>
      <c r="AZ19" s="1104"/>
      <c r="BA19" s="1104"/>
      <c r="BB19" s="1105"/>
      <c r="BE19" s="1103" t="s">
        <v>3166</v>
      </c>
      <c r="BF19" s="1104"/>
      <c r="BG19" s="1104"/>
      <c r="BH19" s="1104"/>
      <c r="BI19" s="1104"/>
      <c r="BJ19" s="1104"/>
      <c r="BK19" s="1104"/>
      <c r="BL19" s="1105"/>
      <c r="BN19" s="1103" t="s">
        <v>346</v>
      </c>
      <c r="BO19" s="1104"/>
      <c r="BP19" s="1104"/>
      <c r="BQ19" s="1104"/>
      <c r="BR19" s="1104"/>
      <c r="BS19" s="1104"/>
      <c r="BT19" s="1104"/>
      <c r="BU19" s="1105"/>
      <c r="BW19" s="154"/>
    </row>
    <row r="20" spans="13:75" x14ac:dyDescent="0.35">
      <c r="M20" s="150"/>
      <c r="X20" s="1246" t="s">
        <v>4828</v>
      </c>
      <c r="Y20" s="1246"/>
      <c r="Z20" s="1246"/>
      <c r="AA20" s="1246"/>
      <c r="AB20" s="1246"/>
      <c r="AC20" s="1246"/>
      <c r="AD20" s="1246"/>
      <c r="AE20" s="1246"/>
      <c r="AP20" s="154"/>
      <c r="AS20" s="150"/>
      <c r="AU20" s="258"/>
      <c r="AV20" s="1102" t="s">
        <v>4829</v>
      </c>
      <c r="AW20" s="1102"/>
      <c r="AX20" s="1102"/>
      <c r="AY20" s="1102"/>
      <c r="AZ20" s="1102"/>
      <c r="BA20" s="1102"/>
      <c r="BB20" s="1102"/>
      <c r="BN20" s="258"/>
      <c r="BO20" s="1102" t="s">
        <v>4829</v>
      </c>
      <c r="BP20" s="1102"/>
      <c r="BQ20" s="1102"/>
      <c r="BR20" s="1102"/>
      <c r="BS20" s="1102"/>
      <c r="BT20" s="1102"/>
      <c r="BU20" s="1102"/>
      <c r="BW20" s="154"/>
    </row>
    <row r="21" spans="13:75" x14ac:dyDescent="0.35">
      <c r="M21" s="155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83"/>
      <c r="AS21" s="150"/>
      <c r="AU21" s="1103" t="s">
        <v>2524</v>
      </c>
      <c r="AV21" s="1104"/>
      <c r="AW21" s="1104"/>
      <c r="AX21" s="1104"/>
      <c r="AY21" s="1104"/>
      <c r="AZ21" s="1104"/>
      <c r="BA21" s="1104"/>
      <c r="BB21" s="1105"/>
      <c r="BN21" s="1103" t="s">
        <v>1018</v>
      </c>
      <c r="BO21" s="1104"/>
      <c r="BP21" s="1104"/>
      <c r="BQ21" s="1104"/>
      <c r="BR21" s="1104"/>
      <c r="BS21" s="1104"/>
      <c r="BT21" s="1104"/>
      <c r="BU21" s="1105"/>
      <c r="BW21" s="154"/>
    </row>
    <row r="22" spans="13:75" x14ac:dyDescent="0.35">
      <c r="AM22" s="1282" t="s">
        <v>4830</v>
      </c>
      <c r="AN22" s="1168"/>
      <c r="AO22" s="1168"/>
      <c r="AP22" s="1168"/>
      <c r="AS22" s="155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83"/>
    </row>
    <row r="23" spans="13:75" x14ac:dyDescent="0.35">
      <c r="BD23" t="s">
        <v>4831</v>
      </c>
      <c r="BT23" s="1313" t="s">
        <v>4832</v>
      </c>
      <c r="BU23" s="1403"/>
      <c r="BV23" s="1403"/>
      <c r="BW23" s="1403"/>
    </row>
    <row r="25" spans="13:75" x14ac:dyDescent="0.35">
      <c r="AE25" s="226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91">
        <f>AG27</f>
        <v>1</v>
      </c>
      <c r="AS25" s="226"/>
      <c r="AT25" s="224"/>
      <c r="AU25" s="224"/>
      <c r="AV25" s="224"/>
      <c r="AW25" s="224"/>
      <c r="AX25" s="224"/>
      <c r="AY25" s="224"/>
      <c r="AZ25" s="224"/>
      <c r="BA25" s="224"/>
      <c r="BB25" s="224"/>
      <c r="BC25" s="224"/>
      <c r="BD25" s="291">
        <f>AU27</f>
        <v>0</v>
      </c>
    </row>
    <row r="26" spans="13:75" x14ac:dyDescent="0.35">
      <c r="AE26" s="150"/>
      <c r="AG26" s="1396" t="s">
        <v>4833</v>
      </c>
      <c r="AH26" s="1396"/>
      <c r="AI26" s="1396"/>
      <c r="AJ26" s="1396"/>
      <c r="AK26" s="1396"/>
      <c r="AL26" s="1396"/>
      <c r="AM26" s="1396"/>
      <c r="AN26" s="1396"/>
      <c r="AP26" s="154"/>
      <c r="AS26" s="150"/>
      <c r="AU26" s="1396" t="s">
        <v>376</v>
      </c>
      <c r="AV26" s="1396"/>
      <c r="AW26" s="1396"/>
      <c r="AX26" s="1396"/>
      <c r="AY26" s="1396"/>
      <c r="AZ26" s="1396"/>
      <c r="BA26" s="1396"/>
      <c r="BB26" s="1396"/>
      <c r="BD26" s="154"/>
    </row>
    <row r="27" spans="13:75" x14ac:dyDescent="0.35">
      <c r="AE27" s="150"/>
      <c r="AG27" s="258">
        <v>1</v>
      </c>
      <c r="AH27" s="1102" t="s">
        <v>206</v>
      </c>
      <c r="AI27" s="1102"/>
      <c r="AJ27" s="1102"/>
      <c r="AK27" s="1102"/>
      <c r="AL27" s="1102"/>
      <c r="AM27" s="1102"/>
      <c r="AN27" s="1102"/>
      <c r="AP27" s="154"/>
      <c r="AS27" s="150"/>
      <c r="AU27" s="258"/>
      <c r="AV27" s="1102" t="s">
        <v>4834</v>
      </c>
      <c r="AW27" s="1102"/>
      <c r="AX27" s="1102"/>
      <c r="AY27" s="1102"/>
      <c r="AZ27" s="1102"/>
      <c r="BA27" s="1102"/>
      <c r="BB27" s="1102"/>
      <c r="BD27" s="154"/>
    </row>
    <row r="28" spans="13:75" x14ac:dyDescent="0.35">
      <c r="AE28" s="150"/>
      <c r="AG28" s="1103" t="s">
        <v>4835</v>
      </c>
      <c r="AH28" s="1104"/>
      <c r="AI28" s="1104"/>
      <c r="AJ28" s="1104"/>
      <c r="AK28" s="1104"/>
      <c r="AL28" s="1104"/>
      <c r="AM28" s="1104"/>
      <c r="AN28" s="1105"/>
      <c r="AP28" s="154"/>
      <c r="AS28" s="150"/>
      <c r="AU28" s="1103" t="s">
        <v>99</v>
      </c>
      <c r="AV28" s="1104"/>
      <c r="AW28" s="1104"/>
      <c r="AX28" s="1104"/>
      <c r="AY28" s="1104"/>
      <c r="AZ28" s="1104"/>
      <c r="BA28" s="1104"/>
      <c r="BB28" s="1105"/>
      <c r="BD28" s="154"/>
    </row>
    <row r="29" spans="13:75" x14ac:dyDescent="0.35">
      <c r="AE29" s="155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83"/>
      <c r="AS29" s="155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83"/>
    </row>
    <row r="30" spans="13:75" x14ac:dyDescent="0.35">
      <c r="AM30" s="1282" t="s">
        <v>251</v>
      </c>
      <c r="AN30" s="1168"/>
      <c r="AO30" s="1168"/>
      <c r="AP30" s="1168"/>
      <c r="BA30" s="1282" t="s">
        <v>132</v>
      </c>
      <c r="BB30" s="1168"/>
      <c r="BC30" s="1168"/>
      <c r="BD30" s="1168"/>
    </row>
  </sheetData>
  <mergeCells count="54">
    <mergeCell ref="BA30:BD30"/>
    <mergeCell ref="AM30:AP30"/>
    <mergeCell ref="AG28:AN28"/>
    <mergeCell ref="AH27:AN27"/>
    <mergeCell ref="AG26:AN26"/>
    <mergeCell ref="AU26:BB26"/>
    <mergeCell ref="AV27:BB27"/>
    <mergeCell ref="AV20:BB20"/>
    <mergeCell ref="BT23:BW23"/>
    <mergeCell ref="BN15:BU15"/>
    <mergeCell ref="BO16:BU16"/>
    <mergeCell ref="BN17:BU17"/>
    <mergeCell ref="BO18:BU18"/>
    <mergeCell ref="BN19:BU19"/>
    <mergeCell ref="BO20:BU20"/>
    <mergeCell ref="BN21:BU21"/>
    <mergeCell ref="Y19:AE19"/>
    <mergeCell ref="X20:AE20"/>
    <mergeCell ref="AH15:AN15"/>
    <mergeCell ref="AG16:AN16"/>
    <mergeCell ref="Y17:AE17"/>
    <mergeCell ref="X18:AE18"/>
    <mergeCell ref="AG14:AN14"/>
    <mergeCell ref="BF12:BL12"/>
    <mergeCell ref="BE13:BL13"/>
    <mergeCell ref="AU28:BB28"/>
    <mergeCell ref="AM22:AP22"/>
    <mergeCell ref="AU21:BB21"/>
    <mergeCell ref="AU15:BB15"/>
    <mergeCell ref="AV16:BB16"/>
    <mergeCell ref="AU17:BB17"/>
    <mergeCell ref="BE15:BL15"/>
    <mergeCell ref="BF16:BL16"/>
    <mergeCell ref="BE17:BL17"/>
    <mergeCell ref="BF18:BL18"/>
    <mergeCell ref="BE19:BL19"/>
    <mergeCell ref="AV18:BB18"/>
    <mergeCell ref="AU19:BB19"/>
    <mergeCell ref="P15:V15"/>
    <mergeCell ref="O16:V16"/>
    <mergeCell ref="Y15:AE15"/>
    <mergeCell ref="X16:AE16"/>
    <mergeCell ref="O14:V14"/>
    <mergeCell ref="X14:AE14"/>
    <mergeCell ref="AO3:AU3"/>
    <mergeCell ref="AN4:AU4"/>
    <mergeCell ref="AO7:AU7"/>
    <mergeCell ref="AN8:AU8"/>
    <mergeCell ref="P13:V13"/>
    <mergeCell ref="Y13:AE13"/>
    <mergeCell ref="AH13:AN13"/>
    <mergeCell ref="O12:V12"/>
    <mergeCell ref="X12:AE12"/>
    <mergeCell ref="AG12:AN12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7EEC-92D2-49C5-B19D-294E74B9F940}">
  <sheetPr codeName="Planilha11">
    <tabColor rgb="FF00B050"/>
    <pageSetUpPr fitToPage="1"/>
  </sheetPr>
  <dimension ref="B1:GV121"/>
  <sheetViews>
    <sheetView showGridLines="0" topLeftCell="E8" zoomScale="85" zoomScaleNormal="85" workbookViewId="0">
      <selection activeCell="CQ69" sqref="CQ69:CW70"/>
    </sheetView>
  </sheetViews>
  <sheetFormatPr defaultColWidth="2.81640625" defaultRowHeight="10.5" x14ac:dyDescent="0.25"/>
  <cols>
    <col min="1" max="1" width="2.81640625" style="22"/>
    <col min="2" max="4" width="2.81640625" style="22" customWidth="1"/>
    <col min="5" max="5" width="2.81640625" style="22"/>
    <col min="6" max="6" width="3.26953125" style="22" customWidth="1"/>
    <col min="7" max="34" width="2.81640625" style="22"/>
    <col min="35" max="35" width="4.1796875" style="22" customWidth="1"/>
    <col min="36" max="40" width="2.81640625" style="22"/>
    <col min="41" max="41" width="3.26953125" style="22" customWidth="1"/>
    <col min="42" max="52" width="2.81640625" style="22"/>
    <col min="53" max="53" width="3.54296875" style="22" customWidth="1"/>
    <col min="54" max="54" width="2.81640625" style="22"/>
    <col min="55" max="55" width="4.7265625" style="22" bestFit="1" customWidth="1"/>
    <col min="56" max="62" width="2.81640625" style="22"/>
    <col min="63" max="63" width="3.26953125" style="22" customWidth="1"/>
    <col min="64" max="79" width="2.81640625" style="22"/>
    <col min="80" max="80" width="4" style="22" customWidth="1"/>
    <col min="81" max="94" width="2.81640625" style="22"/>
    <col min="95" max="95" width="5.453125" style="22" bestFit="1" customWidth="1"/>
    <col min="96" max="96" width="2.81640625" style="22"/>
    <col min="97" max="97" width="5.26953125" style="22" bestFit="1" customWidth="1"/>
    <col min="98" max="135" width="2.81640625" style="22"/>
    <col min="136" max="136" width="12" style="22" bestFit="1" customWidth="1"/>
    <col min="137" max="16384" width="2.81640625" style="22"/>
  </cols>
  <sheetData>
    <row r="1" spans="2:132" x14ac:dyDescent="0.25">
      <c r="D1" s="25"/>
      <c r="E1" s="25"/>
    </row>
    <row r="2" spans="2:132" x14ac:dyDescent="0.25">
      <c r="B2" s="29"/>
      <c r="C2" s="390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391"/>
      <c r="DH2" s="391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8"/>
    </row>
    <row r="3" spans="2:132" ht="14.5" customHeight="1" x14ac:dyDescent="0.25">
      <c r="B3" s="29"/>
      <c r="F3" s="1404"/>
      <c r="G3" s="1404"/>
      <c r="H3" s="1404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404"/>
      <c r="V3" s="1405" t="s">
        <v>4836</v>
      </c>
      <c r="W3" s="1405"/>
      <c r="X3" s="1405"/>
      <c r="Y3" s="1405"/>
      <c r="Z3" s="1405"/>
      <c r="AA3" s="1405"/>
      <c r="AB3" s="1405"/>
      <c r="AC3" s="1405"/>
      <c r="AD3" s="1405"/>
      <c r="AE3" s="1405"/>
      <c r="AF3" s="1405"/>
      <c r="AG3" s="1405"/>
      <c r="AH3" s="1405"/>
      <c r="AI3" s="1405"/>
      <c r="AJ3" s="1405"/>
      <c r="AK3" s="1405"/>
      <c r="AL3" s="1405"/>
      <c r="AM3" s="1405"/>
      <c r="AN3" s="1405"/>
      <c r="AO3" s="1405"/>
      <c r="AP3" s="1405"/>
      <c r="AQ3" s="1405"/>
      <c r="AR3" s="1405"/>
      <c r="AS3" s="1405"/>
      <c r="AT3" s="1405"/>
      <c r="AU3" s="1405"/>
      <c r="AV3" s="1405"/>
      <c r="AW3" s="1405"/>
      <c r="AX3" s="1405"/>
      <c r="AY3" s="1405"/>
      <c r="AZ3" s="1405"/>
      <c r="BA3" s="1405"/>
      <c r="BB3" s="1405"/>
      <c r="BC3" s="1405"/>
      <c r="BD3" s="1405"/>
      <c r="BE3" s="1405"/>
      <c r="BF3" s="1405"/>
      <c r="BG3" s="1405"/>
      <c r="BH3" s="1405"/>
      <c r="BI3" s="1405"/>
      <c r="BJ3" s="1405"/>
      <c r="BK3" s="1405"/>
      <c r="BL3" s="1405"/>
      <c r="BM3" s="1405"/>
      <c r="BN3" s="1405"/>
      <c r="BO3" s="1405"/>
      <c r="BP3" s="1405"/>
      <c r="BQ3" s="1405"/>
      <c r="BR3" s="1405"/>
      <c r="BS3" s="1405"/>
      <c r="BT3" s="1405"/>
      <c r="BU3" s="1405"/>
      <c r="BV3" s="1405"/>
      <c r="BW3" s="1405"/>
      <c r="BX3" s="1405"/>
      <c r="BY3" s="1405"/>
      <c r="BZ3" s="1405"/>
      <c r="CA3" s="1405"/>
      <c r="CB3" s="1405"/>
      <c r="CC3" s="1405"/>
      <c r="CD3" s="1405"/>
      <c r="CE3" s="1405"/>
      <c r="CF3" s="1405"/>
      <c r="CG3" s="1405"/>
      <c r="CH3" s="1405"/>
      <c r="CI3" s="1405"/>
      <c r="CJ3" s="1405"/>
      <c r="CK3" s="1405"/>
      <c r="CL3" s="1405"/>
      <c r="CM3" s="1405"/>
      <c r="CN3" s="1405"/>
      <c r="CO3" s="1405"/>
      <c r="CP3" s="1405"/>
      <c r="CQ3" s="392"/>
      <c r="CR3" s="392"/>
      <c r="CS3" s="392"/>
      <c r="EB3" s="29"/>
    </row>
    <row r="4" spans="2:132" x14ac:dyDescent="0.25">
      <c r="B4" s="29"/>
      <c r="F4" s="1404"/>
      <c r="G4" s="1404"/>
      <c r="H4" s="1404"/>
      <c r="I4" s="1404"/>
      <c r="J4" s="1404"/>
      <c r="K4" s="1404"/>
      <c r="L4" s="1404"/>
      <c r="M4" s="1404"/>
      <c r="N4" s="1404"/>
      <c r="O4" s="1404"/>
      <c r="P4" s="1404"/>
      <c r="Q4" s="1404"/>
      <c r="R4" s="1404"/>
      <c r="S4" s="1404"/>
      <c r="T4" s="1404"/>
      <c r="U4" s="1404"/>
      <c r="V4" s="1405"/>
      <c r="W4" s="1405"/>
      <c r="X4" s="1405"/>
      <c r="Y4" s="1405"/>
      <c r="Z4" s="1405"/>
      <c r="AA4" s="1405"/>
      <c r="AB4" s="1405"/>
      <c r="AC4" s="1405"/>
      <c r="AD4" s="1405"/>
      <c r="AE4" s="1405"/>
      <c r="AF4" s="1405"/>
      <c r="AG4" s="1405"/>
      <c r="AH4" s="1405"/>
      <c r="AI4" s="1405"/>
      <c r="AJ4" s="1405"/>
      <c r="AK4" s="1405"/>
      <c r="AL4" s="1405"/>
      <c r="AM4" s="1405"/>
      <c r="AN4" s="1405"/>
      <c r="AO4" s="1405"/>
      <c r="AP4" s="1405"/>
      <c r="AQ4" s="1405"/>
      <c r="AR4" s="1405"/>
      <c r="AS4" s="1405"/>
      <c r="AT4" s="1405"/>
      <c r="AU4" s="1405"/>
      <c r="AV4" s="1405"/>
      <c r="AW4" s="1405"/>
      <c r="AX4" s="1405"/>
      <c r="AY4" s="1405"/>
      <c r="AZ4" s="1405"/>
      <c r="BA4" s="1405"/>
      <c r="BB4" s="1405"/>
      <c r="BC4" s="1405"/>
      <c r="BD4" s="1405"/>
      <c r="BE4" s="1405"/>
      <c r="BF4" s="1405"/>
      <c r="BG4" s="1405"/>
      <c r="BH4" s="1405"/>
      <c r="BI4" s="1405"/>
      <c r="BJ4" s="1405"/>
      <c r="BK4" s="1405"/>
      <c r="BL4" s="1405"/>
      <c r="BM4" s="1405"/>
      <c r="BN4" s="1405"/>
      <c r="BO4" s="1405"/>
      <c r="BP4" s="1405"/>
      <c r="BQ4" s="1405"/>
      <c r="BR4" s="1405"/>
      <c r="BS4" s="1405"/>
      <c r="BT4" s="1405"/>
      <c r="BU4" s="1405"/>
      <c r="BV4" s="1405"/>
      <c r="BW4" s="1405"/>
      <c r="BX4" s="1405"/>
      <c r="BY4" s="1405"/>
      <c r="BZ4" s="1405"/>
      <c r="CA4" s="1405"/>
      <c r="CB4" s="1405"/>
      <c r="CC4" s="1405"/>
      <c r="CD4" s="1405"/>
      <c r="CE4" s="1405"/>
      <c r="CF4" s="1405"/>
      <c r="CG4" s="1405"/>
      <c r="CH4" s="1405"/>
      <c r="CI4" s="1405"/>
      <c r="CJ4" s="1405"/>
      <c r="CK4" s="1405"/>
      <c r="CL4" s="1405"/>
      <c r="CM4" s="1405"/>
      <c r="CN4" s="1405"/>
      <c r="CO4" s="1405"/>
      <c r="CP4" s="1405"/>
      <c r="CQ4" s="392"/>
      <c r="CR4" s="392"/>
      <c r="CS4" s="392"/>
      <c r="EB4" s="29"/>
    </row>
    <row r="5" spans="2:132" x14ac:dyDescent="0.25">
      <c r="B5" s="29"/>
      <c r="F5" s="1404"/>
      <c r="G5" s="1404"/>
      <c r="H5" s="1404"/>
      <c r="I5" s="1404"/>
      <c r="J5" s="1404"/>
      <c r="K5" s="1404"/>
      <c r="L5" s="1404"/>
      <c r="M5" s="1404"/>
      <c r="N5" s="1404"/>
      <c r="O5" s="1404"/>
      <c r="P5" s="1404"/>
      <c r="Q5" s="1404"/>
      <c r="R5" s="1404"/>
      <c r="S5" s="1404"/>
      <c r="T5" s="1404"/>
      <c r="U5" s="1404"/>
      <c r="V5" s="1405"/>
      <c r="W5" s="1405"/>
      <c r="X5" s="1405"/>
      <c r="Y5" s="1405"/>
      <c r="Z5" s="1405"/>
      <c r="AA5" s="1405"/>
      <c r="AB5" s="1405"/>
      <c r="AC5" s="1405"/>
      <c r="AD5" s="1405"/>
      <c r="AE5" s="1405"/>
      <c r="AF5" s="1405"/>
      <c r="AG5" s="1405"/>
      <c r="AH5" s="1405"/>
      <c r="AI5" s="1405"/>
      <c r="AJ5" s="1405"/>
      <c r="AK5" s="1405"/>
      <c r="AL5" s="1405"/>
      <c r="AM5" s="1405"/>
      <c r="AN5" s="1405"/>
      <c r="AO5" s="1405"/>
      <c r="AP5" s="1405"/>
      <c r="AQ5" s="1405"/>
      <c r="AR5" s="1405"/>
      <c r="AS5" s="1405"/>
      <c r="AT5" s="1405"/>
      <c r="AU5" s="1405"/>
      <c r="AV5" s="1405"/>
      <c r="AW5" s="1405"/>
      <c r="AX5" s="1405"/>
      <c r="AY5" s="1405"/>
      <c r="AZ5" s="1405"/>
      <c r="BA5" s="1405"/>
      <c r="BB5" s="1405"/>
      <c r="BC5" s="1405"/>
      <c r="BD5" s="1405"/>
      <c r="BE5" s="1405"/>
      <c r="BF5" s="1405"/>
      <c r="BG5" s="1405"/>
      <c r="BH5" s="1405"/>
      <c r="BI5" s="1405"/>
      <c r="BJ5" s="1405"/>
      <c r="BK5" s="1405"/>
      <c r="BL5" s="1405"/>
      <c r="BM5" s="1405"/>
      <c r="BN5" s="1405"/>
      <c r="BO5" s="1405"/>
      <c r="BP5" s="1405"/>
      <c r="BQ5" s="1405"/>
      <c r="BR5" s="1405"/>
      <c r="BS5" s="1405"/>
      <c r="BT5" s="1405"/>
      <c r="BU5" s="1405"/>
      <c r="BV5" s="1405"/>
      <c r="BW5" s="1405"/>
      <c r="BX5" s="1405"/>
      <c r="BY5" s="1405"/>
      <c r="BZ5" s="1405"/>
      <c r="CA5" s="1405"/>
      <c r="CB5" s="1405"/>
      <c r="CC5" s="1405"/>
      <c r="CD5" s="1405"/>
      <c r="CE5" s="1405"/>
      <c r="CF5" s="1405"/>
      <c r="CG5" s="1405"/>
      <c r="CH5" s="1405"/>
      <c r="CI5" s="1405"/>
      <c r="CJ5" s="1405"/>
      <c r="CK5" s="1405"/>
      <c r="CL5" s="1405"/>
      <c r="CM5" s="1405"/>
      <c r="CN5" s="1405"/>
      <c r="CO5" s="1405"/>
      <c r="CP5" s="1405"/>
      <c r="CQ5" s="392"/>
      <c r="CR5" s="392"/>
      <c r="CS5" s="392"/>
      <c r="EB5" s="29"/>
    </row>
    <row r="6" spans="2:132" x14ac:dyDescent="0.25">
      <c r="B6" s="29"/>
      <c r="F6" s="1404"/>
      <c r="G6" s="1404"/>
      <c r="H6" s="1404"/>
      <c r="I6" s="1404"/>
      <c r="J6" s="1404"/>
      <c r="K6" s="1404"/>
      <c r="L6" s="1404"/>
      <c r="M6" s="1404"/>
      <c r="N6" s="1404"/>
      <c r="O6" s="1404"/>
      <c r="P6" s="1404"/>
      <c r="Q6" s="1404"/>
      <c r="R6" s="1404"/>
      <c r="S6" s="1404"/>
      <c r="T6" s="1404"/>
      <c r="U6" s="1404"/>
      <c r="V6" s="1405"/>
      <c r="W6" s="1405"/>
      <c r="X6" s="1405"/>
      <c r="Y6" s="1405"/>
      <c r="Z6" s="1405"/>
      <c r="AA6" s="1405"/>
      <c r="AB6" s="1405"/>
      <c r="AC6" s="1405"/>
      <c r="AD6" s="1405"/>
      <c r="AE6" s="1405"/>
      <c r="AF6" s="1405"/>
      <c r="AG6" s="1405"/>
      <c r="AH6" s="1405"/>
      <c r="AI6" s="1405"/>
      <c r="AJ6" s="1405"/>
      <c r="AK6" s="1405"/>
      <c r="AL6" s="1405"/>
      <c r="AM6" s="1405"/>
      <c r="AN6" s="1405"/>
      <c r="AO6" s="1405"/>
      <c r="AP6" s="1405"/>
      <c r="AQ6" s="1405"/>
      <c r="AR6" s="1405"/>
      <c r="AS6" s="1405"/>
      <c r="AT6" s="1405"/>
      <c r="AU6" s="1405"/>
      <c r="AV6" s="1405"/>
      <c r="AW6" s="1405"/>
      <c r="AX6" s="1405"/>
      <c r="AY6" s="1405"/>
      <c r="AZ6" s="1405"/>
      <c r="BA6" s="1405"/>
      <c r="BB6" s="1405"/>
      <c r="BC6" s="1405"/>
      <c r="BD6" s="1405"/>
      <c r="BE6" s="1405"/>
      <c r="BF6" s="1405"/>
      <c r="BG6" s="1405"/>
      <c r="BH6" s="1405"/>
      <c r="BI6" s="1405"/>
      <c r="BJ6" s="1405"/>
      <c r="BK6" s="1405"/>
      <c r="BL6" s="1405"/>
      <c r="BM6" s="1405"/>
      <c r="BN6" s="1405"/>
      <c r="BO6" s="1405"/>
      <c r="BP6" s="1405"/>
      <c r="BQ6" s="1405"/>
      <c r="BR6" s="1405"/>
      <c r="BS6" s="1405"/>
      <c r="BT6" s="1405"/>
      <c r="BU6" s="1405"/>
      <c r="BV6" s="1405"/>
      <c r="BW6" s="1405"/>
      <c r="BX6" s="1405"/>
      <c r="BY6" s="1405"/>
      <c r="BZ6" s="1405"/>
      <c r="CA6" s="1405"/>
      <c r="CB6" s="1405"/>
      <c r="CC6" s="1405"/>
      <c r="CD6" s="1405"/>
      <c r="CE6" s="1405"/>
      <c r="CF6" s="1405"/>
      <c r="CG6" s="1405"/>
      <c r="CH6" s="1405"/>
      <c r="CI6" s="1405"/>
      <c r="CJ6" s="1405"/>
      <c r="CK6" s="1405"/>
      <c r="CL6" s="1405"/>
      <c r="CM6" s="1405"/>
      <c r="CN6" s="1405"/>
      <c r="CO6" s="1405"/>
      <c r="CP6" s="1405"/>
      <c r="CQ6" s="392"/>
      <c r="CR6" s="392"/>
      <c r="CS6" s="392"/>
      <c r="EB6" s="29"/>
    </row>
    <row r="7" spans="2:132" x14ac:dyDescent="0.25">
      <c r="B7" s="29"/>
      <c r="F7" s="1404"/>
      <c r="G7" s="1404"/>
      <c r="H7" s="1404"/>
      <c r="I7" s="1404"/>
      <c r="J7" s="1404"/>
      <c r="K7" s="1404"/>
      <c r="L7" s="1404"/>
      <c r="M7" s="1404"/>
      <c r="N7" s="1404"/>
      <c r="O7" s="1404"/>
      <c r="P7" s="1404"/>
      <c r="Q7" s="1404"/>
      <c r="R7" s="1404"/>
      <c r="S7" s="1404"/>
      <c r="T7" s="1404"/>
      <c r="U7" s="1404"/>
      <c r="V7" s="1405"/>
      <c r="W7" s="1405"/>
      <c r="X7" s="1405"/>
      <c r="Y7" s="1405"/>
      <c r="Z7" s="1405"/>
      <c r="AA7" s="1405"/>
      <c r="AB7" s="1405"/>
      <c r="AC7" s="1405"/>
      <c r="AD7" s="1405"/>
      <c r="AE7" s="1405"/>
      <c r="AF7" s="1405"/>
      <c r="AG7" s="1405"/>
      <c r="AH7" s="1405"/>
      <c r="AI7" s="1405"/>
      <c r="AJ7" s="1405"/>
      <c r="AK7" s="1405"/>
      <c r="AL7" s="1405"/>
      <c r="AM7" s="1405"/>
      <c r="AN7" s="1405"/>
      <c r="AO7" s="1405"/>
      <c r="AP7" s="1405"/>
      <c r="AQ7" s="1405"/>
      <c r="AR7" s="1405"/>
      <c r="AS7" s="1405"/>
      <c r="AT7" s="1405"/>
      <c r="AU7" s="1405"/>
      <c r="AV7" s="1405"/>
      <c r="AW7" s="1405"/>
      <c r="AX7" s="1405"/>
      <c r="AY7" s="1405"/>
      <c r="AZ7" s="1405"/>
      <c r="BA7" s="1405"/>
      <c r="BB7" s="1405"/>
      <c r="BC7" s="1405"/>
      <c r="BD7" s="1405"/>
      <c r="BE7" s="1405"/>
      <c r="BF7" s="1405"/>
      <c r="BG7" s="1405"/>
      <c r="BH7" s="1405"/>
      <c r="BI7" s="1405"/>
      <c r="BJ7" s="1405"/>
      <c r="BK7" s="1405"/>
      <c r="BL7" s="1405"/>
      <c r="BM7" s="1405"/>
      <c r="BN7" s="1405"/>
      <c r="BO7" s="1405"/>
      <c r="BP7" s="1405"/>
      <c r="BQ7" s="1405"/>
      <c r="BR7" s="1405"/>
      <c r="BS7" s="1405"/>
      <c r="BT7" s="1405"/>
      <c r="BU7" s="1405"/>
      <c r="BV7" s="1405"/>
      <c r="BW7" s="1405"/>
      <c r="BX7" s="1405"/>
      <c r="BY7" s="1405"/>
      <c r="BZ7" s="1405"/>
      <c r="CA7" s="1405"/>
      <c r="CB7" s="1405"/>
      <c r="CC7" s="1405"/>
      <c r="CD7" s="1405"/>
      <c r="CE7" s="1405"/>
      <c r="CF7" s="1405"/>
      <c r="CG7" s="1405"/>
      <c r="CH7" s="1405"/>
      <c r="CI7" s="1405"/>
      <c r="CJ7" s="1405"/>
      <c r="CK7" s="1405"/>
      <c r="CL7" s="1405"/>
      <c r="CM7" s="1405"/>
      <c r="CN7" s="1405"/>
      <c r="CO7" s="1405"/>
      <c r="CP7" s="1405"/>
      <c r="CQ7" s="392"/>
      <c r="CR7" s="392"/>
      <c r="CS7" s="392"/>
      <c r="DK7" s="1406" t="s">
        <v>4837</v>
      </c>
      <c r="DL7" s="1406"/>
      <c r="DM7" s="1406"/>
      <c r="DN7" s="1406"/>
      <c r="DO7" s="1406"/>
      <c r="DP7" s="1406"/>
      <c r="DQ7" s="1406"/>
      <c r="DR7" s="1406"/>
      <c r="DS7" s="1406"/>
      <c r="DT7" s="1406"/>
      <c r="DU7" s="1406"/>
      <c r="DV7" s="1406"/>
      <c r="DW7" s="1406"/>
      <c r="DX7" s="1406"/>
      <c r="EB7" s="29"/>
    </row>
    <row r="8" spans="2:132" ht="14.5" customHeight="1" x14ac:dyDescent="0.25">
      <c r="B8" s="29"/>
      <c r="F8" s="1404"/>
      <c r="G8" s="1404"/>
      <c r="H8" s="1404"/>
      <c r="I8" s="1404"/>
      <c r="J8" s="1404"/>
      <c r="K8" s="1404"/>
      <c r="L8" s="1404"/>
      <c r="M8" s="1404"/>
      <c r="N8" s="1404"/>
      <c r="O8" s="1404"/>
      <c r="P8" s="1404"/>
      <c r="Q8" s="1404"/>
      <c r="R8" s="1404"/>
      <c r="S8" s="1404"/>
      <c r="T8" s="1404"/>
      <c r="U8" s="1404"/>
      <c r="DK8" s="1406"/>
      <c r="DL8" s="1406"/>
      <c r="DM8" s="1406"/>
      <c r="DN8" s="1406"/>
      <c r="DO8" s="1406"/>
      <c r="DP8" s="1406"/>
      <c r="DQ8" s="1406"/>
      <c r="DR8" s="1406"/>
      <c r="DS8" s="1406"/>
      <c r="DT8" s="1406"/>
      <c r="DU8" s="1406"/>
      <c r="DV8" s="1406"/>
      <c r="DW8" s="1406"/>
      <c r="DX8" s="1406"/>
      <c r="EB8" s="29"/>
    </row>
    <row r="9" spans="2:132" ht="14.5" customHeight="1" x14ac:dyDescent="0.25">
      <c r="B9" s="29"/>
      <c r="G9" s="98"/>
      <c r="H9" s="98"/>
      <c r="I9" s="98"/>
      <c r="J9" s="98"/>
      <c r="K9" s="98"/>
      <c r="L9" s="98"/>
      <c r="M9" s="305"/>
      <c r="N9" s="305"/>
      <c r="O9" s="305"/>
      <c r="P9" s="305"/>
      <c r="Q9" s="305"/>
      <c r="R9" s="305"/>
      <c r="S9" s="305"/>
      <c r="T9" s="305"/>
      <c r="U9" s="305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5"/>
      <c r="BD9" s="305"/>
      <c r="BE9" s="305"/>
      <c r="BF9" s="305"/>
      <c r="BG9" s="305"/>
      <c r="BH9" s="305"/>
      <c r="BI9" s="305"/>
      <c r="BJ9" s="305"/>
      <c r="BK9" s="305"/>
      <c r="BL9" s="305"/>
      <c r="BM9" s="305"/>
      <c r="BN9" s="305"/>
      <c r="BO9" s="305"/>
      <c r="BP9" s="305"/>
      <c r="BQ9" s="305"/>
      <c r="BR9" s="305"/>
      <c r="BS9" s="305"/>
      <c r="BT9" s="305"/>
      <c r="BU9" s="305"/>
      <c r="BV9" s="305"/>
      <c r="DK9" s="1406"/>
      <c r="DL9" s="1406"/>
      <c r="DM9" s="1406"/>
      <c r="DN9" s="1406"/>
      <c r="DO9" s="1406"/>
      <c r="DP9" s="1406"/>
      <c r="DQ9" s="1406"/>
      <c r="DR9" s="1406"/>
      <c r="DS9" s="1406"/>
      <c r="DT9" s="1406"/>
      <c r="DU9" s="1406"/>
      <c r="DV9" s="1406"/>
      <c r="DW9" s="1406"/>
      <c r="DX9" s="1406"/>
      <c r="EB9" s="29"/>
    </row>
    <row r="10" spans="2:132" ht="14.5" customHeight="1" x14ac:dyDescent="0.25">
      <c r="B10" s="29"/>
      <c r="AI10" s="394"/>
      <c r="AJ10" s="1407" t="s">
        <v>65</v>
      </c>
      <c r="AK10" s="1408"/>
      <c r="AL10" s="1408"/>
      <c r="AM10" s="1408"/>
      <c r="AN10" s="1408"/>
      <c r="AO10" s="1408"/>
      <c r="AP10" s="1408"/>
      <c r="AQ10" s="1408"/>
      <c r="AR10" s="1409"/>
      <c r="DK10" s="1406"/>
      <c r="DL10" s="1406"/>
      <c r="DM10" s="1406"/>
      <c r="DN10" s="1406"/>
      <c r="DO10" s="1406"/>
      <c r="DP10" s="1406"/>
      <c r="DQ10" s="1406"/>
      <c r="DR10" s="1406"/>
      <c r="DS10" s="1406"/>
      <c r="DT10" s="1406"/>
      <c r="DU10" s="1406"/>
      <c r="DV10" s="1406"/>
      <c r="DW10" s="1406"/>
      <c r="DX10" s="1406"/>
      <c r="EB10" s="29"/>
    </row>
    <row r="11" spans="2:132" ht="14.5" customHeight="1" x14ac:dyDescent="0.25">
      <c r="B11" s="29"/>
      <c r="AI11" s="1410" t="s">
        <v>4838</v>
      </c>
      <c r="AJ11" s="1411"/>
      <c r="AK11" s="1411"/>
      <c r="AL11" s="1411"/>
      <c r="AM11" s="1411"/>
      <c r="AN11" s="1411"/>
      <c r="AO11" s="1411"/>
      <c r="AP11" s="1411"/>
      <c r="AQ11" s="1411"/>
      <c r="AR11" s="1412"/>
      <c r="DK11" s="1406"/>
      <c r="DL11" s="1406"/>
      <c r="DM11" s="1406"/>
      <c r="DN11" s="1406"/>
      <c r="DO11" s="1406"/>
      <c r="DP11" s="1406"/>
      <c r="DQ11" s="1406"/>
      <c r="DR11" s="1406"/>
      <c r="DS11" s="1406"/>
      <c r="DT11" s="1406"/>
      <c r="DU11" s="1406"/>
      <c r="DV11" s="1406"/>
      <c r="DW11" s="1406"/>
      <c r="DX11" s="1406"/>
      <c r="EB11" s="29"/>
    </row>
    <row r="12" spans="2:132" ht="14.5" customHeight="1" x14ac:dyDescent="0.25">
      <c r="B12" s="29"/>
      <c r="AI12" s="1413"/>
      <c r="AJ12" s="1414"/>
      <c r="AK12" s="1414"/>
      <c r="AL12" s="1414"/>
      <c r="AM12" s="1414"/>
      <c r="AN12" s="1414"/>
      <c r="AO12" s="1414"/>
      <c r="AP12" s="1414"/>
      <c r="AQ12" s="1414"/>
      <c r="AR12" s="1415"/>
      <c r="DK12" s="1406"/>
      <c r="DL12" s="1406"/>
      <c r="DM12" s="1406"/>
      <c r="DN12" s="1406"/>
      <c r="DO12" s="1406"/>
      <c r="DP12" s="1406"/>
      <c r="DQ12" s="1406"/>
      <c r="DR12" s="1406"/>
      <c r="DS12" s="1406"/>
      <c r="DT12" s="1406"/>
      <c r="DU12" s="1406"/>
      <c r="DV12" s="1406"/>
      <c r="DW12" s="1406"/>
      <c r="DX12" s="1406"/>
      <c r="EB12" s="29"/>
    </row>
    <row r="13" spans="2:132" ht="18" customHeight="1" x14ac:dyDescent="0.25">
      <c r="B13" s="29"/>
      <c r="AN13" s="23"/>
      <c r="AO13" s="24"/>
      <c r="AP13" s="24"/>
      <c r="AQ13" s="24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L13" s="25"/>
      <c r="CQ13" s="25"/>
      <c r="CR13" s="25"/>
      <c r="DK13" s="1406"/>
      <c r="DL13" s="1406"/>
      <c r="DM13" s="1406"/>
      <c r="DN13" s="1406"/>
      <c r="DO13" s="1406"/>
      <c r="DP13" s="1406"/>
      <c r="DQ13" s="1406"/>
      <c r="DR13" s="1406"/>
      <c r="DS13" s="1406"/>
      <c r="DT13" s="1406"/>
      <c r="DU13" s="1406"/>
      <c r="DV13" s="1406"/>
      <c r="DW13" s="1406"/>
      <c r="DX13" s="1406"/>
      <c r="EB13" s="29"/>
    </row>
    <row r="14" spans="2:132" x14ac:dyDescent="0.25">
      <c r="B14" s="29"/>
      <c r="AN14" s="26"/>
      <c r="AR14" s="24"/>
      <c r="AS14" s="27"/>
      <c r="AT14" s="27"/>
      <c r="CF14" s="28"/>
      <c r="CG14" s="26"/>
      <c r="CJ14" s="24"/>
      <c r="CK14" s="24"/>
      <c r="CM14" s="27"/>
      <c r="CN14" s="27"/>
      <c r="CO14" s="27"/>
      <c r="CP14" s="27"/>
      <c r="CS14" s="24"/>
      <c r="CT14" s="24"/>
      <c r="CU14" s="32"/>
      <c r="CV14" s="396"/>
      <c r="DK14" s="1406"/>
      <c r="DL14" s="1406"/>
      <c r="DM14" s="1406"/>
      <c r="DN14" s="1406"/>
      <c r="DO14" s="1406"/>
      <c r="DP14" s="1406"/>
      <c r="DQ14" s="1406"/>
      <c r="DR14" s="1406"/>
      <c r="DS14" s="1406"/>
      <c r="DT14" s="1406"/>
      <c r="DU14" s="1406"/>
      <c r="DV14" s="1406"/>
      <c r="DW14" s="1406"/>
      <c r="DX14" s="1406"/>
      <c r="EB14" s="29"/>
    </row>
    <row r="15" spans="2:132" ht="10.15" customHeight="1" x14ac:dyDescent="0.25">
      <c r="B15" s="29"/>
      <c r="AI15" s="397">
        <v>0.5</v>
      </c>
      <c r="AJ15" s="1416" t="s">
        <v>363</v>
      </c>
      <c r="AK15" s="1417"/>
      <c r="AL15" s="1417"/>
      <c r="AM15" s="1417"/>
      <c r="AN15" s="1417"/>
      <c r="AO15" s="1417"/>
      <c r="AP15" s="1417"/>
      <c r="AQ15" s="1417"/>
      <c r="AR15" s="1418"/>
      <c r="CB15" s="398">
        <v>0.5</v>
      </c>
      <c r="CC15" s="1416" t="s">
        <v>364</v>
      </c>
      <c r="CD15" s="1417"/>
      <c r="CE15" s="1417"/>
      <c r="CF15" s="1417"/>
      <c r="CG15" s="1417"/>
      <c r="CH15" s="1417"/>
      <c r="CI15" s="1417"/>
      <c r="CJ15" s="1417"/>
      <c r="CK15" s="1418"/>
      <c r="CQ15" s="399">
        <v>0.5</v>
      </c>
      <c r="CR15" s="1416" t="s">
        <v>365</v>
      </c>
      <c r="CS15" s="1417"/>
      <c r="CT15" s="1417"/>
      <c r="CU15" s="1417"/>
      <c r="CV15" s="1417"/>
      <c r="CW15" s="1417"/>
      <c r="CX15" s="1417"/>
      <c r="CY15" s="1417"/>
      <c r="CZ15" s="1418"/>
      <c r="EB15" s="29"/>
    </row>
    <row r="16" spans="2:132" ht="18" customHeight="1" x14ac:dyDescent="0.25">
      <c r="B16" s="29"/>
      <c r="AI16" s="1419" t="s">
        <v>4839</v>
      </c>
      <c r="AJ16" s="1420"/>
      <c r="AK16" s="1420"/>
      <c r="AL16" s="1420"/>
      <c r="AM16" s="1420"/>
      <c r="AN16" s="1420"/>
      <c r="AO16" s="1420"/>
      <c r="AP16" s="1420"/>
      <c r="AQ16" s="1420"/>
      <c r="AR16" s="1421"/>
      <c r="CB16" s="1419" t="s">
        <v>4840</v>
      </c>
      <c r="CC16" s="1420"/>
      <c r="CD16" s="1420"/>
      <c r="CE16" s="1420"/>
      <c r="CF16" s="1420"/>
      <c r="CG16" s="1420"/>
      <c r="CH16" s="1420"/>
      <c r="CI16" s="1420"/>
      <c r="CJ16" s="1420"/>
      <c r="CK16" s="1421"/>
      <c r="CQ16" s="1419" t="s">
        <v>4841</v>
      </c>
      <c r="CR16" s="1420"/>
      <c r="CS16" s="1420"/>
      <c r="CT16" s="1420"/>
      <c r="CU16" s="1420"/>
      <c r="CV16" s="1420"/>
      <c r="CW16" s="1420"/>
      <c r="CX16" s="1420"/>
      <c r="CY16" s="1420"/>
      <c r="CZ16" s="1421"/>
      <c r="EB16" s="29"/>
    </row>
    <row r="17" spans="2:132" ht="18" customHeight="1" x14ac:dyDescent="0.25">
      <c r="B17" s="29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CF17" s="28"/>
      <c r="CU17" s="28"/>
      <c r="EB17" s="29"/>
    </row>
    <row r="18" spans="2:132" ht="18" customHeight="1" x14ac:dyDescent="0.25">
      <c r="B18" s="29"/>
      <c r="AB18" s="1428" t="s">
        <v>368</v>
      </c>
      <c r="AC18" s="1429"/>
      <c r="AD18" s="1429"/>
      <c r="AE18" s="1429"/>
      <c r="AF18" s="1429"/>
      <c r="AG18" s="1429"/>
      <c r="AH18" s="1429"/>
      <c r="AI18" s="1429"/>
      <c r="AJ18" s="1429"/>
      <c r="AK18" s="1429"/>
      <c r="AL18" s="1429"/>
      <c r="AM18" s="1429"/>
      <c r="AN18" s="1429"/>
      <c r="AO18" s="1429"/>
      <c r="AP18" s="1429"/>
      <c r="AQ18" s="1429"/>
      <c r="AR18" s="1429"/>
      <c r="AS18" s="1429"/>
      <c r="AT18" s="1429"/>
      <c r="AU18" s="1429"/>
      <c r="AV18" s="1429"/>
      <c r="AW18" s="1429"/>
      <c r="AX18" s="1429"/>
      <c r="AY18" s="1430"/>
      <c r="CF18" s="29"/>
      <c r="CU18" s="29"/>
      <c r="EB18" s="29"/>
    </row>
    <row r="19" spans="2:132" ht="18" customHeight="1" x14ac:dyDescent="0.25">
      <c r="B19" s="29"/>
      <c r="AB19" s="1428" t="s">
        <v>369</v>
      </c>
      <c r="AC19" s="1429"/>
      <c r="AD19" s="1429"/>
      <c r="AE19" s="1429"/>
      <c r="AF19" s="1429"/>
      <c r="AG19" s="1429"/>
      <c r="AH19" s="1429"/>
      <c r="AI19" s="1429"/>
      <c r="AJ19" s="1429"/>
      <c r="AK19" s="1429"/>
      <c r="AL19" s="1429"/>
      <c r="AM19" s="1429"/>
      <c r="AN19" s="1429"/>
      <c r="AO19" s="1429"/>
      <c r="AP19" s="1429"/>
      <c r="AQ19" s="1429"/>
      <c r="AR19" s="1429"/>
      <c r="AS19" s="1429"/>
      <c r="AT19" s="1429"/>
      <c r="AU19" s="1429"/>
      <c r="AV19" s="1429"/>
      <c r="AW19" s="1429"/>
      <c r="AX19" s="1429"/>
      <c r="AY19" s="1430"/>
      <c r="CF19" s="401"/>
      <c r="CU19" s="29"/>
      <c r="EB19" s="29"/>
    </row>
    <row r="20" spans="2:132" ht="18" customHeight="1" x14ac:dyDescent="0.25">
      <c r="B20" s="29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402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CD20" s="97"/>
      <c r="CE20" s="403"/>
      <c r="CF20" s="30"/>
      <c r="CG20" s="25"/>
      <c r="CH20" s="25"/>
      <c r="CU20" s="29"/>
      <c r="EB20" s="29"/>
    </row>
    <row r="21" spans="2:132" ht="18" customHeight="1" x14ac:dyDescent="0.25">
      <c r="B21" s="29"/>
      <c r="E21" s="404"/>
      <c r="F21" s="405"/>
      <c r="G21" s="405"/>
      <c r="H21" s="405"/>
      <c r="I21" s="405"/>
      <c r="J21" s="405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7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5"/>
      <c r="BQ21" s="405"/>
      <c r="BR21" s="405"/>
      <c r="BS21" s="405"/>
      <c r="BT21" s="405"/>
      <c r="BU21" s="405"/>
      <c r="BV21" s="408"/>
      <c r="CD21" s="30"/>
      <c r="CH21" s="30"/>
      <c r="CR21" s="97"/>
      <c r="CS21" s="97"/>
      <c r="CT21" s="403"/>
      <c r="CU21" s="30"/>
      <c r="CV21" s="25"/>
      <c r="CW21" s="25"/>
      <c r="EB21" s="29"/>
    </row>
    <row r="22" spans="2:132" ht="18" customHeight="1" x14ac:dyDescent="0.25">
      <c r="B22" s="29"/>
      <c r="E22" s="409"/>
      <c r="J22" s="29"/>
      <c r="Z22" s="23"/>
      <c r="AM22" s="29"/>
      <c r="AQ22" s="27"/>
      <c r="AR22" s="27"/>
      <c r="AS22" s="28"/>
      <c r="BE22" s="28"/>
      <c r="BP22" s="396"/>
      <c r="BQ22" s="25"/>
      <c r="BV22" s="410"/>
      <c r="CD22" s="1235" t="s">
        <v>370</v>
      </c>
      <c r="CE22" s="1236"/>
      <c r="CH22" s="1235" t="s">
        <v>371</v>
      </c>
      <c r="CI22" s="1236"/>
      <c r="CS22" s="30"/>
      <c r="CW22" s="30"/>
      <c r="EB22" s="29"/>
    </row>
    <row r="23" spans="2:132" ht="18" customHeight="1" x14ac:dyDescent="0.25">
      <c r="B23" s="29"/>
      <c r="E23" s="409"/>
      <c r="F23" s="398">
        <v>0.5</v>
      </c>
      <c r="G23" s="1416" t="s">
        <v>4842</v>
      </c>
      <c r="H23" s="1417"/>
      <c r="I23" s="1417"/>
      <c r="J23" s="1417"/>
      <c r="K23" s="1417"/>
      <c r="L23" s="1417"/>
      <c r="M23" s="1417"/>
      <c r="N23" s="1417"/>
      <c r="O23" s="1417"/>
      <c r="P23" s="1418"/>
      <c r="U23" s="399">
        <v>1</v>
      </c>
      <c r="V23" s="1416" t="s">
        <v>4842</v>
      </c>
      <c r="W23" s="1417"/>
      <c r="X23" s="1417"/>
      <c r="Y23" s="1417"/>
      <c r="Z23" s="1417"/>
      <c r="AA23" s="1417"/>
      <c r="AB23" s="1417"/>
      <c r="AC23" s="1417"/>
      <c r="AD23" s="1418"/>
      <c r="AM23" s="29"/>
      <c r="AS23" s="29"/>
      <c r="BE23" s="29"/>
      <c r="BK23" s="398">
        <f>'[1]03 - FG-INTEG-001-737'!JW43</f>
        <v>0.5</v>
      </c>
      <c r="BL23" s="1416" t="s">
        <v>4842</v>
      </c>
      <c r="BM23" s="1417"/>
      <c r="BN23" s="1417"/>
      <c r="BO23" s="1417"/>
      <c r="BP23" s="1417"/>
      <c r="BQ23" s="1417"/>
      <c r="BR23" s="1417"/>
      <c r="BS23" s="1417"/>
      <c r="BT23" s="1418"/>
      <c r="BV23" s="410"/>
      <c r="CD23" s="1237"/>
      <c r="CE23" s="1238"/>
      <c r="CH23" s="1237"/>
      <c r="CI23" s="1238"/>
      <c r="CR23" s="1422"/>
      <c r="CS23" s="1235" t="s">
        <v>113</v>
      </c>
      <c r="CT23" s="1236"/>
      <c r="CV23" s="1423"/>
      <c r="CW23" s="1235" t="s">
        <v>372</v>
      </c>
      <c r="CX23" s="1236"/>
      <c r="EB23" s="29"/>
    </row>
    <row r="24" spans="2:132" ht="18" customHeight="1" x14ac:dyDescent="0.25">
      <c r="B24" s="29"/>
      <c r="E24" s="409"/>
      <c r="F24" s="1424" t="s">
        <v>4843</v>
      </c>
      <c r="G24" s="1424"/>
      <c r="H24" s="1424"/>
      <c r="I24" s="1424"/>
      <c r="J24" s="1424"/>
      <c r="K24" s="1424"/>
      <c r="L24" s="1424"/>
      <c r="M24" s="1424"/>
      <c r="N24" s="1424"/>
      <c r="O24" s="1424"/>
      <c r="P24" s="1424"/>
      <c r="U24" s="1425" t="s">
        <v>4844</v>
      </c>
      <c r="V24" s="1426"/>
      <c r="W24" s="1426"/>
      <c r="X24" s="1426"/>
      <c r="Y24" s="1426"/>
      <c r="Z24" s="1426"/>
      <c r="AA24" s="1426"/>
      <c r="AB24" s="1426"/>
      <c r="AC24" s="1426"/>
      <c r="AD24" s="1427"/>
      <c r="AM24" s="29"/>
      <c r="AS24" s="29"/>
      <c r="BE24" s="29"/>
      <c r="BK24" s="1425" t="s">
        <v>4845</v>
      </c>
      <c r="BL24" s="1426"/>
      <c r="BM24" s="1426"/>
      <c r="BN24" s="1426"/>
      <c r="BO24" s="1426"/>
      <c r="BP24" s="1426"/>
      <c r="BQ24" s="1426"/>
      <c r="BR24" s="1426"/>
      <c r="BS24" s="1426"/>
      <c r="BT24" s="1427"/>
      <c r="BV24" s="410"/>
      <c r="CD24" s="1237"/>
      <c r="CE24" s="1238"/>
      <c r="CH24" s="1237"/>
      <c r="CI24" s="1238"/>
      <c r="CR24" s="1422"/>
      <c r="CS24" s="1237"/>
      <c r="CT24" s="1238"/>
      <c r="CV24" s="1423"/>
      <c r="CW24" s="1237"/>
      <c r="CX24" s="1238"/>
      <c r="EB24" s="29"/>
    </row>
    <row r="25" spans="2:132" ht="18" customHeight="1" x14ac:dyDescent="0.25">
      <c r="B25" s="29"/>
      <c r="E25" s="409"/>
      <c r="F25" s="30"/>
      <c r="I25" s="30"/>
      <c r="M25" s="396"/>
      <c r="P25" s="396"/>
      <c r="Y25" s="30"/>
      <c r="AM25" s="29"/>
      <c r="AS25" s="29"/>
      <c r="BE25" s="29"/>
      <c r="BM25" s="25"/>
      <c r="BO25" s="29"/>
      <c r="BV25" s="410"/>
      <c r="CD25" s="1237"/>
      <c r="CE25" s="1238"/>
      <c r="CH25" s="1237"/>
      <c r="CI25" s="1238"/>
      <c r="CR25" s="1422"/>
      <c r="CS25" s="1237"/>
      <c r="CT25" s="1238"/>
      <c r="CV25" s="1423"/>
      <c r="CW25" s="1237"/>
      <c r="CX25" s="1238"/>
      <c r="EB25" s="29"/>
    </row>
    <row r="26" spans="2:132" ht="14.5" customHeight="1" x14ac:dyDescent="0.25">
      <c r="B26" s="29"/>
      <c r="E26" s="409"/>
      <c r="F26" s="1235" t="s">
        <v>4846</v>
      </c>
      <c r="G26" s="1236"/>
      <c r="I26" s="1235" t="s">
        <v>4847</v>
      </c>
      <c r="J26" s="1236"/>
      <c r="L26" s="1235" t="s">
        <v>4848</v>
      </c>
      <c r="M26" s="1236"/>
      <c r="O26" s="1262" t="s">
        <v>4849</v>
      </c>
      <c r="P26" s="1262"/>
      <c r="Y26" s="1235" t="s">
        <v>377</v>
      </c>
      <c r="Z26" s="1236"/>
      <c r="AM26" s="29"/>
      <c r="AQ26" s="25"/>
      <c r="AS26" s="30"/>
      <c r="BE26" s="30"/>
      <c r="BL26" s="29"/>
      <c r="BM26" s="26"/>
      <c r="BN26" s="27"/>
      <c r="BO26" s="28"/>
      <c r="BP26" s="33"/>
      <c r="BQ26" s="27"/>
      <c r="BR26" s="28"/>
      <c r="BS26" s="26"/>
      <c r="BV26" s="410"/>
      <c r="CD26" s="1237"/>
      <c r="CE26" s="1238"/>
      <c r="CH26" s="1237"/>
      <c r="CI26" s="1238"/>
      <c r="CR26" s="1422"/>
      <c r="CS26" s="1237"/>
      <c r="CT26" s="1238"/>
      <c r="CV26" s="1423"/>
      <c r="CW26" s="1237"/>
      <c r="CX26" s="1238"/>
      <c r="EB26" s="29"/>
    </row>
    <row r="27" spans="2:132" ht="14.5" customHeight="1" x14ac:dyDescent="0.25">
      <c r="B27" s="29"/>
      <c r="E27" s="409"/>
      <c r="F27" s="1237"/>
      <c r="G27" s="1238"/>
      <c r="I27" s="1237"/>
      <c r="J27" s="1238"/>
      <c r="L27" s="1237"/>
      <c r="M27" s="1238"/>
      <c r="O27" s="1262"/>
      <c r="P27" s="1262"/>
      <c r="Y27" s="1237"/>
      <c r="Z27" s="1238"/>
      <c r="AM27" s="29"/>
      <c r="AO27" s="398">
        <v>0.5</v>
      </c>
      <c r="AP27" s="1416" t="s">
        <v>4850</v>
      </c>
      <c r="AQ27" s="1417"/>
      <c r="AR27" s="1417"/>
      <c r="AS27" s="1417"/>
      <c r="AT27" s="1417"/>
      <c r="AU27" s="1417"/>
      <c r="AV27" s="1417"/>
      <c r="AW27" s="1417"/>
      <c r="AX27" s="1418"/>
      <c r="BA27" s="398">
        <f>'[1]03 - FG-INTEG-001-737'!JQ46</f>
        <v>0.5</v>
      </c>
      <c r="BB27" s="1416" t="s">
        <v>4850</v>
      </c>
      <c r="BC27" s="1417"/>
      <c r="BD27" s="1417"/>
      <c r="BE27" s="1417"/>
      <c r="BF27" s="1417"/>
      <c r="BG27" s="1417"/>
      <c r="BH27" s="1417"/>
      <c r="BI27" s="1417"/>
      <c r="BJ27" s="1418"/>
      <c r="BL27" s="30"/>
      <c r="BO27" s="29"/>
      <c r="BS27" s="26"/>
      <c r="BV27" s="410"/>
      <c r="CD27" s="1237"/>
      <c r="CE27" s="1238"/>
      <c r="CH27" s="1237"/>
      <c r="CI27" s="1238"/>
      <c r="CR27" s="1422"/>
      <c r="CS27" s="1237"/>
      <c r="CT27" s="1238"/>
      <c r="CV27" s="1423"/>
      <c r="CW27" s="1237"/>
      <c r="CX27" s="1238"/>
      <c r="EB27" s="29"/>
    </row>
    <row r="28" spans="2:132" ht="18" customHeight="1" x14ac:dyDescent="0.25">
      <c r="B28" s="29"/>
      <c r="E28" s="409"/>
      <c r="F28" s="1237"/>
      <c r="G28" s="1238"/>
      <c r="I28" s="1237"/>
      <c r="J28" s="1238"/>
      <c r="L28" s="1237"/>
      <c r="M28" s="1238"/>
      <c r="O28" s="1262"/>
      <c r="P28" s="1262"/>
      <c r="Y28" s="1237"/>
      <c r="Z28" s="1238"/>
      <c r="AM28" s="29"/>
      <c r="AO28" s="1425" t="s">
        <v>4851</v>
      </c>
      <c r="AP28" s="1426"/>
      <c r="AQ28" s="1426"/>
      <c r="AR28" s="1426"/>
      <c r="AS28" s="1426"/>
      <c r="AT28" s="1426"/>
      <c r="AU28" s="1426"/>
      <c r="AV28" s="1426"/>
      <c r="AW28" s="1426"/>
      <c r="AX28" s="1427"/>
      <c r="BA28" s="1425" t="s">
        <v>4852</v>
      </c>
      <c r="BB28" s="1426"/>
      <c r="BC28" s="1426"/>
      <c r="BD28" s="1426"/>
      <c r="BE28" s="1426"/>
      <c r="BF28" s="1426"/>
      <c r="BG28" s="1426"/>
      <c r="BH28" s="1426"/>
      <c r="BI28" s="1426"/>
      <c r="BJ28" s="1427"/>
      <c r="BL28" s="1235" t="s">
        <v>4853</v>
      </c>
      <c r="BM28" s="1236"/>
      <c r="BO28" s="29"/>
      <c r="BR28" s="1235" t="s">
        <v>4854</v>
      </c>
      <c r="BS28" s="1236"/>
      <c r="BV28" s="410"/>
      <c r="CD28" s="1237"/>
      <c r="CE28" s="1238"/>
      <c r="CH28" s="1237"/>
      <c r="CI28" s="1238"/>
      <c r="CR28" s="1422"/>
      <c r="CS28" s="1237"/>
      <c r="CT28" s="1238"/>
      <c r="CV28" s="1423"/>
      <c r="CW28" s="1237"/>
      <c r="CX28" s="1238"/>
      <c r="EB28" s="29"/>
    </row>
    <row r="29" spans="2:132" x14ac:dyDescent="0.25">
      <c r="B29" s="29"/>
      <c r="E29" s="409"/>
      <c r="F29" s="1237"/>
      <c r="G29" s="1238"/>
      <c r="I29" s="1237"/>
      <c r="J29" s="1238"/>
      <c r="L29" s="1237"/>
      <c r="M29" s="1238"/>
      <c r="O29" s="1262"/>
      <c r="P29" s="1262"/>
      <c r="Y29" s="1237"/>
      <c r="Z29" s="1238"/>
      <c r="AM29" s="29"/>
      <c r="AO29" s="30"/>
      <c r="AS29" s="30"/>
      <c r="AX29" s="23"/>
      <c r="BL29" s="1237"/>
      <c r="BM29" s="1238"/>
      <c r="BO29" s="29"/>
      <c r="BR29" s="1237"/>
      <c r="BS29" s="1238"/>
      <c r="BV29" s="410"/>
      <c r="CD29" s="1237"/>
      <c r="CE29" s="1238"/>
      <c r="CH29" s="1237"/>
      <c r="CI29" s="1238"/>
      <c r="CR29" s="1422"/>
      <c r="CS29" s="1237"/>
      <c r="CT29" s="1238"/>
      <c r="CV29" s="1423"/>
      <c r="CW29" s="1237"/>
      <c r="CX29" s="1238"/>
      <c r="EB29" s="29"/>
    </row>
    <row r="30" spans="2:132" x14ac:dyDescent="0.25">
      <c r="B30" s="29"/>
      <c r="E30" s="409"/>
      <c r="F30" s="1237"/>
      <c r="G30" s="1238"/>
      <c r="I30" s="1237"/>
      <c r="J30" s="1238"/>
      <c r="L30" s="1237"/>
      <c r="M30" s="1238"/>
      <c r="O30" s="1262"/>
      <c r="P30" s="1262"/>
      <c r="Y30" s="1237"/>
      <c r="Z30" s="1238"/>
      <c r="AM30" s="29"/>
      <c r="AO30" s="1235" t="s">
        <v>375</v>
      </c>
      <c r="AP30" s="1236"/>
      <c r="AS30" s="1235" t="s">
        <v>4855</v>
      </c>
      <c r="AT30" s="1236"/>
      <c r="AW30" s="1235" t="s">
        <v>4856</v>
      </c>
      <c r="AX30" s="1236"/>
      <c r="BL30" s="1237"/>
      <c r="BM30" s="1238"/>
      <c r="BO30" s="29"/>
      <c r="BR30" s="1237"/>
      <c r="BS30" s="1238"/>
      <c r="BV30" s="410"/>
      <c r="CD30" s="1239"/>
      <c r="CE30" s="1240"/>
      <c r="CH30" s="1239"/>
      <c r="CI30" s="1240"/>
      <c r="CR30" s="1422"/>
      <c r="CS30" s="1237"/>
      <c r="CT30" s="1238"/>
      <c r="CV30" s="1423"/>
      <c r="CW30" s="1237"/>
      <c r="CX30" s="1238"/>
      <c r="EB30" s="29"/>
    </row>
    <row r="31" spans="2:132" x14ac:dyDescent="0.25">
      <c r="B31" s="29"/>
      <c r="E31" s="409"/>
      <c r="F31" s="1237"/>
      <c r="G31" s="1238"/>
      <c r="I31" s="1237"/>
      <c r="J31" s="1238"/>
      <c r="L31" s="1237"/>
      <c r="M31" s="1238"/>
      <c r="O31" s="1262"/>
      <c r="P31" s="1262"/>
      <c r="Y31" s="1237"/>
      <c r="Z31" s="1238"/>
      <c r="AM31" s="29"/>
      <c r="AO31" s="1237"/>
      <c r="AP31" s="1238"/>
      <c r="AS31" s="1237"/>
      <c r="AT31" s="1238"/>
      <c r="AW31" s="1237"/>
      <c r="AX31" s="1238"/>
      <c r="BL31" s="1237"/>
      <c r="BM31" s="1238"/>
      <c r="BO31" s="29"/>
      <c r="BR31" s="1237"/>
      <c r="BS31" s="1238"/>
      <c r="BV31" s="410"/>
      <c r="CD31" s="32"/>
      <c r="CH31" s="32"/>
      <c r="CR31" s="1422"/>
      <c r="CS31" s="1239"/>
      <c r="CT31" s="1240"/>
      <c r="CV31" s="1423"/>
      <c r="CW31" s="1239"/>
      <c r="CX31" s="1240"/>
      <c r="EB31" s="29"/>
    </row>
    <row r="32" spans="2:132" x14ac:dyDescent="0.25">
      <c r="B32" s="29"/>
      <c r="E32" s="409"/>
      <c r="F32" s="1237"/>
      <c r="G32" s="1238"/>
      <c r="I32" s="1237"/>
      <c r="J32" s="1238"/>
      <c r="L32" s="1237"/>
      <c r="M32" s="1238"/>
      <c r="O32" s="1262"/>
      <c r="P32" s="1262"/>
      <c r="Y32" s="1237"/>
      <c r="Z32" s="1238"/>
      <c r="AM32" s="29"/>
      <c r="AO32" s="1237"/>
      <c r="AP32" s="1238"/>
      <c r="AS32" s="1237"/>
      <c r="AT32" s="1238"/>
      <c r="AW32" s="1237"/>
      <c r="AX32" s="1238"/>
      <c r="BL32" s="1237"/>
      <c r="BM32" s="1238"/>
      <c r="BO32" s="29"/>
      <c r="BR32" s="1237"/>
      <c r="BS32" s="1238"/>
      <c r="BV32" s="410"/>
      <c r="CD32" s="1233">
        <f>'[1]03 - FG-INTEG-001-737'!MG46</f>
        <v>11</v>
      </c>
      <c r="CE32" s="1227"/>
      <c r="CH32" s="1226">
        <f>'[1]03 - FG-INTEG-001-737'!LX39</f>
        <v>0.5</v>
      </c>
      <c r="CI32" s="1227"/>
      <c r="CS32" s="32"/>
      <c r="CW32" s="32"/>
      <c r="EB32" s="29"/>
    </row>
    <row r="33" spans="2:132" x14ac:dyDescent="0.25">
      <c r="B33" s="29"/>
      <c r="E33" s="409"/>
      <c r="F33" s="1237"/>
      <c r="G33" s="1238"/>
      <c r="I33" s="1237"/>
      <c r="J33" s="1238"/>
      <c r="L33" s="1237"/>
      <c r="M33" s="1238"/>
      <c r="O33" s="1262"/>
      <c r="P33" s="1262"/>
      <c r="Y33" s="1237"/>
      <c r="Z33" s="1238"/>
      <c r="AM33" s="29"/>
      <c r="AO33" s="1237"/>
      <c r="AP33" s="1238"/>
      <c r="AS33" s="1237"/>
      <c r="AT33" s="1238"/>
      <c r="AW33" s="1237"/>
      <c r="AX33" s="1238"/>
      <c r="BL33" s="1237"/>
      <c r="BM33" s="1238"/>
      <c r="BO33" s="29"/>
      <c r="BR33" s="1237"/>
      <c r="BS33" s="1238"/>
      <c r="BV33" s="410"/>
      <c r="CD33" s="1228"/>
      <c r="CE33" s="1229"/>
      <c r="CH33" s="1228"/>
      <c r="CI33" s="1229"/>
      <c r="CS33" s="1233">
        <f>'[1]03 - FG-INTEG-001-737'!MP59</f>
        <v>1</v>
      </c>
      <c r="CT33" s="1227"/>
      <c r="CW33" s="1226">
        <f>'[1]03 - FG-INTEG-001-737'!NS56</f>
        <v>6.5</v>
      </c>
      <c r="CX33" s="1227"/>
      <c r="EB33" s="29"/>
    </row>
    <row r="34" spans="2:132" x14ac:dyDescent="0.25">
      <c r="B34" s="29"/>
      <c r="E34" s="409"/>
      <c r="F34" s="1239"/>
      <c r="G34" s="1240"/>
      <c r="I34" s="1239"/>
      <c r="J34" s="1240"/>
      <c r="L34" s="1239"/>
      <c r="M34" s="1240"/>
      <c r="O34" s="1262"/>
      <c r="P34" s="1262"/>
      <c r="Y34" s="1239"/>
      <c r="Z34" s="1240"/>
      <c r="AM34" s="29"/>
      <c r="AO34" s="1237"/>
      <c r="AP34" s="1238"/>
      <c r="AS34" s="1237"/>
      <c r="AT34" s="1238"/>
      <c r="AW34" s="1237"/>
      <c r="AX34" s="1238"/>
      <c r="BL34" s="1237"/>
      <c r="BM34" s="1238"/>
      <c r="BO34" s="29"/>
      <c r="BR34" s="1237"/>
      <c r="BS34" s="1238"/>
      <c r="BV34" s="410"/>
      <c r="CS34" s="1228"/>
      <c r="CT34" s="1229"/>
      <c r="CW34" s="1228"/>
      <c r="CX34" s="1229"/>
      <c r="EB34" s="29"/>
    </row>
    <row r="35" spans="2:132" x14ac:dyDescent="0.25">
      <c r="B35" s="29"/>
      <c r="E35" s="409"/>
      <c r="G35" s="23"/>
      <c r="J35" s="23"/>
      <c r="M35" s="23"/>
      <c r="P35" s="23"/>
      <c r="Z35" s="23"/>
      <c r="AM35" s="29"/>
      <c r="AO35" s="1237"/>
      <c r="AP35" s="1238"/>
      <c r="AS35" s="1237"/>
      <c r="AT35" s="1238"/>
      <c r="AW35" s="1237"/>
      <c r="AX35" s="1238"/>
      <c r="BL35" s="1237"/>
      <c r="BM35" s="1238"/>
      <c r="BO35" s="29"/>
      <c r="BR35" s="1237"/>
      <c r="BS35" s="1238"/>
      <c r="BV35" s="410"/>
      <c r="EB35" s="29"/>
    </row>
    <row r="36" spans="2:132" x14ac:dyDescent="0.25">
      <c r="B36" s="29"/>
      <c r="E36" s="409"/>
      <c r="F36" s="1233">
        <f>'[1]03 - FG-INTEG-001-737'!BL50</f>
        <v>3</v>
      </c>
      <c r="G36" s="1227"/>
      <c r="I36" s="1233">
        <f>'[1]03 - FG-INTEG-001-737'!CM50</f>
        <v>28</v>
      </c>
      <c r="J36" s="1227"/>
      <c r="L36" s="1233">
        <f>'[1]03 - FG-INTEG-001-737'!DN50</f>
        <v>14</v>
      </c>
      <c r="M36" s="1227"/>
      <c r="O36" s="1233">
        <f>'[1]03 - FG-INTEG-001-737'!EC50</f>
        <v>1.5</v>
      </c>
      <c r="P36" s="1227"/>
      <c r="Y36" s="1226">
        <f>'[1]03 - FG-INTEG-001-737'!GK50</f>
        <v>17</v>
      </c>
      <c r="Z36" s="1227"/>
      <c r="AM36" s="29"/>
      <c r="AO36" s="1237"/>
      <c r="AP36" s="1238"/>
      <c r="AS36" s="1237"/>
      <c r="AT36" s="1238"/>
      <c r="AW36" s="1237"/>
      <c r="AX36" s="1238"/>
      <c r="BL36" s="1239"/>
      <c r="BM36" s="1240"/>
      <c r="BO36" s="29"/>
      <c r="BR36" s="1239"/>
      <c r="BS36" s="1240"/>
      <c r="BV36" s="410"/>
      <c r="EB36" s="29"/>
    </row>
    <row r="37" spans="2:132" x14ac:dyDescent="0.25">
      <c r="B37" s="29"/>
      <c r="E37" s="409"/>
      <c r="F37" s="1228"/>
      <c r="G37" s="1229"/>
      <c r="I37" s="1228"/>
      <c r="J37" s="1229"/>
      <c r="L37" s="1228"/>
      <c r="M37" s="1229"/>
      <c r="O37" s="1228"/>
      <c r="P37" s="1229"/>
      <c r="Y37" s="1228"/>
      <c r="Z37" s="1229"/>
      <c r="AM37" s="29"/>
      <c r="AO37" s="1237"/>
      <c r="AP37" s="1238"/>
      <c r="AS37" s="1237"/>
      <c r="AT37" s="1238"/>
      <c r="AW37" s="1237"/>
      <c r="AX37" s="1238"/>
      <c r="BM37" s="23"/>
      <c r="BO37" s="29"/>
      <c r="BS37" s="23"/>
      <c r="BV37" s="410"/>
      <c r="EB37" s="29"/>
    </row>
    <row r="38" spans="2:132" x14ac:dyDescent="0.25">
      <c r="B38" s="29"/>
      <c r="E38" s="409"/>
      <c r="G38" s="98"/>
      <c r="H38" s="98"/>
      <c r="J38" s="98"/>
      <c r="K38" s="98"/>
      <c r="N38" s="98"/>
      <c r="AM38" s="29"/>
      <c r="AO38" s="1239"/>
      <c r="AP38" s="1240"/>
      <c r="AS38" s="1239"/>
      <c r="AT38" s="1240"/>
      <c r="AW38" s="1239"/>
      <c r="AX38" s="1240"/>
      <c r="BL38" s="1226">
        <f>'[1]03 - FG-INTEG-001-737'!KA53</f>
        <v>0.5</v>
      </c>
      <c r="BM38" s="1227"/>
      <c r="BO38" s="29"/>
      <c r="BR38" s="1233">
        <f>'[1]03 - FG-INTEG-001-737'!KO53</f>
        <v>6</v>
      </c>
      <c r="BS38" s="1227"/>
      <c r="BV38" s="410"/>
      <c r="EB38" s="29"/>
    </row>
    <row r="39" spans="2:132" ht="14.5" customHeight="1" x14ac:dyDescent="0.25">
      <c r="B39" s="29"/>
      <c r="E39" s="409"/>
      <c r="AM39" s="29"/>
      <c r="AP39" s="23"/>
      <c r="AT39" s="23"/>
      <c r="AX39" s="23"/>
      <c r="BL39" s="1228"/>
      <c r="BM39" s="1229"/>
      <c r="BO39" s="29"/>
      <c r="BR39" s="1228"/>
      <c r="BS39" s="1229"/>
      <c r="BV39" s="410"/>
      <c r="EB39" s="29"/>
    </row>
    <row r="40" spans="2:132" ht="18" customHeight="1" x14ac:dyDescent="0.25">
      <c r="B40" s="29"/>
      <c r="E40" s="409"/>
      <c r="AM40" s="29"/>
      <c r="AO40" s="1233">
        <f>'[1]03 - FG-INTEG-001-737'!IL50</f>
        <v>5</v>
      </c>
      <c r="AP40" s="1227"/>
      <c r="AS40" s="1233">
        <f>'[1]03 - FG-INTEG-001-737'!JA50</f>
        <v>3</v>
      </c>
      <c r="AT40" s="1227"/>
      <c r="AW40" s="1233">
        <f>'[1]03 - FG-INTEG-001-737'!JA60</f>
        <v>3</v>
      </c>
      <c r="AX40" s="1227"/>
      <c r="BO40" s="29"/>
      <c r="BV40" s="410"/>
      <c r="EB40" s="29"/>
    </row>
    <row r="41" spans="2:132" ht="14.5" customHeight="1" x14ac:dyDescent="0.25">
      <c r="B41" s="29"/>
      <c r="E41" s="409"/>
      <c r="AM41" s="29"/>
      <c r="AO41" s="1228"/>
      <c r="AP41" s="1229"/>
      <c r="AS41" s="1228"/>
      <c r="AT41" s="1229"/>
      <c r="AW41" s="1228"/>
      <c r="AX41" s="1229"/>
      <c r="BO41" s="29"/>
      <c r="BV41" s="410"/>
      <c r="EB41" s="29"/>
    </row>
    <row r="42" spans="2:132" ht="14.5" customHeight="1" x14ac:dyDescent="0.25">
      <c r="B42" s="29"/>
      <c r="E42" s="411"/>
      <c r="F42" s="412"/>
      <c r="G42" s="412"/>
      <c r="H42" s="412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3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2"/>
      <c r="AZ42" s="412"/>
      <c r="BA42" s="412"/>
      <c r="BB42" s="412"/>
      <c r="BC42" s="412"/>
      <c r="BD42" s="412"/>
      <c r="BE42" s="412"/>
      <c r="BF42" s="412"/>
      <c r="BG42" s="412"/>
      <c r="BH42" s="412"/>
      <c r="BI42" s="412"/>
      <c r="BJ42" s="412"/>
      <c r="BK42" s="412"/>
      <c r="BL42" s="412"/>
      <c r="BM42" s="412"/>
      <c r="BN42" s="412"/>
      <c r="BO42" s="413"/>
      <c r="BP42" s="412"/>
      <c r="BQ42" s="412"/>
      <c r="BR42" s="412"/>
      <c r="BS42" s="412"/>
      <c r="BT42" s="412"/>
      <c r="BU42" s="412"/>
      <c r="BV42" s="414"/>
      <c r="EB42" s="29"/>
    </row>
    <row r="43" spans="2:132" ht="14.5" customHeight="1" x14ac:dyDescent="0.25">
      <c r="B43" s="29"/>
      <c r="AM43" s="29"/>
      <c r="BO43" s="29"/>
      <c r="CV43" s="97"/>
      <c r="CW43" s="97"/>
      <c r="CX43" s="97"/>
      <c r="EB43" s="29"/>
    </row>
    <row r="44" spans="2:132" ht="14.5" customHeight="1" x14ac:dyDescent="0.25">
      <c r="B44" s="29"/>
      <c r="AN44" s="396"/>
      <c r="BO44" s="29"/>
      <c r="EB44" s="29"/>
    </row>
    <row r="45" spans="2:132" ht="14.5" customHeight="1" x14ac:dyDescent="0.25">
      <c r="B45" s="29"/>
      <c r="AI45" s="399">
        <v>1</v>
      </c>
      <c r="AJ45" s="1416" t="s">
        <v>4857</v>
      </c>
      <c r="AK45" s="1417"/>
      <c r="AL45" s="1417"/>
      <c r="AM45" s="1417"/>
      <c r="AN45" s="1417"/>
      <c r="AO45" s="1417"/>
      <c r="AP45" s="1417"/>
      <c r="AQ45" s="1417"/>
      <c r="AR45" s="1418"/>
      <c r="BO45" s="29"/>
      <c r="BP45" s="396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EB45" s="29"/>
    </row>
    <row r="46" spans="2:132" ht="14.5" customHeight="1" x14ac:dyDescent="0.25">
      <c r="B46" s="29"/>
      <c r="AI46" s="1419" t="s">
        <v>4858</v>
      </c>
      <c r="AJ46" s="1420"/>
      <c r="AK46" s="1420"/>
      <c r="AL46" s="1420"/>
      <c r="AM46" s="1420"/>
      <c r="AN46" s="1420"/>
      <c r="AO46" s="1420"/>
      <c r="AP46" s="1420"/>
      <c r="AQ46" s="1420"/>
      <c r="AR46" s="1421"/>
      <c r="CD46" s="28"/>
      <c r="EB46" s="29"/>
    </row>
    <row r="47" spans="2:132" ht="14.5" customHeight="1" x14ac:dyDescent="0.25">
      <c r="B47" s="29"/>
      <c r="AL47" s="24"/>
      <c r="AN47" s="23"/>
      <c r="CD47" s="29"/>
      <c r="EB47" s="29"/>
    </row>
    <row r="48" spans="2:132" ht="14.5" customHeight="1" x14ac:dyDescent="0.25">
      <c r="B48" s="29"/>
      <c r="AA48" s="1428" t="s">
        <v>4859</v>
      </c>
      <c r="AB48" s="1429"/>
      <c r="AC48" s="1429"/>
      <c r="AD48" s="1429"/>
      <c r="AE48" s="1429"/>
      <c r="AF48" s="1429"/>
      <c r="AG48" s="1429"/>
      <c r="AH48" s="1429"/>
      <c r="AI48" s="1429"/>
      <c r="AJ48" s="1429"/>
      <c r="AK48" s="1429"/>
      <c r="AL48" s="1429"/>
      <c r="AM48" s="1429"/>
      <c r="AN48" s="1429"/>
      <c r="AO48" s="1429"/>
      <c r="AP48" s="1429"/>
      <c r="AQ48" s="1429"/>
      <c r="AR48" s="1429"/>
      <c r="AS48" s="1429"/>
      <c r="AT48" s="1429"/>
      <c r="AU48" s="1429"/>
      <c r="AV48" s="1429"/>
      <c r="AW48" s="1429"/>
      <c r="AX48" s="1430"/>
      <c r="CD48" s="29"/>
      <c r="EB48" s="29"/>
    </row>
    <row r="49" spans="2:132" ht="14.5" customHeight="1" x14ac:dyDescent="0.25">
      <c r="B49" s="29"/>
      <c r="AA49" s="1428" t="s">
        <v>4860</v>
      </c>
      <c r="AB49" s="1429"/>
      <c r="AC49" s="1429"/>
      <c r="AD49" s="1429"/>
      <c r="AE49" s="1429"/>
      <c r="AF49" s="1429"/>
      <c r="AG49" s="1429"/>
      <c r="AH49" s="1429"/>
      <c r="AI49" s="1429"/>
      <c r="AJ49" s="1429"/>
      <c r="AK49" s="1429"/>
      <c r="AL49" s="1429"/>
      <c r="AM49" s="1429"/>
      <c r="AN49" s="1429"/>
      <c r="AO49" s="1429"/>
      <c r="AP49" s="1429"/>
      <c r="AQ49" s="1429"/>
      <c r="AR49" s="1429"/>
      <c r="AS49" s="1429"/>
      <c r="AT49" s="1429"/>
      <c r="AU49" s="1429"/>
      <c r="AV49" s="1429"/>
      <c r="AW49" s="1429"/>
      <c r="AX49" s="1430"/>
      <c r="CD49" s="29"/>
      <c r="EB49" s="29"/>
    </row>
    <row r="50" spans="2:132" ht="14.5" customHeight="1" x14ac:dyDescent="0.25">
      <c r="B50" s="29"/>
      <c r="AA50" s="415"/>
      <c r="AB50" s="415"/>
      <c r="AC50" s="415"/>
      <c r="AD50" s="415"/>
      <c r="AE50" s="415"/>
      <c r="AF50" s="415"/>
      <c r="AG50" s="415"/>
      <c r="AH50" s="415"/>
      <c r="AI50" s="415"/>
      <c r="AJ50" s="415"/>
      <c r="AK50" s="415"/>
      <c r="AL50" s="415"/>
      <c r="AM50" s="416"/>
      <c r="AN50" s="415"/>
      <c r="AO50" s="415"/>
      <c r="AP50" s="415"/>
      <c r="AQ50" s="415"/>
      <c r="AR50" s="415"/>
      <c r="AS50" s="415"/>
      <c r="AT50" s="415"/>
      <c r="AU50" s="415"/>
      <c r="AV50" s="415"/>
      <c r="AW50" s="415"/>
      <c r="AX50" s="415"/>
      <c r="CD50" s="29"/>
      <c r="EB50" s="29"/>
    </row>
    <row r="51" spans="2:132" ht="14.5" customHeight="1" x14ac:dyDescent="0.25">
      <c r="B51" s="29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30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30"/>
      <c r="EB51" s="29"/>
    </row>
    <row r="52" spans="2:132" ht="14.5" customHeight="1" x14ac:dyDescent="0.25">
      <c r="B52" s="29"/>
      <c r="M52" s="30"/>
      <c r="X52" s="32"/>
      <c r="AI52" s="32"/>
      <c r="AU52" s="28"/>
      <c r="BF52" s="32"/>
      <c r="BR52" s="32"/>
      <c r="CC52" s="32"/>
      <c r="EB52" s="29"/>
    </row>
    <row r="53" spans="2:132" ht="14.5" customHeight="1" x14ac:dyDescent="0.25">
      <c r="B53" s="29"/>
      <c r="I53" s="417">
        <v>1</v>
      </c>
      <c r="J53" s="1428" t="s">
        <v>4861</v>
      </c>
      <c r="K53" s="1429"/>
      <c r="L53" s="1429"/>
      <c r="M53" s="1429"/>
      <c r="N53" s="1429"/>
      <c r="O53" s="1429"/>
      <c r="P53" s="1429"/>
      <c r="Q53" s="1429"/>
      <c r="R53" s="1430"/>
      <c r="U53" s="417">
        <v>1</v>
      </c>
      <c r="V53" s="1431" t="s">
        <v>4862</v>
      </c>
      <c r="W53" s="1432"/>
      <c r="X53" s="1432"/>
      <c r="Y53" s="1432"/>
      <c r="Z53" s="1432"/>
      <c r="AA53" s="1432"/>
      <c r="AB53" s="1432"/>
      <c r="AC53" s="1432"/>
      <c r="AD53" s="1433"/>
      <c r="AF53" s="417">
        <v>1</v>
      </c>
      <c r="AG53" s="1431" t="s">
        <v>4863</v>
      </c>
      <c r="AH53" s="1432"/>
      <c r="AI53" s="1432"/>
      <c r="AJ53" s="1432"/>
      <c r="AK53" s="1432"/>
      <c r="AL53" s="1432"/>
      <c r="AM53" s="1432"/>
      <c r="AN53" s="1432"/>
      <c r="AO53" s="1433"/>
      <c r="AR53" s="417">
        <v>1</v>
      </c>
      <c r="AS53" s="1431" t="s">
        <v>4864</v>
      </c>
      <c r="AT53" s="1432"/>
      <c r="AU53" s="1432"/>
      <c r="AV53" s="1432"/>
      <c r="AW53" s="1432"/>
      <c r="AX53" s="1432"/>
      <c r="AY53" s="1432"/>
      <c r="AZ53" s="1432"/>
      <c r="BA53" s="1433"/>
      <c r="BC53" s="418">
        <v>0.5</v>
      </c>
      <c r="BD53" s="1431" t="s">
        <v>4865</v>
      </c>
      <c r="BE53" s="1432"/>
      <c r="BF53" s="1432"/>
      <c r="BG53" s="1432"/>
      <c r="BH53" s="1432"/>
      <c r="BI53" s="1432"/>
      <c r="BJ53" s="1432"/>
      <c r="BK53" s="1432"/>
      <c r="BL53" s="1433"/>
      <c r="BN53" s="417">
        <v>1</v>
      </c>
      <c r="BO53" s="1428" t="s">
        <v>4866</v>
      </c>
      <c r="BP53" s="1429"/>
      <c r="BQ53" s="1429"/>
      <c r="BR53" s="1429"/>
      <c r="BS53" s="1429"/>
      <c r="BT53" s="1429"/>
      <c r="BU53" s="1429"/>
      <c r="BV53" s="1429"/>
      <c r="BW53" s="1430"/>
      <c r="BY53" s="417">
        <v>1</v>
      </c>
      <c r="BZ53" s="1431" t="s">
        <v>380</v>
      </c>
      <c r="CA53" s="1432"/>
      <c r="CB53" s="1432"/>
      <c r="CC53" s="1432"/>
      <c r="CD53" s="1432"/>
      <c r="CE53" s="1432"/>
      <c r="CF53" s="1432"/>
      <c r="CG53" s="1432"/>
      <c r="CH53" s="1433"/>
      <c r="EB53" s="29"/>
    </row>
    <row r="54" spans="2:132" ht="14.5" customHeight="1" x14ac:dyDescent="0.25">
      <c r="B54" s="29"/>
      <c r="I54" s="1434" t="s">
        <v>4867</v>
      </c>
      <c r="J54" s="1435"/>
      <c r="K54" s="1435"/>
      <c r="L54" s="1435"/>
      <c r="M54" s="1435"/>
      <c r="N54" s="1435"/>
      <c r="O54" s="1435"/>
      <c r="P54" s="1435"/>
      <c r="Q54" s="1435"/>
      <c r="R54" s="1436"/>
      <c r="U54" s="1437"/>
      <c r="V54" s="1438"/>
      <c r="W54" s="1438"/>
      <c r="X54" s="1438"/>
      <c r="Y54" s="1438"/>
      <c r="Z54" s="1438"/>
      <c r="AA54" s="1438"/>
      <c r="AB54" s="1438"/>
      <c r="AC54" s="1438"/>
      <c r="AD54" s="1439"/>
      <c r="AF54" s="1434" t="s">
        <v>4868</v>
      </c>
      <c r="AG54" s="1435"/>
      <c r="AH54" s="1435"/>
      <c r="AI54" s="1435"/>
      <c r="AJ54" s="1435"/>
      <c r="AK54" s="1435"/>
      <c r="AL54" s="1435"/>
      <c r="AM54" s="1435"/>
      <c r="AN54" s="1435"/>
      <c r="AO54" s="1436"/>
      <c r="AR54" s="1434" t="s">
        <v>4869</v>
      </c>
      <c r="AS54" s="1435"/>
      <c r="AT54" s="1435"/>
      <c r="AU54" s="1435"/>
      <c r="AV54" s="1435"/>
      <c r="AW54" s="1435"/>
      <c r="AX54" s="1435"/>
      <c r="AY54" s="1435"/>
      <c r="AZ54" s="1435"/>
      <c r="BA54" s="1436"/>
      <c r="BC54" s="1425" t="s">
        <v>4870</v>
      </c>
      <c r="BD54" s="1426"/>
      <c r="BE54" s="1426"/>
      <c r="BF54" s="1426"/>
      <c r="BG54" s="1426"/>
      <c r="BH54" s="1426"/>
      <c r="BI54" s="1426"/>
      <c r="BJ54" s="1426"/>
      <c r="BK54" s="1426"/>
      <c r="BL54" s="1427"/>
      <c r="BN54" s="1434" t="s">
        <v>4871</v>
      </c>
      <c r="BO54" s="1435"/>
      <c r="BP54" s="1435"/>
      <c r="BQ54" s="1435"/>
      <c r="BR54" s="1435"/>
      <c r="BS54" s="1435"/>
      <c r="BT54" s="1435"/>
      <c r="BU54" s="1435"/>
      <c r="BV54" s="1435"/>
      <c r="BW54" s="1436"/>
      <c r="BY54" s="1440" t="s">
        <v>4872</v>
      </c>
      <c r="BZ54" s="1440" t="s">
        <v>4873</v>
      </c>
      <c r="CA54" s="1440"/>
      <c r="CB54" s="1440"/>
      <c r="CC54" s="1440"/>
      <c r="CD54" s="1440"/>
      <c r="CE54" s="1440"/>
      <c r="CF54" s="1440"/>
      <c r="CG54" s="1440"/>
      <c r="CH54" s="1440"/>
      <c r="EB54" s="29"/>
    </row>
    <row r="55" spans="2:132" ht="14.5" customHeight="1" x14ac:dyDescent="0.25">
      <c r="B55" s="29"/>
      <c r="M55" s="29"/>
      <c r="R55" s="419"/>
      <c r="X55" s="28"/>
      <c r="AI55" s="28"/>
      <c r="AU55" s="28"/>
      <c r="BC55" s="419"/>
      <c r="BE55" s="28"/>
      <c r="BH55" s="28"/>
      <c r="BN55" s="419"/>
      <c r="BO55" s="419"/>
      <c r="BP55" s="419"/>
      <c r="BQ55" s="419"/>
      <c r="BR55" s="420"/>
      <c r="BS55" s="419"/>
      <c r="BT55" s="419"/>
      <c r="BU55" s="419"/>
      <c r="BV55" s="419"/>
      <c r="BW55" s="419"/>
      <c r="CC55" s="28"/>
      <c r="EB55" s="29"/>
    </row>
    <row r="56" spans="2:132" ht="14.5" customHeight="1" x14ac:dyDescent="0.25">
      <c r="B56" s="29"/>
      <c r="M56" s="29"/>
      <c r="R56" s="419"/>
      <c r="X56" s="29"/>
      <c r="AI56" s="29"/>
      <c r="AU56" s="29"/>
      <c r="BE56" s="29"/>
      <c r="BH56" s="29"/>
      <c r="BR56" s="29"/>
      <c r="CC56" s="29"/>
      <c r="EB56" s="29"/>
    </row>
    <row r="57" spans="2:132" ht="14.5" customHeight="1" x14ac:dyDescent="0.25">
      <c r="B57" s="29"/>
      <c r="M57" s="29"/>
      <c r="P57" s="419"/>
      <c r="Q57" s="419"/>
      <c r="R57" s="419"/>
      <c r="X57" s="29"/>
      <c r="AI57" s="29"/>
      <c r="AU57" s="29"/>
      <c r="BE57" s="29"/>
      <c r="BH57" s="29"/>
      <c r="BR57" s="29"/>
      <c r="CC57" s="29"/>
      <c r="EB57" s="29"/>
    </row>
    <row r="58" spans="2:132" ht="14.5" customHeight="1" x14ac:dyDescent="0.25">
      <c r="B58" s="29"/>
      <c r="M58" s="30"/>
      <c r="X58" s="30"/>
      <c r="AI58" s="30"/>
      <c r="AU58" s="30"/>
      <c r="BE58" s="30"/>
      <c r="BH58" s="30"/>
      <c r="BR58" s="30"/>
      <c r="CC58" s="30"/>
      <c r="EB58" s="29"/>
    </row>
    <row r="59" spans="2:132" ht="14.5" customHeight="1" x14ac:dyDescent="0.25">
      <c r="B59" s="29"/>
      <c r="M59" s="1235" t="s">
        <v>4874</v>
      </c>
      <c r="N59" s="1236"/>
      <c r="X59" s="1235" t="s">
        <v>4743</v>
      </c>
      <c r="Y59" s="1236"/>
      <c r="AI59" s="1235" t="s">
        <v>4742</v>
      </c>
      <c r="AJ59" s="1236"/>
      <c r="AU59" s="1235" t="s">
        <v>4875</v>
      </c>
      <c r="AV59" s="1236"/>
      <c r="BE59" s="1235" t="s">
        <v>383</v>
      </c>
      <c r="BF59" s="1236"/>
      <c r="BH59" s="1235" t="s">
        <v>384</v>
      </c>
      <c r="BI59" s="1236"/>
      <c r="BR59" s="1235" t="s">
        <v>4876</v>
      </c>
      <c r="BS59" s="1236"/>
      <c r="CC59" s="1235" t="s">
        <v>382</v>
      </c>
      <c r="CD59" s="1236"/>
      <c r="EB59" s="29"/>
    </row>
    <row r="60" spans="2:132" ht="14.5" customHeight="1" x14ac:dyDescent="0.25">
      <c r="B60" s="29"/>
      <c r="M60" s="1237"/>
      <c r="N60" s="1238"/>
      <c r="X60" s="1237"/>
      <c r="Y60" s="1238"/>
      <c r="AI60" s="1237"/>
      <c r="AJ60" s="1238"/>
      <c r="AU60" s="1237"/>
      <c r="AV60" s="1238"/>
      <c r="BE60" s="1237"/>
      <c r="BF60" s="1238"/>
      <c r="BH60" s="1237"/>
      <c r="BI60" s="1238"/>
      <c r="BR60" s="1237"/>
      <c r="BS60" s="1238"/>
      <c r="CC60" s="1237"/>
      <c r="CD60" s="1238"/>
      <c r="EB60" s="29"/>
    </row>
    <row r="61" spans="2:132" ht="14.5" customHeight="1" x14ac:dyDescent="0.25">
      <c r="B61" s="29"/>
      <c r="M61" s="1237"/>
      <c r="N61" s="1238"/>
      <c r="X61" s="1237"/>
      <c r="Y61" s="1238"/>
      <c r="AI61" s="1237"/>
      <c r="AJ61" s="1238"/>
      <c r="AU61" s="1237"/>
      <c r="AV61" s="1238"/>
      <c r="BE61" s="1237"/>
      <c r="BF61" s="1238"/>
      <c r="BH61" s="1237"/>
      <c r="BI61" s="1238"/>
      <c r="BR61" s="1237"/>
      <c r="BS61" s="1238"/>
      <c r="CC61" s="1237"/>
      <c r="CD61" s="1238"/>
      <c r="EB61" s="29"/>
    </row>
    <row r="62" spans="2:132" x14ac:dyDescent="0.25">
      <c r="B62" s="29"/>
      <c r="M62" s="1237"/>
      <c r="N62" s="1238"/>
      <c r="X62" s="1237"/>
      <c r="Y62" s="1238"/>
      <c r="AI62" s="1237"/>
      <c r="AJ62" s="1238"/>
      <c r="AU62" s="1237"/>
      <c r="AV62" s="1238"/>
      <c r="BE62" s="1237"/>
      <c r="BF62" s="1238"/>
      <c r="BH62" s="1237"/>
      <c r="BI62" s="1238"/>
      <c r="BR62" s="1237"/>
      <c r="BS62" s="1238"/>
      <c r="CC62" s="1237"/>
      <c r="CD62" s="1238"/>
      <c r="EB62" s="29"/>
    </row>
    <row r="63" spans="2:132" ht="18" customHeight="1" x14ac:dyDescent="0.25">
      <c r="B63" s="29"/>
      <c r="M63" s="1237"/>
      <c r="N63" s="1238"/>
      <c r="X63" s="1237"/>
      <c r="Y63" s="1238"/>
      <c r="AI63" s="1237"/>
      <c r="AJ63" s="1238"/>
      <c r="AU63" s="1237"/>
      <c r="AV63" s="1238"/>
      <c r="BE63" s="1237"/>
      <c r="BF63" s="1238"/>
      <c r="BH63" s="1237"/>
      <c r="BI63" s="1238"/>
      <c r="BR63" s="1237"/>
      <c r="BS63" s="1238"/>
      <c r="CC63" s="1237"/>
      <c r="CD63" s="1238"/>
      <c r="EB63" s="29"/>
    </row>
    <row r="64" spans="2:132" x14ac:dyDescent="0.25">
      <c r="B64" s="29"/>
      <c r="M64" s="1237"/>
      <c r="N64" s="1238"/>
      <c r="X64" s="1237"/>
      <c r="Y64" s="1238"/>
      <c r="AI64" s="1237"/>
      <c r="AJ64" s="1238"/>
      <c r="AU64" s="1237"/>
      <c r="AV64" s="1238"/>
      <c r="BE64" s="1237"/>
      <c r="BF64" s="1238"/>
      <c r="BH64" s="1237"/>
      <c r="BI64" s="1238"/>
      <c r="BR64" s="1237"/>
      <c r="BS64" s="1238"/>
      <c r="CC64" s="1237"/>
      <c r="CD64" s="1238"/>
      <c r="EB64" s="29"/>
    </row>
    <row r="65" spans="2:137" ht="21" x14ac:dyDescent="0.5">
      <c r="B65" s="29"/>
      <c r="M65" s="1237"/>
      <c r="N65" s="1238"/>
      <c r="X65" s="1237"/>
      <c r="Y65" s="1238"/>
      <c r="AI65" s="1237"/>
      <c r="AJ65" s="1238"/>
      <c r="AU65" s="1237"/>
      <c r="AV65" s="1238"/>
      <c r="BE65" s="1237"/>
      <c r="BF65" s="1238"/>
      <c r="BH65" s="1237"/>
      <c r="BI65" s="1238"/>
      <c r="BR65" s="1237"/>
      <c r="BS65" s="1238"/>
      <c r="CC65" s="1237"/>
      <c r="CD65" s="1238"/>
      <c r="EB65" s="29"/>
      <c r="EF65" s="421"/>
    </row>
    <row r="66" spans="2:137" ht="18.649999999999999" customHeight="1" x14ac:dyDescent="0.25">
      <c r="B66" s="29"/>
      <c r="M66" s="1237"/>
      <c r="N66" s="1238"/>
      <c r="X66" s="1237"/>
      <c r="Y66" s="1238"/>
      <c r="AI66" s="1237"/>
      <c r="AJ66" s="1238"/>
      <c r="AU66" s="1237"/>
      <c r="AV66" s="1238"/>
      <c r="BE66" s="1237"/>
      <c r="BF66" s="1238"/>
      <c r="BH66" s="1237"/>
      <c r="BI66" s="1238"/>
      <c r="BR66" s="1237"/>
      <c r="BS66" s="1238"/>
      <c r="CC66" s="1237"/>
      <c r="CD66" s="1238"/>
      <c r="EB66" s="29"/>
    </row>
    <row r="67" spans="2:137" x14ac:dyDescent="0.25">
      <c r="B67" s="29"/>
      <c r="M67" s="1239"/>
      <c r="N67" s="1240"/>
      <c r="X67" s="1239"/>
      <c r="Y67" s="1240"/>
      <c r="AI67" s="1239"/>
      <c r="AJ67" s="1240"/>
      <c r="AU67" s="1239"/>
      <c r="AV67" s="1240"/>
      <c r="BE67" s="1239"/>
      <c r="BF67" s="1240"/>
      <c r="BH67" s="1239"/>
      <c r="BI67" s="1240"/>
      <c r="BR67" s="1239"/>
      <c r="BS67" s="1240"/>
      <c r="CC67" s="1239"/>
      <c r="CD67" s="1240"/>
      <c r="EB67" s="29"/>
    </row>
    <row r="68" spans="2:137" x14ac:dyDescent="0.25">
      <c r="B68" s="29"/>
      <c r="N68" s="23"/>
      <c r="Y68" s="23"/>
      <c r="AI68" s="32"/>
      <c r="AV68" s="23"/>
      <c r="BE68" s="32"/>
      <c r="BH68" s="32"/>
      <c r="BS68" s="23"/>
      <c r="CD68" s="23"/>
      <c r="CL68" s="33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8"/>
      <c r="EB68" s="29"/>
    </row>
    <row r="69" spans="2:137" ht="18" customHeight="1" x14ac:dyDescent="0.25">
      <c r="B69" s="29"/>
      <c r="M69" s="1233">
        <f>'[1]03 - FG-INTEG-001-737'!AZ115</f>
        <v>26</v>
      </c>
      <c r="N69" s="1227"/>
      <c r="X69" s="1233">
        <f>'[1]03 - FG-INTEG-001-737'!CA115</f>
        <v>23</v>
      </c>
      <c r="Y69" s="1227"/>
      <c r="AI69" s="1233">
        <f>'[1]03 - FG-INTEG-001-737'!DN115</f>
        <v>29</v>
      </c>
      <c r="AJ69" s="1227"/>
      <c r="AU69" s="1226">
        <f>'[1]03 - FG-INTEG-001-737'!EO115</f>
        <v>11</v>
      </c>
      <c r="AV69" s="1227"/>
      <c r="BE69" s="1233">
        <f>'[1]03 - FG-INTEG-001-737'!FW115</f>
        <v>23</v>
      </c>
      <c r="BF69" s="1227"/>
      <c r="BH69" s="1247">
        <f>'[1]03 - FG-INTEG-001-737'!IV115</f>
        <v>102</v>
      </c>
      <c r="BI69" s="1248"/>
      <c r="BR69" s="1233">
        <f>'[1]03 - FG-INTEG-001-737'!MJ115</f>
        <v>37</v>
      </c>
      <c r="BS69" s="1227"/>
      <c r="CC69" s="1233">
        <f>'[1]03 - FG-INTEG-001-737'!PN115</f>
        <v>84</v>
      </c>
      <c r="CD69" s="1227"/>
      <c r="CL69" s="1441" t="s">
        <v>4877</v>
      </c>
      <c r="CM69" s="1442"/>
      <c r="CN69" s="1442"/>
      <c r="CO69" s="1442"/>
      <c r="CP69" s="1442"/>
      <c r="CQ69" s="1443">
        <f>CC69+BR69+BH69+BE69+AU69+AI69+X69+M69+AI15+F23+U23+F36+I36+L36+O36+Y36+AO27+AO40+AS40+AW40+BA27+BK23+BL38+BR38+CB15+CD32+CH32+CS33+CW33+AI45+I53+U53+AF53+AR53+BC53+BN53+BY53</f>
        <v>446.5</v>
      </c>
      <c r="CR69" s="1442"/>
      <c r="CS69" s="1442"/>
      <c r="CT69" s="1442"/>
      <c r="CU69" s="1442"/>
      <c r="CV69" s="1442"/>
      <c r="CW69" s="1442"/>
      <c r="CX69" s="1442" t="s">
        <v>4878</v>
      </c>
      <c r="CY69" s="1442"/>
      <c r="CZ69" s="1442"/>
      <c r="DA69" s="1442"/>
      <c r="DB69" s="1442"/>
      <c r="DC69" s="1442"/>
      <c r="DD69" s="1442"/>
      <c r="DE69" s="1442"/>
      <c r="DF69" s="1442"/>
      <c r="DG69" s="1442"/>
      <c r="DH69" s="1442"/>
      <c r="DI69" s="1444"/>
      <c r="EB69" s="29"/>
      <c r="EF69" s="96"/>
      <c r="EG69" s="96"/>
    </row>
    <row r="70" spans="2:137" ht="18" customHeight="1" x14ac:dyDescent="0.25">
      <c r="B70" s="29"/>
      <c r="M70" s="1228"/>
      <c r="N70" s="1229"/>
      <c r="X70" s="1228"/>
      <c r="Y70" s="1229"/>
      <c r="AI70" s="1228"/>
      <c r="AJ70" s="1229"/>
      <c r="AU70" s="1228"/>
      <c r="AV70" s="1229"/>
      <c r="BE70" s="1228"/>
      <c r="BF70" s="1229"/>
      <c r="BH70" s="1249"/>
      <c r="BI70" s="1250"/>
      <c r="BR70" s="1228"/>
      <c r="BS70" s="1229"/>
      <c r="CC70" s="1228"/>
      <c r="CD70" s="1229"/>
      <c r="CL70" s="1441"/>
      <c r="CM70" s="1442"/>
      <c r="CN70" s="1442"/>
      <c r="CO70" s="1442"/>
      <c r="CP70" s="1442"/>
      <c r="CQ70" s="1442"/>
      <c r="CR70" s="1442"/>
      <c r="CS70" s="1442"/>
      <c r="CT70" s="1442"/>
      <c r="CU70" s="1442"/>
      <c r="CV70" s="1442"/>
      <c r="CW70" s="1442"/>
      <c r="CX70" s="1442"/>
      <c r="CY70" s="1442"/>
      <c r="CZ70" s="1442"/>
      <c r="DA70" s="1442"/>
      <c r="DB70" s="1442"/>
      <c r="DC70" s="1442"/>
      <c r="DD70" s="1442"/>
      <c r="DE70" s="1442"/>
      <c r="DF70" s="1442"/>
      <c r="DG70" s="1442"/>
      <c r="DH70" s="1442"/>
      <c r="DI70" s="1444"/>
      <c r="EB70" s="29"/>
      <c r="EF70" s="96"/>
      <c r="EG70" s="96"/>
    </row>
    <row r="71" spans="2:137" ht="18" customHeight="1" x14ac:dyDescent="0.25">
      <c r="B71" s="29"/>
      <c r="L71" s="100"/>
      <c r="M71" s="100"/>
      <c r="O71" s="100"/>
      <c r="P71" s="100"/>
      <c r="X71" s="100"/>
      <c r="Y71" s="100"/>
      <c r="AJ71" s="100"/>
      <c r="AK71" s="100"/>
      <c r="AV71" s="100"/>
      <c r="AW71" s="100"/>
      <c r="BF71" s="100"/>
      <c r="BG71" s="100"/>
      <c r="BQ71" s="100"/>
      <c r="BR71" s="100"/>
      <c r="CB71" s="100"/>
      <c r="CC71" s="100"/>
      <c r="CL71" s="396"/>
      <c r="CM71" s="25"/>
      <c r="CN71" s="25"/>
      <c r="CO71" s="25"/>
      <c r="CP71" s="25"/>
      <c r="CQ71" s="25"/>
      <c r="CR71" s="25"/>
      <c r="CS71" s="422">
        <v>466.5</v>
      </c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30"/>
      <c r="EB71" s="29"/>
      <c r="EF71" s="96"/>
      <c r="EG71" s="96"/>
    </row>
    <row r="72" spans="2:137" x14ac:dyDescent="0.25">
      <c r="B72" s="29"/>
      <c r="CB72" s="423"/>
      <c r="CC72" s="423"/>
      <c r="CD72" s="423"/>
      <c r="CE72" s="423"/>
      <c r="CF72" s="423"/>
      <c r="CG72" s="423"/>
      <c r="CH72" s="423"/>
      <c r="CI72" s="423"/>
      <c r="CJ72" s="423"/>
      <c r="CK72" s="423"/>
      <c r="CL72" s="423"/>
      <c r="CM72" s="423"/>
      <c r="CN72" s="423"/>
      <c r="CO72" s="423"/>
      <c r="CP72" s="423"/>
      <c r="CQ72" s="423"/>
      <c r="CR72" s="423"/>
      <c r="CS72" s="423"/>
      <c r="CT72" s="423"/>
      <c r="CU72" s="423"/>
      <c r="CV72" s="423"/>
      <c r="CW72" s="423"/>
      <c r="CX72" s="423"/>
      <c r="CY72" s="423"/>
      <c r="CZ72" s="423"/>
      <c r="DA72" s="423"/>
      <c r="DB72" s="423"/>
      <c r="DC72" s="423"/>
      <c r="DD72" s="423"/>
      <c r="DE72" s="423"/>
      <c r="DF72" s="423"/>
      <c r="DG72" s="423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30"/>
      <c r="EF72" s="96"/>
      <c r="EG72" s="96"/>
    </row>
    <row r="73" spans="2:137" ht="14.5" customHeight="1" x14ac:dyDescent="0.25">
      <c r="C73" s="424"/>
      <c r="D73" s="425"/>
      <c r="E73" s="425"/>
      <c r="F73" s="425"/>
      <c r="G73" s="425"/>
      <c r="H73" s="425"/>
      <c r="I73" s="425"/>
      <c r="J73" s="425"/>
      <c r="K73" s="425"/>
      <c r="L73" s="425"/>
      <c r="M73" s="426"/>
      <c r="N73" s="425"/>
      <c r="O73" s="425"/>
      <c r="P73" s="425"/>
      <c r="Q73" s="425"/>
      <c r="R73" s="425"/>
      <c r="S73" s="425"/>
      <c r="T73" s="425"/>
      <c r="U73" s="425"/>
      <c r="V73" s="425"/>
      <c r="W73" s="425"/>
      <c r="X73" s="426"/>
      <c r="Y73" s="33"/>
      <c r="Z73" s="27"/>
      <c r="AA73" s="27"/>
      <c r="AB73" s="27"/>
      <c r="AC73" s="27"/>
      <c r="AD73" s="27"/>
      <c r="AE73" s="27"/>
      <c r="AF73" s="27"/>
      <c r="AG73" s="27"/>
      <c r="AH73" s="27"/>
      <c r="AI73" s="28"/>
      <c r="AJ73" s="33"/>
      <c r="AK73" s="27"/>
      <c r="AL73" s="27"/>
      <c r="AM73" s="27"/>
      <c r="AN73" s="27"/>
      <c r="AO73" s="27"/>
      <c r="AP73" s="27"/>
      <c r="AQ73" s="27"/>
      <c r="AR73" s="27"/>
      <c r="AS73" s="27"/>
      <c r="AT73" s="28"/>
      <c r="AU73" s="424"/>
      <c r="AV73" s="425"/>
      <c r="AW73" s="425"/>
      <c r="AX73" s="425"/>
      <c r="AY73" s="425"/>
      <c r="AZ73" s="425"/>
      <c r="BA73" s="425"/>
      <c r="BB73" s="425"/>
      <c r="BC73" s="425"/>
      <c r="BD73" s="425"/>
      <c r="BE73" s="425"/>
      <c r="BF73" s="424"/>
      <c r="BG73" s="425"/>
      <c r="BH73" s="425"/>
      <c r="BI73" s="425"/>
      <c r="BJ73" s="425"/>
      <c r="BK73" s="425"/>
      <c r="BL73" s="425"/>
      <c r="BM73" s="425"/>
      <c r="BN73" s="425"/>
      <c r="BO73" s="425"/>
      <c r="BP73" s="426"/>
      <c r="BQ73" s="424"/>
      <c r="BR73" s="425"/>
      <c r="BS73" s="425"/>
      <c r="BT73" s="425"/>
      <c r="BU73" s="425"/>
      <c r="BV73" s="425"/>
      <c r="BW73" s="425"/>
      <c r="BX73" s="425"/>
      <c r="BY73" s="425"/>
      <c r="BZ73" s="425"/>
      <c r="CA73" s="426"/>
      <c r="CF73" s="427"/>
      <c r="CG73" s="427"/>
      <c r="CH73" s="427"/>
      <c r="CI73" s="427"/>
      <c r="CJ73" s="427"/>
      <c r="CK73" s="427"/>
      <c r="CL73" s="427"/>
      <c r="CM73" s="427"/>
      <c r="CN73" s="427"/>
      <c r="CO73" s="427"/>
      <c r="EB73" s="401"/>
      <c r="EC73" s="96"/>
      <c r="ED73" s="96"/>
      <c r="EE73" s="96"/>
      <c r="EF73" s="96"/>
      <c r="EG73" s="96"/>
    </row>
    <row r="74" spans="2:137" ht="14.5" customHeight="1" x14ac:dyDescent="0.25">
      <c r="C74" s="1445" t="s">
        <v>4876</v>
      </c>
      <c r="D74" s="1244"/>
      <c r="E74" s="1244"/>
      <c r="F74" s="1244"/>
      <c r="G74" s="1244"/>
      <c r="H74" s="1244"/>
      <c r="I74" s="1244"/>
      <c r="J74" s="1244"/>
      <c r="K74" s="1244"/>
      <c r="L74" s="1244"/>
      <c r="M74" s="1446"/>
      <c r="N74" s="1244" t="s">
        <v>4879</v>
      </c>
      <c r="O74" s="1244"/>
      <c r="P74" s="1244"/>
      <c r="Q74" s="1244"/>
      <c r="R74" s="1244"/>
      <c r="S74" s="1244"/>
      <c r="T74" s="1244"/>
      <c r="U74" s="1244"/>
      <c r="V74" s="1244"/>
      <c r="W74" s="1244"/>
      <c r="X74" s="1446"/>
      <c r="Y74" s="1445" t="s">
        <v>4880</v>
      </c>
      <c r="Z74" s="1244"/>
      <c r="AA74" s="1244"/>
      <c r="AB74" s="1244"/>
      <c r="AC74" s="1244"/>
      <c r="AD74" s="1244"/>
      <c r="AE74" s="1244"/>
      <c r="AF74" s="1244"/>
      <c r="AG74" s="1244"/>
      <c r="AH74" s="1244"/>
      <c r="AI74" s="1446"/>
      <c r="AJ74" s="1445" t="s">
        <v>4875</v>
      </c>
      <c r="AK74" s="1244"/>
      <c r="AL74" s="1244"/>
      <c r="AM74" s="1244"/>
      <c r="AN74" s="1244"/>
      <c r="AO74" s="1244"/>
      <c r="AP74" s="1244"/>
      <c r="AQ74" s="1244"/>
      <c r="AR74" s="1244"/>
      <c r="AS74" s="1244"/>
      <c r="AT74" s="1446"/>
      <c r="AU74" s="1244" t="s">
        <v>4881</v>
      </c>
      <c r="AV74" s="1244"/>
      <c r="AW74" s="1244"/>
      <c r="AX74" s="1244"/>
      <c r="AY74" s="1244"/>
      <c r="AZ74" s="1244"/>
      <c r="BA74" s="1244"/>
      <c r="BB74" s="1244"/>
      <c r="BC74" s="1244"/>
      <c r="BD74" s="1244"/>
      <c r="BE74" s="1244"/>
      <c r="BF74" s="1445" t="s">
        <v>4882</v>
      </c>
      <c r="BG74" s="1244"/>
      <c r="BH74" s="1244"/>
      <c r="BI74" s="1244"/>
      <c r="BJ74" s="1244"/>
      <c r="BK74" s="1244"/>
      <c r="BL74" s="1244"/>
      <c r="BM74" s="1244"/>
      <c r="BN74" s="1244"/>
      <c r="BO74" s="1244"/>
      <c r="BP74" s="1446"/>
      <c r="BQ74" s="1445" t="s">
        <v>4883</v>
      </c>
      <c r="BR74" s="1244"/>
      <c r="BS74" s="1244"/>
      <c r="BT74" s="1244"/>
      <c r="BU74" s="1244"/>
      <c r="BV74" s="1244"/>
      <c r="BW74" s="1244"/>
      <c r="BX74" s="1244"/>
      <c r="BY74" s="1244"/>
      <c r="BZ74" s="1244"/>
      <c r="CA74" s="1446"/>
      <c r="CC74" s="428" t="s">
        <v>4884</v>
      </c>
      <c r="CD74" s="429"/>
      <c r="CE74" s="429"/>
      <c r="CT74" s="100"/>
      <c r="CU74" s="430"/>
      <c r="CV74" s="430"/>
      <c r="CY74" s="100"/>
      <c r="DC74" s="100"/>
      <c r="DE74" s="430"/>
      <c r="DH74" s="100"/>
      <c r="DI74" s="393"/>
      <c r="DO74" s="100"/>
      <c r="DP74" s="393"/>
      <c r="DQ74" s="430"/>
      <c r="DT74" s="100"/>
      <c r="DU74" s="393"/>
      <c r="EB74" s="401"/>
      <c r="EC74" s="96"/>
      <c r="ED74" s="96"/>
      <c r="EE74" s="96"/>
      <c r="EF74" s="96"/>
      <c r="EG74" s="96"/>
    </row>
    <row r="75" spans="2:137" ht="14.5" customHeight="1" x14ac:dyDescent="0.25">
      <c r="C75" s="431"/>
      <c r="D75" s="432" t="s">
        <v>4885</v>
      </c>
      <c r="E75" s="433"/>
      <c r="F75" s="434">
        <v>1</v>
      </c>
      <c r="G75" s="433"/>
      <c r="H75" s="432" t="s">
        <v>4886</v>
      </c>
      <c r="I75" s="433"/>
      <c r="J75" s="434">
        <v>5</v>
      </c>
      <c r="K75" s="435"/>
      <c r="L75" s="435"/>
      <c r="M75" s="436"/>
      <c r="N75" s="1244" t="s">
        <v>4887</v>
      </c>
      <c r="O75" s="1244"/>
      <c r="P75" s="1244"/>
      <c r="Q75" s="1244"/>
      <c r="R75" s="1244"/>
      <c r="S75" s="1244"/>
      <c r="T75" s="1244"/>
      <c r="U75" s="1244"/>
      <c r="V75" s="1244"/>
      <c r="W75" s="1244"/>
      <c r="X75" s="1446"/>
      <c r="Y75" s="26"/>
      <c r="AI75" s="29"/>
      <c r="AJ75" s="431"/>
      <c r="AK75" s="432" t="s">
        <v>4888</v>
      </c>
      <c r="AL75" s="435"/>
      <c r="AM75" s="434">
        <v>1</v>
      </c>
      <c r="AN75" s="435"/>
      <c r="AP75" s="435"/>
      <c r="AR75" s="435"/>
      <c r="AS75" s="435"/>
      <c r="AT75" s="436"/>
      <c r="BF75" s="431"/>
      <c r="BG75" s="432" t="s">
        <v>4889</v>
      </c>
      <c r="BH75" s="433"/>
      <c r="BI75" s="434">
        <v>30</v>
      </c>
      <c r="BJ75" s="437"/>
      <c r="BK75" s="435" t="s">
        <v>4890</v>
      </c>
      <c r="BL75" s="433"/>
      <c r="BM75" s="437">
        <v>2</v>
      </c>
      <c r="BN75" s="438" t="s">
        <v>4891</v>
      </c>
      <c r="BO75" s="437">
        <v>1</v>
      </c>
      <c r="BP75" s="439"/>
      <c r="BQ75" s="431"/>
      <c r="BR75" s="433"/>
      <c r="BS75" s="433"/>
      <c r="BT75" s="440"/>
      <c r="BU75" s="437"/>
      <c r="BV75" s="437"/>
      <c r="BW75" s="437"/>
      <c r="BX75" s="440"/>
      <c r="BY75" s="435"/>
      <c r="BZ75" s="435"/>
      <c r="CA75" s="436"/>
      <c r="CD75" s="100" t="s">
        <v>4889</v>
      </c>
      <c r="CF75" s="393" t="s">
        <v>4892</v>
      </c>
      <c r="CO75" s="100" t="s">
        <v>4893</v>
      </c>
      <c r="CQ75" s="393" t="s">
        <v>168</v>
      </c>
      <c r="CT75" s="100"/>
      <c r="CU75" s="430"/>
      <c r="CV75" s="430"/>
      <c r="CZ75" s="100" t="s">
        <v>4894</v>
      </c>
      <c r="DA75" s="393"/>
      <c r="DB75" s="393" t="s">
        <v>4895</v>
      </c>
      <c r="DC75" s="111"/>
      <c r="DG75" s="430"/>
      <c r="DH75" s="100"/>
      <c r="DJ75" s="100" t="s">
        <v>4896</v>
      </c>
      <c r="DL75" s="393" t="s">
        <v>4897</v>
      </c>
      <c r="DT75" s="111" t="s">
        <v>4898</v>
      </c>
      <c r="DV75" s="22" t="s">
        <v>4899</v>
      </c>
      <c r="EB75" s="401"/>
      <c r="EC75" s="96"/>
      <c r="ED75" s="96"/>
      <c r="EE75" s="96"/>
      <c r="EF75" s="96"/>
      <c r="EG75" s="96"/>
    </row>
    <row r="76" spans="2:137" ht="14.5" customHeight="1" x14ac:dyDescent="0.25">
      <c r="C76" s="431"/>
      <c r="D76" s="432" t="s">
        <v>4900</v>
      </c>
      <c r="E76" s="433"/>
      <c r="F76" s="434">
        <v>1</v>
      </c>
      <c r="G76" s="433"/>
      <c r="H76" s="432" t="s">
        <v>4891</v>
      </c>
      <c r="I76" s="433"/>
      <c r="J76" s="434">
        <v>1</v>
      </c>
      <c r="K76" s="435"/>
      <c r="L76" s="435"/>
      <c r="M76" s="436"/>
      <c r="N76" s="433"/>
      <c r="O76" s="432" t="s">
        <v>4901</v>
      </c>
      <c r="P76" s="435"/>
      <c r="Q76" s="434">
        <v>2</v>
      </c>
      <c r="R76" s="435"/>
      <c r="S76" s="435" t="s">
        <v>4902</v>
      </c>
      <c r="T76" s="435"/>
      <c r="U76" s="434">
        <v>1</v>
      </c>
      <c r="V76" s="125"/>
      <c r="W76" s="125"/>
      <c r="X76" s="441"/>
      <c r="Y76" s="26"/>
      <c r="Z76" s="432" t="s">
        <v>4903</v>
      </c>
      <c r="AA76" s="433"/>
      <c r="AB76" s="434">
        <v>8</v>
      </c>
      <c r="AC76" s="433"/>
      <c r="AE76" s="442"/>
      <c r="AF76" s="442"/>
      <c r="AI76" s="29"/>
      <c r="AJ76" s="431"/>
      <c r="AK76" s="432" t="s">
        <v>4904</v>
      </c>
      <c r="AL76" s="443"/>
      <c r="AM76" s="434">
        <v>3</v>
      </c>
      <c r="AN76" s="440"/>
      <c r="AO76" s="437"/>
      <c r="AP76" s="437"/>
      <c r="AQ76" s="437"/>
      <c r="AR76" s="440"/>
      <c r="AS76" s="435"/>
      <c r="AT76" s="436"/>
      <c r="AV76" s="432" t="s">
        <v>4905</v>
      </c>
      <c r="AW76" s="435"/>
      <c r="AX76" s="434">
        <v>1</v>
      </c>
      <c r="AZ76" s="432" t="s">
        <v>4906</v>
      </c>
      <c r="BB76" s="434">
        <v>2</v>
      </c>
      <c r="BF76" s="431"/>
      <c r="BG76" s="432" t="s">
        <v>4907</v>
      </c>
      <c r="BH76" s="433"/>
      <c r="BI76" s="434">
        <v>12</v>
      </c>
      <c r="BJ76" s="437"/>
      <c r="BK76" s="438" t="s">
        <v>4908</v>
      </c>
      <c r="BL76" s="433"/>
      <c r="BM76" s="444">
        <v>1</v>
      </c>
      <c r="BN76" s="438" t="s">
        <v>4898</v>
      </c>
      <c r="BO76" s="437">
        <v>1</v>
      </c>
      <c r="BP76" s="439"/>
      <c r="BQ76" s="431"/>
      <c r="BR76" s="432" t="s">
        <v>4885</v>
      </c>
      <c r="BS76" s="433"/>
      <c r="BT76" s="434">
        <v>1</v>
      </c>
      <c r="BU76" s="437"/>
      <c r="BV76" s="432" t="s">
        <v>4909</v>
      </c>
      <c r="BW76" s="437"/>
      <c r="BX76" s="434">
        <v>1</v>
      </c>
      <c r="BY76" s="435"/>
      <c r="BZ76" s="435"/>
      <c r="CA76" s="436"/>
      <c r="CD76" s="100" t="s">
        <v>4905</v>
      </c>
      <c r="CF76" s="393" t="s">
        <v>91</v>
      </c>
      <c r="CO76" s="100" t="s">
        <v>4893</v>
      </c>
      <c r="CP76" s="393"/>
      <c r="CQ76" s="393" t="s">
        <v>4910</v>
      </c>
      <c r="CT76" s="100"/>
      <c r="CU76" s="430"/>
      <c r="CV76" s="430"/>
      <c r="CZ76" s="100" t="s">
        <v>4911</v>
      </c>
      <c r="DB76" s="393" t="s">
        <v>4912</v>
      </c>
      <c r="DC76" s="111"/>
      <c r="DG76" s="430"/>
      <c r="DH76" s="100"/>
      <c r="DJ76" s="100" t="s">
        <v>4913</v>
      </c>
      <c r="DL76" s="393" t="s">
        <v>4914</v>
      </c>
      <c r="DO76" s="100"/>
      <c r="DP76" s="393"/>
      <c r="DQ76" s="430"/>
      <c r="DT76" s="100" t="s">
        <v>4915</v>
      </c>
      <c r="DU76" s="393"/>
      <c r="DV76" s="22" t="s">
        <v>4916</v>
      </c>
      <c r="EB76" s="29"/>
      <c r="EC76" s="96"/>
      <c r="ED76" s="96"/>
      <c r="EE76" s="96"/>
      <c r="EF76" s="96"/>
      <c r="EG76" s="96"/>
    </row>
    <row r="77" spans="2:137" ht="14.5" customHeight="1" x14ac:dyDescent="0.25">
      <c r="C77" s="431"/>
      <c r="D77" s="432" t="s">
        <v>4917</v>
      </c>
      <c r="E77" s="433"/>
      <c r="F77" s="434">
        <v>1</v>
      </c>
      <c r="G77" s="433"/>
      <c r="H77" s="432" t="s">
        <v>4893</v>
      </c>
      <c r="I77" s="433"/>
      <c r="J77" s="434">
        <v>1</v>
      </c>
      <c r="K77" s="435"/>
      <c r="L77" s="435"/>
      <c r="M77" s="436"/>
      <c r="N77" s="445" t="s">
        <v>4918</v>
      </c>
      <c r="P77" s="435"/>
      <c r="Q77" s="434">
        <v>1</v>
      </c>
      <c r="R77" s="433"/>
      <c r="T77" s="125"/>
      <c r="U77" s="433"/>
      <c r="V77" s="125"/>
      <c r="W77" s="125"/>
      <c r="X77" s="441"/>
      <c r="Y77" s="26"/>
      <c r="Z77" s="432" t="s">
        <v>4893</v>
      </c>
      <c r="AA77" s="433"/>
      <c r="AB77" s="434">
        <v>2</v>
      </c>
      <c r="AC77" s="437"/>
      <c r="AE77" s="442"/>
      <c r="AF77" s="442"/>
      <c r="AI77" s="29"/>
      <c r="AJ77" s="431"/>
      <c r="AK77" s="432" t="s">
        <v>4886</v>
      </c>
      <c r="AL77" s="443"/>
      <c r="AM77" s="434">
        <v>4</v>
      </c>
      <c r="AN77" s="440"/>
      <c r="AO77" s="437"/>
      <c r="AP77" s="443"/>
      <c r="AQ77" s="437"/>
      <c r="AR77" s="440"/>
      <c r="AS77" s="435"/>
      <c r="AT77" s="436"/>
      <c r="AV77" s="432" t="s">
        <v>4919</v>
      </c>
      <c r="AW77" s="435"/>
      <c r="AX77" s="434">
        <v>4</v>
      </c>
      <c r="AZ77" s="432" t="s">
        <v>4920</v>
      </c>
      <c r="BB77" s="434">
        <v>1</v>
      </c>
      <c r="BF77" s="431"/>
      <c r="BG77" s="432" t="s">
        <v>4921</v>
      </c>
      <c r="BH77" s="433"/>
      <c r="BI77" s="434">
        <v>3</v>
      </c>
      <c r="BJ77" s="437"/>
      <c r="BK77" s="438" t="s">
        <v>4922</v>
      </c>
      <c r="BL77" s="433"/>
      <c r="BM77" s="444">
        <v>1</v>
      </c>
      <c r="BP77" s="436"/>
      <c r="BQ77" s="431"/>
      <c r="BR77" s="432" t="s">
        <v>4923</v>
      </c>
      <c r="BS77" s="433"/>
      <c r="BT77" s="434">
        <v>3</v>
      </c>
      <c r="BU77" s="437"/>
      <c r="BV77" s="443"/>
      <c r="BW77" s="437"/>
      <c r="BX77" s="440"/>
      <c r="BY77" s="435"/>
      <c r="BZ77" s="435"/>
      <c r="CA77" s="436"/>
      <c r="CD77" s="100" t="s">
        <v>4907</v>
      </c>
      <c r="CF77" s="393" t="s">
        <v>172</v>
      </c>
      <c r="CO77" s="100" t="s">
        <v>4893</v>
      </c>
      <c r="CP77" s="393"/>
      <c r="CQ77" s="393" t="s">
        <v>4924</v>
      </c>
      <c r="CT77" s="100"/>
      <c r="CU77" s="430"/>
      <c r="CV77" s="430"/>
      <c r="CZ77" s="100" t="s">
        <v>4925</v>
      </c>
      <c r="DB77" s="393" t="s">
        <v>4737</v>
      </c>
      <c r="DC77" s="111"/>
      <c r="DG77" s="430"/>
      <c r="DH77" s="100"/>
      <c r="DJ77" s="100" t="s">
        <v>4926</v>
      </c>
      <c r="DL77" s="393" t="s">
        <v>4927</v>
      </c>
      <c r="DO77" s="100"/>
      <c r="DP77" s="393"/>
      <c r="DQ77" s="430"/>
      <c r="DT77" s="100" t="s">
        <v>4909</v>
      </c>
      <c r="DU77" s="393" t="s">
        <v>4928</v>
      </c>
      <c r="EB77" s="29"/>
      <c r="EC77" s="96"/>
      <c r="ED77" s="96"/>
      <c r="EE77" s="96"/>
      <c r="EF77" s="96"/>
      <c r="EG77" s="96"/>
    </row>
    <row r="78" spans="2:137" ht="14.5" customHeight="1" x14ac:dyDescent="0.25">
      <c r="C78" s="431"/>
      <c r="D78" s="432" t="s">
        <v>4929</v>
      </c>
      <c r="E78" s="433"/>
      <c r="F78" s="434">
        <v>3</v>
      </c>
      <c r="G78" s="433"/>
      <c r="H78" s="432" t="s">
        <v>4906</v>
      </c>
      <c r="I78" s="435"/>
      <c r="J78" s="434">
        <v>1</v>
      </c>
      <c r="K78" s="435"/>
      <c r="L78" s="435"/>
      <c r="M78" s="436"/>
      <c r="N78" s="433"/>
      <c r="O78" s="432" t="s">
        <v>4891</v>
      </c>
      <c r="P78" s="435"/>
      <c r="Q78" s="434"/>
      <c r="R78" s="433"/>
      <c r="S78" s="435"/>
      <c r="T78" s="125"/>
      <c r="U78" s="125"/>
      <c r="V78" s="125"/>
      <c r="W78" s="125"/>
      <c r="X78" s="441"/>
      <c r="Y78" s="26"/>
      <c r="Z78" s="432" t="s">
        <v>4930</v>
      </c>
      <c r="AA78" s="433"/>
      <c r="AB78" s="434">
        <v>6</v>
      </c>
      <c r="AC78" s="437"/>
      <c r="AD78" s="443"/>
      <c r="AE78" s="437"/>
      <c r="AF78" s="440"/>
      <c r="AI78" s="29"/>
      <c r="AJ78" s="431"/>
      <c r="AK78" s="432" t="s">
        <v>4931</v>
      </c>
      <c r="AL78" s="443"/>
      <c r="AM78" s="434">
        <v>1</v>
      </c>
      <c r="AN78" s="440"/>
      <c r="AO78" s="437"/>
      <c r="AP78" s="443"/>
      <c r="AQ78" s="437"/>
      <c r="AR78" s="440"/>
      <c r="AS78" s="435"/>
      <c r="AT78" s="436"/>
      <c r="AV78" s="432" t="s">
        <v>4891</v>
      </c>
      <c r="AW78" s="435"/>
      <c r="AX78" s="434">
        <v>2</v>
      </c>
      <c r="BF78" s="431"/>
      <c r="BG78" s="432" t="s">
        <v>4893</v>
      </c>
      <c r="BH78" s="433"/>
      <c r="BI78" s="434">
        <v>4</v>
      </c>
      <c r="BJ78" s="437"/>
      <c r="BK78" s="438" t="s">
        <v>4932</v>
      </c>
      <c r="BL78" s="433"/>
      <c r="BM78" s="444">
        <v>7</v>
      </c>
      <c r="BN78" s="435"/>
      <c r="BO78" s="437"/>
      <c r="BP78" s="436"/>
      <c r="BQ78" s="431"/>
      <c r="BR78" s="432" t="s">
        <v>4894</v>
      </c>
      <c r="BS78" s="433"/>
      <c r="BT78" s="434">
        <v>1</v>
      </c>
      <c r="BU78" s="437"/>
      <c r="BV78" s="443"/>
      <c r="BW78" s="437"/>
      <c r="BX78" s="440"/>
      <c r="BY78" s="435"/>
      <c r="BZ78" s="435"/>
      <c r="CA78" s="436"/>
      <c r="CD78" s="100" t="s">
        <v>4885</v>
      </c>
      <c r="CF78" s="393" t="s">
        <v>90</v>
      </c>
      <c r="CO78" s="100" t="s">
        <v>4893</v>
      </c>
      <c r="CP78" s="393"/>
      <c r="CQ78" s="393" t="s">
        <v>4924</v>
      </c>
      <c r="CT78" s="100"/>
      <c r="CU78" s="430"/>
      <c r="CV78" s="430"/>
      <c r="CZ78" s="100" t="s">
        <v>4929</v>
      </c>
      <c r="DB78" s="393" t="s">
        <v>4933</v>
      </c>
      <c r="DC78" s="111"/>
      <c r="DG78" s="430"/>
      <c r="DJ78" s="100" t="s">
        <v>4934</v>
      </c>
      <c r="DL78" s="393" t="s">
        <v>4935</v>
      </c>
      <c r="DO78" s="100"/>
      <c r="DP78" s="393"/>
      <c r="DQ78" s="430"/>
      <c r="DT78" s="100"/>
      <c r="DU78" s="393"/>
      <c r="EB78" s="29"/>
      <c r="EE78" s="96"/>
      <c r="EF78" s="96"/>
      <c r="EG78" s="96"/>
    </row>
    <row r="79" spans="2:137" ht="14.5" customHeight="1" x14ac:dyDescent="0.25">
      <c r="C79" s="431"/>
      <c r="D79" s="432" t="s">
        <v>4907</v>
      </c>
      <c r="E79" s="433"/>
      <c r="F79" s="434">
        <v>8</v>
      </c>
      <c r="G79" s="433"/>
      <c r="H79" s="433" t="s">
        <v>4936</v>
      </c>
      <c r="I79" s="433"/>
      <c r="J79" s="434">
        <v>8</v>
      </c>
      <c r="K79" s="435"/>
      <c r="L79" s="435"/>
      <c r="M79" s="436"/>
      <c r="N79" s="433"/>
      <c r="O79" s="432" t="s">
        <v>4937</v>
      </c>
      <c r="P79" s="435"/>
      <c r="Q79" s="434">
        <v>1</v>
      </c>
      <c r="R79" s="433"/>
      <c r="S79" s="435"/>
      <c r="T79" s="125"/>
      <c r="U79" s="125"/>
      <c r="V79" s="125"/>
      <c r="W79" s="125"/>
      <c r="X79" s="441"/>
      <c r="Y79" s="26"/>
      <c r="Z79" s="432" t="s">
        <v>4938</v>
      </c>
      <c r="AA79" s="433"/>
      <c r="AB79" s="434">
        <v>7</v>
      </c>
      <c r="AC79" s="437"/>
      <c r="AD79" s="443"/>
      <c r="AE79" s="437"/>
      <c r="AF79" s="440"/>
      <c r="AI79" s="29"/>
      <c r="AJ79" s="446"/>
      <c r="AK79" s="432" t="s">
        <v>4891</v>
      </c>
      <c r="AL79" s="443"/>
      <c r="AM79" s="434">
        <v>1</v>
      </c>
      <c r="AN79" s="440"/>
      <c r="AO79" s="437"/>
      <c r="AP79" s="443"/>
      <c r="AQ79" s="437"/>
      <c r="AR79" s="440"/>
      <c r="AS79" s="433"/>
      <c r="AT79" s="447"/>
      <c r="AV79" s="432" t="s">
        <v>4885</v>
      </c>
      <c r="AW79" s="435"/>
      <c r="AX79" s="434">
        <v>1</v>
      </c>
      <c r="BF79" s="446"/>
      <c r="BG79" s="432" t="s">
        <v>4939</v>
      </c>
      <c r="BH79" s="433"/>
      <c r="BI79" s="434">
        <v>5</v>
      </c>
      <c r="BJ79" s="448"/>
      <c r="BK79" s="438" t="s">
        <v>4940</v>
      </c>
      <c r="BL79" s="433"/>
      <c r="BM79" s="444">
        <v>15</v>
      </c>
      <c r="BN79" s="433"/>
      <c r="BO79" s="433"/>
      <c r="BP79" s="447"/>
      <c r="BQ79" s="446"/>
      <c r="BR79" s="432" t="s">
        <v>4891</v>
      </c>
      <c r="BS79" s="433"/>
      <c r="BT79" s="434">
        <v>1</v>
      </c>
      <c r="BU79" s="448"/>
      <c r="BV79" s="448"/>
      <c r="BW79" s="448"/>
      <c r="BX79" s="448"/>
      <c r="BY79" s="433"/>
      <c r="BZ79" s="433"/>
      <c r="CA79" s="447"/>
      <c r="CD79" s="100" t="s">
        <v>4919</v>
      </c>
      <c r="CF79" s="393" t="s">
        <v>4941</v>
      </c>
      <c r="CO79" s="100" t="s">
        <v>4893</v>
      </c>
      <c r="CP79" s="393"/>
      <c r="CQ79" s="393" t="s">
        <v>4924</v>
      </c>
      <c r="CT79" s="100"/>
      <c r="CU79" s="430"/>
      <c r="CV79" s="430"/>
      <c r="CZ79" s="100" t="s">
        <v>4942</v>
      </c>
      <c r="DB79" s="393" t="s">
        <v>4943</v>
      </c>
      <c r="DG79" s="430"/>
      <c r="DH79" s="100"/>
      <c r="DJ79" s="100" t="s">
        <v>4944</v>
      </c>
      <c r="DL79" s="393" t="s">
        <v>4945</v>
      </c>
      <c r="DT79" s="100"/>
      <c r="DU79" s="393"/>
      <c r="EB79" s="29"/>
      <c r="EE79" s="96"/>
      <c r="EF79" s="96"/>
      <c r="EG79" s="96"/>
    </row>
    <row r="80" spans="2:137" ht="14.5" customHeight="1" x14ac:dyDescent="0.25">
      <c r="C80" s="431"/>
      <c r="D80" s="432" t="s">
        <v>4908</v>
      </c>
      <c r="E80" s="433"/>
      <c r="F80" s="434">
        <v>2</v>
      </c>
      <c r="G80" s="433"/>
      <c r="H80" s="433" t="s">
        <v>4889</v>
      </c>
      <c r="I80" s="433"/>
      <c r="J80" s="434">
        <v>2</v>
      </c>
      <c r="K80" s="435"/>
      <c r="L80" s="435"/>
      <c r="M80" s="436"/>
      <c r="N80" s="433"/>
      <c r="O80" s="432" t="s">
        <v>4946</v>
      </c>
      <c r="P80" s="435"/>
      <c r="Q80" s="434">
        <v>8</v>
      </c>
      <c r="R80" s="433"/>
      <c r="S80" s="435"/>
      <c r="T80" s="125"/>
      <c r="U80" s="125"/>
      <c r="V80" s="125"/>
      <c r="W80" s="125"/>
      <c r="X80" s="441"/>
      <c r="Y80" s="26"/>
      <c r="Z80" s="449" t="s">
        <v>4947</v>
      </c>
      <c r="AB80" s="434">
        <v>1</v>
      </c>
      <c r="AI80" s="29"/>
      <c r="AJ80" s="446"/>
      <c r="AK80" s="432" t="s">
        <v>4893</v>
      </c>
      <c r="AL80" s="443"/>
      <c r="AM80" s="434">
        <v>1</v>
      </c>
      <c r="AN80" s="440"/>
      <c r="AO80" s="448"/>
      <c r="AP80" s="448"/>
      <c r="AQ80" s="448"/>
      <c r="AR80" s="448"/>
      <c r="AS80" s="433"/>
      <c r="AT80" s="447"/>
      <c r="AV80" s="432" t="s">
        <v>4948</v>
      </c>
      <c r="AX80" s="434">
        <v>3</v>
      </c>
      <c r="BF80" s="446"/>
      <c r="BG80" s="432" t="s">
        <v>4888</v>
      </c>
      <c r="BH80" s="433"/>
      <c r="BI80" s="434">
        <v>2</v>
      </c>
      <c r="BJ80" s="448"/>
      <c r="BK80" s="438" t="s">
        <v>4949</v>
      </c>
      <c r="BM80" s="444">
        <v>11</v>
      </c>
      <c r="BN80" s="433"/>
      <c r="BO80" s="433"/>
      <c r="BP80" s="447"/>
      <c r="BQ80" s="446"/>
      <c r="BR80" s="432" t="s">
        <v>4950</v>
      </c>
      <c r="BS80" s="433"/>
      <c r="BT80" s="434">
        <v>5</v>
      </c>
      <c r="BU80" s="448"/>
      <c r="BV80" s="448"/>
      <c r="BW80" s="448"/>
      <c r="BX80" s="448"/>
      <c r="BY80" s="433"/>
      <c r="BZ80" s="433"/>
      <c r="CA80" s="447"/>
      <c r="CD80" s="100" t="s">
        <v>4903</v>
      </c>
      <c r="CF80" s="393" t="s">
        <v>195</v>
      </c>
      <c r="CO80" s="100" t="s">
        <v>4893</v>
      </c>
      <c r="CP80" s="393"/>
      <c r="CQ80" s="393" t="s">
        <v>4924</v>
      </c>
      <c r="CT80" s="100"/>
      <c r="CU80" s="430"/>
      <c r="CV80" s="430"/>
      <c r="CZ80" s="100" t="s">
        <v>4938</v>
      </c>
      <c r="DB80" s="393" t="s">
        <v>270</v>
      </c>
      <c r="DC80" s="111"/>
      <c r="DG80" s="430"/>
      <c r="DH80" s="100"/>
      <c r="DJ80" s="100" t="s">
        <v>4946</v>
      </c>
      <c r="DL80" s="393" t="s">
        <v>4951</v>
      </c>
      <c r="DT80" s="100"/>
      <c r="DU80" s="393"/>
      <c r="EB80" s="29"/>
      <c r="EE80" s="96"/>
      <c r="EF80" s="96"/>
      <c r="EG80" s="96"/>
    </row>
    <row r="81" spans="3:137" ht="14.5" customHeight="1" x14ac:dyDescent="0.25">
      <c r="C81" s="431"/>
      <c r="D81" s="432" t="s">
        <v>4952</v>
      </c>
      <c r="E81" s="433"/>
      <c r="F81" s="434">
        <v>4</v>
      </c>
      <c r="G81" s="433"/>
      <c r="H81" s="433" t="s">
        <v>4953</v>
      </c>
      <c r="I81" s="433"/>
      <c r="J81" s="434">
        <v>2</v>
      </c>
      <c r="K81" s="435"/>
      <c r="L81" s="435"/>
      <c r="M81" s="436"/>
      <c r="N81" s="433"/>
      <c r="O81" s="432" t="s">
        <v>4944</v>
      </c>
      <c r="P81" s="435"/>
      <c r="Q81" s="434">
        <v>1</v>
      </c>
      <c r="R81" s="433"/>
      <c r="S81" s="435"/>
      <c r="T81" s="125"/>
      <c r="U81" s="125"/>
      <c r="V81" s="125"/>
      <c r="W81" s="125"/>
      <c r="X81" s="441"/>
      <c r="Y81" s="26"/>
      <c r="Z81" s="449" t="s">
        <v>4891</v>
      </c>
      <c r="AB81" s="434">
        <v>1</v>
      </c>
      <c r="AI81" s="29"/>
      <c r="AJ81" s="446"/>
      <c r="AK81" s="435" t="s">
        <v>4890</v>
      </c>
      <c r="AL81" s="443"/>
      <c r="AM81" s="437">
        <v>1</v>
      </c>
      <c r="AN81" s="440"/>
      <c r="AO81" s="448"/>
      <c r="AP81" s="448"/>
      <c r="AQ81" s="448"/>
      <c r="AR81" s="448"/>
      <c r="AS81" s="433"/>
      <c r="AT81" s="447"/>
      <c r="AV81" s="432"/>
      <c r="AX81" s="434"/>
      <c r="BF81" s="446"/>
      <c r="BG81" s="428" t="s">
        <v>4954</v>
      </c>
      <c r="BH81" s="433"/>
      <c r="BI81" s="434">
        <v>5</v>
      </c>
      <c r="BJ81" s="448"/>
      <c r="BK81" s="435" t="s">
        <v>4915</v>
      </c>
      <c r="BM81" s="437">
        <v>1</v>
      </c>
      <c r="BN81" s="433"/>
      <c r="BO81" s="433"/>
      <c r="BP81" s="447"/>
      <c r="BQ81" s="446"/>
      <c r="BR81" s="443"/>
      <c r="BS81" s="448"/>
      <c r="BT81" s="450"/>
      <c r="BU81" s="448"/>
      <c r="BV81" s="448"/>
      <c r="BW81" s="448"/>
      <c r="BX81" s="448"/>
      <c r="BY81" s="433"/>
      <c r="BZ81" s="433"/>
      <c r="CA81" s="447"/>
      <c r="CD81" s="100" t="s">
        <v>4886</v>
      </c>
      <c r="CF81" s="393" t="s">
        <v>4955</v>
      </c>
      <c r="CO81" s="100" t="s">
        <v>4947</v>
      </c>
      <c r="CP81" s="393"/>
      <c r="CQ81" s="393" t="s">
        <v>4956</v>
      </c>
      <c r="CT81" s="100"/>
      <c r="CU81" s="430"/>
      <c r="CV81" s="430"/>
      <c r="CZ81" s="100" t="s">
        <v>4957</v>
      </c>
      <c r="DB81" s="393" t="s">
        <v>4958</v>
      </c>
      <c r="DC81" s="111"/>
      <c r="DG81" s="430"/>
      <c r="DH81" s="100"/>
      <c r="DJ81" s="100" t="s">
        <v>4888</v>
      </c>
      <c r="DL81" s="393" t="s">
        <v>4959</v>
      </c>
      <c r="EB81" s="401"/>
      <c r="EE81" s="96"/>
      <c r="EF81" s="96"/>
      <c r="EG81" s="96"/>
    </row>
    <row r="82" spans="3:137" ht="14.5" customHeight="1" x14ac:dyDescent="0.25">
      <c r="C82" s="451"/>
      <c r="D82" s="452"/>
      <c r="E82" s="452"/>
      <c r="F82" s="452"/>
      <c r="G82" s="452"/>
      <c r="H82" s="452"/>
      <c r="I82" s="452"/>
      <c r="J82" s="452"/>
      <c r="K82" s="452"/>
      <c r="L82" s="452"/>
      <c r="M82" s="453"/>
      <c r="N82" s="125"/>
      <c r="O82" s="125"/>
      <c r="P82" s="125"/>
      <c r="Q82" s="454"/>
      <c r="R82" s="125"/>
      <c r="S82" s="125"/>
      <c r="T82" s="125"/>
      <c r="U82" s="125"/>
      <c r="V82" s="125"/>
      <c r="W82" s="125"/>
      <c r="X82" s="441"/>
      <c r="Y82" s="396"/>
      <c r="Z82" s="25"/>
      <c r="AA82" s="25"/>
      <c r="AB82" s="25"/>
      <c r="AC82" s="25"/>
      <c r="AD82" s="25"/>
      <c r="AE82" s="25"/>
      <c r="AF82" s="25"/>
      <c r="AG82" s="25"/>
      <c r="AH82" s="25"/>
      <c r="AI82" s="30"/>
      <c r="AJ82" s="396"/>
      <c r="AK82" s="25"/>
      <c r="AL82" s="25"/>
      <c r="AM82" s="25"/>
      <c r="AN82" s="25"/>
      <c r="AO82" s="25"/>
      <c r="AP82" s="25"/>
      <c r="AQ82" s="25"/>
      <c r="AR82" s="25"/>
      <c r="AS82" s="25"/>
      <c r="AT82" s="30"/>
      <c r="AU82" s="451"/>
      <c r="AV82" s="452"/>
      <c r="AW82" s="452"/>
      <c r="AX82" s="452"/>
      <c r="AY82" s="452"/>
      <c r="AZ82" s="452"/>
      <c r="BA82" s="452"/>
      <c r="BB82" s="452"/>
      <c r="BC82" s="452"/>
      <c r="BD82" s="452"/>
      <c r="BE82" s="452"/>
      <c r="BF82" s="455"/>
      <c r="BG82" s="25"/>
      <c r="BH82" s="25"/>
      <c r="BI82" s="25"/>
      <c r="BJ82" s="456"/>
      <c r="BK82" s="25"/>
      <c r="BL82" s="25"/>
      <c r="BM82" s="25"/>
      <c r="BN82" s="456"/>
      <c r="BO82" s="456"/>
      <c r="BP82" s="457"/>
      <c r="BQ82" s="451"/>
      <c r="BR82" s="452"/>
      <c r="BS82" s="452"/>
      <c r="BT82" s="452"/>
      <c r="BU82" s="452"/>
      <c r="BV82" s="452"/>
      <c r="BW82" s="452"/>
      <c r="BX82" s="452"/>
      <c r="BY82" s="452"/>
      <c r="BZ82" s="452"/>
      <c r="CA82" s="453"/>
      <c r="CD82" s="100" t="s">
        <v>4960</v>
      </c>
      <c r="CF82" s="393" t="s">
        <v>4961</v>
      </c>
      <c r="CO82" s="100" t="s">
        <v>4947</v>
      </c>
      <c r="CP82" s="393"/>
      <c r="CQ82" s="393" t="s">
        <v>4865</v>
      </c>
      <c r="CT82" s="100"/>
      <c r="CU82" s="430"/>
      <c r="CV82" s="430"/>
      <c r="CZ82" s="100" t="s">
        <v>4940</v>
      </c>
      <c r="DB82" s="393" t="s">
        <v>4764</v>
      </c>
      <c r="DC82" s="111"/>
      <c r="DG82" s="430"/>
      <c r="DH82" s="100"/>
      <c r="DJ82" s="100" t="s">
        <v>4904</v>
      </c>
      <c r="DL82" s="393" t="s">
        <v>4962</v>
      </c>
      <c r="EB82" s="401"/>
      <c r="EE82" s="96"/>
      <c r="EF82" s="96"/>
      <c r="EG82" s="96"/>
    </row>
    <row r="83" spans="3:137" x14ac:dyDescent="0.25">
      <c r="C83" s="33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424"/>
      <c r="O83" s="425"/>
      <c r="P83" s="425"/>
      <c r="Q83" s="425"/>
      <c r="R83" s="425"/>
      <c r="S83" s="425"/>
      <c r="T83" s="425"/>
      <c r="U83" s="425"/>
      <c r="V83" s="425"/>
      <c r="W83" s="425"/>
      <c r="X83" s="426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441"/>
      <c r="AJ83" s="458"/>
      <c r="AK83" s="125"/>
      <c r="AL83" s="125"/>
      <c r="AM83" s="125"/>
      <c r="AN83" s="125"/>
      <c r="AO83" s="125"/>
      <c r="AP83" s="125"/>
      <c r="AQ83" s="125"/>
      <c r="AR83" s="125"/>
      <c r="AS83" s="125"/>
      <c r="AT83" s="441"/>
      <c r="AU83" s="458"/>
      <c r="AV83" s="125"/>
      <c r="AW83" s="125"/>
      <c r="AX83" s="125"/>
      <c r="AY83" s="125"/>
      <c r="AZ83" s="125"/>
      <c r="BA83" s="125"/>
      <c r="BB83" s="125"/>
      <c r="BC83" s="125"/>
      <c r="BD83" s="125"/>
      <c r="BE83" s="441"/>
      <c r="BF83" s="458"/>
      <c r="BG83" s="125"/>
      <c r="BH83" s="125"/>
      <c r="BI83" s="125"/>
      <c r="BJ83" s="125"/>
      <c r="BK83" s="125"/>
      <c r="BL83" s="125"/>
      <c r="BM83" s="125"/>
      <c r="BN83" s="125"/>
      <c r="BO83" s="125"/>
      <c r="BP83" s="441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459"/>
      <c r="CD83" s="100" t="s">
        <v>4963</v>
      </c>
      <c r="CF83" s="393" t="s">
        <v>4964</v>
      </c>
      <c r="CO83" s="100" t="s">
        <v>4947</v>
      </c>
      <c r="CP83" s="393"/>
      <c r="CQ83" s="393" t="s">
        <v>4965</v>
      </c>
      <c r="CT83" s="100"/>
      <c r="CU83" s="430"/>
      <c r="CV83" s="430"/>
      <c r="CZ83" s="100" t="s">
        <v>4949</v>
      </c>
      <c r="DB83" s="393" t="s">
        <v>227</v>
      </c>
      <c r="DC83" s="111"/>
      <c r="DG83" s="430"/>
      <c r="DH83" s="100"/>
      <c r="DJ83" s="100" t="s">
        <v>4966</v>
      </c>
      <c r="DL83" s="393" t="s">
        <v>4967</v>
      </c>
      <c r="DO83" s="100"/>
      <c r="DP83" s="393"/>
      <c r="EB83" s="401"/>
    </row>
    <row r="84" spans="3:137" x14ac:dyDescent="0.25">
      <c r="C84" s="1445" t="s">
        <v>265</v>
      </c>
      <c r="D84" s="1244"/>
      <c r="E84" s="1244"/>
      <c r="F84" s="1244"/>
      <c r="G84" s="1244"/>
      <c r="H84" s="1244"/>
      <c r="I84" s="1244"/>
      <c r="J84" s="1244"/>
      <c r="K84" s="1244"/>
      <c r="L84" s="1244"/>
      <c r="M84" s="1244"/>
      <c r="N84" s="1445" t="s">
        <v>4743</v>
      </c>
      <c r="O84" s="1244"/>
      <c r="P84" s="1244"/>
      <c r="Q84" s="1244"/>
      <c r="R84" s="1244"/>
      <c r="S84" s="1244"/>
      <c r="T84" s="1244"/>
      <c r="U84" s="1244"/>
      <c r="V84" s="1244"/>
      <c r="W84" s="1244"/>
      <c r="X84" s="1446"/>
      <c r="Y84" s="1244" t="s">
        <v>4968</v>
      </c>
      <c r="Z84" s="1244"/>
      <c r="AA84" s="1244"/>
      <c r="AB84" s="1244"/>
      <c r="AC84" s="1244"/>
      <c r="AD84" s="1244"/>
      <c r="AE84" s="1244"/>
      <c r="AF84" s="1244"/>
      <c r="AG84" s="1244"/>
      <c r="AH84" s="1244"/>
      <c r="AI84" s="1446"/>
      <c r="AJ84" s="1445" t="s">
        <v>4969</v>
      </c>
      <c r="AK84" s="1244"/>
      <c r="AL84" s="1244"/>
      <c r="AM84" s="1244"/>
      <c r="AN84" s="1244"/>
      <c r="AO84" s="1244"/>
      <c r="AP84" s="1244"/>
      <c r="AQ84" s="1244"/>
      <c r="AR84" s="1244"/>
      <c r="AS84" s="1244"/>
      <c r="AT84" s="1446"/>
      <c r="AU84" s="1445" t="s">
        <v>4970</v>
      </c>
      <c r="AV84" s="1244"/>
      <c r="AW84" s="1244"/>
      <c r="AX84" s="1244"/>
      <c r="AY84" s="1244"/>
      <c r="AZ84" s="1244"/>
      <c r="BA84" s="1244"/>
      <c r="BB84" s="1244"/>
      <c r="BC84" s="1244"/>
      <c r="BD84" s="1244"/>
      <c r="BE84" s="1446"/>
      <c r="BF84" s="1445" t="s">
        <v>377</v>
      </c>
      <c r="BG84" s="1244"/>
      <c r="BH84" s="1244"/>
      <c r="BI84" s="1244"/>
      <c r="BJ84" s="1244"/>
      <c r="BK84" s="1244"/>
      <c r="BL84" s="1244"/>
      <c r="BM84" s="1244"/>
      <c r="BN84" s="1244"/>
      <c r="BO84" s="1244"/>
      <c r="BP84" s="1446"/>
      <c r="BQ84" s="1445" t="s">
        <v>4971</v>
      </c>
      <c r="BR84" s="1244"/>
      <c r="BS84" s="1244"/>
      <c r="BT84" s="1244"/>
      <c r="BU84" s="1244"/>
      <c r="BV84" s="1244"/>
      <c r="BW84" s="1244"/>
      <c r="BX84" s="1244"/>
      <c r="BY84" s="1244"/>
      <c r="BZ84" s="1244"/>
      <c r="CA84" s="1446"/>
      <c r="CD84" s="100" t="s">
        <v>4952</v>
      </c>
      <c r="CF84" s="393" t="s">
        <v>206</v>
      </c>
      <c r="CO84" s="100" t="s">
        <v>4947</v>
      </c>
      <c r="CP84" s="393"/>
      <c r="CQ84" s="393" t="s">
        <v>4972</v>
      </c>
      <c r="CT84" s="100"/>
      <c r="CU84" s="430"/>
      <c r="CV84" s="430"/>
      <c r="CZ84" s="100" t="s">
        <v>4973</v>
      </c>
      <c r="DB84" s="393" t="s">
        <v>82</v>
      </c>
      <c r="DC84" s="111"/>
      <c r="DG84" s="430"/>
      <c r="DJ84" s="100" t="s">
        <v>4939</v>
      </c>
      <c r="DL84" s="393" t="s">
        <v>4974</v>
      </c>
      <c r="DO84" s="100"/>
      <c r="DP84" s="393"/>
      <c r="EB84" s="401"/>
    </row>
    <row r="85" spans="3:137" x14ac:dyDescent="0.25">
      <c r="C85" s="431"/>
      <c r="D85" s="432" t="s">
        <v>4886</v>
      </c>
      <c r="E85" s="437"/>
      <c r="F85" s="434">
        <v>10</v>
      </c>
      <c r="G85" s="437"/>
      <c r="H85" s="435" t="s">
        <v>4890</v>
      </c>
      <c r="I85" s="435"/>
      <c r="J85" s="437">
        <v>1</v>
      </c>
      <c r="K85" s="435"/>
      <c r="L85" s="435"/>
      <c r="M85" s="435"/>
      <c r="N85" s="460"/>
      <c r="O85" s="449" t="s">
        <v>4960</v>
      </c>
      <c r="P85" s="442"/>
      <c r="Q85" s="434">
        <v>1</v>
      </c>
      <c r="R85" s="442"/>
      <c r="S85" s="449" t="s">
        <v>4953</v>
      </c>
      <c r="T85" s="442"/>
      <c r="U85" s="434">
        <v>4</v>
      </c>
      <c r="V85" s="442"/>
      <c r="W85" s="442"/>
      <c r="X85" s="436"/>
      <c r="Y85" s="1244" t="s">
        <v>4975</v>
      </c>
      <c r="Z85" s="1244"/>
      <c r="AA85" s="1244"/>
      <c r="AB85" s="1244"/>
      <c r="AC85" s="1244"/>
      <c r="AD85" s="1244"/>
      <c r="AE85" s="1244"/>
      <c r="AF85" s="1244"/>
      <c r="AG85" s="1244"/>
      <c r="AH85" s="1244"/>
      <c r="AI85" s="1446"/>
      <c r="AJ85" s="458"/>
      <c r="AK85" s="433"/>
      <c r="AL85" s="433"/>
      <c r="AM85" s="433"/>
      <c r="AN85" s="435"/>
      <c r="AO85" s="435"/>
      <c r="AP85" s="435"/>
      <c r="AQ85" s="435"/>
      <c r="AR85" s="435"/>
      <c r="AS85" s="435"/>
      <c r="AT85" s="436"/>
      <c r="AU85" s="461"/>
      <c r="AV85" s="432" t="s">
        <v>4925</v>
      </c>
      <c r="AW85" s="442"/>
      <c r="AX85" s="434">
        <v>12</v>
      </c>
      <c r="AY85" s="442"/>
      <c r="AZ85" s="442"/>
      <c r="BA85" s="449"/>
      <c r="BB85" s="442"/>
      <c r="BC85" s="442"/>
      <c r="BD85" s="442"/>
      <c r="BE85" s="462"/>
      <c r="BF85" s="446"/>
      <c r="BG85" s="435" t="s">
        <v>4888</v>
      </c>
      <c r="BH85" s="433"/>
      <c r="BI85" s="434">
        <v>2</v>
      </c>
      <c r="BK85" s="435"/>
      <c r="BL85" s="435"/>
      <c r="BM85" s="435"/>
      <c r="BN85" s="435"/>
      <c r="BO85" s="435"/>
      <c r="BP85" s="436"/>
      <c r="BQ85" s="435"/>
      <c r="BR85" s="432" t="s">
        <v>4886</v>
      </c>
      <c r="BS85" s="435"/>
      <c r="BT85" s="434">
        <v>2</v>
      </c>
      <c r="BU85" s="435"/>
      <c r="BV85" s="432" t="s">
        <v>4926</v>
      </c>
      <c r="BW85" s="435"/>
      <c r="BX85" s="434">
        <v>1</v>
      </c>
      <c r="BY85" s="125"/>
      <c r="BZ85" s="125"/>
      <c r="CA85" s="459"/>
      <c r="CD85" s="100" t="s">
        <v>4900</v>
      </c>
      <c r="CF85" s="393" t="s">
        <v>4976</v>
      </c>
      <c r="CO85" s="100" t="s">
        <v>4947</v>
      </c>
      <c r="CP85" s="393"/>
      <c r="CQ85" s="393" t="s">
        <v>4977</v>
      </c>
      <c r="CT85" s="100"/>
      <c r="CU85" s="430"/>
      <c r="CV85" s="430"/>
      <c r="CZ85" s="100" t="s">
        <v>4978</v>
      </c>
      <c r="DB85" s="393" t="s">
        <v>4979</v>
      </c>
      <c r="DC85" s="111"/>
      <c r="DG85" s="430"/>
      <c r="DJ85" s="100" t="s">
        <v>4937</v>
      </c>
      <c r="DL85" s="393" t="s">
        <v>4980</v>
      </c>
      <c r="DO85" s="100"/>
      <c r="DP85" s="393"/>
      <c r="EB85" s="401"/>
    </row>
    <row r="86" spans="3:137" x14ac:dyDescent="0.25">
      <c r="C86" s="431"/>
      <c r="D86" s="432" t="s">
        <v>4981</v>
      </c>
      <c r="E86" s="437"/>
      <c r="F86" s="434">
        <v>3</v>
      </c>
      <c r="G86" s="437"/>
      <c r="H86" s="443"/>
      <c r="I86" s="437"/>
      <c r="J86" s="440"/>
      <c r="K86" s="435"/>
      <c r="L86" s="435"/>
      <c r="M86" s="435"/>
      <c r="N86" s="460"/>
      <c r="O86" s="449" t="s">
        <v>4886</v>
      </c>
      <c r="P86" s="442"/>
      <c r="Q86" s="434">
        <v>3</v>
      </c>
      <c r="R86" s="442"/>
      <c r="S86" s="449" t="s">
        <v>4949</v>
      </c>
      <c r="T86" s="442"/>
      <c r="U86" s="434">
        <v>2</v>
      </c>
      <c r="V86" s="442"/>
      <c r="W86" s="442"/>
      <c r="X86" s="436"/>
      <c r="Y86" s="435"/>
      <c r="Z86" s="432"/>
      <c r="AA86" s="433"/>
      <c r="AB86" s="442"/>
      <c r="AC86" s="437"/>
      <c r="AD86" s="443"/>
      <c r="AE86" s="437"/>
      <c r="AF86" s="440"/>
      <c r="AG86" s="435"/>
      <c r="AH86" s="435"/>
      <c r="AI86" s="436"/>
      <c r="AJ86" s="458"/>
      <c r="AK86" s="432" t="s">
        <v>4952</v>
      </c>
      <c r="AL86" s="435"/>
      <c r="AM86" s="437">
        <v>90</v>
      </c>
      <c r="AN86" s="435"/>
      <c r="AO86" s="435"/>
      <c r="AP86" s="435"/>
      <c r="AQ86" s="435"/>
      <c r="AR86" s="435"/>
      <c r="AS86" s="435"/>
      <c r="AT86" s="436"/>
      <c r="AU86" s="461"/>
      <c r="AV86" s="432" t="s">
        <v>4953</v>
      </c>
      <c r="AW86" s="442"/>
      <c r="AX86" s="434">
        <v>13</v>
      </c>
      <c r="AY86" s="442"/>
      <c r="AZ86" s="442"/>
      <c r="BA86" s="449"/>
      <c r="BB86" s="442"/>
      <c r="BC86" s="442"/>
      <c r="BD86" s="442"/>
      <c r="BE86" s="462"/>
      <c r="BF86" s="446"/>
      <c r="BG86" s="435" t="s">
        <v>4973</v>
      </c>
      <c r="BH86" s="433"/>
      <c r="BI86" s="434">
        <v>10</v>
      </c>
      <c r="BK86" s="435"/>
      <c r="BL86" s="435"/>
      <c r="BM86" s="435"/>
      <c r="BN86" s="435"/>
      <c r="BO86" s="435"/>
      <c r="BP86" s="436"/>
      <c r="BQ86" s="432"/>
      <c r="BR86" s="432" t="s">
        <v>4888</v>
      </c>
      <c r="BS86" s="435"/>
      <c r="BT86" s="434">
        <v>1</v>
      </c>
      <c r="BU86" s="435"/>
      <c r="BV86" s="432" t="s">
        <v>4966</v>
      </c>
      <c r="BW86" s="435"/>
      <c r="BX86" s="434">
        <v>2</v>
      </c>
      <c r="BY86" s="125"/>
      <c r="BZ86" s="125"/>
      <c r="CA86" s="459"/>
      <c r="CD86" s="100" t="s">
        <v>4932</v>
      </c>
      <c r="CF86" s="393" t="s">
        <v>4982</v>
      </c>
      <c r="CO86" s="100" t="s">
        <v>4931</v>
      </c>
      <c r="CP86" s="393"/>
      <c r="CQ86" s="393" t="s">
        <v>4983</v>
      </c>
      <c r="CT86" s="100"/>
      <c r="CU86" s="430"/>
      <c r="CV86" s="430"/>
      <c r="CZ86" s="100" t="s">
        <v>4984</v>
      </c>
      <c r="DB86" s="393" t="s">
        <v>4985</v>
      </c>
      <c r="DC86" s="111"/>
      <c r="DG86" s="430"/>
      <c r="DJ86" s="100" t="s">
        <v>4986</v>
      </c>
      <c r="DL86" s="393" t="s">
        <v>4987</v>
      </c>
      <c r="EB86" s="401"/>
    </row>
    <row r="87" spans="3:137" x14ac:dyDescent="0.25">
      <c r="C87" s="431"/>
      <c r="D87" s="432" t="s">
        <v>4953</v>
      </c>
      <c r="E87" s="437"/>
      <c r="F87" s="434">
        <v>8</v>
      </c>
      <c r="G87" s="437"/>
      <c r="H87" s="443"/>
      <c r="I87" s="437"/>
      <c r="J87" s="440"/>
      <c r="K87" s="435"/>
      <c r="L87" s="435"/>
      <c r="M87" s="435"/>
      <c r="N87" s="460"/>
      <c r="O87" s="449" t="s">
        <v>4893</v>
      </c>
      <c r="P87" s="442"/>
      <c r="Q87" s="434">
        <v>2</v>
      </c>
      <c r="R87" s="442"/>
      <c r="S87" s="449" t="s">
        <v>4947</v>
      </c>
      <c r="T87" s="442"/>
      <c r="U87" s="434">
        <v>1</v>
      </c>
      <c r="V87" s="442"/>
      <c r="W87" s="442"/>
      <c r="X87" s="436"/>
      <c r="Y87" s="435"/>
      <c r="Z87" s="432" t="s">
        <v>4966</v>
      </c>
      <c r="AA87" s="433"/>
      <c r="AB87" s="434">
        <v>1</v>
      </c>
      <c r="AC87" s="437"/>
      <c r="AD87" s="443"/>
      <c r="AE87" s="437"/>
      <c r="AF87" s="440"/>
      <c r="AG87" s="435"/>
      <c r="AH87" s="435"/>
      <c r="AI87" s="436"/>
      <c r="AJ87" s="458"/>
      <c r="AK87" s="432" t="s">
        <v>4893</v>
      </c>
      <c r="AL87" s="435"/>
      <c r="AM87" s="437">
        <v>6</v>
      </c>
      <c r="AN87" s="435"/>
      <c r="AO87" s="435"/>
      <c r="AP87" s="435"/>
      <c r="AQ87" s="435"/>
      <c r="AR87" s="435"/>
      <c r="AS87" s="435"/>
      <c r="AT87" s="436"/>
      <c r="AU87" s="461"/>
      <c r="AV87" s="432" t="s">
        <v>4886</v>
      </c>
      <c r="AW87" s="442"/>
      <c r="AX87" s="434">
        <v>4</v>
      </c>
      <c r="AY87" s="442"/>
      <c r="AZ87" s="442"/>
      <c r="BA87" s="442"/>
      <c r="BB87" s="442"/>
      <c r="BC87" s="442"/>
      <c r="BD87" s="442"/>
      <c r="BE87" s="462"/>
      <c r="BF87" s="446"/>
      <c r="BG87" s="435" t="s">
        <v>4988</v>
      </c>
      <c r="BH87" s="433"/>
      <c r="BI87" s="434">
        <v>2</v>
      </c>
      <c r="BK87" s="435"/>
      <c r="BL87" s="435"/>
      <c r="BM87" s="435"/>
      <c r="BN87" s="435"/>
      <c r="BO87" s="435"/>
      <c r="BP87" s="436"/>
      <c r="BQ87" s="435"/>
      <c r="BR87" s="432" t="s">
        <v>4893</v>
      </c>
      <c r="BS87" s="435"/>
      <c r="BT87" s="434">
        <v>2</v>
      </c>
      <c r="BU87" s="435"/>
      <c r="BV87" s="432" t="s">
        <v>4949</v>
      </c>
      <c r="BW87" s="435"/>
      <c r="BX87" s="434">
        <v>1</v>
      </c>
      <c r="BY87" s="125"/>
      <c r="BZ87" s="125"/>
      <c r="CA87" s="459"/>
      <c r="CD87" s="100" t="s">
        <v>4989</v>
      </c>
      <c r="CF87" s="393" t="s">
        <v>219</v>
      </c>
      <c r="CO87" s="100" t="s">
        <v>4930</v>
      </c>
      <c r="CP87" s="393"/>
      <c r="CQ87" s="393" t="s">
        <v>183</v>
      </c>
      <c r="CT87" s="100"/>
      <c r="CU87" s="430"/>
      <c r="CV87" s="430"/>
      <c r="CZ87" s="100" t="s">
        <v>4891</v>
      </c>
      <c r="DB87" s="393" t="s">
        <v>74</v>
      </c>
      <c r="DC87" s="111"/>
      <c r="DG87" s="430"/>
      <c r="DH87" s="100"/>
      <c r="DJ87" s="100" t="s">
        <v>4988</v>
      </c>
      <c r="DK87" s="393"/>
      <c r="DL87" s="393" t="s">
        <v>4990</v>
      </c>
      <c r="DO87" s="100"/>
      <c r="DP87" s="393"/>
      <c r="EB87" s="401"/>
    </row>
    <row r="88" spans="3:137" x14ac:dyDescent="0.25">
      <c r="C88" s="431"/>
      <c r="D88" s="432" t="s">
        <v>4966</v>
      </c>
      <c r="E88" s="437"/>
      <c r="F88" s="434">
        <v>2</v>
      </c>
      <c r="G88" s="437"/>
      <c r="H88" s="443"/>
      <c r="I88" s="437"/>
      <c r="J88" s="440"/>
      <c r="K88" s="435"/>
      <c r="L88" s="435"/>
      <c r="M88" s="435"/>
      <c r="N88" s="460"/>
      <c r="O88" s="449" t="s">
        <v>4991</v>
      </c>
      <c r="P88" s="442"/>
      <c r="Q88" s="434">
        <v>6</v>
      </c>
      <c r="R88" s="442"/>
      <c r="S88" s="442"/>
      <c r="T88" s="442"/>
      <c r="U88" s="442"/>
      <c r="V88" s="442"/>
      <c r="W88" s="442"/>
      <c r="X88" s="436"/>
      <c r="Y88" s="435"/>
      <c r="Z88" s="432" t="s">
        <v>4891</v>
      </c>
      <c r="AA88" s="433"/>
      <c r="AB88" s="434">
        <v>2</v>
      </c>
      <c r="AC88" s="437"/>
      <c r="AD88" s="443"/>
      <c r="AE88" s="437"/>
      <c r="AF88" s="440"/>
      <c r="AG88" s="435"/>
      <c r="AH88" s="435"/>
      <c r="AI88" s="436"/>
      <c r="AJ88" s="458"/>
      <c r="AK88" s="432" t="s">
        <v>4942</v>
      </c>
      <c r="AL88" s="435"/>
      <c r="AM88" s="437">
        <v>7</v>
      </c>
      <c r="AN88" s="435"/>
      <c r="AO88" s="435"/>
      <c r="AP88" s="435"/>
      <c r="AQ88" s="435"/>
      <c r="AR88" s="435"/>
      <c r="AS88" s="435"/>
      <c r="AT88" s="436"/>
      <c r="AU88" s="461"/>
      <c r="AV88" s="432" t="s">
        <v>4957</v>
      </c>
      <c r="AW88" s="442"/>
      <c r="AX88" s="434">
        <v>8</v>
      </c>
      <c r="AY88" s="442"/>
      <c r="AZ88" s="442"/>
      <c r="BA88" s="442"/>
      <c r="BB88" s="442"/>
      <c r="BC88" s="442"/>
      <c r="BD88" s="442"/>
      <c r="BE88" s="462"/>
      <c r="BF88" s="446"/>
      <c r="BG88" s="435" t="s">
        <v>4934</v>
      </c>
      <c r="BH88" s="433"/>
      <c r="BI88" s="434">
        <v>1</v>
      </c>
      <c r="BK88" s="435"/>
      <c r="BL88" s="435"/>
      <c r="BM88" s="435"/>
      <c r="BN88" s="435"/>
      <c r="BO88" s="435"/>
      <c r="BP88" s="436"/>
      <c r="BQ88" s="435"/>
      <c r="BR88" s="432" t="s">
        <v>4904</v>
      </c>
      <c r="BS88" s="435"/>
      <c r="BT88" s="434">
        <v>2</v>
      </c>
      <c r="BU88" s="435"/>
      <c r="BV88" s="432" t="s">
        <v>4953</v>
      </c>
      <c r="BW88" s="435"/>
      <c r="BX88" s="434">
        <v>4</v>
      </c>
      <c r="BY88" s="125"/>
      <c r="BZ88" s="125"/>
      <c r="CA88" s="459"/>
      <c r="CD88" s="100" t="s">
        <v>4922</v>
      </c>
      <c r="CF88" s="393" t="s">
        <v>4758</v>
      </c>
      <c r="CO88" s="100" t="s">
        <v>4908</v>
      </c>
      <c r="CP88" s="393"/>
      <c r="CQ88" s="393" t="s">
        <v>4757</v>
      </c>
      <c r="CT88" s="100"/>
      <c r="CU88" s="430"/>
      <c r="CV88" s="430"/>
      <c r="CZ88" s="100" t="s">
        <v>4891</v>
      </c>
      <c r="DB88" s="393" t="s">
        <v>4992</v>
      </c>
      <c r="DG88" s="430"/>
      <c r="DH88" s="100"/>
      <c r="DI88" s="393"/>
      <c r="DJ88" s="100" t="s">
        <v>4993</v>
      </c>
      <c r="DL88" s="393" t="s">
        <v>4994</v>
      </c>
      <c r="DO88" s="100"/>
      <c r="DP88" s="393"/>
      <c r="EB88" s="401"/>
    </row>
    <row r="89" spans="3:137" x14ac:dyDescent="0.25">
      <c r="C89" s="431"/>
      <c r="D89" s="432" t="s">
        <v>4891</v>
      </c>
      <c r="E89" s="448"/>
      <c r="F89" s="434">
        <v>1</v>
      </c>
      <c r="G89" s="448"/>
      <c r="H89" s="448"/>
      <c r="I89" s="448"/>
      <c r="J89" s="448"/>
      <c r="K89" s="435"/>
      <c r="L89" s="435"/>
      <c r="M89" s="435"/>
      <c r="N89" s="460"/>
      <c r="O89" s="449" t="s">
        <v>4891</v>
      </c>
      <c r="P89" s="442"/>
      <c r="Q89" s="434">
        <v>1</v>
      </c>
      <c r="R89" s="442"/>
      <c r="S89" s="442"/>
      <c r="T89" s="442"/>
      <c r="U89" s="442"/>
      <c r="V89" s="442"/>
      <c r="W89" s="442"/>
      <c r="X89" s="436"/>
      <c r="Y89" s="433"/>
      <c r="Z89" s="432" t="s">
        <v>4995</v>
      </c>
      <c r="AA89" s="433"/>
      <c r="AB89" s="434">
        <v>1</v>
      </c>
      <c r="AC89" s="448"/>
      <c r="AD89" s="448"/>
      <c r="AE89" s="448"/>
      <c r="AF89" s="448"/>
      <c r="AG89" s="433"/>
      <c r="AH89" s="433"/>
      <c r="AI89" s="447"/>
      <c r="AJ89" s="463"/>
      <c r="AK89" s="433"/>
      <c r="AL89" s="433"/>
      <c r="AM89" s="433"/>
      <c r="AN89" s="433"/>
      <c r="AO89" s="433"/>
      <c r="AP89" s="433"/>
      <c r="AQ89" s="433"/>
      <c r="AR89" s="433"/>
      <c r="AS89" s="433"/>
      <c r="AT89" s="447"/>
      <c r="AU89" s="461"/>
      <c r="AV89" s="432" t="s">
        <v>4996</v>
      </c>
      <c r="AW89" s="442"/>
      <c r="AX89" s="434">
        <v>2</v>
      </c>
      <c r="AY89" s="442"/>
      <c r="AZ89" s="442"/>
      <c r="BA89" s="442"/>
      <c r="BB89" s="442"/>
      <c r="BC89" s="442"/>
      <c r="BD89" s="442"/>
      <c r="BE89" s="462"/>
      <c r="BF89" s="431"/>
      <c r="BG89" s="435" t="s">
        <v>4906</v>
      </c>
      <c r="BH89" s="433"/>
      <c r="BI89" s="434">
        <v>1</v>
      </c>
      <c r="BK89" s="435"/>
      <c r="BL89" s="435"/>
      <c r="BM89" s="435"/>
      <c r="BN89" s="435"/>
      <c r="BO89" s="435"/>
      <c r="BP89" s="436"/>
      <c r="BQ89" s="433"/>
      <c r="BR89" s="432" t="s">
        <v>4891</v>
      </c>
      <c r="BS89" s="433"/>
      <c r="BT89" s="434">
        <v>1</v>
      </c>
      <c r="BU89" s="433"/>
      <c r="BV89" s="432" t="s">
        <v>4995</v>
      </c>
      <c r="BW89" s="433"/>
      <c r="BX89" s="434">
        <v>1</v>
      </c>
      <c r="BY89" s="125"/>
      <c r="BZ89" s="125"/>
      <c r="CA89" s="464"/>
      <c r="CD89" s="100" t="s">
        <v>4950</v>
      </c>
      <c r="CF89" s="393" t="s">
        <v>4834</v>
      </c>
      <c r="CO89" s="100" t="s">
        <v>4991</v>
      </c>
      <c r="CP89" s="393"/>
      <c r="CQ89" s="393" t="s">
        <v>4997</v>
      </c>
      <c r="CT89" s="100"/>
      <c r="CU89" s="430"/>
      <c r="CV89" s="430"/>
      <c r="CZ89" s="100" t="s">
        <v>4891</v>
      </c>
      <c r="DB89" s="393" t="s">
        <v>4998</v>
      </c>
      <c r="DG89" s="430"/>
      <c r="DH89" s="100"/>
      <c r="DI89" s="393"/>
      <c r="DJ89" s="100" t="s">
        <v>4999</v>
      </c>
      <c r="DL89" s="393" t="s">
        <v>5000</v>
      </c>
      <c r="DO89" s="100"/>
      <c r="DP89" s="393"/>
      <c r="EB89" s="401"/>
    </row>
    <row r="90" spans="3:137" x14ac:dyDescent="0.25">
      <c r="C90" s="26"/>
      <c r="N90" s="460"/>
      <c r="O90" s="449" t="s">
        <v>4966</v>
      </c>
      <c r="P90" s="442"/>
      <c r="Q90" s="434">
        <v>2</v>
      </c>
      <c r="R90" s="442"/>
      <c r="S90" s="442"/>
      <c r="T90" s="442"/>
      <c r="U90" s="442"/>
      <c r="V90" s="442"/>
      <c r="W90" s="442"/>
      <c r="X90" s="436"/>
      <c r="Y90" s="433"/>
      <c r="Z90" s="432" t="s">
        <v>4999</v>
      </c>
      <c r="AA90" s="448"/>
      <c r="AB90" s="434">
        <v>2</v>
      </c>
      <c r="AC90" s="448"/>
      <c r="AD90" s="448"/>
      <c r="AE90" s="448"/>
      <c r="AF90" s="448"/>
      <c r="AG90" s="433"/>
      <c r="AH90" s="433"/>
      <c r="AI90" s="447"/>
      <c r="AJ90" s="463"/>
      <c r="AK90" s="433"/>
      <c r="AL90" s="433"/>
      <c r="AM90" s="433"/>
      <c r="AN90" s="433"/>
      <c r="AO90" s="433"/>
      <c r="AP90" s="433"/>
      <c r="AQ90" s="433"/>
      <c r="AR90" s="433"/>
      <c r="AS90" s="433"/>
      <c r="AT90" s="447"/>
      <c r="AU90" s="461"/>
      <c r="AV90" s="432" t="s">
        <v>4891</v>
      </c>
      <c r="AW90" s="442"/>
      <c r="AX90" s="434">
        <v>1</v>
      </c>
      <c r="AY90" s="442"/>
      <c r="AZ90" s="442"/>
      <c r="BA90" s="442"/>
      <c r="BB90" s="442"/>
      <c r="BC90" s="442"/>
      <c r="BD90" s="442"/>
      <c r="BE90" s="462"/>
      <c r="BF90" s="431"/>
      <c r="BG90" s="435" t="s">
        <v>4885</v>
      </c>
      <c r="BH90" s="433"/>
      <c r="BI90" s="434">
        <v>1</v>
      </c>
      <c r="BK90" s="435"/>
      <c r="BL90" s="435"/>
      <c r="BM90" s="435"/>
      <c r="BN90" s="435"/>
      <c r="BO90" s="435"/>
      <c r="BP90" s="436"/>
      <c r="BQ90" s="433"/>
      <c r="BR90" s="432" t="s">
        <v>5001</v>
      </c>
      <c r="BS90" s="433"/>
      <c r="BT90" s="434">
        <v>1</v>
      </c>
      <c r="BU90" s="433"/>
      <c r="BV90" s="435" t="s">
        <v>4890</v>
      </c>
      <c r="BW90" s="435"/>
      <c r="BX90" s="434">
        <v>1</v>
      </c>
      <c r="BY90" s="125"/>
      <c r="BZ90" s="125"/>
      <c r="CA90" s="464"/>
      <c r="CD90" s="100" t="s">
        <v>4906</v>
      </c>
      <c r="CF90" s="393" t="s">
        <v>4842</v>
      </c>
      <c r="CO90" s="100" t="s">
        <v>4917</v>
      </c>
      <c r="CP90" s="393"/>
      <c r="CQ90" s="393" t="s">
        <v>5002</v>
      </c>
      <c r="CT90" s="100"/>
      <c r="CU90" s="430"/>
      <c r="CV90" s="430"/>
      <c r="CZ90" s="100" t="s">
        <v>4891</v>
      </c>
      <c r="DB90" s="393" t="s">
        <v>75</v>
      </c>
      <c r="DG90" s="430"/>
      <c r="DJ90" s="100" t="s">
        <v>4996</v>
      </c>
      <c r="DL90" s="393" t="s">
        <v>5003</v>
      </c>
      <c r="EB90" s="401"/>
    </row>
    <row r="91" spans="3:137" ht="14.5" customHeight="1" x14ac:dyDescent="0.25">
      <c r="C91" s="26"/>
      <c r="N91" s="460"/>
      <c r="O91" s="449" t="s">
        <v>4888</v>
      </c>
      <c r="P91" s="442"/>
      <c r="Q91" s="434">
        <v>1</v>
      </c>
      <c r="R91" s="442"/>
      <c r="S91" s="442"/>
      <c r="T91" s="442"/>
      <c r="U91" s="442"/>
      <c r="V91" s="442"/>
      <c r="W91" s="442"/>
      <c r="X91" s="436"/>
      <c r="Y91" s="433"/>
      <c r="Z91" s="432" t="s">
        <v>4993</v>
      </c>
      <c r="AA91" s="432"/>
      <c r="AB91" s="434">
        <v>3</v>
      </c>
      <c r="AC91" s="448"/>
      <c r="AD91" s="448"/>
      <c r="AE91" s="448"/>
      <c r="AF91" s="448"/>
      <c r="AG91" s="433"/>
      <c r="AH91" s="433"/>
      <c r="AI91" s="447"/>
      <c r="AJ91" s="463"/>
      <c r="AK91" s="433"/>
      <c r="AL91" s="433"/>
      <c r="AM91" s="433"/>
      <c r="AN91" s="433"/>
      <c r="AO91" s="433"/>
      <c r="AP91" s="433"/>
      <c r="AQ91" s="433"/>
      <c r="AR91" s="433"/>
      <c r="AS91" s="433"/>
      <c r="AT91" s="447"/>
      <c r="AU91" s="461"/>
      <c r="AV91" s="432" t="s">
        <v>4893</v>
      </c>
      <c r="AW91" s="442"/>
      <c r="AX91" s="434">
        <v>1</v>
      </c>
      <c r="AY91" s="442"/>
      <c r="AZ91" s="442"/>
      <c r="BA91" s="442"/>
      <c r="BB91" s="442"/>
      <c r="BC91" s="442"/>
      <c r="BD91" s="442"/>
      <c r="BE91" s="462"/>
      <c r="BF91" s="431"/>
      <c r="BG91" s="435"/>
      <c r="BH91" s="433"/>
      <c r="BI91" s="442"/>
      <c r="BK91" s="435"/>
      <c r="BL91" s="435"/>
      <c r="BM91" s="435"/>
      <c r="BN91" s="435"/>
      <c r="BO91" s="435"/>
      <c r="BP91" s="436"/>
      <c r="BQ91" s="433"/>
      <c r="BR91" s="432" t="s">
        <v>4960</v>
      </c>
      <c r="BS91" s="433"/>
      <c r="BT91" s="434">
        <v>1</v>
      </c>
      <c r="BU91" s="433"/>
      <c r="BV91" s="433"/>
      <c r="BW91" s="433"/>
      <c r="BX91" s="433"/>
      <c r="BY91" s="125"/>
      <c r="BZ91" s="125"/>
      <c r="CA91" s="464"/>
      <c r="CD91" s="100" t="s">
        <v>5001</v>
      </c>
      <c r="CF91" s="393" t="s">
        <v>5004</v>
      </c>
      <c r="CI91" s="100"/>
      <c r="CJ91" s="430"/>
      <c r="CK91" s="430"/>
      <c r="CO91" s="100" t="s">
        <v>4954</v>
      </c>
      <c r="CP91" s="393"/>
      <c r="CQ91" s="393" t="s">
        <v>171</v>
      </c>
      <c r="CZ91" s="100" t="s">
        <v>4891</v>
      </c>
      <c r="DB91" s="393" t="s">
        <v>5005</v>
      </c>
      <c r="DJ91" s="100" t="s">
        <v>4921</v>
      </c>
      <c r="DL91" s="22" t="s">
        <v>4979</v>
      </c>
      <c r="EB91" s="401"/>
    </row>
    <row r="92" spans="3:137" x14ac:dyDescent="0.25">
      <c r="C92" s="26"/>
      <c r="N92" s="458"/>
      <c r="O92" s="125"/>
      <c r="P92" s="125"/>
      <c r="Q92" s="434"/>
      <c r="R92" s="125"/>
      <c r="S92" s="125"/>
      <c r="T92" s="125"/>
      <c r="U92" s="125"/>
      <c r="V92" s="125"/>
      <c r="W92" s="125"/>
      <c r="X92" s="441"/>
      <c r="Y92" s="433"/>
      <c r="Z92" s="433"/>
      <c r="AA92" s="433"/>
      <c r="AB92" s="433"/>
      <c r="AC92" s="433"/>
      <c r="AD92" s="433"/>
      <c r="AE92" s="433"/>
      <c r="AF92" s="433"/>
      <c r="AG92" s="433"/>
      <c r="AH92" s="433"/>
      <c r="AI92" s="447"/>
      <c r="AJ92" s="463"/>
      <c r="AK92" s="433"/>
      <c r="AL92" s="433"/>
      <c r="AM92" s="433"/>
      <c r="AN92" s="433"/>
      <c r="AO92" s="433"/>
      <c r="AP92" s="433"/>
      <c r="AQ92" s="433"/>
      <c r="AR92" s="433"/>
      <c r="AS92" s="433"/>
      <c r="AT92" s="447"/>
      <c r="AU92" s="446"/>
      <c r="AV92" s="432" t="s">
        <v>4885</v>
      </c>
      <c r="AX92" s="434">
        <v>1</v>
      </c>
      <c r="BC92" s="433"/>
      <c r="BD92" s="433"/>
      <c r="BE92" s="447"/>
      <c r="BF92" s="446"/>
      <c r="BG92" s="433"/>
      <c r="BH92" s="443"/>
      <c r="BI92" s="448"/>
      <c r="BJ92" s="440"/>
      <c r="BK92" s="448"/>
      <c r="BL92" s="448"/>
      <c r="BM92" s="448"/>
      <c r="BN92" s="448"/>
      <c r="BO92" s="433"/>
      <c r="BP92" s="447"/>
      <c r="BQ92" s="433"/>
      <c r="BR92" s="432" t="s">
        <v>5006</v>
      </c>
      <c r="BS92" s="433"/>
      <c r="BT92" s="434">
        <v>6</v>
      </c>
      <c r="BU92" s="433"/>
      <c r="BV92" s="433"/>
      <c r="BW92" s="433"/>
      <c r="BX92" s="433"/>
      <c r="BY92" s="125"/>
      <c r="BZ92" s="125"/>
      <c r="CA92" s="464"/>
      <c r="CD92" s="100" t="s">
        <v>4953</v>
      </c>
      <c r="CF92" s="393" t="s">
        <v>5007</v>
      </c>
      <c r="CO92" s="100" t="s">
        <v>4923</v>
      </c>
      <c r="CP92" s="393"/>
      <c r="CQ92" s="393" t="s">
        <v>104</v>
      </c>
      <c r="CS92" s="430"/>
      <c r="CT92" s="430"/>
      <c r="CX92" s="100"/>
      <c r="CY92" s="393"/>
      <c r="CZ92" s="100" t="s">
        <v>4891</v>
      </c>
      <c r="DB92" s="393" t="s">
        <v>4850</v>
      </c>
      <c r="DJ92" s="100" t="s">
        <v>5008</v>
      </c>
      <c r="DL92" s="22" t="s">
        <v>5009</v>
      </c>
      <c r="EB92" s="401"/>
    </row>
    <row r="93" spans="3:137" x14ac:dyDescent="0.25">
      <c r="C93" s="396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396"/>
      <c r="O93" s="25"/>
      <c r="P93" s="25"/>
      <c r="Q93" s="25"/>
      <c r="R93" s="25"/>
      <c r="S93" s="25"/>
      <c r="T93" s="25"/>
      <c r="U93" s="25"/>
      <c r="V93" s="25"/>
      <c r="W93" s="25"/>
      <c r="X93" s="30"/>
      <c r="Y93" s="465"/>
      <c r="Z93" s="465"/>
      <c r="AA93" s="465"/>
      <c r="AB93" s="465"/>
      <c r="AC93" s="465"/>
      <c r="AD93" s="465"/>
      <c r="AE93" s="465"/>
      <c r="AF93" s="465"/>
      <c r="AG93" s="465"/>
      <c r="AH93" s="465"/>
      <c r="AI93" s="466"/>
      <c r="AJ93" s="467"/>
      <c r="AK93" s="465"/>
      <c r="AL93" s="465"/>
      <c r="AM93" s="465"/>
      <c r="AN93" s="465"/>
      <c r="AO93" s="465"/>
      <c r="AP93" s="465"/>
      <c r="AQ93" s="465"/>
      <c r="AR93" s="465"/>
      <c r="AS93" s="465"/>
      <c r="AT93" s="466"/>
      <c r="AU93" s="467"/>
      <c r="AV93" s="465"/>
      <c r="AW93" s="465"/>
      <c r="AX93" s="465"/>
      <c r="AY93" s="465"/>
      <c r="AZ93" s="465"/>
      <c r="BA93" s="465"/>
      <c r="BB93" s="465"/>
      <c r="BC93" s="465"/>
      <c r="BD93" s="465"/>
      <c r="BE93" s="466"/>
      <c r="BF93" s="467"/>
      <c r="BG93" s="465"/>
      <c r="BH93" s="465"/>
      <c r="BI93" s="465"/>
      <c r="BJ93" s="465"/>
      <c r="BK93" s="465"/>
      <c r="BL93" s="465"/>
      <c r="BM93" s="465"/>
      <c r="BN93" s="465"/>
      <c r="BO93" s="465"/>
      <c r="BP93" s="466"/>
      <c r="BQ93" s="468"/>
      <c r="BR93" s="468"/>
      <c r="BS93" s="468"/>
      <c r="BT93" s="468"/>
      <c r="BU93" s="468"/>
      <c r="BV93" s="468"/>
      <c r="BW93" s="468"/>
      <c r="BX93" s="468"/>
      <c r="BY93" s="468"/>
      <c r="BZ93" s="468"/>
      <c r="CA93" s="469"/>
      <c r="CB93" s="423"/>
      <c r="CC93" s="423"/>
      <c r="CD93" s="423"/>
      <c r="CE93" s="423"/>
      <c r="CF93" s="423"/>
      <c r="CG93" s="423"/>
      <c r="CH93" s="423"/>
      <c r="CI93" s="423"/>
      <c r="CJ93" s="423"/>
      <c r="CK93" s="423"/>
      <c r="CL93" s="25"/>
      <c r="CM93" s="25"/>
      <c r="CN93" s="423"/>
      <c r="CO93" s="423"/>
      <c r="CP93" s="423"/>
      <c r="CQ93" s="423"/>
      <c r="CR93" s="423"/>
      <c r="CS93" s="423"/>
      <c r="CT93" s="423"/>
      <c r="CU93" s="423"/>
      <c r="CV93" s="25"/>
      <c r="CW93" s="25"/>
      <c r="CX93" s="25"/>
      <c r="CY93" s="25"/>
      <c r="CZ93" s="25"/>
      <c r="DA93" s="25"/>
      <c r="DB93" s="25"/>
      <c r="DC93" s="25"/>
      <c r="DD93" s="470"/>
      <c r="DE93" s="471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423"/>
      <c r="DS93" s="423"/>
      <c r="DT93" s="423"/>
      <c r="DU93" s="423"/>
      <c r="DV93" s="423"/>
      <c r="DW93" s="423"/>
      <c r="DX93" s="423"/>
      <c r="DY93" s="423"/>
      <c r="DZ93" s="423"/>
      <c r="EA93" s="423"/>
      <c r="EB93" s="472"/>
    </row>
    <row r="113" spans="149:204" ht="14.5" customHeight="1" x14ac:dyDescent="0.25"/>
    <row r="120" spans="149:204" x14ac:dyDescent="0.25">
      <c r="ES120" s="473"/>
      <c r="ET120" s="393"/>
      <c r="EU120" s="393"/>
      <c r="EV120" s="393"/>
      <c r="EW120" s="393"/>
      <c r="EX120" s="393"/>
      <c r="EY120" s="393"/>
      <c r="EZ120" s="393"/>
      <c r="FA120" s="393"/>
      <c r="FB120" s="393"/>
      <c r="FC120" s="393"/>
      <c r="FD120" s="393"/>
      <c r="FE120" s="393"/>
      <c r="FF120" s="393"/>
      <c r="FG120" s="393"/>
      <c r="FH120" s="393"/>
      <c r="FI120" s="393"/>
      <c r="FJ120" s="393"/>
      <c r="FK120" s="393"/>
      <c r="FL120" s="393"/>
      <c r="FM120" s="393"/>
      <c r="FN120" s="393"/>
      <c r="FY120" s="393"/>
      <c r="FZ120" s="393"/>
      <c r="GA120" s="474"/>
      <c r="GB120" s="475"/>
      <c r="GC120" s="475"/>
      <c r="GD120" s="476"/>
      <c r="GE120" s="476"/>
      <c r="GF120" s="476"/>
      <c r="GG120" s="476"/>
      <c r="GH120" s="476"/>
      <c r="GI120" s="476"/>
      <c r="GJ120" s="476"/>
      <c r="GK120" s="473"/>
      <c r="GL120" s="473"/>
      <c r="GM120" s="393"/>
      <c r="GN120" s="393"/>
      <c r="GO120" s="393"/>
      <c r="GP120" s="393"/>
      <c r="GQ120" s="393"/>
      <c r="GR120" s="393"/>
      <c r="GS120" s="393"/>
      <c r="GT120" s="393"/>
      <c r="GU120" s="393"/>
      <c r="GV120" s="393"/>
    </row>
    <row r="121" spans="149:204" x14ac:dyDescent="0.25">
      <c r="ES121" s="393"/>
      <c r="ET121" s="393"/>
      <c r="EU121" s="393"/>
      <c r="EV121" s="393"/>
      <c r="EW121" s="393"/>
      <c r="EX121" s="393"/>
      <c r="EY121" s="393"/>
      <c r="EZ121" s="393"/>
      <c r="FA121" s="393"/>
      <c r="FB121" s="393"/>
      <c r="FC121" s="393"/>
      <c r="FD121" s="393"/>
      <c r="FE121" s="393"/>
      <c r="FF121" s="393"/>
      <c r="FG121" s="393"/>
      <c r="FH121" s="393"/>
      <c r="FI121" s="393"/>
      <c r="FJ121" s="393"/>
      <c r="FK121" s="393"/>
      <c r="FL121" s="393"/>
      <c r="FM121" s="393"/>
      <c r="FN121" s="393"/>
      <c r="FY121" s="393"/>
      <c r="FZ121" s="393"/>
      <c r="GA121" s="419"/>
      <c r="GB121" s="419"/>
      <c r="GC121" s="419"/>
      <c r="GD121" s="419"/>
      <c r="GE121" s="419"/>
      <c r="GF121" s="419"/>
      <c r="GG121" s="419"/>
      <c r="GH121" s="419"/>
      <c r="GI121" s="419"/>
      <c r="GJ121" s="419"/>
      <c r="GK121" s="393"/>
      <c r="GL121" s="393"/>
      <c r="GM121" s="393"/>
      <c r="GN121" s="393"/>
      <c r="GO121" s="393"/>
      <c r="GP121" s="393"/>
      <c r="GQ121" s="393"/>
      <c r="GR121" s="393"/>
      <c r="GS121" s="393"/>
      <c r="GT121" s="393"/>
      <c r="GU121" s="393"/>
      <c r="GV121" s="393"/>
    </row>
  </sheetData>
  <mergeCells count="106">
    <mergeCell ref="BF84:BP84"/>
    <mergeCell ref="BQ84:CA84"/>
    <mergeCell ref="Y85:AI85"/>
    <mergeCell ref="N75:X75"/>
    <mergeCell ref="C84:M84"/>
    <mergeCell ref="N84:X84"/>
    <mergeCell ref="Y84:AI84"/>
    <mergeCell ref="AJ84:AT84"/>
    <mergeCell ref="AU84:BE84"/>
    <mergeCell ref="CL69:CP70"/>
    <mergeCell ref="CQ69:CW70"/>
    <mergeCell ref="CX69:DI70"/>
    <mergeCell ref="C74:M74"/>
    <mergeCell ref="N74:X74"/>
    <mergeCell ref="Y74:AI74"/>
    <mergeCell ref="AJ74:AT74"/>
    <mergeCell ref="AU74:BE74"/>
    <mergeCell ref="BF74:BP74"/>
    <mergeCell ref="BQ74:CA74"/>
    <mergeCell ref="M69:N70"/>
    <mergeCell ref="X69:Y70"/>
    <mergeCell ref="AI69:AJ70"/>
    <mergeCell ref="AU69:AV70"/>
    <mergeCell ref="BE69:BF70"/>
    <mergeCell ref="BH69:BI70"/>
    <mergeCell ref="BR69:BS70"/>
    <mergeCell ref="CC69:CD70"/>
    <mergeCell ref="BZ53:CH53"/>
    <mergeCell ref="I54:R54"/>
    <mergeCell ref="U54:AD54"/>
    <mergeCell ref="AF54:AO54"/>
    <mergeCell ref="AR54:BA54"/>
    <mergeCell ref="BC54:BL54"/>
    <mergeCell ref="BN54:BW54"/>
    <mergeCell ref="BY54:CH54"/>
    <mergeCell ref="BR59:BS67"/>
    <mergeCell ref="CC59:CD67"/>
    <mergeCell ref="O26:P34"/>
    <mergeCell ref="Y26:Z34"/>
    <mergeCell ref="AP27:AX27"/>
    <mergeCell ref="BB27:BJ27"/>
    <mergeCell ref="M59:N67"/>
    <mergeCell ref="X59:Y67"/>
    <mergeCell ref="AI59:AJ67"/>
    <mergeCell ref="AU59:AV67"/>
    <mergeCell ref="BE59:BF67"/>
    <mergeCell ref="BH59:BI67"/>
    <mergeCell ref="CW23:CX31"/>
    <mergeCell ref="BL28:BM36"/>
    <mergeCell ref="BR28:BS36"/>
    <mergeCell ref="CW33:CX34"/>
    <mergeCell ref="AI46:AR46"/>
    <mergeCell ref="AA48:AX48"/>
    <mergeCell ref="AA49:AX49"/>
    <mergeCell ref="J53:R53"/>
    <mergeCell ref="V53:AD53"/>
    <mergeCell ref="AG53:AO53"/>
    <mergeCell ref="AS53:BA53"/>
    <mergeCell ref="BL38:BM39"/>
    <mergeCell ref="BR38:BS39"/>
    <mergeCell ref="AO40:AP41"/>
    <mergeCell ref="AS40:AT41"/>
    <mergeCell ref="AW40:AX41"/>
    <mergeCell ref="AJ45:AR45"/>
    <mergeCell ref="AW30:AX38"/>
    <mergeCell ref="BD53:BL53"/>
    <mergeCell ref="BO53:BW53"/>
    <mergeCell ref="O36:P37"/>
    <mergeCell ref="Y36:Z37"/>
    <mergeCell ref="I26:J34"/>
    <mergeCell ref="L26:M34"/>
    <mergeCell ref="CD32:CE33"/>
    <mergeCell ref="CH32:CI33"/>
    <mergeCell ref="CS33:CT34"/>
    <mergeCell ref="AO28:AX28"/>
    <mergeCell ref="BA28:BJ28"/>
    <mergeCell ref="AO30:AP38"/>
    <mergeCell ref="AS30:AT38"/>
    <mergeCell ref="AB18:AY18"/>
    <mergeCell ref="AB19:AY19"/>
    <mergeCell ref="CD22:CE30"/>
    <mergeCell ref="CH22:CI30"/>
    <mergeCell ref="F36:G37"/>
    <mergeCell ref="I36:J37"/>
    <mergeCell ref="L36:M37"/>
    <mergeCell ref="F3:U8"/>
    <mergeCell ref="V3:CP7"/>
    <mergeCell ref="DK7:DX14"/>
    <mergeCell ref="AJ10:AR10"/>
    <mergeCell ref="AI11:AR12"/>
    <mergeCell ref="AJ15:AR15"/>
    <mergeCell ref="CC15:CK15"/>
    <mergeCell ref="CR15:CZ15"/>
    <mergeCell ref="AI16:AR16"/>
    <mergeCell ref="CB16:CK16"/>
    <mergeCell ref="CQ16:CZ16"/>
    <mergeCell ref="G23:P23"/>
    <mergeCell ref="V23:AD23"/>
    <mergeCell ref="BL23:BT23"/>
    <mergeCell ref="CR23:CR31"/>
    <mergeCell ref="CS23:CT31"/>
    <mergeCell ref="CV23:CV31"/>
    <mergeCell ref="F24:P24"/>
    <mergeCell ref="U24:AD24"/>
    <mergeCell ref="BK24:BT24"/>
    <mergeCell ref="F26:G34"/>
  </mergeCells>
  <pageMargins left="0.511811024" right="0.511811024" top="0.78740157499999996" bottom="0.78740157499999996" header="0.31496062000000002" footer="0.31496062000000002"/>
  <pageSetup paperSize="9" scale="36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301A-0E0A-4C53-BB6C-EA888C9B6D95}">
  <sheetPr codeName="Planilha12">
    <tabColor rgb="FF00B050"/>
    <pageSetUpPr fitToPage="1"/>
  </sheetPr>
  <dimension ref="H2:TX198"/>
  <sheetViews>
    <sheetView showGridLines="0" topLeftCell="BW36" zoomScale="85" zoomScaleNormal="85" zoomScaleSheetLayoutView="56" workbookViewId="0">
      <selection activeCell="FQ72" sqref="FQ72:FY72"/>
    </sheetView>
  </sheetViews>
  <sheetFormatPr defaultColWidth="1.7265625" defaultRowHeight="12.75" customHeight="1" x14ac:dyDescent="0.35"/>
  <cols>
    <col min="1" max="1" width="1.7265625" style="477" customWidth="1"/>
    <col min="2" max="13" width="1.7265625" style="477"/>
    <col min="14" max="14" width="8.81640625" style="477" bestFit="1" customWidth="1"/>
    <col min="15" max="38" width="1.7265625" style="477"/>
    <col min="39" max="39" width="2.26953125" style="477" bestFit="1" customWidth="1"/>
    <col min="40" max="51" width="1.7265625" style="477"/>
    <col min="52" max="52" width="2.81640625" style="477" customWidth="1"/>
    <col min="53" max="53" width="3" style="477" bestFit="1" customWidth="1"/>
    <col min="54" max="54" width="3.1796875" style="477" bestFit="1" customWidth="1"/>
    <col min="55" max="63" width="1.7265625" style="477"/>
    <col min="64" max="64" width="3.54296875" style="477" customWidth="1"/>
    <col min="65" max="68" width="1.7265625" style="477"/>
    <col min="69" max="69" width="1.81640625" style="477" bestFit="1" customWidth="1"/>
    <col min="70" max="71" width="1.7265625" style="477"/>
    <col min="72" max="72" width="2.26953125" style="477" bestFit="1" customWidth="1"/>
    <col min="73" max="74" width="1.7265625" style="477"/>
    <col min="75" max="75" width="1.81640625" style="477" bestFit="1" customWidth="1"/>
    <col min="76" max="76" width="1.7265625" style="477"/>
    <col min="77" max="77" width="4" style="477" customWidth="1"/>
    <col min="78" max="78" width="1.7265625" style="477"/>
    <col min="79" max="79" width="3" style="477" customWidth="1"/>
    <col min="80" max="80" width="1.7265625" style="477"/>
    <col min="81" max="81" width="1.81640625" style="477" bestFit="1" customWidth="1"/>
    <col min="82" max="84" width="1.7265625" style="477"/>
    <col min="85" max="85" width="3" style="477" customWidth="1"/>
    <col min="86" max="89" width="1.7265625" style="477"/>
    <col min="90" max="90" width="4.453125" style="477" customWidth="1"/>
    <col min="91" max="91" width="2.7265625" style="477" bestFit="1" customWidth="1"/>
    <col min="92" max="95" width="1.7265625" style="477"/>
    <col min="96" max="96" width="1.81640625" style="477" bestFit="1" customWidth="1"/>
    <col min="97" max="99" width="1.7265625" style="477"/>
    <col min="100" max="100" width="3.26953125" style="477" bestFit="1" customWidth="1"/>
    <col min="101" max="101" width="1.7265625" style="477"/>
    <col min="102" max="102" width="1.81640625" style="477" bestFit="1" customWidth="1"/>
    <col min="103" max="104" width="1.7265625" style="477"/>
    <col min="105" max="105" width="2.26953125" style="477" bestFit="1" customWidth="1"/>
    <col min="106" max="107" width="1.7265625" style="477"/>
    <col min="108" max="108" width="1.81640625" style="477" bestFit="1" customWidth="1"/>
    <col min="109" max="117" width="1.7265625" style="477"/>
    <col min="118" max="118" width="3" style="477" customWidth="1"/>
    <col min="119" max="122" width="1.7265625" style="477"/>
    <col min="123" max="123" width="3.81640625" style="477" bestFit="1" customWidth="1"/>
    <col min="124" max="124" width="1.7265625" style="477"/>
    <col min="125" max="125" width="3.1796875" style="477" bestFit="1" customWidth="1"/>
    <col min="126" max="128" width="1.7265625" style="477"/>
    <col min="129" max="129" width="3.7265625" style="477" bestFit="1" customWidth="1"/>
    <col min="130" max="132" width="1.7265625" style="477"/>
    <col min="133" max="133" width="3.7265625" style="477" bestFit="1" customWidth="1"/>
    <col min="134" max="137" width="1.7265625" style="477"/>
    <col min="138" max="138" width="3.54296875" style="477" bestFit="1" customWidth="1"/>
    <col min="139" max="141" width="1.7265625" style="477"/>
    <col min="142" max="142" width="3.7265625" style="477" bestFit="1" customWidth="1"/>
    <col min="143" max="144" width="1.7265625" style="477"/>
    <col min="145" max="145" width="6" style="477" customWidth="1"/>
    <col min="146" max="151" width="1.7265625" style="477"/>
    <col min="152" max="152" width="2.26953125" style="477" bestFit="1" customWidth="1"/>
    <col min="153" max="158" width="1.7265625" style="477"/>
    <col min="159" max="159" width="3.1796875" style="477" bestFit="1" customWidth="1"/>
    <col min="160" max="163" width="1.7265625" style="477"/>
    <col min="164" max="164" width="3.54296875" style="477" bestFit="1" customWidth="1"/>
    <col min="165" max="166" width="1.7265625" style="477"/>
    <col min="167" max="167" width="1.7265625" style="477" customWidth="1"/>
    <col min="168" max="171" width="1.7265625" style="477"/>
    <col min="172" max="172" width="4" style="477" bestFit="1" customWidth="1"/>
    <col min="173" max="178" width="1.7265625" style="477"/>
    <col min="179" max="179" width="3.54296875" style="477" customWidth="1"/>
    <col min="180" max="180" width="1.7265625" style="477"/>
    <col min="181" max="181" width="3.1796875" style="477" bestFit="1" customWidth="1"/>
    <col min="182" max="182" width="1.7265625" style="477"/>
    <col min="183" max="183" width="3.7265625" style="477" bestFit="1" customWidth="1"/>
    <col min="184" max="191" width="1.7265625" style="477"/>
    <col min="192" max="192" width="3.7265625" style="477" bestFit="1" customWidth="1"/>
    <col min="193" max="193" width="4" style="477" bestFit="1" customWidth="1"/>
    <col min="194" max="201" width="1.7265625" style="477"/>
    <col min="202" max="202" width="4.26953125" style="477" bestFit="1" customWidth="1"/>
    <col min="203" max="203" width="4.453125" style="477" bestFit="1" customWidth="1"/>
    <col min="204" max="204" width="2.26953125" style="477" bestFit="1" customWidth="1"/>
    <col min="205" max="207" width="1.7265625" style="477"/>
    <col min="208" max="208" width="2" style="477" bestFit="1" customWidth="1"/>
    <col min="209" max="216" width="1.7265625" style="477"/>
    <col min="217" max="217" width="2.26953125" style="477" bestFit="1" customWidth="1"/>
    <col min="218" max="228" width="1.7265625" style="477"/>
    <col min="229" max="229" width="3" style="477" bestFit="1" customWidth="1"/>
    <col min="230" max="230" width="4" style="477" bestFit="1" customWidth="1"/>
    <col min="231" max="237" width="1.7265625" style="477"/>
    <col min="238" max="238" width="2.7265625" style="477" bestFit="1" customWidth="1"/>
    <col min="239" max="242" width="1.7265625" style="477"/>
    <col min="243" max="243" width="5.54296875" style="477" customWidth="1"/>
    <col min="244" max="245" width="1.7265625" style="477"/>
    <col min="246" max="246" width="3.26953125" style="477" customWidth="1"/>
    <col min="247" max="249" width="1.7265625" style="477"/>
    <col min="250" max="250" width="3.7265625" style="477" bestFit="1" customWidth="1"/>
    <col min="251" max="254" width="1.7265625" style="477"/>
    <col min="255" max="255" width="2.26953125" style="477" bestFit="1" customWidth="1"/>
    <col min="256" max="256" width="3.54296875" style="477" bestFit="1" customWidth="1"/>
    <col min="257" max="260" width="1.7265625" style="477"/>
    <col min="261" max="261" width="3.453125" style="477" customWidth="1"/>
    <col min="262" max="267" width="1.7265625" style="477"/>
    <col min="268" max="268" width="3.7265625" style="477" bestFit="1" customWidth="1"/>
    <col min="269" max="270" width="1.7265625" style="477"/>
    <col min="271" max="276" width="1.7265625" style="477" bestFit="1" customWidth="1"/>
    <col min="277" max="277" width="4" style="477" bestFit="1" customWidth="1"/>
    <col min="278" max="282" width="1.7265625" style="477" bestFit="1" customWidth="1"/>
    <col min="283" max="283" width="3" style="477" bestFit="1" customWidth="1"/>
    <col min="284" max="286" width="1.7265625" style="477" bestFit="1" customWidth="1"/>
    <col min="287" max="287" width="3.1796875" style="477" bestFit="1" customWidth="1"/>
    <col min="288" max="291" width="1.7265625" style="477" bestFit="1" customWidth="1"/>
    <col min="292" max="292" width="3.1796875" style="477" bestFit="1" customWidth="1"/>
    <col min="293" max="300" width="1.7265625" style="477" bestFit="1" customWidth="1"/>
    <col min="301" max="301" width="2.81640625" style="477" customWidth="1"/>
    <col min="302" max="302" width="1.7265625" style="477" bestFit="1" customWidth="1"/>
    <col min="303" max="303" width="10" style="477" customWidth="1"/>
    <col min="304" max="312" width="1.7265625" style="477" bestFit="1" customWidth="1"/>
    <col min="313" max="313" width="1.81640625" style="477" bestFit="1" customWidth="1"/>
    <col min="314" max="314" width="6.1796875" style="477" bestFit="1" customWidth="1"/>
    <col min="315" max="323" width="1.7265625" style="477" bestFit="1" customWidth="1"/>
    <col min="324" max="324" width="3" style="477" bestFit="1" customWidth="1"/>
    <col min="325" max="325" width="7.26953125" style="477" customWidth="1"/>
    <col min="326" max="331" width="1.7265625" style="477" bestFit="1" customWidth="1"/>
    <col min="332" max="332" width="3.453125" style="477" customWidth="1"/>
    <col min="333" max="333" width="2.81640625" style="477" bestFit="1" customWidth="1"/>
    <col min="334" max="334" width="1.7265625" style="477" bestFit="1" customWidth="1"/>
    <col min="335" max="335" width="3.81640625" style="477" bestFit="1" customWidth="1"/>
    <col min="336" max="336" width="4.7265625" style="477" bestFit="1" customWidth="1"/>
    <col min="337" max="344" width="1.7265625" style="477"/>
    <col min="345" max="345" width="3.1796875" style="477" customWidth="1"/>
    <col min="346" max="346" width="2.1796875" style="477" customWidth="1"/>
    <col min="347" max="347" width="1.7265625" style="477"/>
    <col min="348" max="348" width="3" style="477" customWidth="1"/>
    <col min="349" max="353" width="1.7265625" style="477"/>
    <col min="354" max="354" width="1.81640625" style="477" bestFit="1" customWidth="1"/>
    <col min="355" max="361" width="1.7265625" style="477"/>
    <col min="362" max="362" width="3" style="477" bestFit="1" customWidth="1"/>
    <col min="363" max="363" width="4" style="477" bestFit="1" customWidth="1"/>
    <col min="364" max="371" width="1.7265625" style="477"/>
    <col min="372" max="372" width="3.81640625" style="477" bestFit="1" customWidth="1"/>
    <col min="373" max="375" width="1.7265625" style="477"/>
    <col min="376" max="376" width="4" style="477" bestFit="1" customWidth="1"/>
    <col min="377" max="382" width="1.7265625" style="477"/>
    <col min="383" max="383" width="3.1796875" style="477" bestFit="1" customWidth="1"/>
    <col min="384" max="386" width="1.7265625" style="477"/>
    <col min="387" max="387" width="2" style="477" bestFit="1" customWidth="1"/>
    <col min="388" max="388" width="1.7265625" style="477"/>
    <col min="389" max="389" width="2.26953125" style="477" bestFit="1" customWidth="1"/>
    <col min="390" max="390" width="3.26953125" style="477" bestFit="1" customWidth="1"/>
    <col min="391" max="394" width="1.7265625" style="477"/>
    <col min="395" max="395" width="2.26953125" style="477" bestFit="1" customWidth="1"/>
    <col min="396" max="401" width="1.7265625" style="477"/>
    <col min="402" max="402" width="2.26953125" style="477" bestFit="1" customWidth="1"/>
    <col min="403" max="427" width="1.7265625" style="477"/>
    <col min="428" max="428" width="2.26953125" style="477" bestFit="1" customWidth="1"/>
    <col min="429" max="429" width="1.7265625" style="477"/>
    <col min="430" max="430" width="2.7265625" style="477" customWidth="1"/>
    <col min="431" max="443" width="1.7265625" style="477"/>
    <col min="444" max="444" width="7.453125" style="477" bestFit="1" customWidth="1"/>
    <col min="445" max="445" width="3.1796875" style="477" bestFit="1" customWidth="1"/>
    <col min="446" max="16384" width="1.7265625" style="477"/>
  </cols>
  <sheetData>
    <row r="2" spans="8:439" ht="12.75" customHeight="1" x14ac:dyDescent="0.35">
      <c r="BB2" s="478"/>
      <c r="BC2" s="478"/>
      <c r="BD2" s="478"/>
      <c r="BE2" s="478"/>
      <c r="BF2" s="478"/>
      <c r="BG2" s="478"/>
      <c r="BH2" s="478"/>
      <c r="BI2" s="478"/>
      <c r="BJ2" s="478"/>
      <c r="BK2" s="478"/>
    </row>
    <row r="3" spans="8:439" ht="12.75" customHeight="1" x14ac:dyDescent="0.35">
      <c r="BC3" s="478"/>
      <c r="BD3" s="478"/>
      <c r="BE3" s="478"/>
      <c r="BF3" s="478"/>
      <c r="BG3" s="478"/>
      <c r="BH3" s="478"/>
      <c r="BI3" s="478"/>
      <c r="BJ3" s="478"/>
      <c r="BK3" s="478"/>
      <c r="BL3" s="478"/>
      <c r="EP3" s="1460"/>
      <c r="EQ3" s="1460"/>
      <c r="ER3" s="1460"/>
      <c r="ES3" s="1460"/>
      <c r="ET3" s="1460"/>
    </row>
    <row r="7" spans="8:439" ht="12.75" customHeight="1" thickBot="1" x14ac:dyDescent="0.4">
      <c r="H7" s="478"/>
      <c r="I7" s="478"/>
      <c r="J7" s="478"/>
      <c r="K7" s="478"/>
      <c r="L7" s="479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AT7" s="480"/>
      <c r="AU7" s="480"/>
      <c r="AV7" s="480"/>
      <c r="AW7" s="480"/>
      <c r="AX7" s="480"/>
      <c r="AY7" s="480"/>
      <c r="AZ7" s="480"/>
      <c r="BA7" s="480"/>
      <c r="BB7" s="480"/>
      <c r="BC7" s="480"/>
      <c r="BD7" s="479"/>
      <c r="BE7" s="479"/>
      <c r="BF7" s="479"/>
      <c r="BG7" s="479"/>
      <c r="BH7" s="480"/>
      <c r="BI7" s="480"/>
      <c r="BJ7" s="480"/>
      <c r="BK7" s="480"/>
      <c r="BL7" s="480"/>
      <c r="BM7" s="480"/>
      <c r="BN7" s="480"/>
      <c r="BO7" s="480"/>
      <c r="BP7" s="480"/>
      <c r="BQ7" s="480"/>
      <c r="BR7" s="480"/>
      <c r="BS7" s="480"/>
      <c r="BT7" s="480"/>
      <c r="BU7" s="480"/>
      <c r="BV7" s="480"/>
      <c r="BW7" s="480"/>
      <c r="BX7" s="480"/>
      <c r="BY7" s="480"/>
      <c r="BZ7" s="480"/>
      <c r="CA7" s="480"/>
      <c r="CB7" s="480"/>
      <c r="CC7" s="480"/>
      <c r="CD7" s="480"/>
      <c r="CE7" s="480"/>
      <c r="CF7" s="480"/>
      <c r="CG7" s="480"/>
      <c r="CH7" s="480"/>
      <c r="CI7" s="480"/>
      <c r="CJ7" s="480"/>
      <c r="CK7" s="480"/>
      <c r="CL7" s="480"/>
      <c r="CM7" s="480"/>
      <c r="CN7" s="480"/>
      <c r="CO7" s="480"/>
      <c r="CP7" s="480"/>
      <c r="CQ7" s="480"/>
      <c r="CR7" s="480"/>
      <c r="CS7" s="480"/>
      <c r="CT7" s="480"/>
      <c r="CU7" s="480"/>
      <c r="CV7" s="480"/>
      <c r="CW7" s="480"/>
      <c r="CX7" s="480"/>
      <c r="CY7" s="480"/>
      <c r="CZ7" s="480"/>
      <c r="DA7" s="480"/>
      <c r="DB7" s="480"/>
      <c r="DC7" s="480"/>
      <c r="DD7" s="480"/>
      <c r="DE7" s="480"/>
      <c r="DF7" s="480"/>
      <c r="DG7" s="480"/>
      <c r="DH7" s="480"/>
      <c r="DI7" s="480"/>
      <c r="DJ7" s="480"/>
      <c r="DK7" s="480"/>
      <c r="DL7" s="480"/>
      <c r="DM7" s="480"/>
      <c r="DN7" s="480"/>
      <c r="DO7" s="480"/>
      <c r="DP7" s="480"/>
      <c r="DQ7" s="480"/>
      <c r="DR7" s="480"/>
      <c r="DS7" s="480"/>
      <c r="DT7" s="480"/>
      <c r="DU7" s="480"/>
      <c r="DV7" s="480"/>
      <c r="DW7" s="480"/>
      <c r="DX7" s="480"/>
      <c r="DY7" s="480"/>
      <c r="DZ7" s="480"/>
      <c r="EA7" s="480"/>
      <c r="EB7" s="480"/>
      <c r="EC7" s="480"/>
      <c r="ED7" s="480"/>
      <c r="EE7" s="480"/>
      <c r="EF7" s="480"/>
      <c r="EG7" s="480"/>
      <c r="EH7" s="480"/>
      <c r="EI7" s="480"/>
      <c r="EJ7" s="480"/>
      <c r="EK7" s="480"/>
      <c r="EL7" s="480"/>
      <c r="EM7" s="480"/>
      <c r="EN7" s="480"/>
      <c r="EO7" s="480"/>
      <c r="EP7" s="480"/>
      <c r="EQ7" s="480"/>
      <c r="ER7" s="480"/>
      <c r="ES7" s="480"/>
      <c r="ET7" s="480"/>
      <c r="EU7" s="480"/>
      <c r="EV7" s="480"/>
      <c r="EW7" s="480"/>
      <c r="EX7" s="480"/>
      <c r="EY7" s="480"/>
      <c r="EZ7" s="480"/>
      <c r="FA7" s="480"/>
      <c r="FB7" s="480"/>
      <c r="FC7" s="480"/>
      <c r="FD7" s="480"/>
      <c r="FE7" s="480"/>
      <c r="FF7" s="480"/>
      <c r="FG7" s="480"/>
      <c r="FH7" s="480"/>
      <c r="FI7" s="480"/>
      <c r="FJ7" s="480"/>
      <c r="FK7" s="480"/>
      <c r="FL7" s="480"/>
      <c r="FM7" s="480"/>
      <c r="FN7" s="480"/>
      <c r="FO7" s="480"/>
      <c r="FP7" s="480"/>
      <c r="FQ7" s="480"/>
      <c r="FR7" s="480"/>
      <c r="FS7" s="480"/>
      <c r="FT7" s="480"/>
      <c r="FU7" s="480"/>
      <c r="FV7" s="480"/>
      <c r="FW7" s="480"/>
      <c r="FX7" s="480"/>
      <c r="FY7" s="480"/>
      <c r="FZ7" s="480"/>
      <c r="GA7" s="480"/>
      <c r="GB7" s="480"/>
      <c r="GC7" s="480"/>
      <c r="GD7" s="480"/>
      <c r="GE7" s="480"/>
      <c r="GF7" s="480"/>
      <c r="GG7" s="480"/>
      <c r="GH7" s="480"/>
      <c r="GI7" s="480"/>
      <c r="GJ7" s="480"/>
      <c r="GK7" s="480"/>
      <c r="GL7" s="480"/>
      <c r="GM7" s="480"/>
      <c r="GN7" s="480"/>
      <c r="GO7" s="480"/>
      <c r="GP7" s="480"/>
      <c r="GQ7" s="480"/>
      <c r="GR7" s="480"/>
      <c r="GS7" s="480"/>
      <c r="GT7" s="480"/>
      <c r="GU7" s="480"/>
      <c r="GV7" s="480"/>
      <c r="GW7" s="480"/>
      <c r="GX7" s="480"/>
      <c r="GY7" s="480"/>
      <c r="GZ7" s="480"/>
      <c r="HA7" s="480"/>
      <c r="HB7" s="480"/>
      <c r="HC7" s="480"/>
      <c r="HD7" s="480"/>
      <c r="HE7" s="480"/>
      <c r="HF7" s="480"/>
      <c r="HG7" s="480"/>
      <c r="HH7" s="480"/>
      <c r="HI7" s="480"/>
      <c r="HJ7" s="480"/>
      <c r="HK7" s="480"/>
      <c r="HL7" s="480"/>
      <c r="HM7" s="480"/>
      <c r="HN7" s="480"/>
      <c r="HO7" s="480"/>
      <c r="HP7" s="480"/>
      <c r="HQ7" s="480"/>
      <c r="HR7" s="480"/>
      <c r="HS7" s="480"/>
      <c r="HT7" s="480"/>
      <c r="HU7" s="480"/>
      <c r="HV7" s="480"/>
      <c r="HW7" s="480"/>
      <c r="HX7" s="480"/>
      <c r="HY7" s="480"/>
      <c r="HZ7" s="480"/>
      <c r="IA7" s="480"/>
      <c r="IB7" s="480"/>
      <c r="IC7" s="480"/>
      <c r="ID7" s="480"/>
      <c r="IE7" s="480"/>
      <c r="IF7" s="480"/>
      <c r="IG7" s="480"/>
      <c r="IH7" s="480"/>
      <c r="II7" s="480"/>
      <c r="IJ7" s="480"/>
      <c r="IK7" s="480"/>
      <c r="IL7" s="480"/>
      <c r="IM7" s="480"/>
      <c r="IN7" s="480"/>
      <c r="IO7" s="480"/>
      <c r="IP7" s="480"/>
      <c r="IQ7" s="480"/>
      <c r="IR7" s="480"/>
      <c r="IS7" s="480"/>
      <c r="IT7" s="480"/>
      <c r="IU7" s="480"/>
      <c r="IV7" s="480"/>
      <c r="IW7" s="480"/>
      <c r="IX7" s="480"/>
      <c r="IY7" s="480"/>
      <c r="IZ7" s="480"/>
      <c r="JA7" s="480"/>
      <c r="JB7" s="480"/>
      <c r="JC7" s="480"/>
      <c r="JD7" s="480"/>
      <c r="JE7" s="480"/>
      <c r="JF7" s="480"/>
      <c r="JG7" s="480"/>
      <c r="JH7" s="480"/>
      <c r="JI7" s="480"/>
      <c r="JJ7" s="480"/>
      <c r="JK7" s="480"/>
      <c r="JL7" s="480"/>
      <c r="JM7" s="480"/>
      <c r="JN7" s="480"/>
      <c r="JO7" s="480"/>
      <c r="JP7" s="480"/>
      <c r="JQ7" s="480"/>
      <c r="JR7" s="480"/>
      <c r="JS7" s="480"/>
      <c r="JT7" s="480"/>
      <c r="JU7" s="480"/>
      <c r="JV7" s="480"/>
      <c r="JW7" s="480"/>
      <c r="JX7" s="480"/>
      <c r="JY7" s="480"/>
      <c r="JZ7" s="480"/>
      <c r="KA7" s="480"/>
      <c r="KB7" s="480"/>
      <c r="KC7" s="480"/>
      <c r="KD7" s="480"/>
      <c r="KE7" s="480"/>
      <c r="KF7" s="480"/>
      <c r="KG7" s="480"/>
      <c r="KH7" s="480"/>
      <c r="KI7" s="480"/>
      <c r="KJ7" s="480"/>
      <c r="KK7" s="480"/>
      <c r="KL7" s="480"/>
      <c r="KM7" s="480"/>
      <c r="KN7" s="480"/>
      <c r="KO7" s="480"/>
      <c r="KP7" s="480"/>
      <c r="KQ7" s="480"/>
      <c r="KR7" s="480"/>
      <c r="KS7" s="480"/>
      <c r="KT7" s="480"/>
      <c r="KU7" s="480"/>
      <c r="KV7" s="480"/>
      <c r="KW7" s="480"/>
      <c r="KX7" s="480"/>
      <c r="KY7" s="480"/>
      <c r="KZ7" s="480"/>
      <c r="LA7" s="480"/>
      <c r="LB7" s="480"/>
      <c r="LC7" s="480"/>
      <c r="LD7" s="480"/>
      <c r="LE7" s="480"/>
      <c r="LF7" s="480"/>
      <c r="LG7" s="480"/>
      <c r="LH7" s="480"/>
      <c r="LI7" s="480"/>
      <c r="LJ7" s="480"/>
      <c r="LK7" s="480"/>
      <c r="LL7" s="480"/>
      <c r="LM7" s="480"/>
      <c r="LN7" s="480"/>
      <c r="LO7" s="480"/>
      <c r="LP7" s="480"/>
      <c r="LQ7" s="480"/>
      <c r="LR7" s="480"/>
      <c r="LS7" s="480"/>
      <c r="LT7" s="480"/>
      <c r="LU7" s="480"/>
      <c r="LV7" s="480"/>
      <c r="LW7" s="480"/>
      <c r="LX7" s="480"/>
      <c r="LY7" s="480"/>
      <c r="LZ7" s="480"/>
      <c r="MA7" s="480"/>
      <c r="MB7" s="480"/>
      <c r="MC7" s="480"/>
      <c r="MD7" s="480"/>
      <c r="ME7" s="480"/>
      <c r="MF7" s="480"/>
      <c r="MG7" s="480"/>
      <c r="MH7" s="480"/>
      <c r="MI7" s="480"/>
      <c r="MJ7" s="480"/>
      <c r="MK7" s="480"/>
      <c r="ML7" s="480"/>
      <c r="MM7" s="480"/>
      <c r="MN7" s="480"/>
      <c r="MO7" s="480"/>
      <c r="MP7" s="480"/>
      <c r="MQ7" s="480"/>
      <c r="MR7" s="480"/>
      <c r="MS7" s="480"/>
      <c r="MT7" s="480"/>
      <c r="MU7" s="480"/>
      <c r="MV7" s="480"/>
      <c r="MW7" s="480"/>
      <c r="MX7" s="480"/>
      <c r="MY7" s="480"/>
      <c r="MZ7" s="480"/>
      <c r="NA7" s="480"/>
      <c r="NB7" s="480"/>
      <c r="NC7" s="480"/>
      <c r="ND7" s="480"/>
      <c r="NE7" s="480"/>
      <c r="NF7" s="480"/>
      <c r="NG7" s="480"/>
      <c r="NH7" s="480"/>
      <c r="NI7" s="480"/>
      <c r="NJ7" s="480"/>
      <c r="NK7" s="480"/>
      <c r="NL7" s="480"/>
      <c r="NM7" s="480"/>
      <c r="NN7" s="480"/>
      <c r="NO7" s="480"/>
      <c r="NP7" s="480"/>
      <c r="NQ7" s="480"/>
      <c r="NR7" s="480"/>
      <c r="NS7" s="480"/>
      <c r="NT7" s="480"/>
      <c r="NU7" s="480"/>
      <c r="NV7" s="480"/>
      <c r="NW7" s="480"/>
      <c r="NX7" s="480"/>
      <c r="NY7" s="480"/>
      <c r="NZ7" s="480"/>
      <c r="OA7" s="480"/>
      <c r="OB7" s="480"/>
      <c r="OC7" s="480"/>
      <c r="OD7" s="480"/>
      <c r="OE7" s="480"/>
      <c r="OF7" s="480"/>
      <c r="OG7" s="480"/>
      <c r="OH7" s="480"/>
      <c r="OI7" s="480"/>
    </row>
    <row r="8" spans="8:439" ht="12.75" customHeight="1" x14ac:dyDescent="0.35">
      <c r="H8" s="478"/>
      <c r="I8" s="478"/>
      <c r="J8" s="478"/>
      <c r="K8" s="481"/>
      <c r="L8" s="478"/>
      <c r="M8" s="478"/>
      <c r="N8" s="478"/>
      <c r="O8" s="478"/>
      <c r="BD8" s="478"/>
      <c r="BE8" s="478"/>
      <c r="BF8" s="478"/>
      <c r="BG8" s="478"/>
      <c r="OJ8" s="1461" t="s">
        <v>4837</v>
      </c>
      <c r="OK8" s="1461"/>
      <c r="OL8" s="1461"/>
      <c r="OM8" s="1461"/>
      <c r="ON8" s="1461"/>
      <c r="OO8" s="1461"/>
      <c r="OP8" s="1461"/>
      <c r="OQ8" s="1461"/>
      <c r="OR8" s="1461"/>
      <c r="OS8" s="1461"/>
      <c r="OT8" s="1461"/>
      <c r="OU8" s="1461"/>
      <c r="OV8" s="1461"/>
      <c r="OW8" s="1461"/>
      <c r="OX8" s="1461"/>
      <c r="OY8" s="1461"/>
      <c r="OZ8" s="1461"/>
      <c r="PA8" s="1461"/>
      <c r="PB8" s="1461"/>
      <c r="PC8" s="1461"/>
      <c r="PD8" s="1461"/>
      <c r="PE8" s="1461"/>
      <c r="PF8" s="1461"/>
      <c r="PG8" s="1461"/>
      <c r="PH8" s="1461"/>
      <c r="PI8" s="1461"/>
      <c r="PJ8" s="1461"/>
      <c r="PK8" s="1461"/>
      <c r="PL8" s="1461"/>
      <c r="PM8" s="1461"/>
      <c r="PN8" s="1461"/>
      <c r="PO8" s="1461"/>
      <c r="PP8" s="1461"/>
      <c r="PQ8" s="1461"/>
      <c r="PR8" s="1461"/>
      <c r="PS8" s="1461"/>
      <c r="PT8" s="1461"/>
      <c r="PU8" s="1461"/>
      <c r="PV8" s="1461"/>
      <c r="PW8" s="1462"/>
    </row>
    <row r="9" spans="8:439" ht="12.75" customHeight="1" x14ac:dyDescent="0.35">
      <c r="H9" s="478"/>
      <c r="I9" s="478"/>
      <c r="J9" s="478"/>
      <c r="K9" s="481"/>
      <c r="L9" s="478"/>
      <c r="BD9" s="478"/>
      <c r="BE9" s="478"/>
      <c r="BF9" s="478"/>
      <c r="BG9" s="478"/>
      <c r="OJ9" s="1463"/>
      <c r="OK9" s="1463"/>
      <c r="OL9" s="1463"/>
      <c r="OM9" s="1463"/>
      <c r="ON9" s="1463"/>
      <c r="OO9" s="1463"/>
      <c r="OP9" s="1463"/>
      <c r="OQ9" s="1463"/>
      <c r="OR9" s="1463"/>
      <c r="OS9" s="1463"/>
      <c r="OT9" s="1463"/>
      <c r="OU9" s="1463"/>
      <c r="OV9" s="1463"/>
      <c r="OW9" s="1463"/>
      <c r="OX9" s="1463"/>
      <c r="OY9" s="1463"/>
      <c r="OZ9" s="1463"/>
      <c r="PA9" s="1463"/>
      <c r="PB9" s="1463"/>
      <c r="PC9" s="1463"/>
      <c r="PD9" s="1463"/>
      <c r="PE9" s="1463"/>
      <c r="PF9" s="1463"/>
      <c r="PG9" s="1463"/>
      <c r="PH9" s="1463"/>
      <c r="PI9" s="1463"/>
      <c r="PJ9" s="1463"/>
      <c r="PK9" s="1463"/>
      <c r="PL9" s="1463"/>
      <c r="PM9" s="1463"/>
      <c r="PN9" s="1463"/>
      <c r="PO9" s="1463"/>
      <c r="PP9" s="1463"/>
      <c r="PQ9" s="1463"/>
      <c r="PR9" s="1463"/>
      <c r="PS9" s="1463"/>
      <c r="PT9" s="1463"/>
      <c r="PU9" s="1463"/>
      <c r="PV9" s="1463"/>
      <c r="PW9" s="1464"/>
    </row>
    <row r="10" spans="8:439" ht="12.75" customHeight="1" x14ac:dyDescent="0.35">
      <c r="H10" s="478"/>
      <c r="I10" s="478"/>
      <c r="J10" s="478"/>
      <c r="K10" s="481"/>
      <c r="L10" s="478"/>
      <c r="BD10" s="478"/>
      <c r="BE10" s="478"/>
      <c r="BF10" s="478"/>
      <c r="BG10" s="478"/>
      <c r="EG10" s="1465" t="s">
        <v>5010</v>
      </c>
      <c r="EH10" s="1465"/>
      <c r="EI10" s="1465"/>
      <c r="EJ10" s="1465"/>
      <c r="EK10" s="1465"/>
      <c r="EL10" s="1465"/>
      <c r="EM10" s="1465"/>
      <c r="EN10" s="1465"/>
      <c r="EO10" s="1465"/>
      <c r="EP10" s="1465"/>
      <c r="EQ10" s="1465"/>
      <c r="ER10" s="1465"/>
      <c r="ES10" s="1465"/>
      <c r="ET10" s="1465"/>
      <c r="EU10" s="1465"/>
      <c r="EV10" s="1465"/>
      <c r="EW10" s="1465"/>
      <c r="EX10" s="1465"/>
      <c r="EY10" s="1465"/>
      <c r="EZ10" s="1465"/>
      <c r="FA10" s="1465"/>
      <c r="FB10" s="1465"/>
      <c r="FC10" s="1465"/>
      <c r="FD10" s="1465"/>
      <c r="FE10" s="1465"/>
      <c r="FF10" s="1465"/>
      <c r="FG10" s="1465"/>
      <c r="FH10" s="1465"/>
      <c r="FI10" s="1465"/>
      <c r="FJ10" s="1465"/>
      <c r="FK10" s="1465"/>
      <c r="FL10" s="1465"/>
      <c r="FM10" s="1465"/>
      <c r="FN10" s="1465"/>
      <c r="FO10" s="1465"/>
      <c r="FP10" s="1465"/>
      <c r="FQ10" s="1465"/>
      <c r="FR10" s="1465"/>
      <c r="FS10" s="1465"/>
      <c r="FT10" s="1465"/>
      <c r="FU10" s="1465"/>
      <c r="FV10" s="1465"/>
      <c r="FW10" s="1465"/>
      <c r="FX10" s="1465"/>
      <c r="FY10" s="1465"/>
      <c r="FZ10" s="1465"/>
      <c r="GA10" s="1465"/>
      <c r="GB10" s="1465"/>
      <c r="GC10" s="1465"/>
      <c r="GD10" s="1465"/>
      <c r="GE10" s="1465"/>
      <c r="GF10" s="1465"/>
      <c r="GG10" s="1465"/>
      <c r="GH10" s="1465"/>
      <c r="GI10" s="1465"/>
      <c r="GJ10" s="1465"/>
      <c r="GK10" s="1465"/>
      <c r="GL10" s="1465"/>
      <c r="GM10" s="1465"/>
      <c r="GN10" s="1465"/>
      <c r="GO10" s="1465"/>
      <c r="GP10" s="1465"/>
      <c r="GQ10" s="1465"/>
      <c r="GR10" s="1465"/>
      <c r="GS10" s="1465"/>
      <c r="GT10" s="1465"/>
      <c r="GU10" s="1465"/>
      <c r="GV10" s="1465"/>
      <c r="GW10" s="1465"/>
      <c r="GX10" s="1465"/>
      <c r="GY10" s="1465"/>
      <c r="GZ10" s="1465"/>
      <c r="HA10" s="1465"/>
      <c r="HB10" s="1465"/>
      <c r="HC10" s="1465"/>
      <c r="HD10" s="1465"/>
      <c r="HE10" s="1465"/>
      <c r="HF10" s="1465"/>
      <c r="HG10" s="1465"/>
      <c r="HH10" s="1465"/>
      <c r="HI10" s="1465"/>
      <c r="HJ10" s="1465"/>
      <c r="HK10" s="1465"/>
      <c r="HL10" s="1465"/>
      <c r="HM10" s="1465"/>
      <c r="HN10" s="1465"/>
      <c r="HO10" s="1465"/>
      <c r="HP10" s="1465"/>
      <c r="HQ10" s="1465"/>
      <c r="HR10" s="1465"/>
      <c r="HS10" s="1465"/>
      <c r="HT10" s="1465"/>
      <c r="HU10" s="1465"/>
      <c r="HV10" s="1465"/>
      <c r="HW10" s="1465"/>
      <c r="HX10" s="1465"/>
      <c r="HY10" s="1465"/>
      <c r="HZ10" s="1465"/>
      <c r="IA10" s="1465"/>
      <c r="IB10" s="1465"/>
      <c r="IC10" s="1465"/>
      <c r="ID10" s="1465"/>
      <c r="IE10" s="1465"/>
      <c r="IF10" s="1465"/>
      <c r="IG10" s="1465"/>
      <c r="IH10" s="1465"/>
      <c r="II10" s="1465"/>
      <c r="IJ10" s="1465"/>
      <c r="IK10" s="1465"/>
      <c r="IL10" s="1465"/>
      <c r="IM10" s="1465"/>
      <c r="IN10" s="1465"/>
      <c r="IO10" s="1465"/>
      <c r="IP10" s="1465"/>
      <c r="IQ10" s="1465"/>
      <c r="IR10" s="1465"/>
      <c r="IS10" s="1465"/>
      <c r="IT10" s="1465"/>
      <c r="IU10" s="1465"/>
      <c r="IV10" s="1465"/>
      <c r="IW10" s="1465"/>
      <c r="IX10" s="1465"/>
      <c r="IY10" s="1465"/>
      <c r="IZ10" s="1465"/>
      <c r="JA10" s="1465"/>
      <c r="JB10" s="1465"/>
      <c r="OJ10" s="1463"/>
      <c r="OK10" s="1463"/>
      <c r="OL10" s="1463"/>
      <c r="OM10" s="1463"/>
      <c r="ON10" s="1463"/>
      <c r="OO10" s="1463"/>
      <c r="OP10" s="1463"/>
      <c r="OQ10" s="1463"/>
      <c r="OR10" s="1463"/>
      <c r="OS10" s="1463"/>
      <c r="OT10" s="1463"/>
      <c r="OU10" s="1463"/>
      <c r="OV10" s="1463"/>
      <c r="OW10" s="1463"/>
      <c r="OX10" s="1463"/>
      <c r="OY10" s="1463"/>
      <c r="OZ10" s="1463"/>
      <c r="PA10" s="1463"/>
      <c r="PB10" s="1463"/>
      <c r="PC10" s="1463"/>
      <c r="PD10" s="1463"/>
      <c r="PE10" s="1463"/>
      <c r="PF10" s="1463"/>
      <c r="PG10" s="1463"/>
      <c r="PH10" s="1463"/>
      <c r="PI10" s="1463"/>
      <c r="PJ10" s="1463"/>
      <c r="PK10" s="1463"/>
      <c r="PL10" s="1463"/>
      <c r="PM10" s="1463"/>
      <c r="PN10" s="1463"/>
      <c r="PO10" s="1463"/>
      <c r="PP10" s="1463"/>
      <c r="PQ10" s="1463"/>
      <c r="PR10" s="1463"/>
      <c r="PS10" s="1463"/>
      <c r="PT10" s="1463"/>
      <c r="PU10" s="1463"/>
      <c r="PV10" s="1463"/>
      <c r="PW10" s="1464"/>
    </row>
    <row r="11" spans="8:439" ht="12.75" customHeight="1" x14ac:dyDescent="0.35">
      <c r="H11" s="478"/>
      <c r="I11" s="478"/>
      <c r="J11" s="478"/>
      <c r="K11" s="481"/>
      <c r="L11" s="478"/>
      <c r="BD11" s="478"/>
      <c r="BE11" s="478"/>
      <c r="BF11" s="478"/>
      <c r="BG11" s="478"/>
      <c r="EG11" s="1465"/>
      <c r="EH11" s="1465"/>
      <c r="EI11" s="1465"/>
      <c r="EJ11" s="1465"/>
      <c r="EK11" s="1465"/>
      <c r="EL11" s="1465"/>
      <c r="EM11" s="1465"/>
      <c r="EN11" s="1465"/>
      <c r="EO11" s="1465"/>
      <c r="EP11" s="1465"/>
      <c r="EQ11" s="1465"/>
      <c r="ER11" s="1465"/>
      <c r="ES11" s="1465"/>
      <c r="ET11" s="1465"/>
      <c r="EU11" s="1465"/>
      <c r="EV11" s="1465"/>
      <c r="EW11" s="1465"/>
      <c r="EX11" s="1465"/>
      <c r="EY11" s="1465"/>
      <c r="EZ11" s="1465"/>
      <c r="FA11" s="1465"/>
      <c r="FB11" s="1465"/>
      <c r="FC11" s="1465"/>
      <c r="FD11" s="1465"/>
      <c r="FE11" s="1465"/>
      <c r="FF11" s="1465"/>
      <c r="FG11" s="1465"/>
      <c r="FH11" s="1465"/>
      <c r="FI11" s="1465"/>
      <c r="FJ11" s="1465"/>
      <c r="FK11" s="1465"/>
      <c r="FL11" s="1465"/>
      <c r="FM11" s="1465"/>
      <c r="FN11" s="1465"/>
      <c r="FO11" s="1465"/>
      <c r="FP11" s="1465"/>
      <c r="FQ11" s="1465"/>
      <c r="FR11" s="1465"/>
      <c r="FS11" s="1465"/>
      <c r="FT11" s="1465"/>
      <c r="FU11" s="1465"/>
      <c r="FV11" s="1465"/>
      <c r="FW11" s="1465"/>
      <c r="FX11" s="1465"/>
      <c r="FY11" s="1465"/>
      <c r="FZ11" s="1465"/>
      <c r="GA11" s="1465"/>
      <c r="GB11" s="1465"/>
      <c r="GC11" s="1465"/>
      <c r="GD11" s="1465"/>
      <c r="GE11" s="1465"/>
      <c r="GF11" s="1465"/>
      <c r="GG11" s="1465"/>
      <c r="GH11" s="1465"/>
      <c r="GI11" s="1465"/>
      <c r="GJ11" s="1465"/>
      <c r="GK11" s="1465"/>
      <c r="GL11" s="1465"/>
      <c r="GM11" s="1465"/>
      <c r="GN11" s="1465"/>
      <c r="GO11" s="1465"/>
      <c r="GP11" s="1465"/>
      <c r="GQ11" s="1465"/>
      <c r="GR11" s="1465"/>
      <c r="GS11" s="1465"/>
      <c r="GT11" s="1465"/>
      <c r="GU11" s="1465"/>
      <c r="GV11" s="1465"/>
      <c r="GW11" s="1465"/>
      <c r="GX11" s="1465"/>
      <c r="GY11" s="1465"/>
      <c r="GZ11" s="1465"/>
      <c r="HA11" s="1465"/>
      <c r="HB11" s="1465"/>
      <c r="HC11" s="1465"/>
      <c r="HD11" s="1465"/>
      <c r="HE11" s="1465"/>
      <c r="HF11" s="1465"/>
      <c r="HG11" s="1465"/>
      <c r="HH11" s="1465"/>
      <c r="HI11" s="1465"/>
      <c r="HJ11" s="1465"/>
      <c r="HK11" s="1465"/>
      <c r="HL11" s="1465"/>
      <c r="HM11" s="1465"/>
      <c r="HN11" s="1465"/>
      <c r="HO11" s="1465"/>
      <c r="HP11" s="1465"/>
      <c r="HQ11" s="1465"/>
      <c r="HR11" s="1465"/>
      <c r="HS11" s="1465"/>
      <c r="HT11" s="1465"/>
      <c r="HU11" s="1465"/>
      <c r="HV11" s="1465"/>
      <c r="HW11" s="1465"/>
      <c r="HX11" s="1465"/>
      <c r="HY11" s="1465"/>
      <c r="HZ11" s="1465"/>
      <c r="IA11" s="1465"/>
      <c r="IB11" s="1465"/>
      <c r="IC11" s="1465"/>
      <c r="ID11" s="1465"/>
      <c r="IE11" s="1465"/>
      <c r="IF11" s="1465"/>
      <c r="IG11" s="1465"/>
      <c r="IH11" s="1465"/>
      <c r="II11" s="1465"/>
      <c r="IJ11" s="1465"/>
      <c r="IK11" s="1465"/>
      <c r="IL11" s="1465"/>
      <c r="IM11" s="1465"/>
      <c r="IN11" s="1465"/>
      <c r="IO11" s="1465"/>
      <c r="IP11" s="1465"/>
      <c r="IQ11" s="1465"/>
      <c r="IR11" s="1465"/>
      <c r="IS11" s="1465"/>
      <c r="IT11" s="1465"/>
      <c r="IU11" s="1465"/>
      <c r="IV11" s="1465"/>
      <c r="IW11" s="1465"/>
      <c r="IX11" s="1465"/>
      <c r="IY11" s="1465"/>
      <c r="IZ11" s="1465"/>
      <c r="JA11" s="1465"/>
      <c r="JB11" s="1465"/>
      <c r="OJ11" s="1463"/>
      <c r="OK11" s="1463"/>
      <c r="OL11" s="1463"/>
      <c r="OM11" s="1463"/>
      <c r="ON11" s="1463"/>
      <c r="OO11" s="1463"/>
      <c r="OP11" s="1463"/>
      <c r="OQ11" s="1463"/>
      <c r="OR11" s="1463"/>
      <c r="OS11" s="1463"/>
      <c r="OT11" s="1463"/>
      <c r="OU11" s="1463"/>
      <c r="OV11" s="1463"/>
      <c r="OW11" s="1463"/>
      <c r="OX11" s="1463"/>
      <c r="OY11" s="1463"/>
      <c r="OZ11" s="1463"/>
      <c r="PA11" s="1463"/>
      <c r="PB11" s="1463"/>
      <c r="PC11" s="1463"/>
      <c r="PD11" s="1463"/>
      <c r="PE11" s="1463"/>
      <c r="PF11" s="1463"/>
      <c r="PG11" s="1463"/>
      <c r="PH11" s="1463"/>
      <c r="PI11" s="1463"/>
      <c r="PJ11" s="1463"/>
      <c r="PK11" s="1463"/>
      <c r="PL11" s="1463"/>
      <c r="PM11" s="1463"/>
      <c r="PN11" s="1463"/>
      <c r="PO11" s="1463"/>
      <c r="PP11" s="1463"/>
      <c r="PQ11" s="1463"/>
      <c r="PR11" s="1463"/>
      <c r="PS11" s="1463"/>
      <c r="PT11" s="1463"/>
      <c r="PU11" s="1463"/>
      <c r="PV11" s="1463"/>
      <c r="PW11" s="1464"/>
    </row>
    <row r="12" spans="8:439" ht="12.75" customHeight="1" x14ac:dyDescent="0.35">
      <c r="H12" s="478"/>
      <c r="I12" s="478"/>
      <c r="J12" s="478"/>
      <c r="K12" s="481"/>
      <c r="L12" s="478"/>
      <c r="BD12" s="478"/>
      <c r="BE12" s="478"/>
      <c r="BF12" s="478"/>
      <c r="BG12" s="478"/>
      <c r="EG12" s="1465"/>
      <c r="EH12" s="1465"/>
      <c r="EI12" s="1465"/>
      <c r="EJ12" s="1465"/>
      <c r="EK12" s="1465"/>
      <c r="EL12" s="1465"/>
      <c r="EM12" s="1465"/>
      <c r="EN12" s="1465"/>
      <c r="EO12" s="1465"/>
      <c r="EP12" s="1465"/>
      <c r="EQ12" s="1465"/>
      <c r="ER12" s="1465"/>
      <c r="ES12" s="1465"/>
      <c r="ET12" s="1465"/>
      <c r="EU12" s="1465"/>
      <c r="EV12" s="1465"/>
      <c r="EW12" s="1465"/>
      <c r="EX12" s="1465"/>
      <c r="EY12" s="1465"/>
      <c r="EZ12" s="1465"/>
      <c r="FA12" s="1465"/>
      <c r="FB12" s="1465"/>
      <c r="FC12" s="1465"/>
      <c r="FD12" s="1465"/>
      <c r="FE12" s="1465"/>
      <c r="FF12" s="1465"/>
      <c r="FG12" s="1465"/>
      <c r="FH12" s="1465"/>
      <c r="FI12" s="1465"/>
      <c r="FJ12" s="1465"/>
      <c r="FK12" s="1465"/>
      <c r="FL12" s="1465"/>
      <c r="FM12" s="1465"/>
      <c r="FN12" s="1465"/>
      <c r="FO12" s="1465"/>
      <c r="FP12" s="1465"/>
      <c r="FQ12" s="1465"/>
      <c r="FR12" s="1465"/>
      <c r="FS12" s="1465"/>
      <c r="FT12" s="1465"/>
      <c r="FU12" s="1465"/>
      <c r="FV12" s="1465"/>
      <c r="FW12" s="1465"/>
      <c r="FX12" s="1465"/>
      <c r="FY12" s="1465"/>
      <c r="FZ12" s="1465"/>
      <c r="GA12" s="1465"/>
      <c r="GB12" s="1465"/>
      <c r="GC12" s="1465"/>
      <c r="GD12" s="1465"/>
      <c r="GE12" s="1465"/>
      <c r="GF12" s="1465"/>
      <c r="GG12" s="1465"/>
      <c r="GH12" s="1465"/>
      <c r="GI12" s="1465"/>
      <c r="GJ12" s="1465"/>
      <c r="GK12" s="1465"/>
      <c r="GL12" s="1465"/>
      <c r="GM12" s="1465"/>
      <c r="GN12" s="1465"/>
      <c r="GO12" s="1465"/>
      <c r="GP12" s="1465"/>
      <c r="GQ12" s="1465"/>
      <c r="GR12" s="1465"/>
      <c r="GS12" s="1465"/>
      <c r="GT12" s="1465"/>
      <c r="GU12" s="1465"/>
      <c r="GV12" s="1465"/>
      <c r="GW12" s="1465"/>
      <c r="GX12" s="1465"/>
      <c r="GY12" s="1465"/>
      <c r="GZ12" s="1465"/>
      <c r="HA12" s="1465"/>
      <c r="HB12" s="1465"/>
      <c r="HC12" s="1465"/>
      <c r="HD12" s="1465"/>
      <c r="HE12" s="1465"/>
      <c r="HF12" s="1465"/>
      <c r="HG12" s="1465"/>
      <c r="HH12" s="1465"/>
      <c r="HI12" s="1465"/>
      <c r="HJ12" s="1465"/>
      <c r="HK12" s="1465"/>
      <c r="HL12" s="1465"/>
      <c r="HM12" s="1465"/>
      <c r="HN12" s="1465"/>
      <c r="HO12" s="1465"/>
      <c r="HP12" s="1465"/>
      <c r="HQ12" s="1465"/>
      <c r="HR12" s="1465"/>
      <c r="HS12" s="1465"/>
      <c r="HT12" s="1465"/>
      <c r="HU12" s="1465"/>
      <c r="HV12" s="1465"/>
      <c r="HW12" s="1465"/>
      <c r="HX12" s="1465"/>
      <c r="HY12" s="1465"/>
      <c r="HZ12" s="1465"/>
      <c r="IA12" s="1465"/>
      <c r="IB12" s="1465"/>
      <c r="IC12" s="1465"/>
      <c r="ID12" s="1465"/>
      <c r="IE12" s="1465"/>
      <c r="IF12" s="1465"/>
      <c r="IG12" s="1465"/>
      <c r="IH12" s="1465"/>
      <c r="II12" s="1465"/>
      <c r="IJ12" s="1465"/>
      <c r="IK12" s="1465"/>
      <c r="IL12" s="1465"/>
      <c r="IM12" s="1465"/>
      <c r="IN12" s="1465"/>
      <c r="IO12" s="1465"/>
      <c r="IP12" s="1465"/>
      <c r="IQ12" s="1465"/>
      <c r="IR12" s="1465"/>
      <c r="IS12" s="1465"/>
      <c r="IT12" s="1465"/>
      <c r="IU12" s="1465"/>
      <c r="IV12" s="1465"/>
      <c r="IW12" s="1465"/>
      <c r="IX12" s="1465"/>
      <c r="IY12" s="1465"/>
      <c r="IZ12" s="1465"/>
      <c r="JA12" s="1465"/>
      <c r="JB12" s="1465"/>
      <c r="OJ12" s="1463"/>
      <c r="OK12" s="1463"/>
      <c r="OL12" s="1463"/>
      <c r="OM12" s="1463"/>
      <c r="ON12" s="1463"/>
      <c r="OO12" s="1463"/>
      <c r="OP12" s="1463"/>
      <c r="OQ12" s="1463"/>
      <c r="OR12" s="1463"/>
      <c r="OS12" s="1463"/>
      <c r="OT12" s="1463"/>
      <c r="OU12" s="1463"/>
      <c r="OV12" s="1463"/>
      <c r="OW12" s="1463"/>
      <c r="OX12" s="1463"/>
      <c r="OY12" s="1463"/>
      <c r="OZ12" s="1463"/>
      <c r="PA12" s="1463"/>
      <c r="PB12" s="1463"/>
      <c r="PC12" s="1463"/>
      <c r="PD12" s="1463"/>
      <c r="PE12" s="1463"/>
      <c r="PF12" s="1463"/>
      <c r="PG12" s="1463"/>
      <c r="PH12" s="1463"/>
      <c r="PI12" s="1463"/>
      <c r="PJ12" s="1463"/>
      <c r="PK12" s="1463"/>
      <c r="PL12" s="1463"/>
      <c r="PM12" s="1463"/>
      <c r="PN12" s="1463"/>
      <c r="PO12" s="1463"/>
      <c r="PP12" s="1463"/>
      <c r="PQ12" s="1463"/>
      <c r="PR12" s="1463"/>
      <c r="PS12" s="1463"/>
      <c r="PT12" s="1463"/>
      <c r="PU12" s="1463"/>
      <c r="PV12" s="1463"/>
      <c r="PW12" s="1464"/>
    </row>
    <row r="13" spans="8:439" ht="12.75" customHeight="1" x14ac:dyDescent="0.35">
      <c r="H13" s="478"/>
      <c r="I13" s="478"/>
      <c r="J13" s="478"/>
      <c r="K13" s="481"/>
      <c r="L13" s="478"/>
      <c r="BD13" s="478"/>
      <c r="BE13" s="478"/>
      <c r="BF13" s="478"/>
      <c r="BG13" s="478"/>
      <c r="EG13" s="1465"/>
      <c r="EH13" s="1465"/>
      <c r="EI13" s="1465"/>
      <c r="EJ13" s="1465"/>
      <c r="EK13" s="1465"/>
      <c r="EL13" s="1465"/>
      <c r="EM13" s="1465"/>
      <c r="EN13" s="1465"/>
      <c r="EO13" s="1465"/>
      <c r="EP13" s="1465"/>
      <c r="EQ13" s="1465"/>
      <c r="ER13" s="1465"/>
      <c r="ES13" s="1465"/>
      <c r="ET13" s="1465"/>
      <c r="EU13" s="1465"/>
      <c r="EV13" s="1465"/>
      <c r="EW13" s="1465"/>
      <c r="EX13" s="1465"/>
      <c r="EY13" s="1465"/>
      <c r="EZ13" s="1465"/>
      <c r="FA13" s="1465"/>
      <c r="FB13" s="1465"/>
      <c r="FC13" s="1465"/>
      <c r="FD13" s="1465"/>
      <c r="FE13" s="1465"/>
      <c r="FF13" s="1465"/>
      <c r="FG13" s="1465"/>
      <c r="FH13" s="1465"/>
      <c r="FI13" s="1465"/>
      <c r="FJ13" s="1465"/>
      <c r="FK13" s="1465"/>
      <c r="FL13" s="1465"/>
      <c r="FM13" s="1465"/>
      <c r="FN13" s="1465"/>
      <c r="FO13" s="1465"/>
      <c r="FP13" s="1465"/>
      <c r="FQ13" s="1465"/>
      <c r="FR13" s="1465"/>
      <c r="FS13" s="1465"/>
      <c r="FT13" s="1465"/>
      <c r="FU13" s="1465"/>
      <c r="FV13" s="1465"/>
      <c r="FW13" s="1465"/>
      <c r="FX13" s="1465"/>
      <c r="FY13" s="1465"/>
      <c r="FZ13" s="1465"/>
      <c r="GA13" s="1465"/>
      <c r="GB13" s="1465"/>
      <c r="GC13" s="1465"/>
      <c r="GD13" s="1465"/>
      <c r="GE13" s="1465"/>
      <c r="GF13" s="1465"/>
      <c r="GG13" s="1465"/>
      <c r="GH13" s="1465"/>
      <c r="GI13" s="1465"/>
      <c r="GJ13" s="1465"/>
      <c r="GK13" s="1465"/>
      <c r="GL13" s="1465"/>
      <c r="GM13" s="1465"/>
      <c r="GN13" s="1465"/>
      <c r="GO13" s="1465"/>
      <c r="GP13" s="1465"/>
      <c r="GQ13" s="1465"/>
      <c r="GR13" s="1465"/>
      <c r="GS13" s="1465"/>
      <c r="GT13" s="1465"/>
      <c r="GU13" s="1465"/>
      <c r="GV13" s="1465"/>
      <c r="GW13" s="1465"/>
      <c r="GX13" s="1465"/>
      <c r="GY13" s="1465"/>
      <c r="GZ13" s="1465"/>
      <c r="HA13" s="1465"/>
      <c r="HB13" s="1465"/>
      <c r="HC13" s="1465"/>
      <c r="HD13" s="1465"/>
      <c r="HE13" s="1465"/>
      <c r="HF13" s="1465"/>
      <c r="HG13" s="1465"/>
      <c r="HH13" s="1465"/>
      <c r="HI13" s="1465"/>
      <c r="HJ13" s="1465"/>
      <c r="HK13" s="1465"/>
      <c r="HL13" s="1465"/>
      <c r="HM13" s="1465"/>
      <c r="HN13" s="1465"/>
      <c r="HO13" s="1465"/>
      <c r="HP13" s="1465"/>
      <c r="HQ13" s="1465"/>
      <c r="HR13" s="1465"/>
      <c r="HS13" s="1465"/>
      <c r="HT13" s="1465"/>
      <c r="HU13" s="1465"/>
      <c r="HV13" s="1465"/>
      <c r="HW13" s="1465"/>
      <c r="HX13" s="1465"/>
      <c r="HY13" s="1465"/>
      <c r="HZ13" s="1465"/>
      <c r="IA13" s="1465"/>
      <c r="IB13" s="1465"/>
      <c r="IC13" s="1465"/>
      <c r="ID13" s="1465"/>
      <c r="IE13" s="1465"/>
      <c r="IF13" s="1465"/>
      <c r="IG13" s="1465"/>
      <c r="IH13" s="1465"/>
      <c r="II13" s="1465"/>
      <c r="IJ13" s="1465"/>
      <c r="IK13" s="1465"/>
      <c r="IL13" s="1465"/>
      <c r="IM13" s="1465"/>
      <c r="IN13" s="1465"/>
      <c r="IO13" s="1465"/>
      <c r="IP13" s="1465"/>
      <c r="IQ13" s="1465"/>
      <c r="IR13" s="1465"/>
      <c r="IS13" s="1465"/>
      <c r="IT13" s="1465"/>
      <c r="IU13" s="1465"/>
      <c r="IV13" s="1465"/>
      <c r="IW13" s="1465"/>
      <c r="IX13" s="1465"/>
      <c r="IY13" s="1465"/>
      <c r="IZ13" s="1465"/>
      <c r="JA13" s="1465"/>
      <c r="JB13" s="1465"/>
      <c r="OJ13" s="1463"/>
      <c r="OK13" s="1463"/>
      <c r="OL13" s="1463"/>
      <c r="OM13" s="1463"/>
      <c r="ON13" s="1463"/>
      <c r="OO13" s="1463"/>
      <c r="OP13" s="1463"/>
      <c r="OQ13" s="1463"/>
      <c r="OR13" s="1463"/>
      <c r="OS13" s="1463"/>
      <c r="OT13" s="1463"/>
      <c r="OU13" s="1463"/>
      <c r="OV13" s="1463"/>
      <c r="OW13" s="1463"/>
      <c r="OX13" s="1463"/>
      <c r="OY13" s="1463"/>
      <c r="OZ13" s="1463"/>
      <c r="PA13" s="1463"/>
      <c r="PB13" s="1463"/>
      <c r="PC13" s="1463"/>
      <c r="PD13" s="1463"/>
      <c r="PE13" s="1463"/>
      <c r="PF13" s="1463"/>
      <c r="PG13" s="1463"/>
      <c r="PH13" s="1463"/>
      <c r="PI13" s="1463"/>
      <c r="PJ13" s="1463"/>
      <c r="PK13" s="1463"/>
      <c r="PL13" s="1463"/>
      <c r="PM13" s="1463"/>
      <c r="PN13" s="1463"/>
      <c r="PO13" s="1463"/>
      <c r="PP13" s="1463"/>
      <c r="PQ13" s="1463"/>
      <c r="PR13" s="1463"/>
      <c r="PS13" s="1463"/>
      <c r="PT13" s="1463"/>
      <c r="PU13" s="1463"/>
      <c r="PV13" s="1463"/>
      <c r="PW13" s="1464"/>
    </row>
    <row r="14" spans="8:439" ht="12.75" customHeight="1" x14ac:dyDescent="0.35">
      <c r="H14" s="478"/>
      <c r="I14" s="478"/>
      <c r="J14" s="478"/>
      <c r="K14" s="481"/>
      <c r="L14" s="478"/>
      <c r="BD14" s="478"/>
      <c r="BE14" s="478"/>
      <c r="BF14" s="478"/>
      <c r="BG14" s="478"/>
      <c r="EG14" s="1465"/>
      <c r="EH14" s="1465"/>
      <c r="EI14" s="1465"/>
      <c r="EJ14" s="1465"/>
      <c r="EK14" s="1465"/>
      <c r="EL14" s="1465"/>
      <c r="EM14" s="1465"/>
      <c r="EN14" s="1465"/>
      <c r="EO14" s="1465"/>
      <c r="EP14" s="1465"/>
      <c r="EQ14" s="1465"/>
      <c r="ER14" s="1465"/>
      <c r="ES14" s="1465"/>
      <c r="ET14" s="1465"/>
      <c r="EU14" s="1465"/>
      <c r="EV14" s="1465"/>
      <c r="EW14" s="1465"/>
      <c r="EX14" s="1465"/>
      <c r="EY14" s="1465"/>
      <c r="EZ14" s="1465"/>
      <c r="FA14" s="1465"/>
      <c r="FB14" s="1465"/>
      <c r="FC14" s="1465"/>
      <c r="FD14" s="1465"/>
      <c r="FE14" s="1465"/>
      <c r="FF14" s="1465"/>
      <c r="FG14" s="1465"/>
      <c r="FH14" s="1465"/>
      <c r="FI14" s="1465"/>
      <c r="FJ14" s="1465"/>
      <c r="FK14" s="1465"/>
      <c r="FL14" s="1465"/>
      <c r="FM14" s="1465"/>
      <c r="FN14" s="1465"/>
      <c r="FO14" s="1465"/>
      <c r="FP14" s="1465"/>
      <c r="FQ14" s="1465"/>
      <c r="FR14" s="1465"/>
      <c r="FS14" s="1465"/>
      <c r="FT14" s="1465"/>
      <c r="FU14" s="1465"/>
      <c r="FV14" s="1465"/>
      <c r="FW14" s="1465"/>
      <c r="FX14" s="1465"/>
      <c r="FY14" s="1465"/>
      <c r="FZ14" s="1465"/>
      <c r="GA14" s="1465"/>
      <c r="GB14" s="1465"/>
      <c r="GC14" s="1465"/>
      <c r="GD14" s="1465"/>
      <c r="GE14" s="1465"/>
      <c r="GF14" s="1465"/>
      <c r="GG14" s="1465"/>
      <c r="GH14" s="1465"/>
      <c r="GI14" s="1465"/>
      <c r="GJ14" s="1465"/>
      <c r="GK14" s="1465"/>
      <c r="GL14" s="1465"/>
      <c r="GM14" s="1465"/>
      <c r="GN14" s="1465"/>
      <c r="GO14" s="1465"/>
      <c r="GP14" s="1465"/>
      <c r="GQ14" s="1465"/>
      <c r="GR14" s="1465"/>
      <c r="GS14" s="1465"/>
      <c r="GT14" s="1465"/>
      <c r="GU14" s="1465"/>
      <c r="GV14" s="1465"/>
      <c r="GW14" s="1465"/>
      <c r="GX14" s="1465"/>
      <c r="GY14" s="1465"/>
      <c r="GZ14" s="1465"/>
      <c r="HA14" s="1465"/>
      <c r="HB14" s="1465"/>
      <c r="HC14" s="1465"/>
      <c r="HD14" s="1465"/>
      <c r="HE14" s="1465"/>
      <c r="HF14" s="1465"/>
      <c r="HG14" s="1465"/>
      <c r="HH14" s="1465"/>
      <c r="HI14" s="1465"/>
      <c r="HJ14" s="1465"/>
      <c r="HK14" s="1465"/>
      <c r="HL14" s="1465"/>
      <c r="HM14" s="1465"/>
      <c r="HN14" s="1465"/>
      <c r="HO14" s="1465"/>
      <c r="HP14" s="1465"/>
      <c r="HQ14" s="1465"/>
      <c r="HR14" s="1465"/>
      <c r="HS14" s="1465"/>
      <c r="HT14" s="1465"/>
      <c r="HU14" s="1465"/>
      <c r="HV14" s="1465"/>
      <c r="HW14" s="1465"/>
      <c r="HX14" s="1465"/>
      <c r="HY14" s="1465"/>
      <c r="HZ14" s="1465"/>
      <c r="IA14" s="1465"/>
      <c r="IB14" s="1465"/>
      <c r="IC14" s="1465"/>
      <c r="ID14" s="1465"/>
      <c r="IE14" s="1465"/>
      <c r="IF14" s="1465"/>
      <c r="IG14" s="1465"/>
      <c r="IH14" s="1465"/>
      <c r="II14" s="1465"/>
      <c r="IJ14" s="1465"/>
      <c r="IK14" s="1465"/>
      <c r="IL14" s="1465"/>
      <c r="IM14" s="1465"/>
      <c r="IN14" s="1465"/>
      <c r="IO14" s="1465"/>
      <c r="IP14" s="1465"/>
      <c r="IQ14" s="1465"/>
      <c r="IR14" s="1465"/>
      <c r="IS14" s="1465"/>
      <c r="IT14" s="1465"/>
      <c r="IU14" s="1465"/>
      <c r="IV14" s="1465"/>
      <c r="IW14" s="1465"/>
      <c r="IX14" s="1465"/>
      <c r="IY14" s="1465"/>
      <c r="IZ14" s="1465"/>
      <c r="JA14" s="1465"/>
      <c r="JB14" s="1465"/>
      <c r="OJ14" s="1463"/>
      <c r="OK14" s="1463"/>
      <c r="OL14" s="1463"/>
      <c r="OM14" s="1463"/>
      <c r="ON14" s="1463"/>
      <c r="OO14" s="1463"/>
      <c r="OP14" s="1463"/>
      <c r="OQ14" s="1463"/>
      <c r="OR14" s="1463"/>
      <c r="OS14" s="1463"/>
      <c r="OT14" s="1463"/>
      <c r="OU14" s="1463"/>
      <c r="OV14" s="1463"/>
      <c r="OW14" s="1463"/>
      <c r="OX14" s="1463"/>
      <c r="OY14" s="1463"/>
      <c r="OZ14" s="1463"/>
      <c r="PA14" s="1463"/>
      <c r="PB14" s="1463"/>
      <c r="PC14" s="1463"/>
      <c r="PD14" s="1463"/>
      <c r="PE14" s="1463"/>
      <c r="PF14" s="1463"/>
      <c r="PG14" s="1463"/>
      <c r="PH14" s="1463"/>
      <c r="PI14" s="1463"/>
      <c r="PJ14" s="1463"/>
      <c r="PK14" s="1463"/>
      <c r="PL14" s="1463"/>
      <c r="PM14" s="1463"/>
      <c r="PN14" s="1463"/>
      <c r="PO14" s="1463"/>
      <c r="PP14" s="1463"/>
      <c r="PQ14" s="1463"/>
      <c r="PR14" s="1463"/>
      <c r="PS14" s="1463"/>
      <c r="PT14" s="1463"/>
      <c r="PU14" s="1463"/>
      <c r="PV14" s="1463"/>
      <c r="PW14" s="1464"/>
    </row>
    <row r="15" spans="8:439" ht="12.75" customHeight="1" x14ac:dyDescent="0.35">
      <c r="H15" s="478"/>
      <c r="I15" s="478"/>
      <c r="J15" s="478"/>
      <c r="K15" s="481"/>
      <c r="L15" s="478"/>
      <c r="BD15" s="478"/>
      <c r="BE15" s="478"/>
      <c r="BF15" s="478"/>
      <c r="BG15" s="478"/>
      <c r="OJ15" s="1463"/>
      <c r="OK15" s="1463"/>
      <c r="OL15" s="1463"/>
      <c r="OM15" s="1463"/>
      <c r="ON15" s="1463"/>
      <c r="OO15" s="1463"/>
      <c r="OP15" s="1463"/>
      <c r="OQ15" s="1463"/>
      <c r="OR15" s="1463"/>
      <c r="OS15" s="1463"/>
      <c r="OT15" s="1463"/>
      <c r="OU15" s="1463"/>
      <c r="OV15" s="1463"/>
      <c r="OW15" s="1463"/>
      <c r="OX15" s="1463"/>
      <c r="OY15" s="1463"/>
      <c r="OZ15" s="1463"/>
      <c r="PA15" s="1463"/>
      <c r="PB15" s="1463"/>
      <c r="PC15" s="1463"/>
      <c r="PD15" s="1463"/>
      <c r="PE15" s="1463"/>
      <c r="PF15" s="1463"/>
      <c r="PG15" s="1463"/>
      <c r="PH15" s="1463"/>
      <c r="PI15" s="1463"/>
      <c r="PJ15" s="1463"/>
      <c r="PK15" s="1463"/>
      <c r="PL15" s="1463"/>
      <c r="PM15" s="1463"/>
      <c r="PN15" s="1463"/>
      <c r="PO15" s="1463"/>
      <c r="PP15" s="1463"/>
      <c r="PQ15" s="1463"/>
      <c r="PR15" s="1463"/>
      <c r="PS15" s="1463"/>
      <c r="PT15" s="1463"/>
      <c r="PU15" s="1463"/>
      <c r="PV15" s="1463"/>
      <c r="PW15" s="1464"/>
    </row>
    <row r="16" spans="8:439" ht="12.75" customHeight="1" x14ac:dyDescent="0.35">
      <c r="H16" s="478"/>
      <c r="I16" s="478"/>
      <c r="J16" s="478"/>
      <c r="K16" s="481"/>
      <c r="L16" s="478"/>
      <c r="OJ16" s="1463"/>
      <c r="OK16" s="1463"/>
      <c r="OL16" s="1463"/>
      <c r="OM16" s="1463"/>
      <c r="ON16" s="1463"/>
      <c r="OO16" s="1463"/>
      <c r="OP16" s="1463"/>
      <c r="OQ16" s="1463"/>
      <c r="OR16" s="1463"/>
      <c r="OS16" s="1463"/>
      <c r="OT16" s="1463"/>
      <c r="OU16" s="1463"/>
      <c r="OV16" s="1463"/>
      <c r="OW16" s="1463"/>
      <c r="OX16" s="1463"/>
      <c r="OY16" s="1463"/>
      <c r="OZ16" s="1463"/>
      <c r="PA16" s="1463"/>
      <c r="PB16" s="1463"/>
      <c r="PC16" s="1463"/>
      <c r="PD16" s="1463"/>
      <c r="PE16" s="1463"/>
      <c r="PF16" s="1463"/>
      <c r="PG16" s="1463"/>
      <c r="PH16" s="1463"/>
      <c r="PI16" s="1463"/>
      <c r="PJ16" s="1463"/>
      <c r="PK16" s="1463"/>
      <c r="PL16" s="1463"/>
      <c r="PM16" s="1463"/>
      <c r="PN16" s="1463"/>
      <c r="PO16" s="1463"/>
      <c r="PP16" s="1463"/>
      <c r="PQ16" s="1463"/>
      <c r="PR16" s="1463"/>
      <c r="PS16" s="1463"/>
      <c r="PT16" s="1463"/>
      <c r="PU16" s="1463"/>
      <c r="PV16" s="1463"/>
      <c r="PW16" s="1464"/>
    </row>
    <row r="17" spans="8:439" ht="12.75" customHeight="1" x14ac:dyDescent="0.35">
      <c r="H17" s="478"/>
      <c r="I17" s="478"/>
      <c r="J17" s="478"/>
      <c r="K17" s="481"/>
      <c r="L17" s="478"/>
      <c r="OJ17" s="1463"/>
      <c r="OK17" s="1463"/>
      <c r="OL17" s="1463"/>
      <c r="OM17" s="1463"/>
      <c r="ON17" s="1463"/>
      <c r="OO17" s="1463"/>
      <c r="OP17" s="1463"/>
      <c r="OQ17" s="1463"/>
      <c r="OR17" s="1463"/>
      <c r="OS17" s="1463"/>
      <c r="OT17" s="1463"/>
      <c r="OU17" s="1463"/>
      <c r="OV17" s="1463"/>
      <c r="OW17" s="1463"/>
      <c r="OX17" s="1463"/>
      <c r="OY17" s="1463"/>
      <c r="OZ17" s="1463"/>
      <c r="PA17" s="1463"/>
      <c r="PB17" s="1463"/>
      <c r="PC17" s="1463"/>
      <c r="PD17" s="1463"/>
      <c r="PE17" s="1463"/>
      <c r="PF17" s="1463"/>
      <c r="PG17" s="1463"/>
      <c r="PH17" s="1463"/>
      <c r="PI17" s="1463"/>
      <c r="PJ17" s="1463"/>
      <c r="PK17" s="1463"/>
      <c r="PL17" s="1463"/>
      <c r="PM17" s="1463"/>
      <c r="PN17" s="1463"/>
      <c r="PO17" s="1463"/>
      <c r="PP17" s="1463"/>
      <c r="PQ17" s="1463"/>
      <c r="PR17" s="1463"/>
      <c r="PS17" s="1463"/>
      <c r="PT17" s="1463"/>
      <c r="PU17" s="1463"/>
      <c r="PV17" s="1463"/>
      <c r="PW17" s="1464"/>
    </row>
    <row r="18" spans="8:439" ht="12.75" customHeight="1" x14ac:dyDescent="0.35">
      <c r="K18" s="482"/>
      <c r="OJ18" s="1463"/>
      <c r="OK18" s="1463"/>
      <c r="OL18" s="1463"/>
      <c r="OM18" s="1463"/>
      <c r="ON18" s="1463"/>
      <c r="OO18" s="1463"/>
      <c r="OP18" s="1463"/>
      <c r="OQ18" s="1463"/>
      <c r="OR18" s="1463"/>
      <c r="OS18" s="1463"/>
      <c r="OT18" s="1463"/>
      <c r="OU18" s="1463"/>
      <c r="OV18" s="1463"/>
      <c r="OW18" s="1463"/>
      <c r="OX18" s="1463"/>
      <c r="OY18" s="1463"/>
      <c r="OZ18" s="1463"/>
      <c r="PA18" s="1463"/>
      <c r="PB18" s="1463"/>
      <c r="PC18" s="1463"/>
      <c r="PD18" s="1463"/>
      <c r="PE18" s="1463"/>
      <c r="PF18" s="1463"/>
      <c r="PG18" s="1463"/>
      <c r="PH18" s="1463"/>
      <c r="PI18" s="1463"/>
      <c r="PJ18" s="1463"/>
      <c r="PK18" s="1463"/>
      <c r="PL18" s="1463"/>
      <c r="PM18" s="1463"/>
      <c r="PN18" s="1463"/>
      <c r="PO18" s="1463"/>
      <c r="PP18" s="1463"/>
      <c r="PQ18" s="1463"/>
      <c r="PR18" s="1463"/>
      <c r="PS18" s="1463"/>
      <c r="PT18" s="1463"/>
      <c r="PU18" s="1463"/>
      <c r="PV18" s="1463"/>
      <c r="PW18" s="1464"/>
    </row>
    <row r="19" spans="8:439" ht="12.75" customHeight="1" x14ac:dyDescent="0.35">
      <c r="K19" s="482"/>
      <c r="OJ19" s="1463"/>
      <c r="OK19" s="1463"/>
      <c r="OL19" s="1463"/>
      <c r="OM19" s="1463"/>
      <c r="ON19" s="1463"/>
      <c r="OO19" s="1463"/>
      <c r="OP19" s="1463"/>
      <c r="OQ19" s="1463"/>
      <c r="OR19" s="1463"/>
      <c r="OS19" s="1463"/>
      <c r="OT19" s="1463"/>
      <c r="OU19" s="1463"/>
      <c r="OV19" s="1463"/>
      <c r="OW19" s="1463"/>
      <c r="OX19" s="1463"/>
      <c r="OY19" s="1463"/>
      <c r="OZ19" s="1463"/>
      <c r="PA19" s="1463"/>
      <c r="PB19" s="1463"/>
      <c r="PC19" s="1463"/>
      <c r="PD19" s="1463"/>
      <c r="PE19" s="1463"/>
      <c r="PF19" s="1463"/>
      <c r="PG19" s="1463"/>
      <c r="PH19" s="1463"/>
      <c r="PI19" s="1463"/>
      <c r="PJ19" s="1463"/>
      <c r="PK19" s="1463"/>
      <c r="PL19" s="1463"/>
      <c r="PM19" s="1463"/>
      <c r="PN19" s="1463"/>
      <c r="PO19" s="1463"/>
      <c r="PP19" s="1463"/>
      <c r="PQ19" s="1463"/>
      <c r="PR19" s="1463"/>
      <c r="PS19" s="1463"/>
      <c r="PT19" s="1463"/>
      <c r="PU19" s="1463"/>
      <c r="PV19" s="1463"/>
      <c r="PW19" s="1464"/>
    </row>
    <row r="20" spans="8:439" ht="12.75" customHeight="1" x14ac:dyDescent="0.35">
      <c r="K20" s="482"/>
      <c r="OJ20" s="1463"/>
      <c r="OK20" s="1463"/>
      <c r="OL20" s="1463"/>
      <c r="OM20" s="1463"/>
      <c r="ON20" s="1463"/>
      <c r="OO20" s="1463"/>
      <c r="OP20" s="1463"/>
      <c r="OQ20" s="1463"/>
      <c r="OR20" s="1463"/>
      <c r="OS20" s="1463"/>
      <c r="OT20" s="1463"/>
      <c r="OU20" s="1463"/>
      <c r="OV20" s="1463"/>
      <c r="OW20" s="1463"/>
      <c r="OX20" s="1463"/>
      <c r="OY20" s="1463"/>
      <c r="OZ20" s="1463"/>
      <c r="PA20" s="1463"/>
      <c r="PB20" s="1463"/>
      <c r="PC20" s="1463"/>
      <c r="PD20" s="1463"/>
      <c r="PE20" s="1463"/>
      <c r="PF20" s="1463"/>
      <c r="PG20" s="1463"/>
      <c r="PH20" s="1463"/>
      <c r="PI20" s="1463"/>
      <c r="PJ20" s="1463"/>
      <c r="PK20" s="1463"/>
      <c r="PL20" s="1463"/>
      <c r="PM20" s="1463"/>
      <c r="PN20" s="1463"/>
      <c r="PO20" s="1463"/>
      <c r="PP20" s="1463"/>
      <c r="PQ20" s="1463"/>
      <c r="PR20" s="1463"/>
      <c r="PS20" s="1463"/>
      <c r="PT20" s="1463"/>
      <c r="PU20" s="1463"/>
      <c r="PV20" s="1463"/>
      <c r="PW20" s="1464"/>
    </row>
    <row r="21" spans="8:439" ht="12.75" customHeight="1" x14ac:dyDescent="0.35">
      <c r="K21" s="482"/>
      <c r="PW21" s="482"/>
    </row>
    <row r="22" spans="8:439" ht="12.75" customHeight="1" x14ac:dyDescent="0.35">
      <c r="H22" s="483"/>
      <c r="I22" s="483"/>
      <c r="J22" s="483"/>
      <c r="K22" s="484"/>
      <c r="L22" s="483"/>
      <c r="M22" s="483"/>
      <c r="CJ22" s="478"/>
      <c r="CK22" s="478"/>
      <c r="CL22" s="478"/>
      <c r="CM22" s="478"/>
      <c r="PW22" s="482"/>
    </row>
    <row r="23" spans="8:439" ht="12.75" customHeight="1" x14ac:dyDescent="0.35">
      <c r="H23" s="485"/>
      <c r="I23" s="485"/>
      <c r="J23" s="485"/>
      <c r="K23" s="486"/>
      <c r="L23" s="485"/>
      <c r="M23" s="485"/>
      <c r="GK23" s="487"/>
      <c r="GL23" s="1466" t="s">
        <v>65</v>
      </c>
      <c r="GM23" s="1467"/>
      <c r="GN23" s="1467"/>
      <c r="GO23" s="1467"/>
      <c r="GP23" s="1467"/>
      <c r="GQ23" s="1467"/>
      <c r="GR23" s="1467"/>
      <c r="GS23" s="1467"/>
      <c r="GT23" s="1468"/>
      <c r="GU23" s="488"/>
      <c r="PW23" s="482"/>
    </row>
    <row r="24" spans="8:439" ht="12.75" customHeight="1" x14ac:dyDescent="0.35">
      <c r="H24" s="489"/>
      <c r="I24" s="489"/>
      <c r="J24" s="489"/>
      <c r="K24" s="490"/>
      <c r="L24" s="489"/>
      <c r="M24" s="489"/>
      <c r="N24" s="489"/>
      <c r="BA24" s="491"/>
      <c r="BB24" s="491"/>
      <c r="BC24" s="491"/>
      <c r="BD24" s="491"/>
      <c r="BE24" s="491"/>
      <c r="BF24" s="491"/>
      <c r="BG24" s="491"/>
      <c r="BH24" s="491"/>
      <c r="BI24" s="491"/>
      <c r="BJ24" s="491"/>
      <c r="BK24" s="491"/>
      <c r="BL24" s="491"/>
      <c r="BM24" s="491"/>
      <c r="BN24" s="491"/>
      <c r="BO24" s="491"/>
      <c r="BP24" s="491"/>
      <c r="BQ24" s="491"/>
      <c r="BR24" s="491"/>
      <c r="BS24" s="491"/>
      <c r="BT24" s="491"/>
      <c r="BU24" s="491"/>
      <c r="BV24" s="491"/>
      <c r="BW24" s="491"/>
      <c r="BX24" s="491"/>
      <c r="BY24" s="491"/>
      <c r="BZ24" s="491"/>
      <c r="CA24" s="491"/>
      <c r="CB24" s="491"/>
      <c r="CC24" s="491"/>
      <c r="CD24" s="491"/>
      <c r="CE24" s="491"/>
      <c r="CF24" s="491"/>
      <c r="CG24" s="491"/>
      <c r="CH24" s="491"/>
      <c r="CI24" s="491"/>
      <c r="CJ24" s="491"/>
      <c r="CK24" s="491"/>
      <c r="CL24" s="491"/>
      <c r="CM24" s="491"/>
      <c r="CN24" s="491"/>
      <c r="CO24" s="491"/>
      <c r="CP24" s="491"/>
      <c r="CQ24" s="491"/>
      <c r="CR24" s="491"/>
      <c r="CS24" s="491"/>
      <c r="CT24" s="491"/>
      <c r="CU24" s="491"/>
      <c r="CV24" s="491"/>
      <c r="CW24" s="491"/>
      <c r="CX24" s="491"/>
      <c r="CY24" s="491"/>
      <c r="CZ24" s="491"/>
      <c r="DA24" s="491"/>
      <c r="DB24" s="491"/>
      <c r="DC24" s="491"/>
      <c r="DD24" s="491"/>
      <c r="DE24" s="491"/>
      <c r="DF24" s="491"/>
      <c r="DG24" s="491"/>
      <c r="DH24" s="491"/>
      <c r="DI24" s="491"/>
      <c r="DJ24" s="491"/>
      <c r="DK24" s="491"/>
      <c r="DL24" s="491"/>
      <c r="DM24" s="491"/>
      <c r="DN24" s="491"/>
      <c r="DO24" s="491"/>
      <c r="DP24" s="491"/>
      <c r="DQ24" s="491"/>
      <c r="DR24" s="491"/>
      <c r="DS24" s="491"/>
      <c r="DT24" s="491"/>
      <c r="DU24" s="491"/>
      <c r="DV24" s="491"/>
      <c r="DW24" s="491"/>
      <c r="DX24" s="491"/>
      <c r="DY24" s="491"/>
      <c r="DZ24" s="491"/>
      <c r="EA24" s="491"/>
      <c r="EB24" s="491"/>
      <c r="EC24" s="491"/>
      <c r="ED24" s="491"/>
      <c r="EE24" s="491"/>
      <c r="EF24" s="491"/>
      <c r="EG24" s="491"/>
      <c r="EH24" s="491"/>
      <c r="EI24" s="491"/>
      <c r="EJ24" s="491"/>
      <c r="EK24" s="491"/>
      <c r="EL24" s="491"/>
      <c r="EM24" s="491"/>
      <c r="EN24" s="491"/>
      <c r="EO24" s="491"/>
      <c r="EP24" s="491"/>
      <c r="EQ24" s="491"/>
      <c r="ER24" s="491"/>
      <c r="ES24" s="491"/>
      <c r="ET24" s="491"/>
      <c r="EU24" s="491"/>
      <c r="EV24" s="491"/>
      <c r="EW24" s="491"/>
      <c r="EX24" s="491"/>
      <c r="EY24" s="491"/>
      <c r="EZ24" s="491"/>
      <c r="FA24" s="491"/>
      <c r="FB24" s="491"/>
      <c r="FC24" s="491"/>
      <c r="FD24" s="491"/>
      <c r="FE24" s="491"/>
      <c r="FF24" s="491"/>
      <c r="FG24" s="491"/>
      <c r="FH24" s="491"/>
      <c r="FI24" s="491"/>
      <c r="FJ24" s="491"/>
      <c r="FK24" s="491"/>
      <c r="FL24" s="491"/>
      <c r="FM24" s="491"/>
      <c r="FN24" s="491"/>
      <c r="FO24" s="491"/>
      <c r="FP24" s="491"/>
      <c r="FQ24" s="491"/>
      <c r="FR24" s="491"/>
      <c r="FS24" s="491"/>
      <c r="FT24" s="491"/>
      <c r="FU24" s="491"/>
      <c r="FV24" s="491"/>
      <c r="FW24" s="491"/>
      <c r="FX24" s="491"/>
      <c r="FY24" s="491"/>
      <c r="FZ24" s="491"/>
      <c r="GA24" s="491"/>
      <c r="GB24" s="491"/>
      <c r="GC24" s="491"/>
      <c r="GD24" s="491"/>
      <c r="GE24" s="491"/>
      <c r="GF24" s="491"/>
      <c r="GG24" s="491"/>
      <c r="GH24" s="491"/>
      <c r="GI24" s="491"/>
      <c r="GJ24" s="491"/>
      <c r="GK24" s="1447" t="s">
        <v>5011</v>
      </c>
      <c r="GL24" s="1448"/>
      <c r="GM24" s="1448"/>
      <c r="GN24" s="1448"/>
      <c r="GO24" s="1448"/>
      <c r="GP24" s="1448"/>
      <c r="GQ24" s="1448"/>
      <c r="GR24" s="1448"/>
      <c r="GS24" s="1448"/>
      <c r="GT24" s="1449"/>
      <c r="GU24" s="491"/>
      <c r="GV24" s="491"/>
      <c r="GW24" s="491"/>
      <c r="GX24" s="491"/>
      <c r="GY24" s="491"/>
      <c r="GZ24" s="491"/>
      <c r="HA24" s="491"/>
      <c r="HB24" s="491"/>
      <c r="HC24" s="491"/>
      <c r="HD24" s="491"/>
      <c r="HE24" s="491"/>
      <c r="HF24" s="491"/>
      <c r="HG24" s="491"/>
      <c r="HH24" s="491"/>
      <c r="HI24" s="491"/>
      <c r="HJ24" s="491"/>
      <c r="HK24" s="491"/>
      <c r="HL24" s="491"/>
      <c r="HM24" s="491"/>
      <c r="HN24" s="491"/>
      <c r="HO24" s="491"/>
      <c r="HP24" s="491"/>
      <c r="HQ24" s="491"/>
      <c r="HR24" s="491"/>
      <c r="HS24" s="491"/>
      <c r="HT24" s="491"/>
      <c r="HU24" s="491"/>
      <c r="HV24" s="491"/>
      <c r="HW24" s="491"/>
      <c r="HX24" s="491"/>
      <c r="HY24" s="491"/>
      <c r="HZ24" s="491"/>
      <c r="IA24" s="491"/>
      <c r="IB24" s="491"/>
      <c r="IC24" s="491"/>
      <c r="ID24" s="491"/>
      <c r="IE24" s="491"/>
      <c r="IF24" s="491"/>
      <c r="IG24" s="491"/>
      <c r="IH24" s="491"/>
      <c r="II24" s="491"/>
      <c r="IJ24" s="491"/>
      <c r="IK24" s="491"/>
      <c r="IL24" s="491"/>
      <c r="IM24" s="491"/>
      <c r="IN24" s="491"/>
      <c r="IO24" s="491"/>
      <c r="IP24" s="491"/>
      <c r="IQ24" s="491"/>
      <c r="IR24" s="491"/>
      <c r="IS24" s="491"/>
      <c r="IT24" s="491"/>
      <c r="IU24" s="491"/>
      <c r="IV24" s="491"/>
      <c r="IW24" s="491"/>
      <c r="IX24" s="491"/>
      <c r="IY24" s="491"/>
      <c r="IZ24" s="491"/>
      <c r="JA24" s="491"/>
      <c r="JB24" s="491"/>
      <c r="JC24" s="491"/>
      <c r="JD24" s="491"/>
      <c r="JE24" s="491"/>
      <c r="JF24" s="491"/>
      <c r="JG24" s="491"/>
      <c r="JH24" s="491"/>
      <c r="JI24" s="491"/>
      <c r="JJ24" s="491"/>
      <c r="JK24" s="491"/>
      <c r="JL24" s="491"/>
      <c r="JM24" s="491"/>
      <c r="JN24" s="491"/>
      <c r="JO24" s="491"/>
      <c r="JP24" s="491"/>
      <c r="JQ24" s="491"/>
      <c r="JR24" s="491"/>
      <c r="JS24" s="491"/>
      <c r="JT24" s="491"/>
      <c r="JU24" s="491"/>
      <c r="JV24" s="491"/>
      <c r="JW24" s="491"/>
      <c r="JX24" s="491"/>
      <c r="JY24" s="491"/>
      <c r="JZ24" s="491"/>
      <c r="KA24" s="491"/>
      <c r="KB24" s="491"/>
      <c r="KC24" s="491"/>
      <c r="KD24" s="491"/>
      <c r="KE24" s="491"/>
      <c r="KF24" s="491"/>
      <c r="KG24" s="491"/>
      <c r="KH24" s="491"/>
      <c r="KI24" s="491"/>
      <c r="KJ24" s="491"/>
      <c r="KK24" s="491"/>
      <c r="KL24" s="491"/>
      <c r="KM24" s="491"/>
      <c r="KN24" s="491"/>
      <c r="KO24" s="491"/>
      <c r="KP24" s="491"/>
      <c r="KQ24" s="491"/>
      <c r="KR24" s="491"/>
      <c r="KS24" s="491"/>
      <c r="KT24" s="491"/>
      <c r="KU24" s="491"/>
      <c r="KV24" s="491"/>
      <c r="KW24" s="491"/>
      <c r="KX24" s="491"/>
      <c r="KY24" s="491"/>
      <c r="KZ24" s="491"/>
      <c r="LA24" s="491"/>
      <c r="LB24" s="491"/>
      <c r="LC24" s="491"/>
      <c r="LD24" s="491"/>
      <c r="LE24" s="491"/>
      <c r="LF24" s="491"/>
      <c r="LG24" s="491"/>
      <c r="LH24" s="491"/>
      <c r="LI24" s="491"/>
      <c r="LJ24" s="491"/>
      <c r="LK24" s="491"/>
      <c r="LL24" s="491"/>
      <c r="LM24" s="491"/>
      <c r="LN24" s="491"/>
      <c r="LO24" s="491"/>
      <c r="LP24" s="491"/>
      <c r="LQ24" s="491"/>
      <c r="LR24" s="491"/>
      <c r="LS24" s="491"/>
      <c r="LT24" s="491"/>
      <c r="LU24" s="491"/>
      <c r="LV24" s="491"/>
      <c r="LW24" s="491"/>
      <c r="LX24" s="491"/>
      <c r="LY24" s="491"/>
      <c r="LZ24" s="491"/>
      <c r="MA24" s="491"/>
      <c r="MB24" s="491"/>
      <c r="MC24" s="491"/>
      <c r="MD24" s="491"/>
      <c r="ME24" s="491"/>
      <c r="MF24" s="491"/>
      <c r="MG24" s="491"/>
      <c r="MH24" s="491"/>
      <c r="MI24" s="491"/>
      <c r="MJ24" s="491"/>
      <c r="MK24" s="491"/>
      <c r="ML24" s="491"/>
      <c r="MM24" s="491"/>
      <c r="MN24" s="491"/>
      <c r="MO24" s="491"/>
      <c r="MP24" s="491"/>
      <c r="MQ24" s="491"/>
      <c r="MR24" s="491"/>
      <c r="MS24" s="491"/>
      <c r="MT24" s="491"/>
      <c r="MU24" s="491"/>
      <c r="MV24" s="491"/>
      <c r="MW24" s="491"/>
      <c r="MX24" s="491"/>
      <c r="MY24" s="491"/>
      <c r="MZ24" s="491"/>
      <c r="NA24" s="491"/>
      <c r="NB24" s="491"/>
      <c r="NC24" s="491"/>
      <c r="ND24" s="491"/>
      <c r="NE24" s="491"/>
      <c r="NF24" s="491"/>
      <c r="NG24" s="491"/>
      <c r="NH24" s="491"/>
      <c r="NI24" s="491"/>
      <c r="NJ24" s="491"/>
      <c r="NK24" s="491"/>
      <c r="NL24" s="491"/>
      <c r="NM24" s="491"/>
      <c r="NN24" s="491"/>
      <c r="NO24" s="491"/>
      <c r="NP24" s="491"/>
      <c r="NQ24" s="491"/>
      <c r="NR24" s="491"/>
      <c r="NS24" s="491"/>
      <c r="NT24" s="491"/>
      <c r="NU24" s="491"/>
      <c r="NV24" s="491"/>
      <c r="NW24" s="491"/>
      <c r="NX24" s="491"/>
      <c r="NY24" s="491"/>
      <c r="NZ24" s="491"/>
      <c r="PW24" s="482"/>
    </row>
    <row r="25" spans="8:439" ht="12.75" customHeight="1" x14ac:dyDescent="0.35">
      <c r="H25" s="489"/>
      <c r="I25" s="489"/>
      <c r="J25" s="489"/>
      <c r="K25" s="490"/>
      <c r="L25" s="489"/>
      <c r="M25" s="489"/>
      <c r="N25" s="489"/>
      <c r="BA25" s="491"/>
      <c r="BB25" s="491"/>
      <c r="BC25" s="491"/>
      <c r="BD25" s="491"/>
      <c r="BE25" s="491"/>
      <c r="BF25" s="491"/>
      <c r="BG25" s="491"/>
      <c r="BH25" s="491"/>
      <c r="BI25" s="491"/>
      <c r="BJ25" s="491"/>
      <c r="BK25" s="491"/>
      <c r="BL25" s="491"/>
      <c r="BM25" s="491"/>
      <c r="BN25" s="491"/>
      <c r="BO25" s="491"/>
      <c r="BP25" s="491"/>
      <c r="BQ25" s="491"/>
      <c r="BR25" s="491"/>
      <c r="BS25" s="491"/>
      <c r="BT25" s="491"/>
      <c r="BU25" s="491"/>
      <c r="BV25" s="491"/>
      <c r="BW25" s="491"/>
      <c r="BX25" s="491"/>
      <c r="BY25" s="491"/>
      <c r="BZ25" s="491"/>
      <c r="CA25" s="491"/>
      <c r="CB25" s="491"/>
      <c r="CC25" s="491"/>
      <c r="CD25" s="491"/>
      <c r="CE25" s="491"/>
      <c r="CF25" s="491"/>
      <c r="CG25" s="491"/>
      <c r="CH25" s="491"/>
      <c r="CI25" s="491"/>
      <c r="CJ25" s="491"/>
      <c r="CK25" s="491"/>
      <c r="CL25" s="491"/>
      <c r="CM25" s="491"/>
      <c r="CN25" s="491"/>
      <c r="CO25" s="491"/>
      <c r="CP25" s="491"/>
      <c r="CQ25" s="491"/>
      <c r="CR25" s="491"/>
      <c r="CS25" s="491"/>
      <c r="CT25" s="491"/>
      <c r="CU25" s="491"/>
      <c r="CV25" s="491"/>
      <c r="CW25" s="491"/>
      <c r="CX25" s="491"/>
      <c r="CY25" s="491"/>
      <c r="CZ25" s="491"/>
      <c r="DA25" s="491"/>
      <c r="DB25" s="491"/>
      <c r="DC25" s="491"/>
      <c r="DD25" s="491"/>
      <c r="DE25" s="491"/>
      <c r="DF25" s="491"/>
      <c r="DG25" s="491"/>
      <c r="DH25" s="491"/>
      <c r="DI25" s="491"/>
      <c r="DJ25" s="491"/>
      <c r="DK25" s="491"/>
      <c r="DL25" s="491"/>
      <c r="DM25" s="492"/>
      <c r="DN25" s="492"/>
      <c r="DO25" s="491"/>
      <c r="DP25" s="491"/>
      <c r="DQ25" s="491"/>
      <c r="DR25" s="491"/>
      <c r="DS25" s="491"/>
      <c r="DT25" s="491"/>
      <c r="DU25" s="491"/>
      <c r="DV25" s="491"/>
      <c r="DW25" s="491"/>
      <c r="DX25" s="491"/>
      <c r="DY25" s="491"/>
      <c r="DZ25" s="491"/>
      <c r="EA25" s="491"/>
      <c r="EB25" s="491"/>
      <c r="EC25" s="491"/>
      <c r="ED25" s="491"/>
      <c r="EE25" s="491"/>
      <c r="EF25" s="491"/>
      <c r="EG25" s="491"/>
      <c r="EH25" s="491"/>
      <c r="EI25" s="491"/>
      <c r="EJ25" s="491"/>
      <c r="EK25" s="491"/>
      <c r="EL25" s="491"/>
      <c r="EM25" s="491"/>
      <c r="EN25" s="491"/>
      <c r="EO25" s="491"/>
      <c r="EP25" s="491"/>
      <c r="EQ25" s="491"/>
      <c r="ER25" s="491"/>
      <c r="ES25" s="491"/>
      <c r="ET25" s="491"/>
      <c r="EU25" s="491"/>
      <c r="EV25" s="491"/>
      <c r="EW25" s="491"/>
      <c r="EX25" s="491"/>
      <c r="EY25" s="491"/>
      <c r="EZ25" s="491"/>
      <c r="FA25" s="491"/>
      <c r="FB25" s="491"/>
      <c r="FC25" s="491"/>
      <c r="FD25" s="491"/>
      <c r="FE25" s="491"/>
      <c r="FF25" s="491"/>
      <c r="FG25" s="491"/>
      <c r="FH25" s="491"/>
      <c r="FI25" s="491"/>
      <c r="FJ25" s="491"/>
      <c r="FK25" s="491"/>
      <c r="FL25" s="491"/>
      <c r="FM25" s="491"/>
      <c r="FN25" s="491"/>
      <c r="FO25" s="491"/>
      <c r="FP25" s="491"/>
      <c r="FQ25" s="491"/>
      <c r="FR25" s="491"/>
      <c r="FS25" s="491"/>
      <c r="FT25" s="491"/>
      <c r="FU25" s="491"/>
      <c r="FV25" s="491"/>
      <c r="FW25" s="491"/>
      <c r="FX25" s="491"/>
      <c r="FY25" s="491"/>
      <c r="FZ25" s="491"/>
      <c r="GA25" s="491"/>
      <c r="GB25" s="491"/>
      <c r="GC25" s="491"/>
      <c r="GD25" s="491"/>
      <c r="GE25" s="491"/>
      <c r="GF25" s="491"/>
      <c r="GG25" s="491"/>
      <c r="GH25" s="491"/>
      <c r="GI25" s="491"/>
      <c r="GJ25" s="491"/>
      <c r="GK25" s="491"/>
      <c r="GL25" s="491"/>
      <c r="GM25" s="491"/>
      <c r="GN25" s="491"/>
      <c r="GO25" s="491"/>
      <c r="GP25" s="493"/>
      <c r="GQ25" s="494"/>
      <c r="GR25" s="494"/>
      <c r="GS25" s="494"/>
      <c r="GT25" s="494"/>
      <c r="GU25" s="494"/>
      <c r="GV25" s="494"/>
      <c r="GW25" s="494"/>
      <c r="GX25" s="494"/>
      <c r="GY25" s="494"/>
      <c r="GZ25" s="494"/>
      <c r="HA25" s="494"/>
      <c r="HB25" s="494"/>
      <c r="HC25" s="494"/>
      <c r="HD25" s="494"/>
      <c r="HE25" s="494"/>
      <c r="HF25" s="494"/>
      <c r="HG25" s="494"/>
      <c r="HH25" s="494"/>
      <c r="HI25" s="495"/>
      <c r="HJ25" s="495"/>
      <c r="HK25" s="496"/>
      <c r="HL25" s="496"/>
      <c r="HM25" s="496"/>
      <c r="HN25" s="494"/>
      <c r="HO25" s="494"/>
      <c r="HP25" s="494"/>
      <c r="HQ25" s="494"/>
      <c r="HR25" s="494"/>
      <c r="HS25" s="494"/>
      <c r="HT25" s="494"/>
      <c r="HU25" s="494"/>
      <c r="HV25" s="494"/>
      <c r="HW25" s="494"/>
      <c r="HX25" s="494"/>
      <c r="HY25" s="494"/>
      <c r="HZ25" s="496"/>
      <c r="IA25" s="494"/>
      <c r="IB25" s="494"/>
      <c r="IC25" s="494"/>
      <c r="ID25" s="494"/>
      <c r="IE25" s="494"/>
      <c r="IF25" s="494"/>
      <c r="IG25" s="494"/>
      <c r="IH25" s="494"/>
      <c r="II25" s="494"/>
      <c r="IJ25" s="494"/>
      <c r="IK25" s="494"/>
      <c r="IL25" s="494"/>
      <c r="IM25" s="494"/>
      <c r="IN25" s="494"/>
      <c r="IO25" s="494"/>
      <c r="IP25" s="494"/>
      <c r="IQ25" s="494"/>
      <c r="IR25" s="494"/>
      <c r="IS25" s="494"/>
      <c r="IT25" s="494"/>
      <c r="IU25" s="494"/>
      <c r="IV25" s="494"/>
      <c r="IW25" s="494"/>
      <c r="IX25" s="494"/>
      <c r="IY25" s="494"/>
      <c r="IZ25" s="494"/>
      <c r="JA25" s="494"/>
      <c r="JB25" s="494"/>
      <c r="JC25" s="494"/>
      <c r="JD25" s="494"/>
      <c r="JE25" s="494"/>
      <c r="JF25" s="494"/>
      <c r="JG25" s="494"/>
      <c r="JH25" s="494"/>
      <c r="JI25" s="494"/>
      <c r="JJ25" s="494"/>
      <c r="JK25" s="494"/>
      <c r="JL25" s="494"/>
      <c r="JM25" s="494"/>
      <c r="JN25" s="494"/>
      <c r="JO25" s="494"/>
      <c r="JP25" s="494"/>
      <c r="JQ25" s="494"/>
      <c r="JR25" s="494"/>
      <c r="JS25" s="494"/>
      <c r="JT25" s="494"/>
      <c r="JU25" s="494"/>
      <c r="JV25" s="494"/>
      <c r="JW25" s="494"/>
      <c r="JX25" s="494"/>
      <c r="JY25" s="494"/>
      <c r="JZ25" s="494"/>
      <c r="KA25" s="494"/>
      <c r="KB25" s="494"/>
      <c r="KC25" s="494"/>
      <c r="KD25" s="494"/>
      <c r="KE25" s="494"/>
      <c r="KF25" s="494"/>
      <c r="KG25" s="494"/>
      <c r="KH25" s="494"/>
      <c r="KI25" s="494"/>
      <c r="KJ25" s="494"/>
      <c r="KK25" s="494"/>
      <c r="KL25" s="494"/>
      <c r="KM25" s="494"/>
      <c r="KN25" s="494"/>
      <c r="KO25" s="494"/>
      <c r="KP25" s="494"/>
      <c r="KQ25" s="494"/>
      <c r="KR25" s="494"/>
      <c r="KS25" s="494"/>
      <c r="KT25" s="494"/>
      <c r="KU25" s="494"/>
      <c r="KV25" s="494"/>
      <c r="KW25" s="494"/>
      <c r="KX25" s="494"/>
      <c r="KY25" s="494"/>
      <c r="KZ25" s="494"/>
      <c r="LA25" s="494"/>
      <c r="LB25" s="494"/>
      <c r="LC25" s="494"/>
      <c r="LD25" s="494"/>
      <c r="LE25" s="494"/>
      <c r="LF25" s="494"/>
      <c r="LG25" s="494"/>
      <c r="LH25" s="494"/>
      <c r="LI25" s="494"/>
      <c r="LJ25" s="494"/>
      <c r="LK25" s="494"/>
      <c r="LL25" s="494"/>
      <c r="LM25" s="494"/>
      <c r="LN25" s="494"/>
      <c r="LO25" s="494"/>
      <c r="LP25" s="494"/>
      <c r="LQ25" s="497"/>
      <c r="LR25" s="497"/>
      <c r="LS25" s="497"/>
      <c r="LT25" s="497"/>
      <c r="LU25" s="497"/>
      <c r="LV25" s="497"/>
      <c r="LW25" s="497"/>
      <c r="LX25" s="497"/>
      <c r="LY25" s="497"/>
      <c r="LZ25" s="497"/>
      <c r="MA25" s="497"/>
      <c r="MB25" s="497"/>
      <c r="MC25" s="497"/>
      <c r="MD25" s="497"/>
      <c r="ME25" s="497"/>
      <c r="MF25" s="497"/>
      <c r="MG25" s="497"/>
      <c r="MH25" s="497"/>
      <c r="MI25" s="497"/>
      <c r="MJ25" s="497"/>
      <c r="MK25" s="497"/>
      <c r="ML25" s="497"/>
      <c r="MM25" s="497"/>
      <c r="MN25" s="497"/>
      <c r="MO25" s="497"/>
      <c r="MP25" s="497"/>
      <c r="MQ25" s="497"/>
      <c r="MR25" s="497"/>
      <c r="MS25" s="497"/>
      <c r="MT25" s="497"/>
      <c r="MU25" s="497"/>
      <c r="MV25" s="497"/>
      <c r="MW25" s="497"/>
      <c r="MX25" s="497"/>
      <c r="MY25" s="497"/>
      <c r="MZ25" s="497"/>
      <c r="NA25" s="497"/>
      <c r="NB25" s="497"/>
      <c r="NC25" s="491"/>
      <c r="ND25" s="491"/>
      <c r="NE25" s="491"/>
      <c r="NF25" s="491"/>
      <c r="NG25" s="491"/>
      <c r="NH25" s="491"/>
      <c r="NI25" s="491"/>
      <c r="NJ25" s="491"/>
      <c r="NK25" s="491"/>
      <c r="NL25" s="491"/>
      <c r="NM25" s="491"/>
      <c r="NN25" s="491"/>
      <c r="NO25" s="491"/>
      <c r="NP25" s="491"/>
      <c r="NQ25" s="491"/>
      <c r="NR25" s="491"/>
      <c r="NS25" s="491"/>
      <c r="NT25" s="491"/>
      <c r="NU25" s="491"/>
      <c r="NV25" s="491"/>
      <c r="NW25" s="491"/>
      <c r="NX25" s="491"/>
      <c r="NY25" s="491"/>
      <c r="NZ25" s="491"/>
      <c r="PW25" s="482"/>
    </row>
    <row r="26" spans="8:439" ht="12.75" customHeight="1" x14ac:dyDescent="0.35">
      <c r="H26" s="489"/>
      <c r="I26" s="489"/>
      <c r="J26" s="489"/>
      <c r="K26" s="490"/>
      <c r="L26" s="489"/>
      <c r="M26" s="489"/>
      <c r="N26" s="489"/>
      <c r="BA26" s="491"/>
      <c r="BB26" s="491"/>
      <c r="BC26" s="491"/>
      <c r="BD26" s="491"/>
      <c r="BE26" s="491"/>
      <c r="BF26" s="491"/>
      <c r="BG26" s="491"/>
      <c r="BH26" s="491"/>
      <c r="BI26" s="491"/>
      <c r="BJ26" s="491"/>
      <c r="BK26" s="491"/>
      <c r="BL26" s="491"/>
      <c r="BM26" s="491"/>
      <c r="BN26" s="491"/>
      <c r="BO26" s="491"/>
      <c r="BP26" s="491"/>
      <c r="BQ26" s="491"/>
      <c r="BR26" s="491"/>
      <c r="BS26" s="491"/>
      <c r="BT26" s="491"/>
      <c r="BU26" s="491"/>
      <c r="BV26" s="491"/>
      <c r="BW26" s="491"/>
      <c r="BX26" s="491"/>
      <c r="BY26" s="491"/>
      <c r="BZ26" s="491"/>
      <c r="CA26" s="491"/>
      <c r="CB26" s="491"/>
      <c r="CC26" s="491"/>
      <c r="CD26" s="491"/>
      <c r="CE26" s="491"/>
      <c r="CF26" s="491"/>
      <c r="CG26" s="491"/>
      <c r="CH26" s="491"/>
      <c r="CI26" s="491"/>
      <c r="CJ26" s="491"/>
      <c r="CK26" s="491"/>
      <c r="CL26" s="491"/>
      <c r="CM26" s="491"/>
      <c r="CN26" s="491"/>
      <c r="CO26" s="491"/>
      <c r="CP26" s="491"/>
      <c r="CQ26" s="491"/>
      <c r="CR26" s="491"/>
      <c r="CS26" s="491"/>
      <c r="CT26" s="491"/>
      <c r="CU26" s="491"/>
      <c r="CV26" s="491"/>
      <c r="CW26" s="491"/>
      <c r="CX26" s="491"/>
      <c r="CY26" s="491"/>
      <c r="CZ26" s="491"/>
      <c r="DA26" s="491"/>
      <c r="DB26" s="491"/>
      <c r="DC26" s="491"/>
      <c r="DD26" s="491"/>
      <c r="DE26" s="491"/>
      <c r="DF26" s="491"/>
      <c r="DG26" s="491"/>
      <c r="DH26" s="491"/>
      <c r="DI26" s="491"/>
      <c r="DJ26" s="491"/>
      <c r="DK26" s="498"/>
      <c r="DL26" s="498"/>
      <c r="DM26" s="498"/>
      <c r="DN26" s="498"/>
      <c r="DO26" s="491"/>
      <c r="DP26" s="491"/>
      <c r="DQ26" s="491"/>
      <c r="DR26" s="491"/>
      <c r="DS26" s="491"/>
      <c r="DT26" s="491"/>
      <c r="DU26" s="491"/>
      <c r="DV26" s="491"/>
      <c r="DW26" s="491"/>
      <c r="DX26" s="491"/>
      <c r="DY26" s="491"/>
      <c r="DZ26" s="491"/>
      <c r="EA26" s="491"/>
      <c r="EB26" s="491"/>
      <c r="EC26" s="491"/>
      <c r="ED26" s="491"/>
      <c r="EE26" s="491"/>
      <c r="EF26" s="491"/>
      <c r="EG26" s="491"/>
      <c r="EH26" s="491"/>
      <c r="EI26" s="491"/>
      <c r="EJ26" s="491"/>
      <c r="EK26" s="491"/>
      <c r="EL26" s="491"/>
      <c r="EM26" s="491"/>
      <c r="EN26" s="491"/>
      <c r="EO26" s="491"/>
      <c r="EP26" s="491"/>
      <c r="EQ26" s="491"/>
      <c r="ER26" s="491"/>
      <c r="ES26" s="491"/>
      <c r="ET26" s="491"/>
      <c r="EU26" s="491"/>
      <c r="EV26" s="491"/>
      <c r="EW26" s="491"/>
      <c r="EX26" s="491"/>
      <c r="EY26" s="491"/>
      <c r="EZ26" s="491"/>
      <c r="FA26" s="491"/>
      <c r="FB26" s="491"/>
      <c r="FC26" s="491"/>
      <c r="FD26" s="491"/>
      <c r="FE26" s="491"/>
      <c r="FF26" s="491"/>
      <c r="FG26" s="491"/>
      <c r="FH26" s="491"/>
      <c r="FI26" s="491"/>
      <c r="FJ26" s="491"/>
      <c r="FK26" s="491"/>
      <c r="FL26" s="491"/>
      <c r="FM26" s="491"/>
      <c r="FN26" s="491"/>
      <c r="FO26" s="491"/>
      <c r="FP26" s="491"/>
      <c r="FQ26" s="491"/>
      <c r="FR26" s="491"/>
      <c r="FS26" s="491"/>
      <c r="FT26" s="491"/>
      <c r="FU26" s="491"/>
      <c r="FV26" s="491"/>
      <c r="FW26" s="491"/>
      <c r="FX26" s="491"/>
      <c r="FY26" s="491"/>
      <c r="FZ26" s="491"/>
      <c r="GA26" s="491"/>
      <c r="GB26" s="491"/>
      <c r="GC26" s="491"/>
      <c r="GD26" s="491"/>
      <c r="GE26" s="491"/>
      <c r="GF26" s="491"/>
      <c r="GG26" s="491"/>
      <c r="GH26" s="491"/>
      <c r="GI26" s="491"/>
      <c r="GJ26" s="491"/>
      <c r="GK26" s="491"/>
      <c r="GL26" s="491"/>
      <c r="GM26" s="491"/>
      <c r="GN26" s="491"/>
      <c r="GO26" s="491"/>
      <c r="GP26" s="499"/>
      <c r="GQ26" s="491"/>
      <c r="GR26" s="491"/>
      <c r="GS26" s="491"/>
      <c r="GT26" s="491"/>
      <c r="GU26" s="491"/>
      <c r="GV26" s="491"/>
      <c r="GW26" s="491"/>
      <c r="GX26" s="491"/>
      <c r="GY26" s="491"/>
      <c r="GZ26" s="491"/>
      <c r="HA26" s="491"/>
      <c r="HB26" s="491"/>
      <c r="HC26" s="491"/>
      <c r="HD26" s="491"/>
      <c r="HE26" s="491"/>
      <c r="HF26" s="491"/>
      <c r="HG26" s="491"/>
      <c r="HH26" s="491"/>
      <c r="HI26" s="500"/>
      <c r="HJ26" s="500"/>
      <c r="HK26" s="491"/>
      <c r="HL26" s="491"/>
      <c r="HM26" s="491"/>
      <c r="HN26" s="491"/>
      <c r="HO26" s="491"/>
      <c r="HP26" s="491"/>
      <c r="HQ26" s="491"/>
      <c r="HR26" s="491"/>
      <c r="HS26" s="491"/>
      <c r="HT26" s="491"/>
      <c r="HU26" s="491"/>
      <c r="HV26" s="491"/>
      <c r="HW26" s="491"/>
      <c r="HX26" s="491"/>
      <c r="HY26" s="491"/>
      <c r="HZ26" s="491"/>
      <c r="IA26" s="501"/>
      <c r="IB26" s="501"/>
      <c r="IC26" s="501"/>
      <c r="ID26" s="501"/>
      <c r="IE26" s="501"/>
      <c r="IF26" s="501"/>
      <c r="IG26" s="501"/>
      <c r="IH26" s="501"/>
      <c r="II26" s="501"/>
      <c r="IJ26" s="501"/>
      <c r="IK26" s="501"/>
      <c r="IL26" s="501"/>
      <c r="IM26" s="501"/>
      <c r="IN26" s="501"/>
      <c r="IO26" s="501"/>
      <c r="IP26" s="501"/>
      <c r="IQ26" s="501"/>
      <c r="IR26" s="501"/>
      <c r="IS26" s="501"/>
      <c r="IT26" s="501"/>
      <c r="IU26" s="501"/>
      <c r="IV26" s="501"/>
      <c r="IW26" s="501"/>
      <c r="IX26" s="501"/>
      <c r="IY26" s="501"/>
      <c r="IZ26" s="501"/>
      <c r="JA26" s="501"/>
      <c r="JB26" s="501"/>
      <c r="JC26" s="501"/>
      <c r="JD26" s="501"/>
      <c r="JE26" s="501"/>
      <c r="JF26" s="501"/>
      <c r="JG26" s="501"/>
      <c r="JH26" s="501"/>
      <c r="JI26" s="501"/>
      <c r="JJ26" s="501"/>
      <c r="JK26" s="501"/>
      <c r="JL26" s="501"/>
      <c r="JM26" s="501"/>
      <c r="JN26" s="501"/>
      <c r="JO26" s="501"/>
      <c r="JP26" s="501"/>
      <c r="JQ26" s="501"/>
      <c r="JR26" s="501"/>
      <c r="JS26" s="501"/>
      <c r="JT26" s="501"/>
      <c r="JU26" s="501"/>
      <c r="JV26" s="501"/>
      <c r="JW26" s="501"/>
      <c r="JX26" s="501"/>
      <c r="JY26" s="501"/>
      <c r="JZ26" s="501"/>
      <c r="KA26" s="501"/>
      <c r="KB26" s="501"/>
      <c r="KC26" s="501"/>
      <c r="KD26" s="501"/>
      <c r="KE26" s="501"/>
      <c r="KF26" s="501"/>
      <c r="KG26" s="501"/>
      <c r="KH26" s="501"/>
      <c r="KI26" s="501"/>
      <c r="KJ26" s="501"/>
      <c r="KK26" s="501"/>
      <c r="KL26" s="501"/>
      <c r="KM26" s="501"/>
      <c r="KN26" s="501"/>
      <c r="KO26" s="501"/>
      <c r="KP26" s="501"/>
      <c r="KQ26" s="501"/>
      <c r="KR26" s="501"/>
      <c r="KS26" s="491"/>
      <c r="KT26" s="491"/>
      <c r="KU26" s="491"/>
      <c r="KV26" s="491"/>
      <c r="KW26" s="491"/>
      <c r="KX26" s="491"/>
      <c r="KY26" s="491"/>
      <c r="KZ26" s="491"/>
      <c r="LA26" s="491"/>
      <c r="LB26" s="491"/>
      <c r="LC26" s="491"/>
      <c r="LD26" s="491"/>
      <c r="LE26" s="491"/>
      <c r="LF26" s="491"/>
      <c r="LG26" s="491"/>
      <c r="LH26" s="491"/>
      <c r="LI26" s="491"/>
      <c r="LJ26" s="491"/>
      <c r="LK26" s="491"/>
      <c r="LL26" s="491"/>
      <c r="LM26" s="491"/>
      <c r="LN26" s="491"/>
      <c r="LO26" s="491"/>
      <c r="LP26" s="502"/>
      <c r="LQ26" s="491"/>
      <c r="LR26" s="491"/>
      <c r="LS26" s="491"/>
      <c r="LT26" s="491"/>
      <c r="LU26" s="491"/>
      <c r="LV26" s="491"/>
      <c r="LW26" s="491"/>
      <c r="LX26" s="491"/>
      <c r="LY26" s="491"/>
      <c r="LZ26" s="491"/>
      <c r="MA26" s="491"/>
      <c r="MB26" s="491"/>
      <c r="MC26" s="491"/>
      <c r="MD26" s="491"/>
      <c r="ME26" s="491"/>
      <c r="MF26" s="491"/>
      <c r="MG26" s="491"/>
      <c r="MH26" s="491"/>
      <c r="MI26" s="491"/>
      <c r="MJ26" s="491"/>
      <c r="MK26" s="491"/>
      <c r="ML26" s="491"/>
      <c r="MM26" s="491"/>
      <c r="MN26" s="491"/>
      <c r="MO26" s="491"/>
      <c r="MP26" s="491"/>
      <c r="MQ26" s="491"/>
      <c r="MR26" s="491"/>
      <c r="MS26" s="491"/>
      <c r="MT26" s="491"/>
      <c r="MU26" s="491"/>
      <c r="MV26" s="491"/>
      <c r="MW26" s="491"/>
      <c r="MX26" s="491"/>
      <c r="MY26" s="491"/>
      <c r="MZ26" s="491"/>
      <c r="NA26" s="491"/>
      <c r="NB26" s="491"/>
      <c r="NC26" s="503"/>
      <c r="ND26" s="491"/>
      <c r="NE26" s="491"/>
      <c r="NF26" s="491"/>
      <c r="NG26" s="491"/>
      <c r="NH26" s="491"/>
      <c r="NI26" s="491"/>
      <c r="NJ26" s="491"/>
      <c r="NK26" s="491"/>
      <c r="NL26" s="491"/>
      <c r="NM26" s="491"/>
      <c r="NN26" s="491"/>
      <c r="NO26" s="491"/>
      <c r="NP26" s="491"/>
      <c r="NQ26" s="491"/>
      <c r="NR26" s="491"/>
      <c r="NS26" s="491"/>
      <c r="NT26" s="491"/>
      <c r="NU26" s="491"/>
      <c r="NV26" s="491"/>
      <c r="NW26" s="491"/>
      <c r="NX26" s="491"/>
      <c r="NY26" s="491"/>
      <c r="NZ26" s="491"/>
      <c r="PW26" s="482"/>
    </row>
    <row r="27" spans="8:439" ht="12.75" customHeight="1" x14ac:dyDescent="0.35">
      <c r="H27" s="489"/>
      <c r="I27" s="489"/>
      <c r="J27" s="489"/>
      <c r="K27" s="490"/>
      <c r="L27" s="489"/>
      <c r="M27" s="489"/>
      <c r="N27" s="489"/>
      <c r="BA27" s="491"/>
      <c r="BB27" s="491"/>
      <c r="BC27" s="491"/>
      <c r="BD27" s="491"/>
      <c r="BE27" s="491"/>
      <c r="BF27" s="491"/>
      <c r="BG27" s="491"/>
      <c r="BH27" s="491"/>
      <c r="BI27" s="491"/>
      <c r="BJ27" s="491"/>
      <c r="BK27" s="491"/>
      <c r="BL27" s="491"/>
      <c r="BM27" s="491"/>
      <c r="BN27" s="491"/>
      <c r="BO27" s="491"/>
      <c r="BP27" s="491"/>
      <c r="BQ27" s="491"/>
      <c r="BR27" s="491"/>
      <c r="BS27" s="491"/>
      <c r="BT27" s="491"/>
      <c r="BU27" s="491"/>
      <c r="BV27" s="491"/>
      <c r="BW27" s="491"/>
      <c r="BX27" s="491"/>
      <c r="BY27" s="491"/>
      <c r="BZ27" s="491"/>
      <c r="CA27" s="491"/>
      <c r="CB27" s="491"/>
      <c r="CC27" s="491"/>
      <c r="CD27" s="491"/>
      <c r="CE27" s="491"/>
      <c r="CF27" s="491"/>
      <c r="CG27" s="491"/>
      <c r="CH27" s="491"/>
      <c r="CI27" s="491"/>
      <c r="CJ27" s="491"/>
      <c r="CK27" s="491"/>
      <c r="CL27" s="491"/>
      <c r="CM27" s="491"/>
      <c r="CN27" s="491"/>
      <c r="CO27" s="491"/>
      <c r="CP27" s="491"/>
      <c r="CQ27" s="491"/>
      <c r="CR27" s="491"/>
      <c r="CS27" s="491"/>
      <c r="CT27" s="491"/>
      <c r="CU27" s="491"/>
      <c r="CV27" s="491"/>
      <c r="CW27" s="491"/>
      <c r="CX27" s="491"/>
      <c r="CY27" s="491"/>
      <c r="CZ27" s="491"/>
      <c r="DA27" s="491"/>
      <c r="DB27" s="491"/>
      <c r="DC27" s="491"/>
      <c r="DD27" s="491"/>
      <c r="DE27" s="491"/>
      <c r="DF27" s="491"/>
      <c r="DG27" s="491"/>
      <c r="DH27" s="491"/>
      <c r="DI27" s="491"/>
      <c r="DJ27" s="491"/>
      <c r="DK27" s="504"/>
      <c r="DL27" s="504"/>
      <c r="DM27" s="504"/>
      <c r="DN27" s="504"/>
      <c r="DO27" s="491"/>
      <c r="DP27" s="491"/>
      <c r="DQ27" s="491"/>
      <c r="DR27" s="491"/>
      <c r="DS27" s="491"/>
      <c r="DT27" s="491"/>
      <c r="DU27" s="491"/>
      <c r="DV27" s="491"/>
      <c r="DW27" s="491"/>
      <c r="DX27" s="491"/>
      <c r="DY27" s="491"/>
      <c r="DZ27" s="491"/>
      <c r="EA27" s="491"/>
      <c r="EB27" s="491"/>
      <c r="EC27" s="491"/>
      <c r="ED27" s="491"/>
      <c r="EE27" s="491"/>
      <c r="EF27" s="491"/>
      <c r="EG27" s="491"/>
      <c r="EH27" s="491"/>
      <c r="EI27" s="491"/>
      <c r="EJ27" s="491"/>
      <c r="EK27" s="491"/>
      <c r="EL27" s="491"/>
      <c r="EM27" s="491"/>
      <c r="EN27" s="491"/>
      <c r="EO27" s="491"/>
      <c r="EP27" s="491"/>
      <c r="EQ27" s="491"/>
      <c r="ER27" s="491"/>
      <c r="ES27" s="491"/>
      <c r="ET27" s="491"/>
      <c r="EU27" s="491"/>
      <c r="EV27" s="491"/>
      <c r="EW27" s="491"/>
      <c r="EX27" s="491"/>
      <c r="EY27" s="491"/>
      <c r="EZ27" s="491"/>
      <c r="FA27" s="491"/>
      <c r="FB27" s="491"/>
      <c r="FC27" s="491"/>
      <c r="FD27" s="491"/>
      <c r="FE27" s="491"/>
      <c r="FF27" s="491"/>
      <c r="FG27" s="491"/>
      <c r="FH27" s="491"/>
      <c r="FI27" s="491"/>
      <c r="FJ27" s="491"/>
      <c r="FK27" s="491"/>
      <c r="FL27" s="491"/>
      <c r="FM27" s="491"/>
      <c r="FN27" s="491"/>
      <c r="FO27" s="491"/>
      <c r="FP27" s="491"/>
      <c r="FQ27" s="491"/>
      <c r="FR27" s="491"/>
      <c r="FS27" s="491"/>
      <c r="FT27" s="491"/>
      <c r="FU27" s="491"/>
      <c r="FV27" s="491"/>
      <c r="FW27" s="491"/>
      <c r="FX27" s="491"/>
      <c r="FY27" s="491"/>
      <c r="FZ27" s="491"/>
      <c r="GA27" s="491"/>
      <c r="GB27" s="491"/>
      <c r="GC27" s="491"/>
      <c r="GD27" s="491"/>
      <c r="GE27" s="491"/>
      <c r="GF27" s="491"/>
      <c r="GG27" s="491"/>
      <c r="GH27" s="491"/>
      <c r="GI27" s="491"/>
      <c r="GJ27" s="491"/>
      <c r="GK27" s="491"/>
      <c r="GL27" s="491"/>
      <c r="GM27" s="491"/>
      <c r="GN27" s="491"/>
      <c r="GO27" s="491"/>
      <c r="GP27" s="505"/>
      <c r="GQ27" s="506"/>
      <c r="GR27" s="491"/>
      <c r="GS27" s="491"/>
      <c r="GT27" s="488"/>
      <c r="GU27" s="491"/>
      <c r="GV27" s="491"/>
      <c r="GW27" s="491"/>
      <c r="GX27" s="491"/>
      <c r="GY27" s="491"/>
      <c r="GZ27" s="491"/>
      <c r="HA27" s="491"/>
      <c r="HB27" s="491"/>
      <c r="HC27" s="491"/>
      <c r="HD27" s="491"/>
      <c r="HE27" s="491"/>
      <c r="HF27" s="491"/>
      <c r="HG27" s="491"/>
      <c r="HH27" s="491"/>
      <c r="HI27" s="491"/>
      <c r="HJ27" s="491"/>
      <c r="HK27" s="501"/>
      <c r="HL27" s="501"/>
      <c r="HM27" s="501"/>
      <c r="HN27" s="491"/>
      <c r="HO27" s="507"/>
      <c r="HP27" s="504"/>
      <c r="HQ27" s="504"/>
      <c r="HR27" s="504"/>
      <c r="HS27" s="504"/>
      <c r="HT27" s="504"/>
      <c r="HU27" s="504"/>
      <c r="HV27" s="501"/>
      <c r="HW27" s="501"/>
      <c r="HX27" s="501"/>
      <c r="HY27" s="501"/>
      <c r="HZ27" s="501"/>
      <c r="IA27" s="491"/>
      <c r="IB27" s="491"/>
      <c r="IC27" s="491"/>
      <c r="ID27" s="491"/>
      <c r="IE27" s="491"/>
      <c r="IF27" s="491"/>
      <c r="IG27" s="508"/>
      <c r="IH27" s="500"/>
      <c r="II27" s="501"/>
      <c r="IJ27" s="501"/>
      <c r="IK27" s="501"/>
      <c r="IL27" s="501"/>
      <c r="IM27" s="501"/>
      <c r="IN27" s="501"/>
      <c r="IO27" s="501"/>
      <c r="IP27" s="501"/>
      <c r="IQ27" s="501"/>
      <c r="IR27" s="501"/>
      <c r="IS27" s="491"/>
      <c r="IT27" s="491"/>
      <c r="IU27" s="491"/>
      <c r="IV27" s="491"/>
      <c r="IW27" s="491"/>
      <c r="IX27" s="491"/>
      <c r="IY27" s="491"/>
      <c r="IZ27" s="491"/>
      <c r="JA27" s="491"/>
      <c r="JB27" s="491"/>
      <c r="JC27" s="491"/>
      <c r="JD27" s="491"/>
      <c r="JE27" s="491"/>
      <c r="JF27" s="491"/>
      <c r="JG27" s="491"/>
      <c r="JH27" s="491"/>
      <c r="JI27" s="491"/>
      <c r="JJ27" s="491"/>
      <c r="JK27" s="491"/>
      <c r="JL27" s="491"/>
      <c r="JM27" s="491"/>
      <c r="JN27" s="491"/>
      <c r="JO27" s="491"/>
      <c r="JP27" s="491"/>
      <c r="JQ27" s="491"/>
      <c r="JR27" s="491"/>
      <c r="JS27" s="491"/>
      <c r="JT27" s="491"/>
      <c r="JU27" s="491"/>
      <c r="JV27" s="491"/>
      <c r="JW27" s="491"/>
      <c r="JX27" s="491"/>
      <c r="JY27" s="491"/>
      <c r="JZ27" s="491"/>
      <c r="KA27" s="491"/>
      <c r="KB27" s="491"/>
      <c r="KC27" s="491"/>
      <c r="KD27" s="491"/>
      <c r="KE27" s="491"/>
      <c r="KF27" s="491"/>
      <c r="KG27" s="491"/>
      <c r="KH27" s="491"/>
      <c r="KI27" s="491"/>
      <c r="KJ27" s="491"/>
      <c r="KK27" s="491"/>
      <c r="KL27" s="491"/>
      <c r="KM27" s="491"/>
      <c r="KN27" s="491"/>
      <c r="KO27" s="491"/>
      <c r="KP27" s="491"/>
      <c r="KQ27" s="491"/>
      <c r="KR27" s="491"/>
      <c r="KS27" s="491"/>
      <c r="KT27" s="491"/>
      <c r="KU27" s="491"/>
      <c r="KV27" s="491"/>
      <c r="KW27" s="491"/>
      <c r="KX27" s="491"/>
      <c r="KY27" s="491"/>
      <c r="KZ27" s="491"/>
      <c r="LA27" s="491"/>
      <c r="LB27" s="491"/>
      <c r="LC27" s="491"/>
      <c r="LD27" s="491"/>
      <c r="LE27" s="491"/>
      <c r="LF27" s="491"/>
      <c r="LG27" s="491"/>
      <c r="LH27" s="491"/>
      <c r="LI27" s="491"/>
      <c r="LJ27" s="491"/>
      <c r="LK27" s="491"/>
      <c r="LL27" s="491"/>
      <c r="LM27" s="491"/>
      <c r="LN27" s="491"/>
      <c r="LO27" s="491"/>
      <c r="LP27" s="509"/>
      <c r="LQ27" s="491"/>
      <c r="LR27" s="491"/>
      <c r="LS27" s="491"/>
      <c r="LT27" s="491"/>
      <c r="LU27" s="510"/>
      <c r="LV27" s="491"/>
      <c r="LW27" s="491"/>
      <c r="LX27" s="491"/>
      <c r="LY27" s="491"/>
      <c r="LZ27" s="491"/>
      <c r="MA27" s="491"/>
      <c r="MB27" s="491"/>
      <c r="MC27" s="491"/>
      <c r="MD27" s="491"/>
      <c r="ME27" s="491"/>
      <c r="MF27" s="491"/>
      <c r="MG27" s="491"/>
      <c r="MH27" s="491"/>
      <c r="MI27" s="491"/>
      <c r="MJ27" s="491"/>
      <c r="MK27" s="491"/>
      <c r="ML27" s="491"/>
      <c r="MM27" s="491"/>
      <c r="MN27" s="491"/>
      <c r="MO27" s="491"/>
      <c r="MP27" s="491"/>
      <c r="MQ27" s="491"/>
      <c r="MR27" s="491"/>
      <c r="MS27" s="491"/>
      <c r="MT27" s="491"/>
      <c r="MU27" s="491"/>
      <c r="MV27" s="491"/>
      <c r="MW27" s="491"/>
      <c r="MX27" s="491"/>
      <c r="MY27" s="491"/>
      <c r="MZ27" s="491"/>
      <c r="NA27" s="491"/>
      <c r="NB27" s="509"/>
      <c r="NC27" s="491"/>
      <c r="ND27" s="491"/>
      <c r="NE27" s="491"/>
      <c r="NF27" s="491"/>
      <c r="NG27" s="491"/>
      <c r="NH27" s="491"/>
      <c r="NI27" s="491"/>
      <c r="NJ27" s="491"/>
      <c r="NK27" s="491"/>
      <c r="NL27" s="491"/>
      <c r="NM27" s="491"/>
      <c r="NN27" s="491"/>
      <c r="NO27" s="491"/>
      <c r="NP27" s="491"/>
      <c r="NQ27" s="491"/>
      <c r="NR27" s="491"/>
      <c r="NS27" s="491"/>
      <c r="NT27" s="491"/>
      <c r="NU27" s="491"/>
      <c r="NV27" s="491"/>
      <c r="NW27" s="491"/>
      <c r="NX27" s="491"/>
      <c r="NY27" s="491"/>
      <c r="NZ27" s="491"/>
      <c r="PW27" s="482"/>
    </row>
    <row r="28" spans="8:439" ht="12.75" customHeight="1" x14ac:dyDescent="0.35">
      <c r="H28" s="489"/>
      <c r="I28" s="489"/>
      <c r="J28" s="489"/>
      <c r="K28" s="490"/>
      <c r="L28" s="489"/>
      <c r="M28" s="489"/>
      <c r="N28" s="489"/>
      <c r="BA28" s="491"/>
      <c r="BB28" s="491"/>
      <c r="BC28" s="491"/>
      <c r="BD28" s="491"/>
      <c r="BE28" s="491"/>
      <c r="BF28" s="491"/>
      <c r="BG28" s="491"/>
      <c r="BH28" s="491"/>
      <c r="BI28" s="491"/>
      <c r="BJ28" s="491"/>
      <c r="BK28" s="491"/>
      <c r="BL28" s="491"/>
      <c r="BM28" s="491"/>
      <c r="BN28" s="491"/>
      <c r="BO28" s="491"/>
      <c r="BP28" s="491"/>
      <c r="BQ28" s="491"/>
      <c r="BR28" s="491"/>
      <c r="BS28" s="491"/>
      <c r="BT28" s="491"/>
      <c r="BU28" s="491"/>
      <c r="BV28" s="491"/>
      <c r="BW28" s="491"/>
      <c r="BX28" s="491"/>
      <c r="BY28" s="491"/>
      <c r="BZ28" s="491"/>
      <c r="CA28" s="491"/>
      <c r="CB28" s="491"/>
      <c r="CC28" s="491"/>
      <c r="CD28" s="491"/>
      <c r="CE28" s="491"/>
      <c r="CF28" s="491"/>
      <c r="CG28" s="491"/>
      <c r="CH28" s="491"/>
      <c r="CI28" s="491"/>
      <c r="CJ28" s="491"/>
      <c r="CK28" s="491"/>
      <c r="CL28" s="491"/>
      <c r="CM28" s="491"/>
      <c r="CN28" s="491"/>
      <c r="CO28" s="491"/>
      <c r="CP28" s="491"/>
      <c r="CQ28" s="491"/>
      <c r="CR28" s="491"/>
      <c r="CS28" s="491"/>
      <c r="CT28" s="491"/>
      <c r="CU28" s="491"/>
      <c r="CV28" s="491"/>
      <c r="CW28" s="491"/>
      <c r="CX28" s="491"/>
      <c r="CY28" s="491"/>
      <c r="CZ28" s="491"/>
      <c r="DA28" s="491"/>
      <c r="DB28" s="491"/>
      <c r="DC28" s="491"/>
      <c r="DD28" s="491"/>
      <c r="DE28" s="491"/>
      <c r="DF28" s="491"/>
      <c r="DG28" s="491"/>
      <c r="DH28" s="491"/>
      <c r="DI28" s="491"/>
      <c r="DJ28" s="491"/>
      <c r="DK28" s="492"/>
      <c r="DL28" s="491"/>
      <c r="DM28" s="511"/>
      <c r="DN28" s="511"/>
      <c r="DO28" s="491"/>
      <c r="DP28" s="491"/>
      <c r="DQ28" s="491"/>
      <c r="DR28" s="491"/>
      <c r="DS28" s="491"/>
      <c r="DT28" s="491"/>
      <c r="DU28" s="491"/>
      <c r="DV28" s="491"/>
      <c r="DW28" s="491"/>
      <c r="DX28" s="491"/>
      <c r="DY28" s="491"/>
      <c r="DZ28" s="491"/>
      <c r="EA28" s="491"/>
      <c r="EB28" s="491"/>
      <c r="EC28" s="491"/>
      <c r="ED28" s="491"/>
      <c r="EE28" s="491"/>
      <c r="EF28" s="491"/>
      <c r="EG28" s="491"/>
      <c r="EH28" s="491"/>
      <c r="EI28" s="491"/>
      <c r="EJ28" s="491"/>
      <c r="EK28" s="491"/>
      <c r="EL28" s="491"/>
      <c r="EM28" s="491"/>
      <c r="EN28" s="491"/>
      <c r="EO28" s="491"/>
      <c r="EP28" s="491"/>
      <c r="EQ28" s="491"/>
      <c r="ER28" s="491"/>
      <c r="ES28" s="491"/>
      <c r="ET28" s="491"/>
      <c r="EU28" s="491"/>
      <c r="EV28" s="491"/>
      <c r="EW28" s="491"/>
      <c r="EX28" s="491"/>
      <c r="EY28" s="491"/>
      <c r="EZ28" s="491"/>
      <c r="FA28" s="491"/>
      <c r="FB28" s="491"/>
      <c r="FC28" s="491"/>
      <c r="FD28" s="491"/>
      <c r="FE28" s="491"/>
      <c r="FF28" s="491"/>
      <c r="FG28" s="491"/>
      <c r="FH28" s="491"/>
      <c r="FI28" s="491"/>
      <c r="FJ28" s="491"/>
      <c r="FK28" s="491"/>
      <c r="FL28" s="491"/>
      <c r="FM28" s="491"/>
      <c r="FN28" s="491"/>
      <c r="FO28" s="491"/>
      <c r="FP28" s="491"/>
      <c r="FQ28" s="491"/>
      <c r="FR28" s="491"/>
      <c r="FS28" s="491"/>
      <c r="FT28" s="491"/>
      <c r="FU28" s="491"/>
      <c r="FV28" s="491"/>
      <c r="FW28" s="491"/>
      <c r="FX28" s="491"/>
      <c r="FY28" s="491"/>
      <c r="FZ28" s="491"/>
      <c r="GA28" s="491"/>
      <c r="GB28" s="491"/>
      <c r="GC28" s="491"/>
      <c r="GD28" s="491"/>
      <c r="GE28" s="491"/>
      <c r="GF28" s="491"/>
      <c r="GG28" s="491"/>
      <c r="GH28" s="491"/>
      <c r="GI28" s="491"/>
      <c r="GJ28" s="491"/>
      <c r="GK28" s="512">
        <v>0.5</v>
      </c>
      <c r="GL28" s="1469" t="s">
        <v>363</v>
      </c>
      <c r="GM28" s="1469"/>
      <c r="GN28" s="1469"/>
      <c r="GO28" s="1469"/>
      <c r="GP28" s="1469"/>
      <c r="GQ28" s="1469"/>
      <c r="GR28" s="1469"/>
      <c r="GS28" s="1469"/>
      <c r="GT28" s="1469"/>
      <c r="GU28" s="514"/>
      <c r="GV28" s="491"/>
      <c r="GW28" s="491"/>
      <c r="GX28" s="491"/>
      <c r="GY28" s="491"/>
      <c r="GZ28" s="491"/>
      <c r="HA28" s="491"/>
      <c r="HB28" s="491"/>
      <c r="HC28" s="491"/>
      <c r="HD28" s="491"/>
      <c r="HE28" s="491"/>
      <c r="HF28" s="491"/>
      <c r="HG28" s="491"/>
      <c r="HH28" s="491"/>
      <c r="HI28" s="515"/>
      <c r="HJ28" s="515"/>
      <c r="HK28" s="515"/>
      <c r="HL28" s="515"/>
      <c r="HM28" s="491"/>
      <c r="HN28" s="491"/>
      <c r="HO28" s="491"/>
      <c r="HP28" s="491"/>
      <c r="HQ28" s="491"/>
      <c r="HR28" s="491"/>
      <c r="HS28" s="491"/>
      <c r="HT28" s="491"/>
      <c r="HU28" s="491"/>
      <c r="HV28" s="491"/>
      <c r="HW28" s="491"/>
      <c r="HX28" s="515"/>
      <c r="HY28" s="515"/>
      <c r="HZ28" s="515"/>
      <c r="IA28" s="515"/>
      <c r="IB28" s="515"/>
      <c r="IC28" s="515"/>
      <c r="ID28" s="515"/>
      <c r="IE28" s="515"/>
      <c r="IF28" s="515"/>
      <c r="IG28" s="515"/>
      <c r="IH28" s="515"/>
      <c r="II28" s="515"/>
      <c r="IJ28" s="515"/>
      <c r="IK28" s="515"/>
      <c r="IL28" s="515"/>
      <c r="IM28" s="515"/>
      <c r="IN28" s="515"/>
      <c r="IO28" s="515"/>
      <c r="IP28" s="515"/>
      <c r="IQ28" s="515"/>
      <c r="IR28" s="515"/>
      <c r="IS28" s="515"/>
      <c r="IT28" s="515"/>
      <c r="IU28" s="515"/>
      <c r="IV28" s="515"/>
      <c r="IW28" s="515"/>
      <c r="IX28" s="515"/>
      <c r="IY28" s="515"/>
      <c r="IZ28" s="515"/>
      <c r="JA28" s="515"/>
      <c r="JB28" s="515"/>
      <c r="JC28" s="515"/>
      <c r="JD28" s="515"/>
      <c r="JE28" s="515"/>
      <c r="JF28" s="515"/>
      <c r="JG28" s="515"/>
      <c r="JH28" s="515"/>
      <c r="JI28" s="515"/>
      <c r="JJ28" s="515"/>
      <c r="JK28" s="515"/>
      <c r="JL28" s="515"/>
      <c r="JM28" s="515"/>
      <c r="JN28" s="515"/>
      <c r="JO28" s="515"/>
      <c r="JP28" s="515"/>
      <c r="JQ28" s="515"/>
      <c r="JR28" s="515"/>
      <c r="JS28" s="515"/>
      <c r="JT28" s="515"/>
      <c r="JU28" s="515"/>
      <c r="JV28" s="515"/>
      <c r="JW28" s="515"/>
      <c r="JX28" s="515"/>
      <c r="JY28" s="515"/>
      <c r="JZ28" s="515"/>
      <c r="KA28" s="515"/>
      <c r="KB28" s="515"/>
      <c r="KC28" s="515"/>
      <c r="KD28" s="515"/>
      <c r="KE28" s="515"/>
      <c r="KF28" s="515"/>
      <c r="KG28" s="515"/>
      <c r="KH28" s="515"/>
      <c r="KI28" s="515"/>
      <c r="KJ28" s="515"/>
      <c r="KK28" s="515"/>
      <c r="KL28" s="515"/>
      <c r="KM28" s="515"/>
      <c r="KN28" s="515"/>
      <c r="KO28" s="515"/>
      <c r="KP28" s="515"/>
      <c r="KQ28" s="515"/>
      <c r="KR28" s="515"/>
      <c r="KS28" s="491"/>
      <c r="KT28" s="491"/>
      <c r="KU28" s="491"/>
      <c r="KV28" s="491"/>
      <c r="KW28" s="491"/>
      <c r="KX28" s="491"/>
      <c r="KY28" s="491"/>
      <c r="KZ28" s="491"/>
      <c r="LA28" s="491"/>
      <c r="LB28" s="491"/>
      <c r="LC28" s="491"/>
      <c r="LD28" s="491"/>
      <c r="LE28" s="491"/>
      <c r="LF28" s="491"/>
      <c r="LG28" s="491"/>
      <c r="LH28" s="491"/>
      <c r="LI28" s="491"/>
      <c r="LJ28" s="491"/>
      <c r="LK28" s="491"/>
      <c r="LL28" s="516">
        <v>0.5</v>
      </c>
      <c r="LM28" s="1456" t="s">
        <v>5012</v>
      </c>
      <c r="LN28" s="1457"/>
      <c r="LO28" s="1457"/>
      <c r="LP28" s="1457"/>
      <c r="LQ28" s="1457"/>
      <c r="LR28" s="1457"/>
      <c r="LS28" s="1457"/>
      <c r="LT28" s="1457"/>
      <c r="LU28" s="1458"/>
      <c r="LV28" s="491"/>
      <c r="LW28" s="491"/>
      <c r="LX28" s="491"/>
      <c r="LY28" s="491"/>
      <c r="LZ28" s="491"/>
      <c r="MA28" s="491"/>
      <c r="MB28" s="491"/>
      <c r="MC28" s="491"/>
      <c r="MD28" s="491"/>
      <c r="ME28" s="491"/>
      <c r="MF28" s="491"/>
      <c r="MG28" s="491"/>
      <c r="MH28" s="491"/>
      <c r="MI28" s="491"/>
      <c r="MJ28" s="491"/>
      <c r="MK28" s="491"/>
      <c r="ML28" s="491"/>
      <c r="MM28" s="491"/>
      <c r="MN28" s="491"/>
      <c r="MO28" s="491"/>
      <c r="MP28" s="491"/>
      <c r="MQ28" s="491"/>
      <c r="MR28" s="491"/>
      <c r="MS28" s="491"/>
      <c r="MT28" s="491"/>
      <c r="MU28" s="491"/>
      <c r="MV28" s="491"/>
      <c r="MW28" s="491"/>
      <c r="MX28" s="518"/>
      <c r="MY28" s="1456" t="s">
        <v>365</v>
      </c>
      <c r="MZ28" s="1457"/>
      <c r="NA28" s="1457"/>
      <c r="NB28" s="1457"/>
      <c r="NC28" s="1457"/>
      <c r="ND28" s="1457"/>
      <c r="NE28" s="1457"/>
      <c r="NF28" s="1457"/>
      <c r="NG28" s="1458"/>
      <c r="NH28" s="491"/>
      <c r="NI28" s="491"/>
      <c r="NJ28" s="491"/>
      <c r="NK28" s="491"/>
      <c r="NL28" s="491"/>
      <c r="NM28" s="491"/>
      <c r="NN28" s="491"/>
      <c r="NO28" s="491"/>
      <c r="NP28" s="491"/>
      <c r="NQ28" s="491"/>
      <c r="NR28" s="491"/>
      <c r="NS28" s="491"/>
      <c r="NT28" s="491"/>
      <c r="NU28" s="491"/>
      <c r="NV28" s="491"/>
      <c r="NW28" s="491"/>
      <c r="NX28" s="491"/>
      <c r="NY28" s="491"/>
      <c r="NZ28" s="491"/>
      <c r="PW28" s="482"/>
    </row>
    <row r="29" spans="8:439" ht="12.75" customHeight="1" x14ac:dyDescent="0.35">
      <c r="H29" s="489"/>
      <c r="I29" s="489"/>
      <c r="J29" s="489"/>
      <c r="K29" s="490"/>
      <c r="L29" s="489"/>
      <c r="M29" s="489"/>
      <c r="N29" s="489"/>
      <c r="BA29" s="491"/>
      <c r="BB29" s="491"/>
      <c r="BC29" s="491"/>
      <c r="BD29" s="491"/>
      <c r="BE29" s="491"/>
      <c r="BF29" s="491"/>
      <c r="BG29" s="491"/>
      <c r="BH29" s="491"/>
      <c r="BI29" s="491"/>
      <c r="BJ29" s="491"/>
      <c r="BK29" s="491"/>
      <c r="BL29" s="491"/>
      <c r="BM29" s="491"/>
      <c r="BN29" s="491"/>
      <c r="BO29" s="491"/>
      <c r="BP29" s="491"/>
      <c r="BQ29" s="491"/>
      <c r="BR29" s="491"/>
      <c r="BS29" s="491"/>
      <c r="BT29" s="491"/>
      <c r="BU29" s="491"/>
      <c r="BV29" s="491"/>
      <c r="BW29" s="491"/>
      <c r="BX29" s="491"/>
      <c r="BY29" s="491"/>
      <c r="BZ29" s="491"/>
      <c r="CA29" s="491"/>
      <c r="CB29" s="491"/>
      <c r="CC29" s="491"/>
      <c r="CD29" s="491"/>
      <c r="CE29" s="491"/>
      <c r="CF29" s="491"/>
      <c r="CG29" s="491"/>
      <c r="CH29" s="491"/>
      <c r="CI29" s="491"/>
      <c r="CJ29" s="491"/>
      <c r="CK29" s="491"/>
      <c r="CL29" s="491"/>
      <c r="CM29" s="491"/>
      <c r="CN29" s="491"/>
      <c r="CO29" s="491"/>
      <c r="CP29" s="491"/>
      <c r="CQ29" s="491"/>
      <c r="CR29" s="491"/>
      <c r="CS29" s="491"/>
      <c r="CT29" s="491"/>
      <c r="CU29" s="491"/>
      <c r="CV29" s="491"/>
      <c r="CW29" s="491"/>
      <c r="CX29" s="491"/>
      <c r="CY29" s="491"/>
      <c r="CZ29" s="491"/>
      <c r="DA29" s="491"/>
      <c r="DB29" s="491"/>
      <c r="DC29" s="491"/>
      <c r="DD29" s="491"/>
      <c r="DE29" s="491"/>
      <c r="DF29" s="491"/>
      <c r="DG29" s="491"/>
      <c r="DH29" s="491"/>
      <c r="DI29" s="491"/>
      <c r="DJ29" s="491"/>
      <c r="DK29" s="492"/>
      <c r="DL29" s="491"/>
      <c r="DM29" s="511"/>
      <c r="DN29" s="511"/>
      <c r="DO29" s="491"/>
      <c r="DP29" s="491"/>
      <c r="DQ29" s="491"/>
      <c r="DR29" s="491"/>
      <c r="DS29" s="491"/>
      <c r="DT29" s="491"/>
      <c r="DU29" s="491"/>
      <c r="DV29" s="491"/>
      <c r="DW29" s="491"/>
      <c r="DX29" s="491"/>
      <c r="DY29" s="491"/>
      <c r="DZ29" s="491"/>
      <c r="EA29" s="491"/>
      <c r="EB29" s="491"/>
      <c r="EC29" s="491"/>
      <c r="ED29" s="491"/>
      <c r="EE29" s="491"/>
      <c r="EF29" s="491"/>
      <c r="EG29" s="491"/>
      <c r="EH29" s="491"/>
      <c r="EI29" s="491"/>
      <c r="EJ29" s="491"/>
      <c r="EK29" s="491"/>
      <c r="EL29" s="491"/>
      <c r="EM29" s="491"/>
      <c r="EN29" s="491"/>
      <c r="EO29" s="491"/>
      <c r="EP29" s="491"/>
      <c r="EQ29" s="491"/>
      <c r="ER29" s="491"/>
      <c r="ES29" s="491"/>
      <c r="ET29" s="491"/>
      <c r="EU29" s="491"/>
      <c r="EV29" s="491"/>
      <c r="EW29" s="491"/>
      <c r="EX29" s="491"/>
      <c r="EY29" s="491"/>
      <c r="EZ29" s="491"/>
      <c r="FA29" s="491"/>
      <c r="FB29" s="491"/>
      <c r="FC29" s="491"/>
      <c r="FD29" s="491"/>
      <c r="FE29" s="491"/>
      <c r="FF29" s="491"/>
      <c r="FG29" s="491"/>
      <c r="FH29" s="491"/>
      <c r="FI29" s="491"/>
      <c r="FJ29" s="491"/>
      <c r="FK29" s="491"/>
      <c r="FL29" s="491"/>
      <c r="FM29" s="491"/>
      <c r="FN29" s="491"/>
      <c r="FO29" s="491"/>
      <c r="FP29" s="491"/>
      <c r="FQ29" s="491"/>
      <c r="FR29" s="491"/>
      <c r="FS29" s="491"/>
      <c r="FT29" s="491"/>
      <c r="FU29" s="491"/>
      <c r="FV29" s="491"/>
      <c r="FW29" s="491"/>
      <c r="FX29" s="491"/>
      <c r="FY29" s="491"/>
      <c r="FZ29" s="491"/>
      <c r="GA29" s="491"/>
      <c r="GB29" s="491"/>
      <c r="GC29" s="491"/>
      <c r="GD29" s="491"/>
      <c r="GE29" s="491"/>
      <c r="GF29" s="491"/>
      <c r="GG29" s="491"/>
      <c r="GH29" s="491"/>
      <c r="GI29" s="491"/>
      <c r="GJ29" s="491"/>
      <c r="GK29" s="1447" t="s">
        <v>5013</v>
      </c>
      <c r="GL29" s="1448"/>
      <c r="GM29" s="1448"/>
      <c r="GN29" s="1448"/>
      <c r="GO29" s="1448"/>
      <c r="GP29" s="1448"/>
      <c r="GQ29" s="1448"/>
      <c r="GR29" s="1448"/>
      <c r="GS29" s="1448"/>
      <c r="GT29" s="1449"/>
      <c r="GU29" s="491"/>
      <c r="GV29" s="491"/>
      <c r="GW29" s="491"/>
      <c r="GX29" s="491"/>
      <c r="GY29" s="491"/>
      <c r="GZ29" s="491"/>
      <c r="HA29" s="491"/>
      <c r="HB29" s="491"/>
      <c r="HC29" s="491"/>
      <c r="HD29" s="491"/>
      <c r="HE29" s="491"/>
      <c r="HF29" s="491"/>
      <c r="HG29" s="491"/>
      <c r="HH29" s="491"/>
      <c r="HI29" s="515"/>
      <c r="HJ29" s="515"/>
      <c r="HK29" s="515"/>
      <c r="HL29" s="515"/>
      <c r="HM29" s="515"/>
      <c r="HN29" s="515"/>
      <c r="HO29" s="515"/>
      <c r="HP29" s="515"/>
      <c r="HQ29" s="515"/>
      <c r="HR29" s="515"/>
      <c r="HS29" s="515"/>
      <c r="HT29" s="515"/>
      <c r="HU29" s="515"/>
      <c r="HV29" s="515"/>
      <c r="HW29" s="515"/>
      <c r="HX29" s="515"/>
      <c r="HY29" s="515"/>
      <c r="HZ29" s="515"/>
      <c r="IA29" s="515"/>
      <c r="IB29" s="515"/>
      <c r="IC29" s="515"/>
      <c r="ID29" s="515"/>
      <c r="IE29" s="515"/>
      <c r="IF29" s="515"/>
      <c r="IG29" s="515"/>
      <c r="IH29" s="515"/>
      <c r="II29" s="515"/>
      <c r="IJ29" s="515"/>
      <c r="IK29" s="515"/>
      <c r="IL29" s="515"/>
      <c r="IM29" s="515"/>
      <c r="IN29" s="515"/>
      <c r="IO29" s="515"/>
      <c r="IP29" s="515"/>
      <c r="IQ29" s="515"/>
      <c r="IR29" s="515"/>
      <c r="IS29" s="515"/>
      <c r="IT29" s="515"/>
      <c r="IU29" s="515"/>
      <c r="IV29" s="515"/>
      <c r="IW29" s="515"/>
      <c r="IX29" s="515"/>
      <c r="IY29" s="515"/>
      <c r="IZ29" s="515"/>
      <c r="JA29" s="515"/>
      <c r="JB29" s="515"/>
      <c r="JC29" s="515"/>
      <c r="JD29" s="515"/>
      <c r="JE29" s="515"/>
      <c r="JF29" s="515"/>
      <c r="JG29" s="515"/>
      <c r="JH29" s="515"/>
      <c r="JI29" s="515"/>
      <c r="JJ29" s="515"/>
      <c r="JK29" s="515"/>
      <c r="JL29" s="515"/>
      <c r="JM29" s="515"/>
      <c r="JN29" s="515"/>
      <c r="JO29" s="515"/>
      <c r="JP29" s="515"/>
      <c r="JQ29" s="515"/>
      <c r="JR29" s="515"/>
      <c r="JS29" s="515"/>
      <c r="JT29" s="515"/>
      <c r="JU29" s="515"/>
      <c r="JV29" s="515"/>
      <c r="JW29" s="515"/>
      <c r="JX29" s="515"/>
      <c r="JY29" s="515"/>
      <c r="JZ29" s="515"/>
      <c r="KA29" s="515"/>
      <c r="KB29" s="491"/>
      <c r="KC29" s="491"/>
      <c r="KD29" s="491"/>
      <c r="KE29" s="491"/>
      <c r="KF29" s="491"/>
      <c r="KG29" s="491"/>
      <c r="KH29" s="491"/>
      <c r="KI29" s="491"/>
      <c r="KJ29" s="491"/>
      <c r="KK29" s="491"/>
      <c r="KL29" s="491"/>
      <c r="KM29" s="491"/>
      <c r="KN29" s="491"/>
      <c r="KO29" s="491"/>
      <c r="KP29" s="515"/>
      <c r="KQ29" s="515"/>
      <c r="KR29" s="515"/>
      <c r="KS29" s="491"/>
      <c r="KT29" s="491"/>
      <c r="KU29" s="491"/>
      <c r="KV29" s="491"/>
      <c r="KW29" s="491"/>
      <c r="KX29" s="491"/>
      <c r="KY29" s="491"/>
      <c r="KZ29" s="491"/>
      <c r="LA29" s="491"/>
      <c r="LB29" s="491"/>
      <c r="LC29" s="491"/>
      <c r="LD29" s="491"/>
      <c r="LE29" s="491"/>
      <c r="LF29" s="491"/>
      <c r="LG29" s="491"/>
      <c r="LH29" s="491"/>
      <c r="LI29" s="491"/>
      <c r="LJ29" s="491"/>
      <c r="LK29" s="519"/>
      <c r="LL29" s="1450" t="s">
        <v>5014</v>
      </c>
      <c r="LM29" s="1451"/>
      <c r="LN29" s="1451"/>
      <c r="LO29" s="1451"/>
      <c r="LP29" s="1451"/>
      <c r="LQ29" s="1451"/>
      <c r="LR29" s="1451"/>
      <c r="LS29" s="1451"/>
      <c r="LT29" s="1451"/>
      <c r="LU29" s="1452"/>
      <c r="LV29" s="491"/>
      <c r="LW29" s="491"/>
      <c r="LX29" s="491"/>
      <c r="LY29" s="491"/>
      <c r="LZ29" s="491"/>
      <c r="MA29" s="491"/>
      <c r="MB29" s="491"/>
      <c r="MC29" s="491"/>
      <c r="MD29" s="491"/>
      <c r="ME29" s="491"/>
      <c r="MF29" s="491"/>
      <c r="MG29" s="491"/>
      <c r="MH29" s="491"/>
      <c r="MI29" s="491"/>
      <c r="MJ29" s="491"/>
      <c r="MK29" s="491"/>
      <c r="ML29" s="491"/>
      <c r="MM29" s="491"/>
      <c r="MN29" s="491"/>
      <c r="MO29" s="491"/>
      <c r="MP29" s="491"/>
      <c r="MQ29" s="491"/>
      <c r="MR29" s="491"/>
      <c r="MS29" s="491"/>
      <c r="MT29" s="491"/>
      <c r="MU29" s="491"/>
      <c r="MV29" s="491"/>
      <c r="MW29" s="520"/>
      <c r="MX29" s="1447" t="s">
        <v>5015</v>
      </c>
      <c r="MY29" s="1448"/>
      <c r="MZ29" s="1448"/>
      <c r="NA29" s="1448"/>
      <c r="NB29" s="1448"/>
      <c r="NC29" s="1448"/>
      <c r="ND29" s="1448"/>
      <c r="NE29" s="1448"/>
      <c r="NF29" s="1448"/>
      <c r="NG29" s="1449"/>
      <c r="NH29" s="491"/>
      <c r="NI29" s="491"/>
      <c r="NJ29" s="491"/>
      <c r="NK29" s="491"/>
      <c r="NL29" s="491"/>
      <c r="NM29" s="491"/>
      <c r="NN29" s="491"/>
      <c r="NO29" s="491"/>
      <c r="NP29" s="491"/>
      <c r="NQ29" s="491"/>
      <c r="NR29" s="491"/>
      <c r="NS29" s="491"/>
      <c r="NT29" s="491"/>
      <c r="NU29" s="491"/>
      <c r="NV29" s="491"/>
      <c r="NW29" s="491"/>
      <c r="NX29" s="491"/>
      <c r="NY29" s="491"/>
      <c r="NZ29" s="491"/>
      <c r="PW29" s="482"/>
    </row>
    <row r="30" spans="8:439" ht="12.65" customHeight="1" x14ac:dyDescent="0.35">
      <c r="H30" s="489"/>
      <c r="I30" s="489"/>
      <c r="J30" s="489"/>
      <c r="K30" s="490"/>
      <c r="L30" s="489"/>
      <c r="BA30" s="491"/>
      <c r="BB30" s="491"/>
      <c r="BC30" s="491"/>
      <c r="BD30" s="491"/>
      <c r="BE30" s="491"/>
      <c r="BF30" s="491"/>
      <c r="BG30" s="491"/>
      <c r="BH30" s="491"/>
      <c r="BI30" s="491"/>
      <c r="BJ30" s="491"/>
      <c r="BK30" s="491"/>
      <c r="BL30" s="491"/>
      <c r="BM30" s="491"/>
      <c r="BN30" s="491"/>
      <c r="BO30" s="491"/>
      <c r="BP30" s="491"/>
      <c r="BQ30" s="491"/>
      <c r="BR30" s="491"/>
      <c r="BS30" s="491"/>
      <c r="BT30" s="491"/>
      <c r="BU30" s="491"/>
      <c r="BV30" s="491"/>
      <c r="BW30" s="491"/>
      <c r="BX30" s="491"/>
      <c r="BY30" s="491"/>
      <c r="BZ30" s="491"/>
      <c r="CA30" s="491"/>
      <c r="CB30" s="491"/>
      <c r="CC30" s="491"/>
      <c r="CD30" s="491"/>
      <c r="CE30" s="491"/>
      <c r="CF30" s="491"/>
      <c r="CG30" s="491"/>
      <c r="CH30" s="491"/>
      <c r="CI30" s="491"/>
      <c r="CJ30" s="491"/>
      <c r="CK30" s="491"/>
      <c r="CL30" s="491"/>
      <c r="CM30" s="491"/>
      <c r="CN30" s="491"/>
      <c r="CO30" s="491"/>
      <c r="CP30" s="491"/>
      <c r="CQ30" s="491"/>
      <c r="CR30" s="491"/>
      <c r="CS30" s="491"/>
      <c r="CT30" s="491"/>
      <c r="CU30" s="491"/>
      <c r="CV30" s="491"/>
      <c r="CW30" s="491"/>
      <c r="CX30" s="491"/>
      <c r="CY30" s="491"/>
      <c r="CZ30" s="491"/>
      <c r="DA30" s="491"/>
      <c r="DB30" s="491"/>
      <c r="DC30" s="491"/>
      <c r="DD30" s="491"/>
      <c r="DE30" s="491"/>
      <c r="DF30" s="491"/>
      <c r="DG30" s="491"/>
      <c r="DH30" s="491"/>
      <c r="DI30" s="491"/>
      <c r="DJ30" s="491"/>
      <c r="DK30" s="492"/>
      <c r="DL30" s="491"/>
      <c r="DM30" s="511"/>
      <c r="DN30" s="511"/>
      <c r="DO30" s="491"/>
      <c r="DP30" s="491"/>
      <c r="DQ30" s="491"/>
      <c r="DR30" s="491"/>
      <c r="DS30" s="491"/>
      <c r="DT30" s="491"/>
      <c r="DU30" s="491"/>
      <c r="DV30" s="491"/>
      <c r="DW30" s="491"/>
      <c r="DX30" s="491"/>
      <c r="DY30" s="491"/>
      <c r="DZ30" s="491"/>
      <c r="EA30" s="491"/>
      <c r="EB30" s="491"/>
      <c r="EC30" s="491"/>
      <c r="ED30" s="491"/>
      <c r="EE30" s="491"/>
      <c r="EF30" s="491"/>
      <c r="EG30" s="491"/>
      <c r="EH30" s="494"/>
      <c r="EI30" s="494"/>
      <c r="EJ30" s="494"/>
      <c r="EK30" s="494"/>
      <c r="EL30" s="494"/>
      <c r="EM30" s="494"/>
      <c r="EN30" s="494"/>
      <c r="EO30" s="494"/>
      <c r="EP30" s="494"/>
      <c r="EQ30" s="494"/>
      <c r="ER30" s="494"/>
      <c r="ES30" s="494"/>
      <c r="ET30" s="494"/>
      <c r="EU30" s="494"/>
      <c r="EV30" s="494"/>
      <c r="EW30" s="494"/>
      <c r="EX30" s="494"/>
      <c r="EY30" s="494"/>
      <c r="EZ30" s="494"/>
      <c r="FA30" s="494"/>
      <c r="FB30" s="494"/>
      <c r="FC30" s="494"/>
      <c r="FD30" s="494"/>
      <c r="FE30" s="494"/>
      <c r="FF30" s="494"/>
      <c r="FG30" s="494"/>
      <c r="FH30" s="494"/>
      <c r="FI30" s="494"/>
      <c r="FJ30" s="494"/>
      <c r="FK30" s="494"/>
      <c r="FL30" s="494"/>
      <c r="FM30" s="494"/>
      <c r="FN30" s="494"/>
      <c r="FO30" s="494"/>
      <c r="FP30" s="494"/>
      <c r="FQ30" s="494"/>
      <c r="FR30" s="494"/>
      <c r="FS30" s="494"/>
      <c r="FT30" s="494"/>
      <c r="FU30" s="494"/>
      <c r="FV30" s="494"/>
      <c r="FW30" s="494"/>
      <c r="FX30" s="494"/>
      <c r="FY30" s="494"/>
      <c r="FZ30" s="494"/>
      <c r="GA30" s="494"/>
      <c r="GB30" s="494"/>
      <c r="GC30" s="494"/>
      <c r="GD30" s="494"/>
      <c r="GE30" s="494"/>
      <c r="GF30" s="494"/>
      <c r="GG30" s="494"/>
      <c r="GH30" s="494"/>
      <c r="GI30" s="494"/>
      <c r="GJ30" s="494"/>
      <c r="GK30" s="494"/>
      <c r="GL30" s="494"/>
      <c r="GM30" s="494"/>
      <c r="GN30" s="494"/>
      <c r="GO30" s="521"/>
      <c r="GP30" s="494"/>
      <c r="GQ30" s="494"/>
      <c r="GR30" s="494"/>
      <c r="GS30" s="494"/>
      <c r="GT30" s="494"/>
      <c r="GU30" s="494"/>
      <c r="GV30" s="494"/>
      <c r="GW30" s="494"/>
      <c r="GX30" s="494"/>
      <c r="GY30" s="494"/>
      <c r="GZ30" s="494"/>
      <c r="HA30" s="494"/>
      <c r="HB30" s="494"/>
      <c r="HC30" s="494"/>
      <c r="HD30" s="494"/>
      <c r="HE30" s="494"/>
      <c r="HF30" s="494"/>
      <c r="HG30" s="494"/>
      <c r="HH30" s="494"/>
      <c r="HI30" s="522"/>
      <c r="HJ30" s="522"/>
      <c r="HK30" s="522"/>
      <c r="HL30" s="522"/>
      <c r="HM30" s="522"/>
      <c r="HN30" s="522"/>
      <c r="HO30" s="522"/>
      <c r="HP30" s="522"/>
      <c r="HQ30" s="522"/>
      <c r="HR30" s="522"/>
      <c r="HS30" s="522"/>
      <c r="HT30" s="522"/>
      <c r="HU30" s="522"/>
      <c r="HV30" s="522"/>
      <c r="HW30" s="522"/>
      <c r="HX30" s="522"/>
      <c r="HY30" s="522"/>
      <c r="HZ30" s="522"/>
      <c r="IA30" s="522"/>
      <c r="IB30" s="522"/>
      <c r="IC30" s="522"/>
      <c r="ID30" s="522"/>
      <c r="IE30" s="522"/>
      <c r="IF30" s="522"/>
      <c r="IG30" s="522"/>
      <c r="IH30" s="522"/>
      <c r="II30" s="522"/>
      <c r="IJ30" s="522"/>
      <c r="IK30" s="522"/>
      <c r="IL30" s="522"/>
      <c r="IM30" s="522"/>
      <c r="IN30" s="522"/>
      <c r="IO30" s="522"/>
      <c r="IP30" s="494"/>
      <c r="IQ30" s="494"/>
      <c r="IR30" s="494"/>
      <c r="IS30" s="494"/>
      <c r="IT30" s="494"/>
      <c r="IU30" s="494"/>
      <c r="IV30" s="494"/>
      <c r="IW30" s="494"/>
      <c r="IX30" s="494"/>
      <c r="IY30" s="494"/>
      <c r="IZ30" s="522"/>
      <c r="JA30" s="522" t="s">
        <v>5016</v>
      </c>
      <c r="JB30" s="522"/>
      <c r="JC30" s="522"/>
      <c r="JD30" s="522"/>
      <c r="JE30" s="522"/>
      <c r="JF30" s="522"/>
      <c r="JG30" s="522"/>
      <c r="JH30" s="522"/>
      <c r="JI30" s="522"/>
      <c r="JJ30" s="522"/>
      <c r="JK30" s="522"/>
      <c r="JL30" s="523"/>
      <c r="JM30" s="523"/>
      <c r="JN30" s="523"/>
      <c r="JO30" s="523"/>
      <c r="JP30" s="523"/>
      <c r="JQ30" s="523"/>
      <c r="JR30" s="523"/>
      <c r="JS30" s="523"/>
      <c r="JT30" s="523"/>
      <c r="JU30" s="523"/>
      <c r="JV30" s="523"/>
      <c r="JW30" s="523"/>
      <c r="JX30" s="523"/>
      <c r="JY30" s="523"/>
      <c r="JZ30" s="523"/>
      <c r="KA30" s="523"/>
      <c r="KB30" s="497"/>
      <c r="KC30" s="491"/>
      <c r="KD30" s="491"/>
      <c r="KE30" s="491"/>
      <c r="KF30" s="491"/>
      <c r="KG30" s="491"/>
      <c r="KH30" s="491"/>
      <c r="KI30" s="491"/>
      <c r="KJ30" s="491"/>
      <c r="KK30" s="491"/>
      <c r="KL30" s="491"/>
      <c r="KM30" s="491"/>
      <c r="KN30" s="491"/>
      <c r="KO30" s="491"/>
      <c r="KP30" s="515"/>
      <c r="KQ30" s="515"/>
      <c r="KR30" s="515"/>
      <c r="KS30" s="491"/>
      <c r="KT30" s="491"/>
      <c r="KU30" s="491"/>
      <c r="KV30" s="491"/>
      <c r="KW30" s="491"/>
      <c r="KX30" s="491"/>
      <c r="KY30" s="491"/>
      <c r="KZ30" s="491"/>
      <c r="LA30" s="491"/>
      <c r="LB30" s="491"/>
      <c r="LC30" s="491"/>
      <c r="LD30" s="491"/>
      <c r="LE30" s="491"/>
      <c r="LF30" s="491"/>
      <c r="LG30" s="491"/>
      <c r="LH30" s="491"/>
      <c r="LI30" s="491"/>
      <c r="LJ30" s="491"/>
      <c r="LK30" s="491"/>
      <c r="LL30" s="491"/>
      <c r="LM30" s="491"/>
      <c r="LN30" s="491"/>
      <c r="LO30" s="491"/>
      <c r="LP30" s="524"/>
      <c r="LQ30" s="491"/>
      <c r="LR30" s="491"/>
      <c r="LS30" s="491"/>
      <c r="LT30" s="491"/>
      <c r="LU30" s="491"/>
      <c r="LV30" s="491"/>
      <c r="LW30" s="491"/>
      <c r="LX30" s="491"/>
      <c r="LY30" s="491"/>
      <c r="LZ30" s="491"/>
      <c r="MA30" s="491"/>
      <c r="MB30" s="491"/>
      <c r="MC30" s="491"/>
      <c r="MD30" s="491"/>
      <c r="ME30" s="491"/>
      <c r="MF30" s="491"/>
      <c r="MG30" s="491"/>
      <c r="MH30" s="491"/>
      <c r="MI30" s="491"/>
      <c r="MJ30" s="491"/>
      <c r="MK30" s="491"/>
      <c r="ML30" s="491"/>
      <c r="MM30" s="491"/>
      <c r="MN30" s="491"/>
      <c r="MO30" s="491"/>
      <c r="MP30" s="491"/>
      <c r="MQ30" s="491"/>
      <c r="MR30" s="491"/>
      <c r="MS30" s="491"/>
      <c r="MT30" s="491"/>
      <c r="MU30" s="491"/>
      <c r="MV30" s="491"/>
      <c r="MW30" s="491"/>
      <c r="MX30" s="491"/>
      <c r="MY30" s="491"/>
      <c r="MZ30" s="500"/>
      <c r="NA30" s="491"/>
      <c r="NB30" s="525"/>
      <c r="NC30" s="491"/>
      <c r="ND30" s="491"/>
      <c r="NE30" s="491"/>
      <c r="NF30" s="491"/>
      <c r="NG30" s="491"/>
      <c r="NH30" s="491"/>
      <c r="NI30" s="491"/>
      <c r="NJ30" s="491"/>
      <c r="NK30" s="491"/>
      <c r="NL30" s="491"/>
      <c r="NM30" s="491"/>
      <c r="NN30" s="491"/>
      <c r="NO30" s="491"/>
      <c r="NP30" s="491"/>
      <c r="NQ30" s="491"/>
      <c r="NR30" s="491"/>
      <c r="NS30" s="491"/>
      <c r="NT30" s="491"/>
      <c r="NU30" s="491"/>
      <c r="NV30" s="491"/>
      <c r="NW30" s="491"/>
      <c r="NX30" s="491"/>
      <c r="NY30" s="491"/>
      <c r="NZ30" s="491"/>
      <c r="PW30" s="482"/>
    </row>
    <row r="31" spans="8:439" ht="12.65" customHeight="1" x14ac:dyDescent="0.35">
      <c r="H31" s="489"/>
      <c r="I31" s="489"/>
      <c r="J31" s="489"/>
      <c r="K31" s="490"/>
      <c r="L31" s="489"/>
      <c r="BA31" s="491"/>
      <c r="BB31" s="491"/>
      <c r="BC31" s="491"/>
      <c r="BD31" s="491"/>
      <c r="BE31" s="491"/>
      <c r="BF31" s="491"/>
      <c r="BG31" s="491"/>
      <c r="BH31" s="491"/>
      <c r="BI31" s="491"/>
      <c r="BJ31" s="491"/>
      <c r="BK31" s="491"/>
      <c r="BL31" s="491"/>
      <c r="BM31" s="491"/>
      <c r="BN31" s="491"/>
      <c r="BO31" s="491"/>
      <c r="BP31" s="491"/>
      <c r="BQ31" s="491"/>
      <c r="BR31" s="491"/>
      <c r="BS31" s="491"/>
      <c r="BT31" s="491"/>
      <c r="BU31" s="491"/>
      <c r="BV31" s="491"/>
      <c r="BW31" s="491"/>
      <c r="BX31" s="491"/>
      <c r="BY31" s="491"/>
      <c r="BZ31" s="491"/>
      <c r="CA31" s="491"/>
      <c r="CB31" s="491"/>
      <c r="CC31" s="491"/>
      <c r="CD31" s="491"/>
      <c r="CE31" s="491"/>
      <c r="CF31" s="491"/>
      <c r="CG31" s="491"/>
      <c r="CH31" s="491"/>
      <c r="CI31" s="491"/>
      <c r="CJ31" s="491"/>
      <c r="CK31" s="491"/>
      <c r="CL31" s="491"/>
      <c r="CM31" s="491"/>
      <c r="CN31" s="491"/>
      <c r="CO31" s="491"/>
      <c r="CP31" s="491"/>
      <c r="CQ31" s="491"/>
      <c r="CR31" s="491"/>
      <c r="CS31" s="491"/>
      <c r="CT31" s="491"/>
      <c r="CU31" s="491"/>
      <c r="CV31" s="491"/>
      <c r="CW31" s="491"/>
      <c r="CX31" s="491"/>
      <c r="CY31" s="491"/>
      <c r="CZ31" s="491"/>
      <c r="DA31" s="491"/>
      <c r="DB31" s="491"/>
      <c r="DC31" s="491"/>
      <c r="DD31" s="491"/>
      <c r="DE31" s="491"/>
      <c r="DF31" s="491"/>
      <c r="DG31" s="491"/>
      <c r="DH31" s="491"/>
      <c r="DI31" s="491"/>
      <c r="DJ31" s="491"/>
      <c r="DK31" s="491"/>
      <c r="DL31" s="491"/>
      <c r="DM31" s="491"/>
      <c r="DN31" s="491"/>
      <c r="DO31" s="492"/>
      <c r="DP31" s="491"/>
      <c r="DQ31" s="511"/>
      <c r="DR31" s="511"/>
      <c r="DS31" s="491"/>
      <c r="DT31" s="491"/>
      <c r="DU31" s="491"/>
      <c r="DV31" s="491"/>
      <c r="DW31" s="491"/>
      <c r="DX31" s="491"/>
      <c r="DY31" s="491"/>
      <c r="DZ31" s="491"/>
      <c r="EA31" s="491"/>
      <c r="EB31" s="491"/>
      <c r="EC31" s="491"/>
      <c r="ED31" s="491"/>
      <c r="EE31" s="491"/>
      <c r="EF31" s="491"/>
      <c r="EG31" s="526"/>
      <c r="EH31" s="491"/>
      <c r="EI31" s="491"/>
      <c r="EJ31" s="491"/>
      <c r="EK31" s="491"/>
      <c r="EL31" s="491"/>
      <c r="EM31" s="491"/>
      <c r="EN31" s="491"/>
      <c r="EO31" s="491"/>
      <c r="EP31" s="491"/>
      <c r="EQ31" s="491"/>
      <c r="ER31" s="491"/>
      <c r="ES31" s="491"/>
      <c r="ET31" s="491"/>
      <c r="EU31" s="491"/>
      <c r="EV31" s="491"/>
      <c r="EW31" s="491"/>
      <c r="EX31" s="491"/>
      <c r="EY31" s="491"/>
      <c r="EZ31" s="491"/>
      <c r="FA31" s="491"/>
      <c r="FB31" s="491"/>
      <c r="FC31" s="527"/>
      <c r="FD31" s="491"/>
      <c r="FE31" s="491"/>
      <c r="FF31" s="491"/>
      <c r="FG31" s="491"/>
      <c r="FH31" s="491"/>
      <c r="FI31" s="491"/>
      <c r="FJ31" s="491"/>
      <c r="FK31" s="491"/>
      <c r="FL31" s="491"/>
      <c r="FM31" s="491"/>
      <c r="FN31" s="491"/>
      <c r="FO31" s="491"/>
      <c r="FP31" s="491"/>
      <c r="FQ31" s="491"/>
      <c r="FR31" s="491"/>
      <c r="FS31" s="491"/>
      <c r="FT31" s="491"/>
      <c r="FU31" s="491"/>
      <c r="FV31" s="491"/>
      <c r="FW31" s="491"/>
      <c r="FX31" s="491"/>
      <c r="FY31" s="491"/>
      <c r="FZ31" s="491"/>
      <c r="GA31" s="491"/>
      <c r="GB31" s="491"/>
      <c r="GC31" s="491"/>
      <c r="GD31" s="491"/>
      <c r="GE31" s="491"/>
      <c r="GF31" s="491"/>
      <c r="GG31" s="491"/>
      <c r="GH31" s="491"/>
      <c r="GI31" s="491"/>
      <c r="GJ31" s="491"/>
      <c r="GK31" s="491"/>
      <c r="GL31" s="491"/>
      <c r="GM31" s="491"/>
      <c r="GN31" s="491"/>
      <c r="GO31" s="526"/>
      <c r="GP31" s="491"/>
      <c r="GQ31" s="491"/>
      <c r="GR31" s="491"/>
      <c r="GS31" s="491"/>
      <c r="GT31" s="491"/>
      <c r="GU31" s="491"/>
      <c r="GV31" s="491"/>
      <c r="GW31" s="491"/>
      <c r="GX31" s="491"/>
      <c r="GY31" s="491"/>
      <c r="GZ31" s="491"/>
      <c r="HA31" s="491"/>
      <c r="HB31" s="491"/>
      <c r="HC31" s="491"/>
      <c r="HD31" s="491"/>
      <c r="HE31" s="491"/>
      <c r="HF31" s="491"/>
      <c r="HG31" s="491"/>
      <c r="HH31" s="491"/>
      <c r="HI31" s="491"/>
      <c r="HJ31" s="491"/>
      <c r="HK31" s="491"/>
      <c r="HL31" s="491"/>
      <c r="HM31" s="491"/>
      <c r="HN31" s="491"/>
      <c r="HO31" s="491"/>
      <c r="HP31" s="491"/>
      <c r="HQ31" s="491"/>
      <c r="HR31" s="491"/>
      <c r="HS31" s="491"/>
      <c r="HT31" s="491"/>
      <c r="HU31" s="491"/>
      <c r="HV31" s="491"/>
      <c r="HW31" s="515"/>
      <c r="HX31" s="515"/>
      <c r="HY31" s="528"/>
      <c r="HZ31" s="515"/>
      <c r="IA31" s="515"/>
      <c r="IB31" s="515"/>
      <c r="IC31" s="515"/>
      <c r="ID31" s="515"/>
      <c r="IE31" s="515"/>
      <c r="IF31" s="515"/>
      <c r="IG31" s="515"/>
      <c r="IH31" s="515"/>
      <c r="II31" s="515"/>
      <c r="IJ31" s="515"/>
      <c r="IK31" s="515"/>
      <c r="IL31" s="515"/>
      <c r="IM31" s="515"/>
      <c r="IN31" s="515"/>
      <c r="IO31" s="515"/>
      <c r="IP31" s="491"/>
      <c r="IQ31" s="491"/>
      <c r="IR31" s="491"/>
      <c r="IS31" s="491"/>
      <c r="IT31" s="491"/>
      <c r="IU31" s="491"/>
      <c r="IV31" s="491"/>
      <c r="IW31" s="491"/>
      <c r="IX31" s="491"/>
      <c r="IY31" s="491"/>
      <c r="IZ31" s="515"/>
      <c r="JA31" s="515"/>
      <c r="JB31" s="515"/>
      <c r="JC31" s="515"/>
      <c r="JD31" s="515"/>
      <c r="JE31" s="515"/>
      <c r="JF31" s="515"/>
      <c r="JG31" s="515"/>
      <c r="JH31" s="515"/>
      <c r="JI31" s="515"/>
      <c r="JJ31" s="515"/>
      <c r="JK31" s="528"/>
      <c r="JL31" s="515"/>
      <c r="JM31" s="515"/>
      <c r="JN31" s="515"/>
      <c r="JO31" s="515"/>
      <c r="JP31" s="515"/>
      <c r="JQ31" s="515"/>
      <c r="JR31" s="515"/>
      <c r="JS31" s="515"/>
      <c r="JT31" s="515"/>
      <c r="JU31" s="515"/>
      <c r="JV31" s="515"/>
      <c r="JW31" s="515"/>
      <c r="JX31" s="515"/>
      <c r="JY31" s="515"/>
      <c r="JZ31" s="515"/>
      <c r="KA31" s="515"/>
      <c r="KB31" s="524"/>
      <c r="KC31" s="491"/>
      <c r="KD31" s="491"/>
      <c r="KE31" s="491"/>
      <c r="KF31" s="491"/>
      <c r="KG31" s="491"/>
      <c r="KH31" s="491"/>
      <c r="KI31" s="491"/>
      <c r="KJ31" s="491"/>
      <c r="KK31" s="491"/>
      <c r="KL31" s="491"/>
      <c r="KM31" s="491"/>
      <c r="KN31" s="491"/>
      <c r="KO31" s="491"/>
      <c r="KP31" s="515"/>
      <c r="KQ31" s="515"/>
      <c r="KR31" s="515"/>
      <c r="KS31" s="491"/>
      <c r="KT31" s="491"/>
      <c r="KU31" s="491"/>
      <c r="KV31" s="491"/>
      <c r="KW31" s="491"/>
      <c r="KX31" s="491"/>
      <c r="KY31" s="491"/>
      <c r="KZ31" s="491"/>
      <c r="LA31" s="491"/>
      <c r="LB31" s="491"/>
      <c r="LC31" s="491"/>
      <c r="LD31" s="491"/>
      <c r="LE31" s="491"/>
      <c r="LF31" s="491"/>
      <c r="LG31" s="491"/>
      <c r="LH31" s="491"/>
      <c r="LI31" s="491"/>
      <c r="LJ31" s="491"/>
      <c r="LK31" s="491"/>
      <c r="LL31" s="491"/>
      <c r="LM31" s="491"/>
      <c r="LN31" s="491"/>
      <c r="LO31" s="491"/>
      <c r="LP31" s="529"/>
      <c r="LQ31" s="491"/>
      <c r="LR31" s="491"/>
      <c r="LS31" s="491"/>
      <c r="LT31" s="491"/>
      <c r="LU31" s="491"/>
      <c r="LV31" s="491"/>
      <c r="LW31" s="491"/>
      <c r="LX31" s="491"/>
      <c r="LY31" s="491"/>
      <c r="LZ31" s="491"/>
      <c r="MA31" s="491"/>
      <c r="MB31" s="491"/>
      <c r="MC31" s="491"/>
      <c r="MD31" s="491"/>
      <c r="ME31" s="491"/>
      <c r="MF31" s="491"/>
      <c r="MG31" s="491"/>
      <c r="MH31" s="491"/>
      <c r="MI31" s="491"/>
      <c r="MJ31" s="491"/>
      <c r="MK31" s="491"/>
      <c r="ML31" s="491"/>
      <c r="MM31" s="491"/>
      <c r="MN31" s="491"/>
      <c r="MO31" s="491"/>
      <c r="MP31" s="491"/>
      <c r="MQ31" s="491"/>
      <c r="MR31" s="491"/>
      <c r="MS31" s="491"/>
      <c r="MT31" s="491"/>
      <c r="MU31" s="491"/>
      <c r="MV31" s="491"/>
      <c r="MW31" s="491"/>
      <c r="MX31" s="491"/>
      <c r="MY31" s="491"/>
      <c r="MZ31" s="491"/>
      <c r="NA31" s="491"/>
      <c r="NB31" s="524"/>
      <c r="NC31" s="491"/>
      <c r="ND31" s="491"/>
      <c r="NE31" s="491"/>
      <c r="NF31" s="491"/>
      <c r="NG31" s="491"/>
      <c r="NH31" s="491"/>
      <c r="NI31" s="491"/>
      <c r="NJ31" s="491"/>
      <c r="NK31" s="491"/>
      <c r="NL31" s="491"/>
      <c r="NM31" s="491"/>
      <c r="NN31" s="491"/>
      <c r="NO31" s="491"/>
      <c r="NP31" s="491"/>
      <c r="NQ31" s="491"/>
      <c r="NR31" s="491"/>
      <c r="NS31" s="491"/>
      <c r="NT31" s="491"/>
      <c r="NU31" s="491"/>
      <c r="NV31" s="491"/>
      <c r="NW31" s="491"/>
      <c r="NX31" s="491"/>
      <c r="NY31" s="491"/>
      <c r="NZ31" s="491"/>
      <c r="PW31" s="482"/>
    </row>
    <row r="32" spans="8:439" ht="12.65" customHeight="1" x14ac:dyDescent="0.35">
      <c r="H32" s="489"/>
      <c r="I32" s="489"/>
      <c r="J32" s="489"/>
      <c r="K32" s="490"/>
      <c r="L32" s="489"/>
      <c r="BA32" s="491"/>
      <c r="BB32" s="491"/>
      <c r="BC32" s="491"/>
      <c r="BD32" s="491"/>
      <c r="BE32" s="491"/>
      <c r="BF32" s="491"/>
      <c r="BG32" s="491"/>
      <c r="BH32" s="491"/>
      <c r="BI32" s="491"/>
      <c r="BJ32" s="491"/>
      <c r="BK32" s="491"/>
      <c r="BL32" s="491"/>
      <c r="BM32" s="491"/>
      <c r="BN32" s="491"/>
      <c r="BO32" s="491"/>
      <c r="BP32" s="491"/>
      <c r="BQ32" s="491"/>
      <c r="BR32" s="491"/>
      <c r="BS32" s="491"/>
      <c r="BT32" s="491"/>
      <c r="BU32" s="491"/>
      <c r="BV32" s="491"/>
      <c r="BW32" s="491"/>
      <c r="BX32" s="491"/>
      <c r="BY32" s="491"/>
      <c r="BZ32" s="491"/>
      <c r="CA32" s="491"/>
      <c r="CB32" s="491"/>
      <c r="CC32" s="491"/>
      <c r="CD32" s="491"/>
      <c r="CE32" s="491"/>
      <c r="CF32" s="491"/>
      <c r="CG32" s="491"/>
      <c r="CH32" s="491"/>
      <c r="CI32" s="491"/>
      <c r="CJ32" s="491"/>
      <c r="CK32" s="491"/>
      <c r="CL32" s="491"/>
      <c r="CM32" s="491"/>
      <c r="CN32" s="491"/>
      <c r="CO32" s="491"/>
      <c r="CP32" s="491"/>
      <c r="CQ32" s="491"/>
      <c r="CR32" s="491"/>
      <c r="CS32" s="491"/>
      <c r="CT32" s="491"/>
      <c r="CU32" s="491"/>
      <c r="CV32" s="491"/>
      <c r="CW32" s="491"/>
      <c r="CX32" s="491"/>
      <c r="CY32" s="491"/>
      <c r="CZ32" s="491"/>
      <c r="DA32" s="491"/>
      <c r="DB32" s="491"/>
      <c r="DC32" s="491"/>
      <c r="DD32" s="491"/>
      <c r="DE32" s="491"/>
      <c r="DF32" s="491"/>
      <c r="DG32" s="491"/>
      <c r="DH32" s="491"/>
      <c r="DI32" s="491"/>
      <c r="DJ32" s="491"/>
      <c r="DK32" s="491"/>
      <c r="DL32" s="491"/>
      <c r="DM32" s="491"/>
      <c r="DN32" s="491"/>
      <c r="DO32" s="492"/>
      <c r="DP32" s="491"/>
      <c r="DQ32" s="511"/>
      <c r="DR32" s="511"/>
      <c r="DS32" s="491"/>
      <c r="DT32" s="491"/>
      <c r="DU32" s="491"/>
      <c r="DV32" s="491"/>
      <c r="DW32" s="491"/>
      <c r="DX32" s="491"/>
      <c r="DY32" s="491"/>
      <c r="DZ32" s="491"/>
      <c r="EA32" s="491"/>
      <c r="EB32" s="491"/>
      <c r="EC32" s="491"/>
      <c r="ED32" s="491"/>
      <c r="EE32" s="491"/>
      <c r="EF32" s="491"/>
      <c r="EG32" s="526"/>
      <c r="EH32" s="491"/>
      <c r="EI32" s="491"/>
      <c r="EJ32" s="491"/>
      <c r="EK32" s="491"/>
      <c r="EL32" s="491"/>
      <c r="EM32" s="491"/>
      <c r="EN32" s="491"/>
      <c r="EO32" s="491"/>
      <c r="EP32" s="491"/>
      <c r="EQ32" s="491"/>
      <c r="ER32" s="491"/>
      <c r="ES32" s="491"/>
      <c r="ET32" s="491"/>
      <c r="EU32" s="491"/>
      <c r="EV32" s="491"/>
      <c r="EW32" s="491"/>
      <c r="EX32" s="491"/>
      <c r="EY32" s="491"/>
      <c r="EZ32" s="491"/>
      <c r="FA32" s="491"/>
      <c r="FB32" s="491"/>
      <c r="FC32" s="526"/>
      <c r="FD32" s="491"/>
      <c r="FE32" s="491"/>
      <c r="FF32" s="491"/>
      <c r="FG32" s="491"/>
      <c r="FH32" s="491"/>
      <c r="FI32" s="491"/>
      <c r="FJ32" s="491"/>
      <c r="FK32" s="491"/>
      <c r="FL32" s="491"/>
      <c r="FM32" s="491"/>
      <c r="FN32" s="491"/>
      <c r="FO32" s="491"/>
      <c r="FP32" s="491"/>
      <c r="FQ32" s="491"/>
      <c r="FR32" s="491"/>
      <c r="FS32" s="491"/>
      <c r="FT32" s="491"/>
      <c r="FU32" s="491"/>
      <c r="FV32" s="491"/>
      <c r="FW32" s="491"/>
      <c r="FX32" s="491"/>
      <c r="FY32" s="491"/>
      <c r="FZ32" s="491"/>
      <c r="GA32" s="491"/>
      <c r="GB32" s="491"/>
      <c r="GC32" s="491"/>
      <c r="GD32" s="491"/>
      <c r="GE32" s="491"/>
      <c r="GF32" s="491"/>
      <c r="GG32" s="491"/>
      <c r="GH32" s="491"/>
      <c r="GI32" s="491"/>
      <c r="GJ32" s="491"/>
      <c r="GK32" s="491"/>
      <c r="GL32" s="491"/>
      <c r="GM32" s="491"/>
      <c r="GN32" s="491"/>
      <c r="GO32" s="526"/>
      <c r="GP32" s="491"/>
      <c r="GQ32" s="491"/>
      <c r="GR32" s="491"/>
      <c r="GS32" s="491"/>
      <c r="GT32" s="491"/>
      <c r="GU32" s="491"/>
      <c r="GV32" s="491"/>
      <c r="GW32" s="491"/>
      <c r="GX32" s="491"/>
      <c r="GY32" s="491"/>
      <c r="GZ32" s="491"/>
      <c r="HA32" s="491"/>
      <c r="HB32" s="491"/>
      <c r="HC32" s="491"/>
      <c r="HD32" s="491"/>
      <c r="HE32" s="491"/>
      <c r="HF32" s="491"/>
      <c r="HG32" s="491"/>
      <c r="HH32" s="491"/>
      <c r="HI32" s="491"/>
      <c r="HJ32" s="491"/>
      <c r="HK32" s="491"/>
      <c r="HL32" s="491"/>
      <c r="HM32" s="491"/>
      <c r="HN32" s="491"/>
      <c r="HO32" s="491"/>
      <c r="HP32" s="491"/>
      <c r="HQ32" s="491"/>
      <c r="HR32" s="491"/>
      <c r="HS32" s="491"/>
      <c r="HT32" s="491"/>
      <c r="HU32" s="491"/>
      <c r="HV32" s="491"/>
      <c r="HW32" s="515"/>
      <c r="HX32" s="515"/>
      <c r="HY32" s="530"/>
      <c r="HZ32" s="515"/>
      <c r="IA32" s="515"/>
      <c r="IB32" s="515"/>
      <c r="IC32" s="515"/>
      <c r="ID32" s="515"/>
      <c r="IE32" s="515"/>
      <c r="IF32" s="515"/>
      <c r="IG32" s="515"/>
      <c r="IH32" s="515"/>
      <c r="II32" s="515"/>
      <c r="IJ32" s="515"/>
      <c r="IK32" s="515"/>
      <c r="IL32" s="515"/>
      <c r="IM32" s="515"/>
      <c r="IN32" s="515"/>
      <c r="IO32" s="515"/>
      <c r="IP32" s="491"/>
      <c r="IQ32" s="491"/>
      <c r="IR32" s="491"/>
      <c r="IS32" s="491"/>
      <c r="IT32" s="491"/>
      <c r="IU32" s="491"/>
      <c r="IV32" s="491"/>
      <c r="IW32" s="491"/>
      <c r="IX32" s="491"/>
      <c r="IY32" s="491"/>
      <c r="IZ32" s="515"/>
      <c r="JA32" s="515"/>
      <c r="JB32" s="515"/>
      <c r="JC32" s="515"/>
      <c r="JD32" s="515"/>
      <c r="JE32" s="515"/>
      <c r="JF32" s="515"/>
      <c r="JG32" s="515"/>
      <c r="JH32" s="515"/>
      <c r="JI32" s="515"/>
      <c r="JJ32" s="515"/>
      <c r="JK32" s="530"/>
      <c r="JL32" s="515"/>
      <c r="JM32" s="515"/>
      <c r="JN32" s="515"/>
      <c r="JO32" s="515"/>
      <c r="JP32" s="515"/>
      <c r="JQ32" s="515"/>
      <c r="JR32" s="515"/>
      <c r="JS32" s="515"/>
      <c r="JT32" s="515"/>
      <c r="JU32" s="515"/>
      <c r="JV32" s="515"/>
      <c r="JW32" s="515"/>
      <c r="JX32" s="515"/>
      <c r="JY32" s="515"/>
      <c r="JZ32" s="515"/>
      <c r="KA32" s="515"/>
      <c r="KB32" s="524"/>
      <c r="KC32" s="491"/>
      <c r="KD32" s="491"/>
      <c r="KE32" s="491"/>
      <c r="KF32" s="491"/>
      <c r="KG32" s="491"/>
      <c r="KH32" s="491"/>
      <c r="KI32" s="491"/>
      <c r="KJ32" s="491"/>
      <c r="KK32" s="491"/>
      <c r="KL32" s="491"/>
      <c r="KM32" s="491"/>
      <c r="KN32" s="491"/>
      <c r="KO32" s="491"/>
      <c r="KP32" s="515"/>
      <c r="KQ32" s="515"/>
      <c r="KR32" s="515"/>
      <c r="KS32" s="491"/>
      <c r="KT32" s="491"/>
      <c r="KU32" s="491"/>
      <c r="KV32" s="491"/>
      <c r="KW32" s="491"/>
      <c r="KX32" s="491"/>
      <c r="KY32" s="491"/>
      <c r="KZ32" s="491"/>
      <c r="LA32" s="491"/>
      <c r="LB32" s="491"/>
      <c r="LC32" s="491"/>
      <c r="LD32" s="491"/>
      <c r="LE32" s="491"/>
      <c r="LF32" s="491"/>
      <c r="LG32" s="491"/>
      <c r="LH32" s="491"/>
      <c r="LI32" s="491"/>
      <c r="LJ32" s="491"/>
      <c r="LK32" s="491"/>
      <c r="LL32" s="491"/>
      <c r="LM32" s="491"/>
      <c r="LN32" s="491"/>
      <c r="LO32" s="491"/>
      <c r="LP32" s="529"/>
      <c r="LQ32" s="491"/>
      <c r="LR32" s="491"/>
      <c r="LS32" s="491"/>
      <c r="LT32" s="491"/>
      <c r="LU32" s="491"/>
      <c r="LV32" s="491"/>
      <c r="LW32" s="491"/>
      <c r="LX32" s="491"/>
      <c r="LY32" s="491"/>
      <c r="LZ32" s="491"/>
      <c r="MA32" s="491"/>
      <c r="MB32" s="491"/>
      <c r="MC32" s="491"/>
      <c r="MD32" s="491"/>
      <c r="ME32" s="491"/>
      <c r="MF32" s="491"/>
      <c r="MG32" s="491"/>
      <c r="MH32" s="491"/>
      <c r="MI32" s="491"/>
      <c r="MJ32" s="491"/>
      <c r="MK32" s="491"/>
      <c r="ML32" s="491"/>
      <c r="MM32" s="491"/>
      <c r="MN32" s="491"/>
      <c r="MO32" s="491"/>
      <c r="MP32" s="491"/>
      <c r="MQ32" s="491"/>
      <c r="MR32" s="491"/>
      <c r="MS32" s="491"/>
      <c r="MT32" s="491"/>
      <c r="MU32" s="491"/>
      <c r="MV32" s="491"/>
      <c r="MW32" s="491"/>
      <c r="MX32" s="491"/>
      <c r="MY32" s="491"/>
      <c r="MZ32" s="491"/>
      <c r="NA32" s="491"/>
      <c r="NB32" s="524"/>
      <c r="NC32" s="491"/>
      <c r="ND32" s="491"/>
      <c r="NE32" s="491"/>
      <c r="NF32" s="491"/>
      <c r="NG32" s="491"/>
      <c r="NH32" s="491"/>
      <c r="NI32" s="491"/>
      <c r="NJ32" s="491"/>
      <c r="NK32" s="491"/>
      <c r="NL32" s="491"/>
      <c r="NM32" s="491"/>
      <c r="NN32" s="491"/>
      <c r="NO32" s="491"/>
      <c r="NP32" s="491"/>
      <c r="NQ32" s="491"/>
      <c r="NR32" s="491"/>
      <c r="NS32" s="491"/>
      <c r="NT32" s="491"/>
      <c r="NU32" s="491"/>
      <c r="NV32" s="491"/>
      <c r="NW32" s="491"/>
      <c r="NX32" s="491"/>
      <c r="NY32" s="491"/>
      <c r="NZ32" s="491"/>
      <c r="PW32" s="482"/>
    </row>
    <row r="33" spans="8:470" ht="12.65" customHeight="1" x14ac:dyDescent="0.35">
      <c r="H33" s="489"/>
      <c r="I33" s="489"/>
      <c r="J33" s="489"/>
      <c r="K33" s="490"/>
      <c r="L33" s="489"/>
      <c r="BA33" s="491"/>
      <c r="BB33" s="491"/>
      <c r="BC33" s="491"/>
      <c r="BD33" s="491"/>
      <c r="BE33" s="491"/>
      <c r="BF33" s="491"/>
      <c r="BG33" s="491"/>
      <c r="BH33" s="491"/>
      <c r="BI33" s="491"/>
      <c r="BJ33" s="491"/>
      <c r="BK33" s="491"/>
      <c r="BL33" s="491"/>
      <c r="BM33" s="491"/>
      <c r="BN33" s="491"/>
      <c r="BO33" s="491"/>
      <c r="BP33" s="491"/>
      <c r="BQ33" s="491"/>
      <c r="BR33" s="491"/>
      <c r="BS33" s="491"/>
      <c r="BT33" s="491"/>
      <c r="BU33" s="491"/>
      <c r="BV33" s="491"/>
      <c r="BW33" s="491"/>
      <c r="BX33" s="491"/>
      <c r="BY33" s="491"/>
      <c r="BZ33" s="491"/>
      <c r="CA33" s="491"/>
      <c r="CB33" s="491"/>
      <c r="CC33" s="491"/>
      <c r="CD33" s="491"/>
      <c r="CE33" s="491"/>
      <c r="CF33" s="491"/>
      <c r="CG33" s="491"/>
      <c r="CH33" s="491"/>
      <c r="CI33" s="491"/>
      <c r="CJ33" s="491"/>
      <c r="CK33" s="491"/>
      <c r="CL33" s="491"/>
      <c r="CM33" s="491"/>
      <c r="CN33" s="491"/>
      <c r="CO33" s="491"/>
      <c r="CP33" s="491"/>
      <c r="CQ33" s="491"/>
      <c r="CR33" s="491"/>
      <c r="CS33" s="491"/>
      <c r="CT33" s="491"/>
      <c r="CU33" s="491"/>
      <c r="CV33" s="491"/>
      <c r="CW33" s="491"/>
      <c r="CX33" s="491"/>
      <c r="CY33" s="491"/>
      <c r="CZ33" s="491"/>
      <c r="DA33" s="491"/>
      <c r="DB33" s="491"/>
      <c r="DC33" s="491"/>
      <c r="DD33" s="491"/>
      <c r="DE33" s="491"/>
      <c r="DF33" s="491"/>
      <c r="DG33" s="491"/>
      <c r="DH33" s="491"/>
      <c r="DI33" s="491"/>
      <c r="DJ33" s="491"/>
      <c r="DK33" s="491"/>
      <c r="DL33" s="491"/>
      <c r="DM33" s="491"/>
      <c r="DN33" s="491"/>
      <c r="DO33" s="492"/>
      <c r="DP33" s="491"/>
      <c r="DQ33" s="511"/>
      <c r="DR33" s="511"/>
      <c r="DS33" s="491"/>
      <c r="DT33" s="491"/>
      <c r="DU33" s="491"/>
      <c r="DV33" s="491"/>
      <c r="DW33" s="491"/>
      <c r="DX33" s="491"/>
      <c r="DY33" s="491"/>
      <c r="DZ33" s="491"/>
      <c r="EA33" s="491"/>
      <c r="EB33" s="491"/>
      <c r="EC33" s="491"/>
      <c r="ED33" s="491"/>
      <c r="EE33" s="491"/>
      <c r="EF33" s="491"/>
      <c r="EG33" s="526"/>
      <c r="EH33" s="491"/>
      <c r="EI33" s="491"/>
      <c r="EJ33" s="491"/>
      <c r="EK33" s="491"/>
      <c r="EL33" s="491"/>
      <c r="EM33" s="491"/>
      <c r="EN33" s="491"/>
      <c r="EO33" s="491"/>
      <c r="EP33" s="491"/>
      <c r="EQ33" s="491"/>
      <c r="ER33" s="491"/>
      <c r="ES33" s="491"/>
      <c r="ET33" s="491"/>
      <c r="EU33" s="491"/>
      <c r="EV33" s="491"/>
      <c r="EW33" s="491"/>
      <c r="EX33" s="491"/>
      <c r="EY33" s="491"/>
      <c r="EZ33" s="491"/>
      <c r="FA33" s="491"/>
      <c r="FB33" s="491"/>
      <c r="FC33" s="526"/>
      <c r="FD33" s="491"/>
      <c r="FE33" s="491"/>
      <c r="FF33" s="491"/>
      <c r="FG33" s="491"/>
      <c r="FH33" s="491"/>
      <c r="FI33" s="491"/>
      <c r="FJ33" s="491"/>
      <c r="FK33" s="491"/>
      <c r="FL33" s="491"/>
      <c r="FM33" s="491"/>
      <c r="FN33" s="491"/>
      <c r="FO33" s="491"/>
      <c r="FP33" s="491"/>
      <c r="FQ33" s="491"/>
      <c r="FR33" s="491"/>
      <c r="FS33" s="491"/>
      <c r="FT33" s="491"/>
      <c r="FU33" s="491"/>
      <c r="FV33" s="491"/>
      <c r="FW33" s="491"/>
      <c r="FX33" s="491"/>
      <c r="FY33" s="491"/>
      <c r="FZ33" s="491"/>
      <c r="GA33" s="491"/>
      <c r="GB33" s="491"/>
      <c r="GC33" s="491"/>
      <c r="GD33" s="491"/>
      <c r="GE33" s="491"/>
      <c r="GF33" s="491"/>
      <c r="GG33" s="491"/>
      <c r="GH33" s="491"/>
      <c r="GI33" s="491"/>
      <c r="GJ33" s="491"/>
      <c r="GK33" s="491"/>
      <c r="GL33" s="491"/>
      <c r="GM33" s="491"/>
      <c r="GN33" s="491"/>
      <c r="GO33" s="526"/>
      <c r="GP33" s="491"/>
      <c r="GQ33" s="491"/>
      <c r="GR33" s="491"/>
      <c r="GS33" s="491"/>
      <c r="GT33" s="491"/>
      <c r="GU33" s="491"/>
      <c r="GV33" s="491"/>
      <c r="GW33" s="491"/>
      <c r="GX33" s="491"/>
      <c r="GY33" s="491"/>
      <c r="GZ33" s="491"/>
      <c r="HA33" s="491"/>
      <c r="HB33" s="491"/>
      <c r="HC33" s="491"/>
      <c r="HD33" s="491"/>
      <c r="HE33" s="491"/>
      <c r="HF33" s="491"/>
      <c r="HG33" s="491"/>
      <c r="HH33" s="491"/>
      <c r="HI33" s="491"/>
      <c r="HJ33" s="491"/>
      <c r="HK33" s="491"/>
      <c r="HL33" s="491"/>
      <c r="HM33" s="491"/>
      <c r="HN33" s="491"/>
      <c r="HO33" s="491"/>
      <c r="HP33" s="491"/>
      <c r="HQ33" s="491"/>
      <c r="HR33" s="491"/>
      <c r="HS33" s="491"/>
      <c r="HT33" s="491"/>
      <c r="HU33" s="491"/>
      <c r="HV33" s="491"/>
      <c r="HW33" s="515"/>
      <c r="HX33" s="515"/>
      <c r="HY33" s="530"/>
      <c r="HZ33" s="515"/>
      <c r="IA33" s="515"/>
      <c r="IB33" s="515"/>
      <c r="IC33" s="515"/>
      <c r="ID33" s="515"/>
      <c r="IE33" s="515"/>
      <c r="IF33" s="515"/>
      <c r="IG33" s="515"/>
      <c r="IH33" s="515"/>
      <c r="II33" s="515"/>
      <c r="IJ33" s="515"/>
      <c r="IK33" s="515"/>
      <c r="IL33" s="515"/>
      <c r="IM33" s="515"/>
      <c r="IN33" s="515"/>
      <c r="IO33" s="515"/>
      <c r="IP33" s="491"/>
      <c r="IQ33" s="491"/>
      <c r="IR33" s="491"/>
      <c r="IS33" s="491"/>
      <c r="IT33" s="491"/>
      <c r="IU33" s="491"/>
      <c r="IV33" s="491"/>
      <c r="IW33" s="491"/>
      <c r="IX33" s="491"/>
      <c r="IY33" s="491"/>
      <c r="IZ33" s="515"/>
      <c r="JA33" s="515"/>
      <c r="JB33" s="515"/>
      <c r="JC33" s="515"/>
      <c r="JD33" s="515"/>
      <c r="JE33" s="515"/>
      <c r="JF33" s="515"/>
      <c r="JG33" s="515"/>
      <c r="JH33" s="515"/>
      <c r="JI33" s="515"/>
      <c r="JJ33" s="515"/>
      <c r="JK33" s="530"/>
      <c r="JL33" s="515"/>
      <c r="JM33" s="515"/>
      <c r="JN33" s="515"/>
      <c r="JO33" s="515"/>
      <c r="JP33" s="515"/>
      <c r="JQ33" s="515"/>
      <c r="JR33" s="515"/>
      <c r="JS33" s="515"/>
      <c r="JT33" s="515"/>
      <c r="JU33" s="515"/>
      <c r="JV33" s="515"/>
      <c r="JW33" s="515"/>
      <c r="JX33" s="515"/>
      <c r="JY33" s="515"/>
      <c r="JZ33" s="515"/>
      <c r="KA33" s="515"/>
      <c r="KB33" s="524"/>
      <c r="KC33" s="491"/>
      <c r="KD33" s="491"/>
      <c r="KE33" s="491"/>
      <c r="KF33" s="491"/>
      <c r="KG33" s="491"/>
      <c r="KH33" s="491"/>
      <c r="KI33" s="491"/>
      <c r="KJ33" s="491"/>
      <c r="KK33" s="491"/>
      <c r="KL33" s="491"/>
      <c r="KM33" s="491"/>
      <c r="KN33" s="491"/>
      <c r="KO33" s="491"/>
      <c r="KP33" s="515"/>
      <c r="KQ33" s="515"/>
      <c r="KR33" s="515"/>
      <c r="KS33" s="491"/>
      <c r="KT33" s="491"/>
      <c r="KU33" s="491"/>
      <c r="KV33" s="491"/>
      <c r="KW33" s="491"/>
      <c r="KX33" s="491"/>
      <c r="KY33" s="491"/>
      <c r="KZ33" s="491"/>
      <c r="LA33" s="491"/>
      <c r="LB33" s="491"/>
      <c r="LC33" s="491"/>
      <c r="LD33" s="491"/>
      <c r="LE33" s="491"/>
      <c r="LF33" s="491"/>
      <c r="LG33" s="491"/>
      <c r="LH33" s="491"/>
      <c r="LI33" s="491"/>
      <c r="LJ33" s="491"/>
      <c r="LK33" s="491"/>
      <c r="LL33" s="491"/>
      <c r="LM33" s="491"/>
      <c r="LN33" s="491"/>
      <c r="LO33" s="491"/>
      <c r="LP33" s="529"/>
      <c r="LQ33" s="491"/>
      <c r="LR33" s="491"/>
      <c r="LS33" s="491"/>
      <c r="LT33" s="491"/>
      <c r="LU33" s="491"/>
      <c r="LV33" s="491"/>
      <c r="LW33" s="491"/>
      <c r="LX33" s="491"/>
      <c r="LY33" s="491"/>
      <c r="LZ33" s="491"/>
      <c r="MA33" s="491"/>
      <c r="MB33" s="491"/>
      <c r="MC33" s="491"/>
      <c r="MD33" s="491"/>
      <c r="ME33" s="491"/>
      <c r="MF33" s="491"/>
      <c r="MG33" s="491"/>
      <c r="MH33" s="491"/>
      <c r="MI33" s="491"/>
      <c r="MJ33" s="491"/>
      <c r="MK33" s="491"/>
      <c r="ML33" s="491"/>
      <c r="MM33" s="491"/>
      <c r="MN33" s="491"/>
      <c r="MO33" s="491"/>
      <c r="MP33" s="491"/>
      <c r="MQ33" s="491"/>
      <c r="MR33" s="491"/>
      <c r="MS33" s="491"/>
      <c r="MT33" s="491"/>
      <c r="MU33" s="491"/>
      <c r="MV33" s="491"/>
      <c r="MW33" s="491"/>
      <c r="MX33" s="491"/>
      <c r="MY33" s="491"/>
      <c r="MZ33" s="491"/>
      <c r="NA33" s="491"/>
      <c r="NB33" s="524"/>
      <c r="NC33" s="491"/>
      <c r="ND33" s="500"/>
      <c r="NE33" s="491"/>
      <c r="NF33" s="491"/>
      <c r="NG33" s="491"/>
      <c r="NH33" s="491"/>
      <c r="NI33" s="491"/>
      <c r="NJ33" s="491"/>
      <c r="NK33" s="491"/>
      <c r="NL33" s="491"/>
      <c r="NM33" s="491"/>
      <c r="NN33" s="491"/>
      <c r="NO33" s="491"/>
      <c r="NP33" s="491"/>
      <c r="NQ33" s="491"/>
      <c r="NR33" s="491"/>
      <c r="NS33" s="491"/>
      <c r="NT33" s="491"/>
      <c r="NU33" s="491"/>
      <c r="NV33" s="491"/>
      <c r="NW33" s="491"/>
      <c r="NX33" s="491"/>
      <c r="NY33" s="491"/>
      <c r="NZ33" s="491"/>
      <c r="PW33" s="482"/>
    </row>
    <row r="34" spans="8:470" ht="12.65" customHeight="1" x14ac:dyDescent="0.35">
      <c r="H34" s="489"/>
      <c r="I34" s="489"/>
      <c r="J34" s="489"/>
      <c r="K34" s="490"/>
      <c r="L34" s="489"/>
      <c r="BA34" s="491"/>
      <c r="BB34" s="491"/>
      <c r="BC34" s="491"/>
      <c r="BD34" s="491"/>
      <c r="BE34" s="491"/>
      <c r="BF34" s="491"/>
      <c r="BG34" s="491"/>
      <c r="BH34" s="491"/>
      <c r="BI34" s="491"/>
      <c r="BJ34" s="491"/>
      <c r="BK34" s="491"/>
      <c r="BL34" s="491"/>
      <c r="BM34" s="491"/>
      <c r="BN34" s="491"/>
      <c r="BO34" s="491"/>
      <c r="BP34" s="491"/>
      <c r="BQ34" s="491"/>
      <c r="BR34" s="491"/>
      <c r="BS34" s="491"/>
      <c r="BT34" s="491"/>
      <c r="BU34" s="491"/>
      <c r="BV34" s="491"/>
      <c r="BW34" s="491"/>
      <c r="BX34" s="491"/>
      <c r="BY34" s="491"/>
      <c r="BZ34" s="491"/>
      <c r="CA34" s="491"/>
      <c r="CB34" s="491"/>
      <c r="CC34" s="491"/>
      <c r="CD34" s="491"/>
      <c r="CE34" s="491"/>
      <c r="CF34" s="491"/>
      <c r="CG34" s="491"/>
      <c r="CH34" s="491"/>
      <c r="CI34" s="491"/>
      <c r="CJ34" s="491"/>
      <c r="CK34" s="491"/>
      <c r="CL34" s="491"/>
      <c r="CM34" s="491"/>
      <c r="CN34" s="491"/>
      <c r="CO34" s="491"/>
      <c r="CP34" s="491"/>
      <c r="CQ34" s="491"/>
      <c r="CR34" s="491"/>
      <c r="CS34" s="491"/>
      <c r="CT34" s="491"/>
      <c r="CU34" s="491"/>
      <c r="CV34" s="491"/>
      <c r="CW34" s="491"/>
      <c r="CX34" s="491"/>
      <c r="CY34" s="491"/>
      <c r="CZ34" s="491"/>
      <c r="DA34" s="491"/>
      <c r="DB34" s="491"/>
      <c r="DC34" s="491"/>
      <c r="DD34" s="491"/>
      <c r="DE34" s="491"/>
      <c r="DF34" s="491"/>
      <c r="DG34" s="491"/>
      <c r="DH34" s="491"/>
      <c r="DI34" s="491"/>
      <c r="DJ34" s="491"/>
      <c r="DK34" s="491"/>
      <c r="DL34" s="491"/>
      <c r="DM34" s="491"/>
      <c r="DN34" s="491"/>
      <c r="DO34" s="492"/>
      <c r="DP34" s="491"/>
      <c r="DQ34" s="511"/>
      <c r="DR34" s="511"/>
      <c r="DS34" s="491"/>
      <c r="DT34" s="491"/>
      <c r="DU34" s="491"/>
      <c r="DV34" s="491"/>
      <c r="DW34" s="491"/>
      <c r="DX34" s="491"/>
      <c r="DY34" s="491"/>
      <c r="DZ34" s="491"/>
      <c r="EA34" s="491"/>
      <c r="EB34" s="491"/>
      <c r="EC34" s="491"/>
      <c r="ED34" s="491"/>
      <c r="EE34" s="491"/>
      <c r="EF34" s="491"/>
      <c r="EG34" s="526"/>
      <c r="EH34" s="491"/>
      <c r="EI34" s="491"/>
      <c r="EJ34" s="491"/>
      <c r="EK34" s="491"/>
      <c r="EL34" s="491"/>
      <c r="EM34" s="491"/>
      <c r="EN34" s="491"/>
      <c r="EO34" s="491"/>
      <c r="EP34" s="491"/>
      <c r="EQ34" s="491"/>
      <c r="ER34" s="491"/>
      <c r="ES34" s="491"/>
      <c r="ET34" s="491"/>
      <c r="EU34" s="491"/>
      <c r="EV34" s="491"/>
      <c r="EW34" s="491"/>
      <c r="EX34" s="491"/>
      <c r="EY34" s="491"/>
      <c r="EZ34" s="491"/>
      <c r="FA34" s="491"/>
      <c r="FB34" s="491"/>
      <c r="FC34" s="526"/>
      <c r="FD34" s="491"/>
      <c r="FE34" s="491"/>
      <c r="FF34" s="491"/>
      <c r="FG34" s="491"/>
      <c r="FH34" s="491"/>
      <c r="FI34" s="491"/>
      <c r="FJ34" s="491"/>
      <c r="FK34" s="491"/>
      <c r="FL34" s="491"/>
      <c r="FM34" s="491"/>
      <c r="FN34" s="491"/>
      <c r="FO34" s="491"/>
      <c r="FP34" s="491"/>
      <c r="FQ34" s="491"/>
      <c r="FR34" s="491"/>
      <c r="FS34" s="491"/>
      <c r="FT34" s="491"/>
      <c r="FU34" s="491"/>
      <c r="FV34" s="491"/>
      <c r="FW34" s="491"/>
      <c r="FX34" s="491"/>
      <c r="FY34" s="491"/>
      <c r="FZ34" s="491"/>
      <c r="GA34" s="491"/>
      <c r="GB34" s="491"/>
      <c r="GC34" s="491"/>
      <c r="GD34" s="491"/>
      <c r="GE34" s="491"/>
      <c r="GF34" s="491"/>
      <c r="GG34" s="491"/>
      <c r="GH34" s="491"/>
      <c r="GI34" s="491"/>
      <c r="GJ34" s="491"/>
      <c r="GK34" s="491"/>
      <c r="GL34" s="491"/>
      <c r="GM34" s="491"/>
      <c r="GN34" s="491"/>
      <c r="GO34" s="526"/>
      <c r="GP34" s="491"/>
      <c r="GQ34" s="491"/>
      <c r="GR34" s="491"/>
      <c r="GS34" s="491"/>
      <c r="GT34" s="491"/>
      <c r="GU34" s="491"/>
      <c r="GV34" s="491"/>
      <c r="GW34" s="491"/>
      <c r="GX34" s="491"/>
      <c r="GY34" s="491"/>
      <c r="GZ34" s="491"/>
      <c r="HA34" s="491"/>
      <c r="HB34" s="491"/>
      <c r="HC34" s="491"/>
      <c r="HD34" s="491"/>
      <c r="HE34" s="491"/>
      <c r="HF34" s="491"/>
      <c r="HG34" s="491"/>
      <c r="HH34" s="491"/>
      <c r="HI34" s="491"/>
      <c r="HJ34" s="491"/>
      <c r="HK34" s="491"/>
      <c r="HL34" s="491"/>
      <c r="HM34" s="491"/>
      <c r="HN34" s="491"/>
      <c r="HO34" s="491"/>
      <c r="HP34" s="491"/>
      <c r="HQ34" s="491"/>
      <c r="HR34" s="491"/>
      <c r="HS34" s="491"/>
      <c r="HT34" s="491"/>
      <c r="HU34" s="491"/>
      <c r="HV34" s="491"/>
      <c r="HW34" s="515"/>
      <c r="HX34" s="515"/>
      <c r="HY34" s="530"/>
      <c r="HZ34" s="515"/>
      <c r="IA34" s="515"/>
      <c r="IB34" s="515"/>
      <c r="IC34" s="515"/>
      <c r="ID34" s="515"/>
      <c r="IE34" s="515"/>
      <c r="IF34" s="515"/>
      <c r="IG34" s="515"/>
      <c r="IH34" s="515"/>
      <c r="II34" s="515"/>
      <c r="IJ34" s="515"/>
      <c r="IK34" s="515"/>
      <c r="IL34" s="515"/>
      <c r="IM34" s="515"/>
      <c r="IN34" s="515"/>
      <c r="IO34" s="515"/>
      <c r="IP34" s="491"/>
      <c r="IQ34" s="491"/>
      <c r="IR34" s="491"/>
      <c r="IS34" s="491"/>
      <c r="IT34" s="491"/>
      <c r="IU34" s="491"/>
      <c r="IV34" s="491"/>
      <c r="IW34" s="491"/>
      <c r="IX34" s="491"/>
      <c r="IY34" s="491"/>
      <c r="IZ34" s="515"/>
      <c r="JA34" s="515"/>
      <c r="JB34" s="515"/>
      <c r="JC34" s="515"/>
      <c r="JD34" s="515"/>
      <c r="JE34" s="515"/>
      <c r="JF34" s="515"/>
      <c r="JG34" s="515"/>
      <c r="JH34" s="515"/>
      <c r="JI34" s="515"/>
      <c r="JJ34" s="515"/>
      <c r="JK34" s="530"/>
      <c r="JL34" s="515"/>
      <c r="JM34" s="515"/>
      <c r="JN34" s="515"/>
      <c r="JO34" s="515"/>
      <c r="JP34" s="515"/>
      <c r="JQ34" s="515"/>
      <c r="JR34" s="515"/>
      <c r="JS34" s="515"/>
      <c r="JT34" s="515"/>
      <c r="JU34" s="515"/>
      <c r="JV34" s="515"/>
      <c r="JW34" s="515"/>
      <c r="JX34" s="515"/>
      <c r="JY34" s="515"/>
      <c r="JZ34" s="515"/>
      <c r="KA34" s="515"/>
      <c r="KB34" s="524"/>
      <c r="KC34" s="491"/>
      <c r="KD34" s="491"/>
      <c r="KE34" s="491"/>
      <c r="KF34" s="491"/>
      <c r="KG34" s="491"/>
      <c r="KH34" s="491"/>
      <c r="KI34" s="491"/>
      <c r="KJ34" s="491"/>
      <c r="KK34" s="491"/>
      <c r="KL34" s="491"/>
      <c r="KM34" s="491"/>
      <c r="KN34" s="491"/>
      <c r="KO34" s="491"/>
      <c r="KP34" s="515"/>
      <c r="KQ34" s="515"/>
      <c r="KR34" s="515"/>
      <c r="KS34" s="491"/>
      <c r="KT34" s="491"/>
      <c r="KU34" s="491"/>
      <c r="KV34" s="491"/>
      <c r="KW34" s="491"/>
      <c r="KX34" s="491"/>
      <c r="KY34" s="491"/>
      <c r="KZ34" s="491"/>
      <c r="LA34" s="491"/>
      <c r="LB34" s="491"/>
      <c r="LC34" s="491"/>
      <c r="LD34" s="491"/>
      <c r="LE34" s="491"/>
      <c r="LF34" s="491"/>
      <c r="LG34" s="491"/>
      <c r="LH34" s="491"/>
      <c r="LI34" s="491"/>
      <c r="LJ34" s="491"/>
      <c r="LK34" s="491"/>
      <c r="LL34" s="491"/>
      <c r="LM34" s="491"/>
      <c r="LN34" s="491"/>
      <c r="LO34" s="491"/>
      <c r="LP34" s="529"/>
      <c r="LQ34" s="491"/>
      <c r="LR34" s="491"/>
      <c r="LS34" s="491"/>
      <c r="LT34" s="491"/>
      <c r="LU34" s="491"/>
      <c r="LV34" s="491"/>
      <c r="LW34" s="491"/>
      <c r="LX34" s="491"/>
      <c r="LY34" s="491"/>
      <c r="LZ34" s="491"/>
      <c r="MA34" s="491"/>
      <c r="MB34" s="491"/>
      <c r="MC34" s="491"/>
      <c r="MD34" s="491"/>
      <c r="ME34" s="491"/>
      <c r="MF34" s="491"/>
      <c r="MG34" s="491"/>
      <c r="MH34" s="491"/>
      <c r="MI34" s="491"/>
      <c r="MJ34" s="491"/>
      <c r="MK34" s="491"/>
      <c r="ML34" s="491"/>
      <c r="MM34" s="491"/>
      <c r="MN34" s="491"/>
      <c r="MO34" s="491"/>
      <c r="MP34" s="491"/>
      <c r="MQ34" s="491"/>
      <c r="MR34" s="491"/>
      <c r="MS34" s="491"/>
      <c r="MT34" s="491"/>
      <c r="MU34" s="491"/>
      <c r="MV34" s="491"/>
      <c r="MW34" s="491"/>
      <c r="MX34" s="491"/>
      <c r="MY34" s="491"/>
      <c r="MZ34" s="491"/>
      <c r="NA34" s="491"/>
      <c r="NB34" s="524"/>
      <c r="NC34" s="491"/>
      <c r="ND34" s="491"/>
      <c r="NE34" s="491"/>
      <c r="NF34" s="491"/>
      <c r="NG34" s="491"/>
      <c r="NH34" s="491"/>
      <c r="NI34" s="491"/>
      <c r="NJ34" s="491"/>
      <c r="NK34" s="491"/>
      <c r="NL34" s="491"/>
      <c r="NM34" s="491"/>
      <c r="NN34" s="491"/>
      <c r="NO34" s="491"/>
      <c r="NP34" s="491"/>
      <c r="NQ34" s="491"/>
      <c r="NR34" s="491"/>
      <c r="NS34" s="491"/>
      <c r="NT34" s="491"/>
      <c r="NU34" s="491"/>
      <c r="NV34" s="491"/>
      <c r="NW34" s="491"/>
      <c r="NX34" s="491"/>
      <c r="NY34" s="491"/>
      <c r="NZ34" s="491"/>
      <c r="PW34" s="482"/>
    </row>
    <row r="35" spans="8:470" ht="12.65" customHeight="1" x14ac:dyDescent="0.35">
      <c r="H35" s="489"/>
      <c r="I35" s="489"/>
      <c r="J35" s="489"/>
      <c r="K35" s="490"/>
      <c r="L35" s="489"/>
      <c r="BA35" s="491"/>
      <c r="BB35" s="491"/>
      <c r="BC35" s="491"/>
      <c r="BD35" s="491"/>
      <c r="BE35" s="491"/>
      <c r="BF35" s="491"/>
      <c r="BG35" s="491"/>
      <c r="BH35" s="491"/>
      <c r="BI35" s="491"/>
      <c r="BJ35" s="491"/>
      <c r="BK35" s="491"/>
      <c r="BL35" s="491"/>
      <c r="BM35" s="491"/>
      <c r="BN35" s="491"/>
      <c r="BO35" s="491"/>
      <c r="BP35" s="491"/>
      <c r="BQ35" s="491"/>
      <c r="BR35" s="491"/>
      <c r="BS35" s="491"/>
      <c r="BT35" s="491"/>
      <c r="BU35" s="491"/>
      <c r="BV35" s="491"/>
      <c r="BW35" s="491"/>
      <c r="BX35" s="491"/>
      <c r="BY35" s="491"/>
      <c r="BZ35" s="491"/>
      <c r="CA35" s="491"/>
      <c r="CB35" s="491"/>
      <c r="CC35" s="491"/>
      <c r="CD35" s="491"/>
      <c r="CE35" s="491"/>
      <c r="CF35" s="491"/>
      <c r="CG35" s="491"/>
      <c r="CH35" s="491"/>
      <c r="CI35" s="491"/>
      <c r="CJ35" s="491"/>
      <c r="CK35" s="491"/>
      <c r="CL35" s="491"/>
      <c r="CM35" s="491"/>
      <c r="CN35" s="491"/>
      <c r="CO35" s="491"/>
      <c r="CP35" s="491"/>
      <c r="CQ35" s="491"/>
      <c r="CR35" s="491"/>
      <c r="CS35" s="491"/>
      <c r="CT35" s="491"/>
      <c r="CU35" s="491"/>
      <c r="CV35" s="491"/>
      <c r="CW35" s="491"/>
      <c r="CX35" s="491"/>
      <c r="CY35" s="491"/>
      <c r="CZ35" s="491"/>
      <c r="DA35" s="491"/>
      <c r="DB35" s="491"/>
      <c r="DC35" s="491"/>
      <c r="DD35" s="491"/>
      <c r="DE35" s="491"/>
      <c r="DF35" s="491"/>
      <c r="DG35" s="491"/>
      <c r="DH35" s="491"/>
      <c r="DI35" s="491"/>
      <c r="DJ35" s="491"/>
      <c r="DK35" s="491"/>
      <c r="DL35" s="491"/>
      <c r="DM35" s="491"/>
      <c r="DN35" s="491"/>
      <c r="DO35" s="492"/>
      <c r="DP35" s="491"/>
      <c r="DQ35" s="511"/>
      <c r="DR35" s="511"/>
      <c r="DS35" s="491"/>
      <c r="DT35" s="491"/>
      <c r="DU35" s="491"/>
      <c r="DV35" s="491"/>
      <c r="DW35" s="491"/>
      <c r="DX35" s="491"/>
      <c r="DY35" s="491"/>
      <c r="DZ35" s="491"/>
      <c r="EA35" s="491"/>
      <c r="EB35" s="491"/>
      <c r="EC35" s="491"/>
      <c r="ED35" s="491"/>
      <c r="EE35" s="491"/>
      <c r="EF35" s="491"/>
      <c r="EG35" s="526"/>
      <c r="EH35" s="491"/>
      <c r="EI35" s="491"/>
      <c r="EJ35" s="491"/>
      <c r="EK35" s="491"/>
      <c r="EL35" s="491"/>
      <c r="EM35" s="491"/>
      <c r="EN35" s="491"/>
      <c r="EO35" s="491"/>
      <c r="EP35" s="491"/>
      <c r="EQ35" s="491"/>
      <c r="ER35" s="491"/>
      <c r="ES35" s="491"/>
      <c r="ET35" s="491"/>
      <c r="EU35" s="491"/>
      <c r="EV35" s="491"/>
      <c r="EW35" s="491"/>
      <c r="EX35" s="491"/>
      <c r="EY35" s="491"/>
      <c r="EZ35" s="491"/>
      <c r="FA35" s="491"/>
      <c r="FB35" s="491"/>
      <c r="FC35" s="526"/>
      <c r="FD35" s="491"/>
      <c r="FE35" s="491"/>
      <c r="FF35" s="491"/>
      <c r="FG35" s="491"/>
      <c r="FH35" s="491"/>
      <c r="FI35" s="491"/>
      <c r="FJ35" s="491"/>
      <c r="FK35" s="491"/>
      <c r="FL35" s="491"/>
      <c r="FM35" s="491"/>
      <c r="FN35" s="491"/>
      <c r="FO35" s="491"/>
      <c r="FP35" s="491"/>
      <c r="FQ35" s="491"/>
      <c r="FR35" s="491"/>
      <c r="FS35" s="491"/>
      <c r="FT35" s="491"/>
      <c r="FU35" s="491"/>
      <c r="FV35" s="491"/>
      <c r="FW35" s="491"/>
      <c r="FX35" s="491"/>
      <c r="FY35" s="491"/>
      <c r="FZ35" s="491"/>
      <c r="GA35" s="491"/>
      <c r="GB35" s="491"/>
      <c r="GC35" s="491"/>
      <c r="GD35" s="491"/>
      <c r="GE35" s="491"/>
      <c r="GF35" s="491"/>
      <c r="GG35" s="491"/>
      <c r="GH35" s="491"/>
      <c r="GI35" s="491"/>
      <c r="GJ35" s="491"/>
      <c r="GK35" s="491"/>
      <c r="GL35" s="491"/>
      <c r="GM35" s="491"/>
      <c r="GN35" s="491"/>
      <c r="GO35" s="526"/>
      <c r="GP35" s="491"/>
      <c r="GQ35" s="491"/>
      <c r="GR35" s="491"/>
      <c r="GS35" s="491"/>
      <c r="GT35" s="491"/>
      <c r="GU35" s="491"/>
      <c r="GV35" s="491"/>
      <c r="GW35" s="491"/>
      <c r="GX35" s="491"/>
      <c r="GY35" s="491"/>
      <c r="GZ35" s="491"/>
      <c r="HA35" s="491"/>
      <c r="HB35" s="491"/>
      <c r="HC35" s="491"/>
      <c r="HD35" s="491"/>
      <c r="HE35" s="491"/>
      <c r="HF35" s="491"/>
      <c r="HG35" s="491"/>
      <c r="HH35" s="491"/>
      <c r="HI35" s="491"/>
      <c r="HJ35" s="491"/>
      <c r="HK35" s="491"/>
      <c r="HL35" s="491"/>
      <c r="HM35" s="491"/>
      <c r="HN35" s="491"/>
      <c r="HO35" s="491"/>
      <c r="HP35" s="491"/>
      <c r="HQ35" s="491"/>
      <c r="HR35" s="491"/>
      <c r="HS35" s="491"/>
      <c r="HT35" s="491"/>
      <c r="HU35" s="491"/>
      <c r="HV35" s="491"/>
      <c r="HW35" s="491"/>
      <c r="HX35" s="491"/>
      <c r="HY35" s="526"/>
      <c r="HZ35" s="491"/>
      <c r="IA35" s="491"/>
      <c r="IB35" s="491"/>
      <c r="IC35" s="491"/>
      <c r="ID35" s="491"/>
      <c r="IE35" s="491"/>
      <c r="IF35" s="491"/>
      <c r="IG35" s="491"/>
      <c r="IH35" s="491"/>
      <c r="II35" s="491"/>
      <c r="IJ35" s="491"/>
      <c r="IK35" s="491"/>
      <c r="IL35" s="491"/>
      <c r="IM35" s="491"/>
      <c r="IN35" s="491"/>
      <c r="IO35" s="491"/>
      <c r="IP35" s="491"/>
      <c r="IQ35" s="491"/>
      <c r="IR35" s="491"/>
      <c r="IS35" s="491"/>
      <c r="IT35" s="491"/>
      <c r="IU35" s="491"/>
      <c r="IV35" s="491"/>
      <c r="IW35" s="491"/>
      <c r="IX35" s="491"/>
      <c r="IY35" s="491"/>
      <c r="IZ35" s="491"/>
      <c r="JA35" s="491"/>
      <c r="JB35" s="491"/>
      <c r="JC35" s="491"/>
      <c r="JD35" s="491"/>
      <c r="JE35" s="491"/>
      <c r="JF35" s="515"/>
      <c r="JG35" s="515"/>
      <c r="JH35" s="515"/>
      <c r="JI35" s="515"/>
      <c r="JJ35" s="515"/>
      <c r="JK35" s="530"/>
      <c r="JL35" s="515"/>
      <c r="JM35" s="515"/>
      <c r="JN35" s="515"/>
      <c r="JO35" s="515"/>
      <c r="JP35" s="515"/>
      <c r="JQ35" s="515"/>
      <c r="JR35" s="515"/>
      <c r="JS35" s="515"/>
      <c r="JT35" s="515"/>
      <c r="JU35" s="515"/>
      <c r="JV35" s="515"/>
      <c r="JW35" s="515"/>
      <c r="JX35" s="515"/>
      <c r="JY35" s="515"/>
      <c r="JZ35" s="515"/>
      <c r="KA35" s="515"/>
      <c r="KB35" s="524"/>
      <c r="KC35" s="491"/>
      <c r="KD35" s="491"/>
      <c r="KE35" s="491"/>
      <c r="KF35" s="491"/>
      <c r="KG35" s="491"/>
      <c r="KH35" s="491"/>
      <c r="KI35" s="491"/>
      <c r="KJ35" s="491"/>
      <c r="KK35" s="491"/>
      <c r="KL35" s="491"/>
      <c r="KM35" s="491"/>
      <c r="KN35" s="491"/>
      <c r="KO35" s="491"/>
      <c r="KP35" s="515"/>
      <c r="KQ35" s="515"/>
      <c r="KR35" s="515"/>
      <c r="KS35" s="515"/>
      <c r="KT35" s="515"/>
      <c r="KU35" s="515"/>
      <c r="KV35" s="491"/>
      <c r="KW35" s="491"/>
      <c r="KX35" s="491"/>
      <c r="KY35" s="491"/>
      <c r="KZ35" s="491"/>
      <c r="LA35" s="491"/>
      <c r="LB35" s="491"/>
      <c r="LC35" s="491"/>
      <c r="LD35" s="491"/>
      <c r="LE35" s="491"/>
      <c r="LF35" s="491"/>
      <c r="LG35" s="491"/>
      <c r="LH35" s="491"/>
      <c r="LI35" s="491"/>
      <c r="LJ35" s="491"/>
      <c r="LK35" s="491"/>
      <c r="LL35" s="491"/>
      <c r="LM35" s="491"/>
      <c r="LN35" s="491"/>
      <c r="LO35" s="491"/>
      <c r="LP35" s="529"/>
      <c r="LQ35" s="491"/>
      <c r="LR35" s="491"/>
      <c r="LS35" s="491"/>
      <c r="LT35" s="491"/>
      <c r="LU35" s="491"/>
      <c r="LV35" s="491"/>
      <c r="LW35" s="491"/>
      <c r="LX35" s="491"/>
      <c r="LY35" s="491"/>
      <c r="LZ35" s="491"/>
      <c r="MA35" s="491"/>
      <c r="MB35" s="491"/>
      <c r="MC35" s="491"/>
      <c r="MD35" s="491"/>
      <c r="ME35" s="491"/>
      <c r="MF35" s="491"/>
      <c r="MG35" s="491"/>
      <c r="MH35" s="491"/>
      <c r="MI35" s="491"/>
      <c r="MJ35" s="491"/>
      <c r="MK35" s="491"/>
      <c r="ML35" s="491"/>
      <c r="MM35" s="491"/>
      <c r="MN35" s="491"/>
      <c r="MO35" s="491"/>
      <c r="MP35" s="491"/>
      <c r="MQ35" s="491"/>
      <c r="MR35" s="491"/>
      <c r="MS35" s="491"/>
      <c r="MT35" s="491"/>
      <c r="MU35" s="491"/>
      <c r="MV35" s="491"/>
      <c r="MW35" s="491"/>
      <c r="MX35" s="491"/>
      <c r="MY35" s="491"/>
      <c r="MZ35" s="491"/>
      <c r="NA35" s="491"/>
      <c r="NB35" s="524"/>
      <c r="NC35" s="491"/>
      <c r="ND35" s="491"/>
      <c r="NE35" s="491"/>
      <c r="NF35" s="491"/>
      <c r="NG35" s="491"/>
      <c r="NH35" s="491"/>
      <c r="NI35" s="491"/>
      <c r="NJ35" s="491"/>
      <c r="NK35" s="491"/>
      <c r="NL35" s="491"/>
      <c r="NM35" s="491"/>
      <c r="NN35" s="491"/>
      <c r="NO35" s="491"/>
      <c r="NP35" s="491"/>
      <c r="NQ35" s="491"/>
      <c r="NR35" s="491"/>
      <c r="NS35" s="491"/>
      <c r="NT35" s="491"/>
      <c r="NU35" s="491"/>
      <c r="NV35" s="491"/>
      <c r="NW35" s="491"/>
      <c r="NX35" s="491"/>
      <c r="NY35" s="491"/>
      <c r="NZ35" s="491"/>
      <c r="PW35" s="482"/>
    </row>
    <row r="36" spans="8:470" ht="12.65" customHeight="1" x14ac:dyDescent="0.35">
      <c r="H36" s="489"/>
      <c r="I36" s="489"/>
      <c r="J36" s="489"/>
      <c r="K36" s="490"/>
      <c r="L36" s="489"/>
      <c r="AR36" s="531"/>
      <c r="AS36" s="532"/>
      <c r="AT36" s="532"/>
      <c r="AU36" s="532"/>
      <c r="AV36" s="532"/>
      <c r="AW36" s="532"/>
      <c r="AX36" s="532"/>
      <c r="AY36" s="532"/>
      <c r="AZ36" s="532"/>
      <c r="BA36" s="533"/>
      <c r="BB36" s="533"/>
      <c r="BC36" s="533"/>
      <c r="BD36" s="533"/>
      <c r="BE36" s="533"/>
      <c r="BF36" s="533"/>
      <c r="BG36" s="533"/>
      <c r="BH36" s="533"/>
      <c r="BI36" s="533"/>
      <c r="BJ36" s="533"/>
      <c r="BK36" s="533"/>
      <c r="BL36" s="533"/>
      <c r="BM36" s="533"/>
      <c r="BN36" s="533"/>
      <c r="BO36" s="533"/>
      <c r="BP36" s="533"/>
      <c r="BQ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  <c r="CD36" s="533"/>
      <c r="CE36" s="533"/>
      <c r="CF36" s="533"/>
      <c r="CG36" s="533"/>
      <c r="CH36" s="533"/>
      <c r="CI36" s="533"/>
      <c r="CJ36" s="533"/>
      <c r="CK36" s="533"/>
      <c r="CL36" s="533"/>
      <c r="CM36" s="533"/>
      <c r="CN36" s="533"/>
      <c r="CO36" s="533"/>
      <c r="CP36" s="533"/>
      <c r="CQ36" s="533"/>
      <c r="CR36" s="533"/>
      <c r="CS36" s="533"/>
      <c r="CT36" s="533"/>
      <c r="CU36" s="533"/>
      <c r="CV36" s="533"/>
      <c r="CW36" s="533"/>
      <c r="CX36" s="533"/>
      <c r="CY36" s="533"/>
      <c r="CZ36" s="533"/>
      <c r="DA36" s="533"/>
      <c r="DB36" s="533"/>
      <c r="DC36" s="533"/>
      <c r="DD36" s="533"/>
      <c r="DE36" s="533"/>
      <c r="DF36" s="533"/>
      <c r="DG36" s="533"/>
      <c r="DH36" s="533"/>
      <c r="DI36" s="533"/>
      <c r="DJ36" s="533"/>
      <c r="DK36" s="533"/>
      <c r="DL36" s="533"/>
      <c r="DM36" s="533"/>
      <c r="DN36" s="533"/>
      <c r="DO36" s="534"/>
      <c r="DP36" s="533"/>
      <c r="DQ36" s="535"/>
      <c r="DR36" s="535"/>
      <c r="DS36" s="533"/>
      <c r="DT36" s="533"/>
      <c r="DU36" s="533"/>
      <c r="DV36" s="533"/>
      <c r="DW36" s="533"/>
      <c r="DX36" s="533"/>
      <c r="DY36" s="533"/>
      <c r="DZ36" s="533"/>
      <c r="EA36" s="533"/>
      <c r="EB36" s="533"/>
      <c r="EC36" s="533"/>
      <c r="ED36" s="533"/>
      <c r="EE36" s="533"/>
      <c r="EF36" s="533"/>
      <c r="EG36" s="536"/>
      <c r="EH36" s="533"/>
      <c r="EI36" s="533"/>
      <c r="EJ36" s="533"/>
      <c r="EK36" s="533"/>
      <c r="EL36" s="533"/>
      <c r="EM36" s="533"/>
      <c r="EN36" s="533"/>
      <c r="EO36" s="533"/>
      <c r="EP36" s="533"/>
      <c r="EQ36" s="533"/>
      <c r="ER36" s="533"/>
      <c r="ES36" s="533"/>
      <c r="ET36" s="533"/>
      <c r="EU36" s="533"/>
      <c r="EV36" s="533"/>
      <c r="EW36" s="533"/>
      <c r="EX36" s="533"/>
      <c r="EY36" s="533"/>
      <c r="EZ36" s="533"/>
      <c r="FA36" s="533"/>
      <c r="FB36" s="533"/>
      <c r="FC36" s="536"/>
      <c r="FD36" s="533"/>
      <c r="FE36" s="533"/>
      <c r="FF36" s="533"/>
      <c r="FG36" s="533"/>
      <c r="FH36" s="533"/>
      <c r="FI36" s="533"/>
      <c r="FJ36" s="533"/>
      <c r="FK36" s="533"/>
      <c r="FL36" s="533"/>
      <c r="FM36" s="533"/>
      <c r="FN36" s="533"/>
      <c r="FO36" s="533"/>
      <c r="FP36" s="533"/>
      <c r="FQ36" s="533"/>
      <c r="FR36" s="533"/>
      <c r="FS36" s="533"/>
      <c r="FT36" s="533"/>
      <c r="FU36" s="533"/>
      <c r="FV36" s="533"/>
      <c r="FW36" s="533"/>
      <c r="FX36" s="533"/>
      <c r="FY36" s="533"/>
      <c r="FZ36" s="533"/>
      <c r="GA36" s="533"/>
      <c r="GB36" s="533"/>
      <c r="GC36" s="533"/>
      <c r="GD36" s="533"/>
      <c r="GE36" s="533"/>
      <c r="GF36" s="533"/>
      <c r="GG36" s="533"/>
      <c r="GH36" s="533"/>
      <c r="GI36" s="533"/>
      <c r="GJ36" s="533"/>
      <c r="GK36" s="533"/>
      <c r="GL36" s="533"/>
      <c r="GM36" s="533"/>
      <c r="GN36" s="533"/>
      <c r="GO36" s="536"/>
      <c r="GP36" s="533"/>
      <c r="GQ36" s="533"/>
      <c r="GR36" s="533"/>
      <c r="GS36" s="533"/>
      <c r="GT36" s="533"/>
      <c r="GU36" s="533"/>
      <c r="GV36" s="533"/>
      <c r="GW36" s="533"/>
      <c r="GX36" s="533"/>
      <c r="GY36" s="533"/>
      <c r="GZ36" s="533"/>
      <c r="HA36" s="533"/>
      <c r="HB36" s="533"/>
      <c r="HC36" s="533"/>
      <c r="HD36" s="533"/>
      <c r="HE36" s="533"/>
      <c r="HF36" s="533"/>
      <c r="HG36" s="533"/>
      <c r="HH36" s="533"/>
      <c r="HI36" s="533"/>
      <c r="HJ36" s="533"/>
      <c r="HK36" s="533"/>
      <c r="HL36" s="533"/>
      <c r="HM36" s="533"/>
      <c r="HN36" s="533"/>
      <c r="HO36" s="533"/>
      <c r="HP36" s="533"/>
      <c r="HQ36" s="533"/>
      <c r="HR36" s="533"/>
      <c r="HS36" s="533"/>
      <c r="HT36" s="533"/>
      <c r="HU36" s="533"/>
      <c r="HV36" s="533"/>
      <c r="HW36" s="533"/>
      <c r="HX36" s="533"/>
      <c r="HY36" s="536"/>
      <c r="HZ36" s="533"/>
      <c r="IA36" s="533"/>
      <c r="IB36" s="533"/>
      <c r="IC36" s="533"/>
      <c r="ID36" s="533"/>
      <c r="IE36" s="533"/>
      <c r="IF36" s="533"/>
      <c r="IG36" s="533"/>
      <c r="IH36" s="533"/>
      <c r="II36" s="533"/>
      <c r="IJ36" s="533"/>
      <c r="IK36" s="533"/>
      <c r="IL36" s="533"/>
      <c r="IM36" s="533"/>
      <c r="IN36" s="533"/>
      <c r="IO36" s="533"/>
      <c r="IP36" s="533"/>
      <c r="IQ36" s="533"/>
      <c r="IR36" s="533"/>
      <c r="IS36" s="533"/>
      <c r="IT36" s="533"/>
      <c r="IU36" s="533"/>
      <c r="IV36" s="533"/>
      <c r="IW36" s="533"/>
      <c r="IX36" s="533"/>
      <c r="IY36" s="533"/>
      <c r="IZ36" s="533"/>
      <c r="JA36" s="533"/>
      <c r="JB36" s="533"/>
      <c r="JC36" s="533"/>
      <c r="JD36" s="533"/>
      <c r="JE36" s="533"/>
      <c r="JF36" s="537"/>
      <c r="JG36" s="537"/>
      <c r="JH36" s="537"/>
      <c r="JI36" s="537"/>
      <c r="JJ36" s="537"/>
      <c r="JK36" s="538"/>
      <c r="JL36" s="537"/>
      <c r="JM36" s="537"/>
      <c r="JN36" s="537"/>
      <c r="JO36" s="537"/>
      <c r="JP36" s="537"/>
      <c r="JQ36" s="537"/>
      <c r="JR36" s="537"/>
      <c r="JS36" s="537"/>
      <c r="JT36" s="537"/>
      <c r="JU36" s="537"/>
      <c r="JV36" s="537"/>
      <c r="JW36" s="537"/>
      <c r="JX36" s="537"/>
      <c r="JY36" s="537"/>
      <c r="JZ36" s="537"/>
      <c r="KA36" s="537"/>
      <c r="KB36" s="539"/>
      <c r="KC36" s="537"/>
      <c r="KD36" s="537"/>
      <c r="KE36" s="537"/>
      <c r="KF36" s="537"/>
      <c r="KG36" s="537"/>
      <c r="KH36" s="537"/>
      <c r="KI36" s="537"/>
      <c r="KJ36" s="537"/>
      <c r="KK36" s="537"/>
      <c r="KL36" s="533"/>
      <c r="KM36" s="533"/>
      <c r="KN36" s="537"/>
      <c r="KO36" s="537"/>
      <c r="KP36" s="537"/>
      <c r="KQ36" s="537"/>
      <c r="KR36" s="537"/>
      <c r="KS36" s="537"/>
      <c r="KT36" s="537"/>
      <c r="KU36" s="540"/>
      <c r="KV36" s="491"/>
      <c r="KW36" s="491"/>
      <c r="KX36" s="491"/>
      <c r="KY36" s="491"/>
      <c r="KZ36" s="491"/>
      <c r="LA36" s="491"/>
      <c r="LB36" s="491"/>
      <c r="LC36" s="491"/>
      <c r="LD36" s="491"/>
      <c r="LE36" s="491"/>
      <c r="LF36" s="491"/>
      <c r="LG36" s="491"/>
      <c r="LH36" s="491"/>
      <c r="LI36" s="491"/>
      <c r="LJ36" s="491"/>
      <c r="LK36" s="491"/>
      <c r="LL36" s="491"/>
      <c r="LM36" s="491"/>
      <c r="LN36" s="491"/>
      <c r="LO36" s="491"/>
      <c r="LP36" s="529"/>
      <c r="LQ36" s="491"/>
      <c r="LR36" s="491"/>
      <c r="LS36" s="491"/>
      <c r="LT36" s="491"/>
      <c r="LU36" s="491"/>
      <c r="LV36" s="491"/>
      <c r="LW36" s="491"/>
      <c r="LX36" s="491"/>
      <c r="LY36" s="491"/>
      <c r="LZ36" s="491"/>
      <c r="MA36" s="491"/>
      <c r="MB36" s="491"/>
      <c r="MC36" s="491"/>
      <c r="MD36" s="491"/>
      <c r="ME36" s="491"/>
      <c r="MF36" s="491"/>
      <c r="MG36" s="491"/>
      <c r="MH36" s="491"/>
      <c r="MI36" s="491"/>
      <c r="MJ36" s="491"/>
      <c r="MK36" s="491"/>
      <c r="ML36" s="491"/>
      <c r="MM36" s="491"/>
      <c r="MN36" s="491"/>
      <c r="MO36" s="491"/>
      <c r="MP36" s="491"/>
      <c r="MQ36" s="491"/>
      <c r="MR36" s="491"/>
      <c r="MS36" s="491"/>
      <c r="MT36" s="491"/>
      <c r="MU36" s="491"/>
      <c r="MV36" s="491"/>
      <c r="MW36" s="491"/>
      <c r="MX36" s="491"/>
      <c r="MY36" s="491"/>
      <c r="MZ36" s="491"/>
      <c r="NA36" s="491"/>
      <c r="NB36" s="524"/>
      <c r="NC36" s="491"/>
      <c r="ND36" s="491"/>
      <c r="NE36" s="491"/>
      <c r="NF36" s="491"/>
      <c r="NG36" s="491"/>
      <c r="NH36" s="491"/>
      <c r="NI36" s="491"/>
      <c r="NJ36" s="491"/>
      <c r="NK36" s="491"/>
      <c r="NL36" s="491"/>
      <c r="NM36" s="491"/>
      <c r="NN36" s="491"/>
      <c r="NO36" s="491"/>
      <c r="NP36" s="491"/>
      <c r="NQ36" s="491"/>
      <c r="NR36" s="491"/>
      <c r="NS36" s="491"/>
      <c r="NT36" s="491"/>
      <c r="NU36" s="491"/>
      <c r="NV36" s="491"/>
      <c r="NW36" s="491"/>
      <c r="NX36" s="491"/>
      <c r="NY36" s="491"/>
      <c r="NZ36" s="491"/>
      <c r="PW36" s="482"/>
    </row>
    <row r="37" spans="8:470" ht="12.75" customHeight="1" x14ac:dyDescent="0.35">
      <c r="H37" s="489"/>
      <c r="I37" s="489"/>
      <c r="J37" s="489"/>
      <c r="K37" s="490"/>
      <c r="L37" s="489"/>
      <c r="AR37" s="541"/>
      <c r="BA37" s="491"/>
      <c r="BB37" s="491"/>
      <c r="BC37" s="491"/>
      <c r="BD37" s="491"/>
      <c r="BE37" s="491"/>
      <c r="BF37" s="491"/>
      <c r="BG37" s="491"/>
      <c r="BH37" s="491"/>
      <c r="BI37" s="491"/>
      <c r="BJ37" s="491"/>
      <c r="BK37" s="491"/>
      <c r="BL37" s="491"/>
      <c r="BM37" s="491"/>
      <c r="BN37" s="491"/>
      <c r="BO37" s="491"/>
      <c r="BP37" s="491"/>
      <c r="BQ37" s="491"/>
      <c r="BR37" s="491"/>
      <c r="BS37" s="491"/>
      <c r="BT37" s="491"/>
      <c r="BU37" s="491"/>
      <c r="BV37" s="491"/>
      <c r="BW37" s="491"/>
      <c r="BX37" s="491"/>
      <c r="BY37" s="491"/>
      <c r="BZ37" s="491"/>
      <c r="CA37" s="491"/>
      <c r="CB37" s="491"/>
      <c r="CC37" s="491"/>
      <c r="CD37" s="491"/>
      <c r="CE37" s="491"/>
      <c r="CF37" s="491"/>
      <c r="CG37" s="491"/>
      <c r="CH37" s="491"/>
      <c r="CI37" s="491"/>
      <c r="CJ37" s="491"/>
      <c r="CK37" s="491"/>
      <c r="CL37" s="491"/>
      <c r="CM37" s="491"/>
      <c r="CN37" s="491"/>
      <c r="CO37" s="491"/>
      <c r="CP37" s="491"/>
      <c r="CQ37" s="491"/>
      <c r="CR37" s="491"/>
      <c r="CS37" s="491"/>
      <c r="CT37" s="491"/>
      <c r="CU37" s="491"/>
      <c r="CV37" s="491"/>
      <c r="CW37" s="491"/>
      <c r="CX37" s="491"/>
      <c r="CY37" s="491"/>
      <c r="CZ37" s="491"/>
      <c r="DA37" s="491"/>
      <c r="DB37" s="491"/>
      <c r="DC37" s="491"/>
      <c r="DD37" s="491"/>
      <c r="DE37" s="491"/>
      <c r="DF37" s="491"/>
      <c r="DG37" s="491"/>
      <c r="DH37" s="491"/>
      <c r="DI37" s="491"/>
      <c r="DJ37" s="491"/>
      <c r="DK37" s="491"/>
      <c r="DL37" s="491"/>
      <c r="DM37" s="491"/>
      <c r="DN37" s="491"/>
      <c r="DO37" s="492"/>
      <c r="DP37" s="491"/>
      <c r="DQ37" s="511"/>
      <c r="DR37" s="511"/>
      <c r="DS37" s="491"/>
      <c r="DT37" s="491"/>
      <c r="DU37" s="491"/>
      <c r="DV37" s="491"/>
      <c r="DW37" s="491"/>
      <c r="DX37" s="491"/>
      <c r="DY37" s="491"/>
      <c r="DZ37" s="491"/>
      <c r="EA37" s="491"/>
      <c r="EB37" s="491"/>
      <c r="EC37" s="491"/>
      <c r="ED37" s="491"/>
      <c r="EE37" s="491"/>
      <c r="EF37" s="491"/>
      <c r="EG37" s="526"/>
      <c r="EH37" s="491"/>
      <c r="EI37" s="491"/>
      <c r="EJ37" s="491"/>
      <c r="EK37" s="491"/>
      <c r="EL37" s="491"/>
      <c r="EM37" s="491"/>
      <c r="EN37" s="491"/>
      <c r="EO37" s="491"/>
      <c r="EP37" s="491"/>
      <c r="EQ37" s="491"/>
      <c r="ER37" s="491"/>
      <c r="ES37" s="491"/>
      <c r="ET37" s="491"/>
      <c r="EU37" s="491"/>
      <c r="EV37" s="491"/>
      <c r="EW37" s="491"/>
      <c r="EX37" s="491"/>
      <c r="EY37" s="491"/>
      <c r="EZ37" s="491"/>
      <c r="FA37" s="491"/>
      <c r="FB37" s="491"/>
      <c r="FC37" s="526"/>
      <c r="FD37" s="491"/>
      <c r="FE37" s="491"/>
      <c r="FF37" s="491"/>
      <c r="FG37" s="491"/>
      <c r="FH37" s="491"/>
      <c r="FI37" s="491"/>
      <c r="FJ37" s="491"/>
      <c r="FK37" s="491"/>
      <c r="FL37" s="491"/>
      <c r="FM37" s="491"/>
      <c r="FN37" s="491"/>
      <c r="FO37" s="491"/>
      <c r="FP37" s="491"/>
      <c r="FQ37" s="491"/>
      <c r="FR37" s="491"/>
      <c r="FS37" s="491"/>
      <c r="FT37" s="491"/>
      <c r="FU37" s="491"/>
      <c r="FV37" s="491"/>
      <c r="FW37" s="491"/>
      <c r="FX37" s="491"/>
      <c r="FY37" s="491"/>
      <c r="FZ37" s="491"/>
      <c r="GA37" s="491"/>
      <c r="GB37" s="491"/>
      <c r="GC37" s="491"/>
      <c r="GD37" s="491"/>
      <c r="GE37" s="491"/>
      <c r="GF37" s="491"/>
      <c r="GG37" s="491"/>
      <c r="GH37" s="491"/>
      <c r="GI37" s="491"/>
      <c r="GJ37" s="491"/>
      <c r="GK37" s="491"/>
      <c r="GL37" s="491"/>
      <c r="GM37" s="491"/>
      <c r="GN37" s="491"/>
      <c r="GO37" s="526"/>
      <c r="GP37" s="491"/>
      <c r="GQ37" s="491"/>
      <c r="GR37" s="491"/>
      <c r="GS37" s="491"/>
      <c r="GT37" s="491"/>
      <c r="GU37" s="491"/>
      <c r="GV37" s="491"/>
      <c r="GW37" s="491"/>
      <c r="GX37" s="491"/>
      <c r="GY37" s="491"/>
      <c r="GZ37" s="491"/>
      <c r="HA37" s="491"/>
      <c r="HB37" s="491"/>
      <c r="HC37" s="491"/>
      <c r="HD37" s="491"/>
      <c r="HE37" s="491"/>
      <c r="HF37" s="491"/>
      <c r="HG37" s="491"/>
      <c r="HH37" s="491"/>
      <c r="HI37" s="491"/>
      <c r="HJ37" s="491"/>
      <c r="HK37" s="491"/>
      <c r="HL37" s="491"/>
      <c r="HM37" s="491"/>
      <c r="HN37" s="491"/>
      <c r="HO37" s="491"/>
      <c r="HP37" s="491"/>
      <c r="HQ37" s="491"/>
      <c r="HR37" s="491"/>
      <c r="HS37" s="491"/>
      <c r="HT37" s="491"/>
      <c r="HU37" s="491"/>
      <c r="HV37" s="491"/>
      <c r="HW37" s="491"/>
      <c r="HX37" s="491"/>
      <c r="HY37" s="526"/>
      <c r="HZ37" s="491"/>
      <c r="IA37" s="491"/>
      <c r="IB37" s="491"/>
      <c r="IC37" s="491"/>
      <c r="ID37" s="491"/>
      <c r="IE37" s="491"/>
      <c r="IF37" s="491"/>
      <c r="IG37" s="491"/>
      <c r="IH37" s="491"/>
      <c r="II37" s="491"/>
      <c r="IJ37" s="491"/>
      <c r="IK37" s="491"/>
      <c r="IL37" s="491"/>
      <c r="IM37" s="491"/>
      <c r="IN37" s="491"/>
      <c r="IO37" s="491"/>
      <c r="IP37" s="491"/>
      <c r="IQ37" s="491"/>
      <c r="IR37" s="491"/>
      <c r="IS37" s="491"/>
      <c r="IT37" s="491"/>
      <c r="IU37" s="491"/>
      <c r="IV37" s="491"/>
      <c r="IW37" s="491"/>
      <c r="IX37" s="491"/>
      <c r="IY37" s="491"/>
      <c r="IZ37" s="491"/>
      <c r="JA37" s="491"/>
      <c r="JB37" s="491"/>
      <c r="JC37" s="491"/>
      <c r="JD37" s="491"/>
      <c r="JE37" s="491"/>
      <c r="JF37" s="515"/>
      <c r="JG37" s="515"/>
      <c r="JH37" s="515"/>
      <c r="JI37" s="515"/>
      <c r="JJ37" s="515"/>
      <c r="JK37" s="530"/>
      <c r="JL37" s="515"/>
      <c r="JM37" s="515"/>
      <c r="JN37" s="515"/>
      <c r="JO37" s="515"/>
      <c r="JP37" s="515"/>
      <c r="JQ37" s="515"/>
      <c r="JR37" s="515"/>
      <c r="JS37" s="515"/>
      <c r="JT37" s="515"/>
      <c r="JU37" s="515"/>
      <c r="JV37" s="515"/>
      <c r="JW37" s="515"/>
      <c r="JX37" s="515"/>
      <c r="JY37" s="515"/>
      <c r="JZ37" s="515"/>
      <c r="KA37" s="515"/>
      <c r="KB37" s="542"/>
      <c r="KC37" s="515"/>
      <c r="KD37" s="515"/>
      <c r="KE37" s="515"/>
      <c r="KF37" s="515"/>
      <c r="KG37" s="515"/>
      <c r="KH37" s="515"/>
      <c r="KI37" s="515"/>
      <c r="KJ37" s="515"/>
      <c r="KK37" s="515"/>
      <c r="KL37" s="491"/>
      <c r="KM37" s="491"/>
      <c r="KN37" s="515"/>
      <c r="KO37" s="515"/>
      <c r="KP37" s="515"/>
      <c r="KQ37" s="515"/>
      <c r="KR37" s="515"/>
      <c r="KS37" s="515"/>
      <c r="KT37" s="515"/>
      <c r="KU37" s="543"/>
      <c r="KV37" s="491"/>
      <c r="KW37" s="491"/>
      <c r="KX37" s="491"/>
      <c r="KY37" s="491"/>
      <c r="KZ37" s="491"/>
      <c r="LA37" s="491"/>
      <c r="LB37" s="491"/>
      <c r="LC37" s="491"/>
      <c r="LD37" s="491"/>
      <c r="LE37" s="491"/>
      <c r="LF37" s="491"/>
      <c r="LG37" s="491"/>
      <c r="LH37" s="491"/>
      <c r="LI37" s="491"/>
      <c r="LJ37" s="491"/>
      <c r="LK37" s="491"/>
      <c r="LL37" s="491"/>
      <c r="LM37" s="491"/>
      <c r="LN37" s="491"/>
      <c r="LO37" s="491"/>
      <c r="LP37" s="529"/>
      <c r="LQ37" s="491"/>
      <c r="LR37" s="491"/>
      <c r="LS37" s="491"/>
      <c r="LT37" s="491"/>
      <c r="LU37" s="491"/>
      <c r="LV37" s="491"/>
      <c r="LW37" s="544"/>
      <c r="LX37" s="545"/>
      <c r="LY37" s="545"/>
      <c r="LZ37" s="545"/>
      <c r="MA37" s="545"/>
      <c r="MB37" s="1453" t="s">
        <v>5017</v>
      </c>
      <c r="MC37" s="1454"/>
      <c r="MD37" s="1454"/>
      <c r="ME37" s="1454"/>
      <c r="MF37" s="1454"/>
      <c r="MG37" s="1454"/>
      <c r="MH37" s="1455"/>
      <c r="MI37" s="491"/>
      <c r="MJ37" s="491"/>
      <c r="MK37" s="491"/>
      <c r="ML37" s="491"/>
      <c r="MM37" s="491"/>
      <c r="MN37" s="491"/>
      <c r="MO37" s="491"/>
      <c r="MP37" s="491"/>
      <c r="MQ37" s="491"/>
      <c r="MR37" s="491"/>
      <c r="MS37" s="491"/>
      <c r="MT37" s="491"/>
      <c r="MU37" s="491"/>
      <c r="MV37" s="491"/>
      <c r="MW37" s="491"/>
      <c r="MX37" s="491"/>
      <c r="MY37" s="491"/>
      <c r="MZ37" s="491"/>
      <c r="NA37" s="491"/>
      <c r="NB37" s="524"/>
      <c r="NC37" s="491"/>
      <c r="ND37" s="491"/>
      <c r="NE37" s="491"/>
      <c r="NF37" s="491"/>
      <c r="NG37" s="491"/>
      <c r="NH37" s="491"/>
      <c r="NI37" s="491"/>
      <c r="NJ37" s="491"/>
      <c r="NK37" s="491"/>
      <c r="NL37" s="491"/>
      <c r="NM37" s="491"/>
      <c r="NN37" s="491"/>
      <c r="NO37" s="491"/>
      <c r="NP37" s="491"/>
      <c r="NQ37" s="491"/>
      <c r="NR37" s="491"/>
      <c r="NS37" s="491"/>
      <c r="NT37" s="491"/>
      <c r="NU37" s="491"/>
      <c r="NV37" s="491"/>
      <c r="NW37" s="491"/>
      <c r="NX37" s="491"/>
      <c r="NY37" s="491"/>
      <c r="NZ37" s="491"/>
      <c r="PW37" s="482"/>
    </row>
    <row r="38" spans="8:470" ht="12.75" customHeight="1" x14ac:dyDescent="0.35">
      <c r="H38" s="489"/>
      <c r="I38" s="489"/>
      <c r="J38" s="489"/>
      <c r="K38" s="490"/>
      <c r="L38" s="489"/>
      <c r="AR38" s="541"/>
      <c r="AU38" s="491"/>
      <c r="AV38" s="491"/>
      <c r="AW38" s="491"/>
      <c r="AX38" s="491"/>
      <c r="AY38" s="491"/>
      <c r="AZ38" s="491"/>
      <c r="BA38" s="491"/>
      <c r="BB38" s="491"/>
      <c r="BC38" s="491"/>
      <c r="BD38" s="491"/>
      <c r="BE38" s="491"/>
      <c r="BF38" s="491"/>
      <c r="BG38" s="491"/>
      <c r="BH38" s="491"/>
      <c r="BI38" s="491"/>
      <c r="BJ38" s="491"/>
      <c r="BK38" s="491"/>
      <c r="BL38" s="491"/>
      <c r="BM38" s="491"/>
      <c r="BN38" s="491"/>
      <c r="BO38" s="491"/>
      <c r="BP38" s="491"/>
      <c r="BQ38" s="491"/>
      <c r="BR38" s="491"/>
      <c r="BS38" s="491"/>
      <c r="BT38" s="491"/>
      <c r="BU38" s="491"/>
      <c r="BV38" s="491"/>
      <c r="BW38" s="491"/>
      <c r="BX38" s="491"/>
      <c r="BY38" s="491"/>
      <c r="BZ38" s="491"/>
      <c r="CA38" s="491"/>
      <c r="CB38" s="491"/>
      <c r="CC38" s="491"/>
      <c r="CD38" s="491"/>
      <c r="CE38" s="491"/>
      <c r="CF38" s="491"/>
      <c r="CG38" s="491"/>
      <c r="CH38" s="491"/>
      <c r="CI38" s="491"/>
      <c r="CJ38" s="491"/>
      <c r="CK38" s="491"/>
      <c r="CL38" s="491"/>
      <c r="CM38" s="491"/>
      <c r="CN38" s="491"/>
      <c r="CO38" s="491"/>
      <c r="CP38" s="491"/>
      <c r="CQ38" s="491"/>
      <c r="CR38" s="491"/>
      <c r="CS38" s="491"/>
      <c r="CT38" s="491"/>
      <c r="CU38" s="491"/>
      <c r="CV38" s="491"/>
      <c r="CW38" s="491"/>
      <c r="CX38" s="491"/>
      <c r="CY38" s="491"/>
      <c r="CZ38" s="491"/>
      <c r="DA38" s="491"/>
      <c r="DB38" s="491"/>
      <c r="DC38" s="491"/>
      <c r="DD38" s="491"/>
      <c r="DE38" s="491"/>
      <c r="DF38" s="491"/>
      <c r="DG38" s="491"/>
      <c r="DH38" s="491"/>
      <c r="DI38" s="491"/>
      <c r="DJ38" s="491"/>
      <c r="DK38" s="491"/>
      <c r="DL38" s="491"/>
      <c r="DM38" s="491"/>
      <c r="DN38" s="491"/>
      <c r="DO38" s="492"/>
      <c r="DP38" s="491"/>
      <c r="DQ38" s="511"/>
      <c r="DR38" s="511"/>
      <c r="DS38" s="491"/>
      <c r="DT38" s="491"/>
      <c r="DU38" s="491"/>
      <c r="DV38" s="491"/>
      <c r="DW38" s="491"/>
      <c r="DX38" s="491"/>
      <c r="DY38" s="491"/>
      <c r="DZ38" s="491"/>
      <c r="EA38" s="491"/>
      <c r="EB38" s="491"/>
      <c r="EC38" s="491"/>
      <c r="ED38" s="491"/>
      <c r="EE38" s="491"/>
      <c r="EF38" s="491"/>
      <c r="EG38" s="526"/>
      <c r="EH38" s="491"/>
      <c r="EI38" s="491"/>
      <c r="EJ38" s="491"/>
      <c r="EK38" s="491"/>
      <c r="EL38" s="491"/>
      <c r="EM38" s="491"/>
      <c r="EN38" s="491"/>
      <c r="EO38" s="491"/>
      <c r="EP38" s="491"/>
      <c r="EQ38" s="491"/>
      <c r="ER38" s="491"/>
      <c r="ES38" s="491"/>
      <c r="ET38" s="491"/>
      <c r="EU38" s="491"/>
      <c r="EV38" s="491"/>
      <c r="EW38" s="491"/>
      <c r="EX38" s="491"/>
      <c r="EY38" s="491"/>
      <c r="EZ38" s="491"/>
      <c r="FA38" s="491"/>
      <c r="FB38" s="491"/>
      <c r="FC38" s="526"/>
      <c r="FD38" s="491"/>
      <c r="FE38" s="491"/>
      <c r="FF38" s="491"/>
      <c r="FG38" s="491"/>
      <c r="FH38" s="491"/>
      <c r="FI38" s="491"/>
      <c r="FJ38" s="491"/>
      <c r="FK38" s="491"/>
      <c r="FL38" s="491"/>
      <c r="FM38" s="491"/>
      <c r="FN38" s="491"/>
      <c r="FO38" s="491"/>
      <c r="FP38" s="491"/>
      <c r="FQ38" s="491"/>
      <c r="FR38" s="491"/>
      <c r="FS38" s="491"/>
      <c r="FT38" s="491"/>
      <c r="FU38" s="491"/>
      <c r="FV38" s="491"/>
      <c r="FW38" s="491"/>
      <c r="FX38" s="491"/>
      <c r="FY38" s="491"/>
      <c r="FZ38" s="491"/>
      <c r="GA38" s="491"/>
      <c r="GB38" s="491"/>
      <c r="GC38" s="491"/>
      <c r="GD38" s="491"/>
      <c r="GE38" s="491"/>
      <c r="GF38" s="491"/>
      <c r="GG38" s="491"/>
      <c r="GH38" s="491"/>
      <c r="GI38" s="491"/>
      <c r="GJ38" s="491"/>
      <c r="GK38" s="491"/>
      <c r="GL38" s="491"/>
      <c r="GM38" s="491"/>
      <c r="GN38" s="491"/>
      <c r="GO38" s="526"/>
      <c r="GP38" s="491"/>
      <c r="GQ38" s="491"/>
      <c r="GR38" s="491"/>
      <c r="GS38" s="491"/>
      <c r="GT38" s="491"/>
      <c r="GU38" s="491"/>
      <c r="GV38" s="491"/>
      <c r="GW38" s="491"/>
      <c r="GX38" s="491"/>
      <c r="GY38" s="491"/>
      <c r="GZ38" s="491"/>
      <c r="HA38" s="491"/>
      <c r="HB38" s="491"/>
      <c r="HC38" s="491"/>
      <c r="HD38" s="491"/>
      <c r="HE38" s="491"/>
      <c r="HF38" s="491"/>
      <c r="HG38" s="491"/>
      <c r="HH38" s="491"/>
      <c r="HI38" s="491"/>
      <c r="HJ38" s="491"/>
      <c r="HK38" s="491"/>
      <c r="HL38" s="491"/>
      <c r="HM38" s="491"/>
      <c r="HN38" s="491"/>
      <c r="HO38" s="491"/>
      <c r="HP38" s="491"/>
      <c r="HQ38" s="491"/>
      <c r="HR38" s="491"/>
      <c r="HS38" s="491"/>
      <c r="HT38" s="491"/>
      <c r="HU38" s="491"/>
      <c r="HV38" s="491"/>
      <c r="HW38" s="491"/>
      <c r="HX38" s="491"/>
      <c r="HY38" s="526"/>
      <c r="HZ38" s="491"/>
      <c r="IA38" s="491"/>
      <c r="IB38" s="491"/>
      <c r="IC38" s="491"/>
      <c r="ID38" s="491"/>
      <c r="IE38" s="491"/>
      <c r="IF38" s="491"/>
      <c r="IG38" s="491"/>
      <c r="IH38" s="491"/>
      <c r="II38" s="491"/>
      <c r="IJ38" s="491"/>
      <c r="IK38" s="491"/>
      <c r="IL38" s="491"/>
      <c r="IM38" s="491"/>
      <c r="IN38" s="491"/>
      <c r="IO38" s="491"/>
      <c r="IP38" s="491"/>
      <c r="IQ38" s="491"/>
      <c r="IR38" s="491"/>
      <c r="IS38" s="491"/>
      <c r="IT38" s="491"/>
      <c r="IU38" s="491"/>
      <c r="IV38" s="491"/>
      <c r="IW38" s="491"/>
      <c r="IX38" s="491"/>
      <c r="IY38" s="491"/>
      <c r="IZ38" s="491"/>
      <c r="JA38" s="491"/>
      <c r="JB38" s="491"/>
      <c r="JC38" s="491"/>
      <c r="JD38" s="491"/>
      <c r="JE38" s="491"/>
      <c r="JF38" s="515"/>
      <c r="JG38" s="515"/>
      <c r="JH38" s="515"/>
      <c r="JI38" s="515"/>
      <c r="JJ38" s="515"/>
      <c r="JK38" s="530"/>
      <c r="JL38" s="515"/>
      <c r="JM38" s="515"/>
      <c r="JN38" s="515"/>
      <c r="JO38" s="515"/>
      <c r="JP38" s="515"/>
      <c r="JQ38" s="515"/>
      <c r="JR38" s="515"/>
      <c r="JS38" s="515"/>
      <c r="JT38" s="515"/>
      <c r="JU38" s="515"/>
      <c r="JV38" s="515"/>
      <c r="JW38" s="515"/>
      <c r="JX38" s="515"/>
      <c r="JY38" s="515"/>
      <c r="JZ38" s="515"/>
      <c r="KA38" s="515"/>
      <c r="KB38" s="542"/>
      <c r="KC38" s="515"/>
      <c r="KD38" s="515"/>
      <c r="KE38" s="515"/>
      <c r="KF38" s="515"/>
      <c r="KG38" s="515"/>
      <c r="KH38" s="515"/>
      <c r="KI38" s="515"/>
      <c r="KJ38" s="515"/>
      <c r="KK38" s="515"/>
      <c r="KL38" s="491"/>
      <c r="KM38" s="491"/>
      <c r="KN38" s="515"/>
      <c r="KO38" s="515"/>
      <c r="KP38" s="515"/>
      <c r="KQ38" s="515"/>
      <c r="KR38" s="515"/>
      <c r="KS38" s="515"/>
      <c r="KT38" s="515"/>
      <c r="KU38" s="543"/>
      <c r="KV38" s="491"/>
      <c r="KW38" s="491"/>
      <c r="KX38" s="491"/>
      <c r="KY38" s="491"/>
      <c r="KZ38" s="491"/>
      <c r="LA38" s="491"/>
      <c r="LB38" s="491"/>
      <c r="LC38" s="491"/>
      <c r="LD38" s="491"/>
      <c r="LE38" s="491"/>
      <c r="LF38" s="491"/>
      <c r="LG38" s="491"/>
      <c r="LH38" s="491"/>
      <c r="LI38" s="491"/>
      <c r="LJ38" s="491"/>
      <c r="LK38" s="491"/>
      <c r="LL38" s="491"/>
      <c r="LM38" s="491"/>
      <c r="LN38" s="491"/>
      <c r="LO38" s="491"/>
      <c r="LP38" s="529"/>
      <c r="LQ38" s="491"/>
      <c r="LR38" s="491"/>
      <c r="LS38" s="491"/>
      <c r="LT38" s="491"/>
      <c r="LU38" s="491"/>
      <c r="LV38" s="491"/>
      <c r="LW38" s="546"/>
      <c r="LX38" s="491"/>
      <c r="LY38" s="491"/>
      <c r="LZ38" s="491"/>
      <c r="MA38" s="491"/>
      <c r="MB38" s="491"/>
      <c r="MC38" s="491"/>
      <c r="MD38" s="491"/>
      <c r="ME38" s="491"/>
      <c r="MF38" s="491"/>
      <c r="MG38" s="491"/>
      <c r="MH38" s="547"/>
      <c r="MI38" s="491"/>
      <c r="MJ38" s="491"/>
      <c r="MK38" s="491"/>
      <c r="ML38" s="491"/>
      <c r="MM38" s="491"/>
      <c r="MN38" s="491"/>
      <c r="MO38" s="491"/>
      <c r="MP38" s="491"/>
      <c r="MQ38" s="491"/>
      <c r="MR38" s="491"/>
      <c r="MS38" s="491"/>
      <c r="MT38" s="491"/>
      <c r="MU38" s="491"/>
      <c r="MV38" s="491"/>
      <c r="MW38" s="491"/>
      <c r="MX38" s="491"/>
      <c r="MY38" s="491"/>
      <c r="MZ38" s="491"/>
      <c r="NA38" s="491"/>
      <c r="NB38" s="524"/>
      <c r="NC38" s="491"/>
      <c r="ND38" s="491"/>
      <c r="NE38" s="491"/>
      <c r="NF38" s="491"/>
      <c r="NG38" s="491"/>
      <c r="NH38" s="491"/>
      <c r="NI38" s="491"/>
      <c r="NJ38" s="491"/>
      <c r="NK38" s="491"/>
      <c r="NL38" s="491"/>
      <c r="NM38" s="491"/>
      <c r="NN38" s="491"/>
      <c r="NO38" s="491"/>
      <c r="NP38" s="491"/>
      <c r="NQ38" s="491"/>
      <c r="NR38" s="491"/>
      <c r="NS38" s="491"/>
      <c r="NT38" s="491"/>
      <c r="NU38" s="491"/>
      <c r="NV38" s="491"/>
      <c r="NW38" s="491"/>
      <c r="NX38" s="491"/>
      <c r="NY38" s="491"/>
      <c r="NZ38" s="491"/>
      <c r="PW38" s="482"/>
    </row>
    <row r="39" spans="8:470" ht="12.75" customHeight="1" x14ac:dyDescent="0.35">
      <c r="K39" s="482"/>
      <c r="AR39" s="541"/>
      <c r="AU39" s="491"/>
      <c r="AV39" s="491"/>
      <c r="AW39" s="491"/>
      <c r="AX39" s="491"/>
      <c r="AY39" s="491"/>
      <c r="AZ39" s="491"/>
      <c r="BA39" s="491"/>
      <c r="BB39" s="491"/>
      <c r="BC39" s="491"/>
      <c r="BD39" s="491"/>
      <c r="BE39" s="491"/>
      <c r="BF39" s="491"/>
      <c r="BG39" s="491"/>
      <c r="BH39" s="491"/>
      <c r="BI39" s="491"/>
      <c r="BJ39" s="491"/>
      <c r="BK39" s="491"/>
      <c r="BL39" s="491"/>
      <c r="BM39" s="491"/>
      <c r="BN39" s="491"/>
      <c r="BO39" s="491"/>
      <c r="BP39" s="491"/>
      <c r="BQ39" s="491"/>
      <c r="BR39" s="491"/>
      <c r="BS39" s="491"/>
      <c r="BT39" s="491"/>
      <c r="BU39" s="491"/>
      <c r="BV39" s="491"/>
      <c r="BW39" s="491"/>
      <c r="BX39" s="491"/>
      <c r="BY39" s="491"/>
      <c r="BZ39" s="491"/>
      <c r="CA39" s="491"/>
      <c r="CB39" s="491"/>
      <c r="CC39" s="491"/>
      <c r="CD39" s="491"/>
      <c r="CE39" s="491"/>
      <c r="CF39" s="491"/>
      <c r="CG39" s="491"/>
      <c r="CH39" s="491"/>
      <c r="CI39" s="491"/>
      <c r="CJ39" s="491"/>
      <c r="CK39" s="491"/>
      <c r="CL39" s="491"/>
      <c r="CM39" s="491"/>
      <c r="CN39" s="491"/>
      <c r="CO39" s="491"/>
      <c r="CP39" s="491"/>
      <c r="CQ39" s="491"/>
      <c r="CR39" s="491"/>
      <c r="CS39" s="491"/>
      <c r="CT39" s="491"/>
      <c r="CU39" s="491"/>
      <c r="CV39" s="491"/>
      <c r="CW39" s="491"/>
      <c r="CX39" s="491"/>
      <c r="CY39" s="491"/>
      <c r="CZ39" s="491"/>
      <c r="DA39" s="491"/>
      <c r="DB39" s="491"/>
      <c r="DC39" s="491"/>
      <c r="DD39" s="491"/>
      <c r="DE39" s="491"/>
      <c r="DF39" s="491"/>
      <c r="DG39" s="491"/>
      <c r="DH39" s="491"/>
      <c r="DI39" s="491"/>
      <c r="DJ39" s="491"/>
      <c r="DK39" s="491"/>
      <c r="DL39" s="491"/>
      <c r="DM39" s="491"/>
      <c r="DN39" s="491"/>
      <c r="DO39" s="492"/>
      <c r="DP39" s="491"/>
      <c r="DQ39" s="511"/>
      <c r="DR39" s="511"/>
      <c r="DS39" s="491"/>
      <c r="DT39" s="491"/>
      <c r="DU39" s="491"/>
      <c r="DV39" s="491"/>
      <c r="DW39" s="491"/>
      <c r="DX39" s="491"/>
      <c r="DY39" s="491"/>
      <c r="DZ39" s="491"/>
      <c r="EA39" s="491"/>
      <c r="EB39" s="491"/>
      <c r="EC39" s="491"/>
      <c r="ED39" s="491"/>
      <c r="EE39" s="491"/>
      <c r="EF39" s="491"/>
      <c r="EG39" s="526"/>
      <c r="EH39" s="491"/>
      <c r="EI39" s="491"/>
      <c r="EJ39" s="491"/>
      <c r="EK39" s="491"/>
      <c r="EL39" s="491"/>
      <c r="EM39" s="491"/>
      <c r="EN39" s="491"/>
      <c r="EO39" s="491"/>
      <c r="EP39" s="491"/>
      <c r="EQ39" s="491"/>
      <c r="ER39" s="491"/>
      <c r="ES39" s="491"/>
      <c r="ET39" s="491"/>
      <c r="EU39" s="491"/>
      <c r="EV39" s="491"/>
      <c r="EW39" s="491"/>
      <c r="EX39" s="491"/>
      <c r="EY39" s="491"/>
      <c r="EZ39" s="491"/>
      <c r="FA39" s="491"/>
      <c r="FB39" s="491"/>
      <c r="FC39" s="526"/>
      <c r="FD39" s="491"/>
      <c r="FE39" s="491"/>
      <c r="FF39" s="491"/>
      <c r="FG39" s="491"/>
      <c r="FH39" s="491"/>
      <c r="FI39" s="491"/>
      <c r="FJ39" s="491"/>
      <c r="FK39" s="491"/>
      <c r="FL39" s="491"/>
      <c r="FM39" s="491"/>
      <c r="FN39" s="491"/>
      <c r="FO39" s="491"/>
      <c r="FP39" s="491"/>
      <c r="FQ39" s="491"/>
      <c r="FR39" s="491"/>
      <c r="FS39" s="491"/>
      <c r="FT39" s="491"/>
      <c r="FU39" s="491"/>
      <c r="FV39" s="491"/>
      <c r="FW39" s="491"/>
      <c r="FX39" s="491"/>
      <c r="FY39" s="491"/>
      <c r="FZ39" s="491"/>
      <c r="GA39" s="491"/>
      <c r="GB39" s="491"/>
      <c r="GC39" s="491"/>
      <c r="GD39" s="491"/>
      <c r="GE39" s="491"/>
      <c r="GF39" s="491"/>
      <c r="GG39" s="491"/>
      <c r="GH39" s="491"/>
      <c r="GI39" s="491"/>
      <c r="GJ39" s="491"/>
      <c r="GK39" s="491"/>
      <c r="GL39" s="491"/>
      <c r="GM39" s="491"/>
      <c r="GN39" s="491"/>
      <c r="GO39" s="526"/>
      <c r="GP39" s="491"/>
      <c r="GQ39" s="491"/>
      <c r="GR39" s="491"/>
      <c r="GS39" s="491"/>
      <c r="GT39" s="491"/>
      <c r="GU39" s="491"/>
      <c r="GV39" s="491"/>
      <c r="GW39" s="491"/>
      <c r="GX39" s="491"/>
      <c r="GY39" s="491"/>
      <c r="GZ39" s="491"/>
      <c r="HA39" s="491"/>
      <c r="HB39" s="491"/>
      <c r="HC39" s="491"/>
      <c r="HD39" s="491"/>
      <c r="HE39" s="491"/>
      <c r="HF39" s="491"/>
      <c r="HG39" s="491"/>
      <c r="HH39" s="491"/>
      <c r="HI39" s="491"/>
      <c r="HJ39" s="491"/>
      <c r="HK39" s="491"/>
      <c r="HL39" s="491"/>
      <c r="HM39" s="491"/>
      <c r="HN39" s="491"/>
      <c r="HO39" s="491"/>
      <c r="HP39" s="491"/>
      <c r="HQ39" s="491"/>
      <c r="HR39" s="491"/>
      <c r="HS39" s="491"/>
      <c r="HT39" s="491"/>
      <c r="HU39" s="491"/>
      <c r="HV39" s="491"/>
      <c r="HW39" s="491"/>
      <c r="HX39" s="491"/>
      <c r="HY39" s="526"/>
      <c r="HZ39" s="491"/>
      <c r="IA39" s="491"/>
      <c r="IB39" s="491"/>
      <c r="IC39" s="491"/>
      <c r="ID39" s="491"/>
      <c r="IE39" s="491"/>
      <c r="IF39" s="491"/>
      <c r="IG39" s="491"/>
      <c r="IH39" s="491"/>
      <c r="II39" s="491"/>
      <c r="IJ39" s="491"/>
      <c r="IK39" s="491"/>
      <c r="IL39" s="491"/>
      <c r="IM39" s="491"/>
      <c r="IN39" s="491"/>
      <c r="IO39" s="491"/>
      <c r="IP39" s="491"/>
      <c r="IQ39" s="491"/>
      <c r="IR39" s="491"/>
      <c r="IS39" s="491"/>
      <c r="IT39" s="491"/>
      <c r="IU39" s="491"/>
      <c r="IV39" s="491"/>
      <c r="IW39" s="491"/>
      <c r="IX39" s="491"/>
      <c r="IY39" s="491"/>
      <c r="IZ39" s="491"/>
      <c r="JA39" s="491"/>
      <c r="JB39" s="491"/>
      <c r="JC39" s="491"/>
      <c r="JD39" s="491"/>
      <c r="JE39" s="491"/>
      <c r="JF39" s="515"/>
      <c r="JG39" s="515"/>
      <c r="JH39" s="515"/>
      <c r="JI39" s="515"/>
      <c r="JJ39" s="515"/>
      <c r="JK39" s="530"/>
      <c r="JL39" s="515"/>
      <c r="JM39" s="515"/>
      <c r="JN39" s="515"/>
      <c r="JO39" s="515"/>
      <c r="JP39" s="515"/>
      <c r="JQ39" s="515"/>
      <c r="JR39" s="515"/>
      <c r="JS39" s="515"/>
      <c r="JT39" s="515"/>
      <c r="JU39" s="515"/>
      <c r="JV39" s="515"/>
      <c r="JW39" s="515"/>
      <c r="JX39" s="515"/>
      <c r="JY39" s="515"/>
      <c r="JZ39" s="515"/>
      <c r="KA39" s="515"/>
      <c r="KB39" s="542"/>
      <c r="KC39" s="515"/>
      <c r="KD39" s="515"/>
      <c r="KE39" s="515"/>
      <c r="KF39" s="515"/>
      <c r="KG39" s="515"/>
      <c r="KH39" s="515"/>
      <c r="KI39" s="515"/>
      <c r="KJ39" s="515"/>
      <c r="KK39" s="515"/>
      <c r="KL39" s="491"/>
      <c r="KM39" s="491"/>
      <c r="KN39" s="515"/>
      <c r="KO39" s="515"/>
      <c r="KP39" s="515"/>
      <c r="KQ39" s="515"/>
      <c r="KR39" s="515"/>
      <c r="KS39" s="515"/>
      <c r="KT39" s="515"/>
      <c r="KU39" s="543"/>
      <c r="KV39" s="491"/>
      <c r="KW39" s="491"/>
      <c r="KX39" s="491"/>
      <c r="KY39" s="491"/>
      <c r="KZ39" s="491"/>
      <c r="LA39" s="491"/>
      <c r="LB39" s="491"/>
      <c r="LC39" s="491"/>
      <c r="LD39" s="491"/>
      <c r="LE39" s="491"/>
      <c r="LF39" s="491"/>
      <c r="LG39" s="491"/>
      <c r="LH39" s="491"/>
      <c r="LI39" s="491"/>
      <c r="LJ39" s="491"/>
      <c r="LK39" s="491"/>
      <c r="LL39" s="491"/>
      <c r="LM39" s="491"/>
      <c r="LN39" s="491"/>
      <c r="LO39" s="491"/>
      <c r="LP39" s="529"/>
      <c r="LQ39" s="548"/>
      <c r="LR39" s="494"/>
      <c r="LS39" s="494"/>
      <c r="LT39" s="494"/>
      <c r="LU39" s="494"/>
      <c r="LV39" s="494"/>
      <c r="LW39" s="549"/>
      <c r="LX39" s="516">
        <v>0.5</v>
      </c>
      <c r="LY39" s="1456" t="s">
        <v>5018</v>
      </c>
      <c r="LZ39" s="1457"/>
      <c r="MA39" s="1457"/>
      <c r="MB39" s="1457"/>
      <c r="MC39" s="1457"/>
      <c r="MD39" s="1457"/>
      <c r="ME39" s="1457"/>
      <c r="MF39" s="1457"/>
      <c r="MG39" s="1458"/>
      <c r="MH39" s="547"/>
      <c r="MI39" s="491"/>
      <c r="MJ39" s="491"/>
      <c r="MK39" s="491"/>
      <c r="ML39" s="491"/>
      <c r="MM39" s="491"/>
      <c r="MN39" s="491"/>
      <c r="MO39" s="491"/>
      <c r="MP39" s="491"/>
      <c r="MQ39" s="491"/>
      <c r="MR39" s="491"/>
      <c r="MS39" s="491"/>
      <c r="MT39" s="491"/>
      <c r="MU39" s="491"/>
      <c r="MV39" s="491"/>
      <c r="MW39" s="491"/>
      <c r="MX39" s="491"/>
      <c r="MY39" s="491"/>
      <c r="MZ39" s="491"/>
      <c r="NA39" s="491"/>
      <c r="NB39" s="524"/>
      <c r="NC39" s="491"/>
      <c r="ND39" s="491"/>
      <c r="NE39" s="491"/>
      <c r="NF39" s="491"/>
      <c r="NG39" s="491"/>
      <c r="NH39" s="491"/>
      <c r="NI39" s="491"/>
      <c r="NJ39" s="491"/>
      <c r="NK39" s="491"/>
      <c r="NL39" s="491"/>
      <c r="NM39" s="491"/>
      <c r="NN39" s="491"/>
      <c r="NO39" s="491"/>
      <c r="NP39" s="491"/>
      <c r="NQ39" s="491"/>
      <c r="NR39" s="491"/>
      <c r="NS39" s="491"/>
      <c r="NT39" s="491"/>
      <c r="NU39" s="491"/>
      <c r="NV39" s="491"/>
      <c r="NW39" s="491"/>
      <c r="NX39" s="491"/>
      <c r="NY39" s="491"/>
      <c r="NZ39" s="491"/>
      <c r="PW39" s="482"/>
    </row>
    <row r="40" spans="8:470" ht="12.75" customHeight="1" x14ac:dyDescent="0.35">
      <c r="K40" s="482"/>
      <c r="AR40" s="541"/>
      <c r="AU40" s="491"/>
      <c r="AV40" s="491"/>
      <c r="AW40" s="491"/>
      <c r="AX40" s="491"/>
      <c r="AY40" s="491"/>
      <c r="AZ40" s="491"/>
      <c r="BA40" s="491"/>
      <c r="BB40" s="491"/>
      <c r="BC40" s="491"/>
      <c r="BD40" s="491"/>
      <c r="BE40" s="491"/>
      <c r="BF40" s="491"/>
      <c r="BG40" s="491"/>
      <c r="BH40" s="491"/>
      <c r="BI40" s="491"/>
      <c r="BJ40" s="491"/>
      <c r="BK40" s="491"/>
      <c r="BL40" s="491"/>
      <c r="BM40" s="491"/>
      <c r="BN40" s="491"/>
      <c r="BO40" s="491"/>
      <c r="BP40" s="491"/>
      <c r="BQ40" s="491"/>
      <c r="BR40" s="491"/>
      <c r="BS40" s="491"/>
      <c r="BT40" s="491"/>
      <c r="BU40" s="491"/>
      <c r="BV40" s="491"/>
      <c r="BW40" s="491"/>
      <c r="BX40" s="491"/>
      <c r="BY40" s="491"/>
      <c r="BZ40" s="491"/>
      <c r="CA40" s="491"/>
      <c r="CB40" s="491"/>
      <c r="CC40" s="491"/>
      <c r="CD40" s="491"/>
      <c r="CE40" s="491"/>
      <c r="CF40" s="491"/>
      <c r="CG40" s="491"/>
      <c r="CH40" s="491"/>
      <c r="CI40" s="491"/>
      <c r="CJ40" s="491"/>
      <c r="CK40" s="491"/>
      <c r="CL40" s="491"/>
      <c r="CM40" s="491"/>
      <c r="CN40" s="491"/>
      <c r="CO40" s="491"/>
      <c r="CP40" s="491"/>
      <c r="CQ40" s="491"/>
      <c r="CR40" s="491"/>
      <c r="CS40" s="491"/>
      <c r="CT40" s="491"/>
      <c r="CU40" s="491"/>
      <c r="CV40" s="491"/>
      <c r="CW40" s="491"/>
      <c r="CX40" s="491"/>
      <c r="CY40" s="491"/>
      <c r="CZ40" s="491"/>
      <c r="DA40" s="491"/>
      <c r="DB40" s="491"/>
      <c r="DC40" s="491"/>
      <c r="DD40" s="491"/>
      <c r="DE40" s="491"/>
      <c r="DF40" s="491"/>
      <c r="DG40" s="491"/>
      <c r="DH40" s="491"/>
      <c r="DI40" s="491"/>
      <c r="DJ40" s="491"/>
      <c r="DK40" s="491"/>
      <c r="DL40" s="491"/>
      <c r="DM40" s="491"/>
      <c r="DN40" s="491"/>
      <c r="DO40" s="492"/>
      <c r="DP40" s="491"/>
      <c r="DQ40" s="511"/>
      <c r="DR40" s="511"/>
      <c r="DS40" s="491"/>
      <c r="DT40" s="491"/>
      <c r="DU40" s="491"/>
      <c r="DV40" s="491"/>
      <c r="DW40" s="491"/>
      <c r="DX40" s="491"/>
      <c r="DY40" s="491"/>
      <c r="DZ40" s="491"/>
      <c r="EA40" s="491"/>
      <c r="EB40" s="491"/>
      <c r="EC40" s="491"/>
      <c r="ED40" s="491"/>
      <c r="EE40" s="491"/>
      <c r="EF40" s="491"/>
      <c r="EG40" s="526"/>
      <c r="EH40" s="491"/>
      <c r="EI40" s="491"/>
      <c r="EJ40" s="491"/>
      <c r="EK40" s="491"/>
      <c r="EL40" s="491"/>
      <c r="EM40" s="491"/>
      <c r="EN40" s="491"/>
      <c r="EO40" s="491"/>
      <c r="EP40" s="491"/>
      <c r="EQ40" s="491"/>
      <c r="ER40" s="491"/>
      <c r="ES40" s="491"/>
      <c r="ET40" s="491"/>
      <c r="EU40" s="491"/>
      <c r="EV40" s="491"/>
      <c r="EW40" s="491"/>
      <c r="EX40" s="491"/>
      <c r="EY40" s="491"/>
      <c r="EZ40" s="491"/>
      <c r="FA40" s="491"/>
      <c r="FB40" s="491"/>
      <c r="FC40" s="526"/>
      <c r="FD40" s="491"/>
      <c r="FE40" s="491"/>
      <c r="FF40" s="491"/>
      <c r="FG40" s="491"/>
      <c r="FH40" s="491"/>
      <c r="FI40" s="491"/>
      <c r="FJ40" s="491"/>
      <c r="FK40" s="491"/>
      <c r="FL40" s="491"/>
      <c r="FM40" s="491"/>
      <c r="FN40" s="491"/>
      <c r="FO40" s="491"/>
      <c r="FP40" s="491"/>
      <c r="FQ40" s="491"/>
      <c r="FR40" s="491"/>
      <c r="FS40" s="491"/>
      <c r="FT40" s="491"/>
      <c r="FU40" s="491"/>
      <c r="FV40" s="491"/>
      <c r="FW40" s="491"/>
      <c r="FX40" s="491"/>
      <c r="FY40" s="491"/>
      <c r="FZ40" s="491"/>
      <c r="GA40" s="491"/>
      <c r="GB40" s="491"/>
      <c r="GC40" s="491"/>
      <c r="GD40" s="491"/>
      <c r="GE40" s="491"/>
      <c r="GF40" s="491"/>
      <c r="GG40" s="491"/>
      <c r="GH40" s="491"/>
      <c r="GI40" s="491"/>
      <c r="GJ40" s="491"/>
      <c r="GK40" s="491"/>
      <c r="GL40" s="491"/>
      <c r="GM40" s="491"/>
      <c r="GN40" s="491"/>
      <c r="GO40" s="526"/>
      <c r="GP40" s="491"/>
      <c r="GQ40" s="491"/>
      <c r="GR40" s="491"/>
      <c r="GS40" s="491"/>
      <c r="GT40" s="491"/>
      <c r="GU40" s="491"/>
      <c r="GV40" s="491"/>
      <c r="GW40" s="491"/>
      <c r="GX40" s="491"/>
      <c r="GY40" s="491"/>
      <c r="GZ40" s="491"/>
      <c r="HA40" s="491"/>
      <c r="HB40" s="491"/>
      <c r="HC40" s="491"/>
      <c r="HD40" s="491"/>
      <c r="HE40" s="491"/>
      <c r="HF40" s="491"/>
      <c r="HG40" s="491"/>
      <c r="HH40" s="491"/>
      <c r="HI40" s="491"/>
      <c r="HJ40" s="491"/>
      <c r="HK40" s="491"/>
      <c r="HL40" s="491"/>
      <c r="HM40" s="491"/>
      <c r="HN40" s="491"/>
      <c r="HO40" s="491"/>
      <c r="HP40" s="491"/>
      <c r="HQ40" s="491"/>
      <c r="HR40" s="491"/>
      <c r="HS40" s="491"/>
      <c r="HT40" s="491"/>
      <c r="HU40" s="491"/>
      <c r="HV40" s="491"/>
      <c r="HW40" s="491"/>
      <c r="HX40" s="491"/>
      <c r="HY40" s="526"/>
      <c r="HZ40" s="491"/>
      <c r="IA40" s="491"/>
      <c r="IB40" s="491"/>
      <c r="IC40" s="491"/>
      <c r="ID40" s="491"/>
      <c r="IE40" s="491"/>
      <c r="IF40" s="491"/>
      <c r="IG40" s="491"/>
      <c r="IH40" s="491"/>
      <c r="II40" s="491"/>
      <c r="IJ40" s="491"/>
      <c r="IK40" s="491"/>
      <c r="IL40" s="491"/>
      <c r="IM40" s="491"/>
      <c r="IN40" s="491"/>
      <c r="IO40" s="491"/>
      <c r="IP40" s="491"/>
      <c r="IQ40" s="491"/>
      <c r="IR40" s="491"/>
      <c r="IS40" s="491"/>
      <c r="IT40" s="491"/>
      <c r="IU40" s="491"/>
      <c r="IV40" s="491"/>
      <c r="IW40" s="491"/>
      <c r="IX40" s="491"/>
      <c r="IY40" s="491"/>
      <c r="IZ40" s="491"/>
      <c r="JA40" s="491"/>
      <c r="JB40" s="491"/>
      <c r="JC40" s="491"/>
      <c r="JD40" s="491"/>
      <c r="JE40" s="491"/>
      <c r="JF40" s="515"/>
      <c r="JG40" s="515"/>
      <c r="JH40" s="515"/>
      <c r="JI40" s="515"/>
      <c r="JJ40" s="515"/>
      <c r="JK40" s="530"/>
      <c r="JL40" s="515"/>
      <c r="JM40" s="515"/>
      <c r="JN40" s="515"/>
      <c r="JO40" s="515"/>
      <c r="JP40" s="515"/>
      <c r="JQ40" s="515"/>
      <c r="JR40" s="515"/>
      <c r="JS40" s="515"/>
      <c r="JT40" s="515"/>
      <c r="JU40" s="515"/>
      <c r="JV40" s="515"/>
      <c r="JW40" s="515"/>
      <c r="JX40" s="515"/>
      <c r="JY40" s="515"/>
      <c r="JZ40" s="515"/>
      <c r="KA40" s="515"/>
      <c r="KB40" s="542"/>
      <c r="KC40" s="515"/>
      <c r="KD40" s="515"/>
      <c r="KE40" s="515"/>
      <c r="KF40" s="515"/>
      <c r="KG40" s="515"/>
      <c r="KH40" s="515"/>
      <c r="KI40" s="515"/>
      <c r="KJ40" s="515"/>
      <c r="KK40" s="515"/>
      <c r="KL40" s="491"/>
      <c r="KM40" s="491"/>
      <c r="KN40" s="515"/>
      <c r="KO40" s="515"/>
      <c r="KP40" s="515"/>
      <c r="KQ40" s="515"/>
      <c r="KR40" s="515"/>
      <c r="KS40" s="515"/>
      <c r="KT40" s="515"/>
      <c r="KU40" s="543"/>
      <c r="KV40" s="491"/>
      <c r="KW40" s="491"/>
      <c r="KX40" s="491"/>
      <c r="KY40" s="491"/>
      <c r="KZ40" s="491"/>
      <c r="LA40" s="491"/>
      <c r="LB40" s="491"/>
      <c r="LC40" s="491"/>
      <c r="LD40" s="491"/>
      <c r="LE40" s="491"/>
      <c r="LF40" s="491"/>
      <c r="LG40" s="491"/>
      <c r="LH40" s="491"/>
      <c r="LI40" s="491"/>
      <c r="LJ40" s="491"/>
      <c r="LK40" s="491"/>
      <c r="LL40" s="491"/>
      <c r="LM40" s="491"/>
      <c r="LN40" s="491"/>
      <c r="LO40" s="491"/>
      <c r="LP40" s="529"/>
      <c r="LQ40" s="491"/>
      <c r="LR40" s="491"/>
      <c r="LS40" s="491"/>
      <c r="LT40" s="491"/>
      <c r="LU40" s="491"/>
      <c r="LV40" s="491"/>
      <c r="LW40" s="546"/>
      <c r="LX40" s="1459" t="s">
        <v>83</v>
      </c>
      <c r="LY40" s="1448"/>
      <c r="LZ40" s="1448"/>
      <c r="MA40" s="1448"/>
      <c r="MB40" s="1448"/>
      <c r="MC40" s="1448"/>
      <c r="MD40" s="1448"/>
      <c r="ME40" s="1448"/>
      <c r="MF40" s="1448"/>
      <c r="MG40" s="1449"/>
      <c r="MH40" s="547"/>
      <c r="MI40" s="491"/>
      <c r="MJ40" s="491"/>
      <c r="MK40" s="491"/>
      <c r="ML40" s="491"/>
      <c r="MM40" s="491"/>
      <c r="MN40" s="491"/>
      <c r="MO40" s="491"/>
      <c r="MP40" s="491"/>
      <c r="MQ40" s="491"/>
      <c r="MR40" s="491"/>
      <c r="MS40" s="491"/>
      <c r="MT40" s="491"/>
      <c r="MU40" s="491"/>
      <c r="MV40" s="491"/>
      <c r="MW40" s="491"/>
      <c r="MX40" s="491"/>
      <c r="MY40" s="491"/>
      <c r="MZ40" s="491"/>
      <c r="NA40" s="491"/>
      <c r="NB40" s="524"/>
      <c r="NC40" s="491"/>
      <c r="ND40" s="491"/>
      <c r="NE40" s="491"/>
      <c r="NF40" s="491"/>
      <c r="NG40" s="491"/>
      <c r="NH40" s="491"/>
      <c r="NI40" s="491"/>
      <c r="NJ40" s="491"/>
      <c r="NK40" s="491"/>
      <c r="NL40" s="491"/>
      <c r="NM40" s="491"/>
      <c r="NN40" s="491"/>
      <c r="NO40" s="491"/>
      <c r="NP40" s="491"/>
      <c r="NQ40" s="491"/>
      <c r="NR40" s="491"/>
      <c r="NS40" s="491"/>
      <c r="NT40" s="491"/>
      <c r="NU40" s="491"/>
      <c r="NV40" s="491"/>
      <c r="NW40" s="491"/>
      <c r="NX40" s="491"/>
      <c r="NY40" s="491"/>
      <c r="NZ40" s="491"/>
      <c r="PW40" s="482"/>
    </row>
    <row r="41" spans="8:470" ht="12.75" customHeight="1" x14ac:dyDescent="0.35">
      <c r="K41" s="482"/>
      <c r="AR41" s="541"/>
      <c r="AU41" s="491"/>
      <c r="AV41" s="491"/>
      <c r="AW41" s="491"/>
      <c r="AX41" s="491"/>
      <c r="AY41" s="491"/>
      <c r="AZ41" s="491"/>
      <c r="BA41" s="491"/>
      <c r="BB41" s="491"/>
      <c r="BC41" s="491"/>
      <c r="BD41" s="491"/>
      <c r="BE41" s="491"/>
      <c r="BF41" s="491"/>
      <c r="BG41" s="491"/>
      <c r="BH41" s="491"/>
      <c r="BI41" s="491"/>
      <c r="BJ41" s="491"/>
      <c r="BK41" s="491"/>
      <c r="BL41" s="491"/>
      <c r="BM41" s="491"/>
      <c r="BN41" s="491"/>
      <c r="BO41" s="491"/>
      <c r="BP41" s="491"/>
      <c r="BQ41" s="491"/>
      <c r="BR41" s="491"/>
      <c r="BS41" s="491"/>
      <c r="BT41" s="491"/>
      <c r="BU41" s="491"/>
      <c r="BV41" s="491"/>
      <c r="BW41" s="491"/>
      <c r="BX41" s="491"/>
      <c r="BY41" s="491"/>
      <c r="BZ41" s="491"/>
      <c r="CA41" s="491"/>
      <c r="CB41" s="491"/>
      <c r="CC41" s="491"/>
      <c r="CD41" s="491"/>
      <c r="CE41" s="491"/>
      <c r="CF41" s="491"/>
      <c r="CG41" s="491"/>
      <c r="CH41" s="491"/>
      <c r="CI41" s="491"/>
      <c r="CJ41" s="491"/>
      <c r="CK41" s="491"/>
      <c r="CL41" s="491"/>
      <c r="CM41" s="491"/>
      <c r="CN41" s="491"/>
      <c r="CO41" s="491"/>
      <c r="CP41" s="491"/>
      <c r="CQ41" s="491"/>
      <c r="CR41" s="491"/>
      <c r="CS41" s="491"/>
      <c r="CT41" s="491"/>
      <c r="CU41" s="491"/>
      <c r="CV41" s="491"/>
      <c r="CW41" s="491"/>
      <c r="CX41" s="491"/>
      <c r="CY41" s="491"/>
      <c r="CZ41" s="491"/>
      <c r="DA41" s="491"/>
      <c r="DB41" s="491"/>
      <c r="DC41" s="491"/>
      <c r="DD41" s="491"/>
      <c r="DE41" s="491"/>
      <c r="DF41" s="491"/>
      <c r="DG41" s="491"/>
      <c r="DH41" s="491"/>
      <c r="DI41" s="491"/>
      <c r="DJ41" s="491"/>
      <c r="DK41" s="491"/>
      <c r="DL41" s="491"/>
      <c r="DM41" s="491"/>
      <c r="DN41" s="491"/>
      <c r="DO41" s="492"/>
      <c r="DP41" s="491"/>
      <c r="DQ41" s="511"/>
      <c r="DR41" s="511"/>
      <c r="DS41" s="491"/>
      <c r="DT41" s="491"/>
      <c r="DU41" s="491"/>
      <c r="DV41" s="491"/>
      <c r="DW41" s="491"/>
      <c r="DX41" s="491"/>
      <c r="DY41" s="491"/>
      <c r="DZ41" s="491"/>
      <c r="EA41" s="491"/>
      <c r="EB41" s="491"/>
      <c r="EC41" s="491"/>
      <c r="ED41" s="491"/>
      <c r="EE41" s="491"/>
      <c r="EF41" s="491"/>
      <c r="EG41" s="526"/>
      <c r="EH41" s="491"/>
      <c r="EI41" s="491"/>
      <c r="EJ41" s="491"/>
      <c r="EK41" s="491"/>
      <c r="EL41" s="491"/>
      <c r="EM41" s="491"/>
      <c r="EN41" s="491"/>
      <c r="EO41" s="491"/>
      <c r="EP41" s="491"/>
      <c r="EQ41" s="491"/>
      <c r="ER41" s="491"/>
      <c r="ES41" s="491"/>
      <c r="ET41" s="491"/>
      <c r="EU41" s="491"/>
      <c r="EV41" s="491"/>
      <c r="EW41" s="491"/>
      <c r="EX41" s="491"/>
      <c r="EY41" s="491"/>
      <c r="EZ41" s="491"/>
      <c r="FA41" s="491"/>
      <c r="FB41" s="491"/>
      <c r="FC41" s="526"/>
      <c r="FD41" s="491"/>
      <c r="FE41" s="491"/>
      <c r="FF41" s="491"/>
      <c r="FG41" s="491"/>
      <c r="FH41" s="491"/>
      <c r="FI41" s="491"/>
      <c r="FJ41" s="491"/>
      <c r="FK41" s="491"/>
      <c r="FL41" s="491"/>
      <c r="FM41" s="491"/>
      <c r="FN41" s="491"/>
      <c r="FO41" s="491"/>
      <c r="FP41" s="491"/>
      <c r="FQ41" s="491"/>
      <c r="FR41" s="491"/>
      <c r="FS41" s="491"/>
      <c r="FT41" s="491"/>
      <c r="FU41" s="491"/>
      <c r="FV41" s="491"/>
      <c r="FW41" s="491"/>
      <c r="FX41" s="491"/>
      <c r="FY41" s="491"/>
      <c r="FZ41" s="491"/>
      <c r="GA41" s="491"/>
      <c r="GB41" s="491"/>
      <c r="GC41" s="491"/>
      <c r="GD41" s="491"/>
      <c r="GE41" s="491"/>
      <c r="GF41" s="491"/>
      <c r="GG41" s="491"/>
      <c r="GH41" s="491"/>
      <c r="GI41" s="491"/>
      <c r="GJ41" s="491"/>
      <c r="GK41" s="491"/>
      <c r="GL41" s="491"/>
      <c r="GM41" s="491"/>
      <c r="GN41" s="491"/>
      <c r="GO41" s="526"/>
      <c r="GP41" s="491"/>
      <c r="GQ41" s="491"/>
      <c r="GR41" s="491"/>
      <c r="GS41" s="491"/>
      <c r="GT41" s="491"/>
      <c r="GU41" s="491"/>
      <c r="GV41" s="491"/>
      <c r="GW41" s="491"/>
      <c r="GX41" s="491"/>
      <c r="GY41" s="491"/>
      <c r="GZ41" s="491"/>
      <c r="HA41" s="491"/>
      <c r="HB41" s="491"/>
      <c r="HC41" s="491"/>
      <c r="HD41" s="491"/>
      <c r="HE41" s="491"/>
      <c r="HF41" s="491"/>
      <c r="HG41" s="491"/>
      <c r="HH41" s="491"/>
      <c r="HI41" s="491"/>
      <c r="HJ41" s="491"/>
      <c r="HK41" s="491"/>
      <c r="HL41" s="491"/>
      <c r="HM41" s="491"/>
      <c r="HN41" s="491"/>
      <c r="HO41" s="491"/>
      <c r="HP41" s="491"/>
      <c r="HQ41" s="491"/>
      <c r="HR41" s="491"/>
      <c r="HS41" s="491"/>
      <c r="HT41" s="491"/>
      <c r="HU41" s="491"/>
      <c r="HV41" s="491"/>
      <c r="HW41" s="491"/>
      <c r="HX41" s="491"/>
      <c r="HY41" s="526"/>
      <c r="HZ41" s="491"/>
      <c r="IA41" s="491"/>
      <c r="IB41" s="491"/>
      <c r="IC41" s="491"/>
      <c r="ID41" s="491"/>
      <c r="IE41" s="491"/>
      <c r="IF41" s="491"/>
      <c r="IG41" s="491"/>
      <c r="IH41" s="491"/>
      <c r="II41" s="491"/>
      <c r="IJ41" s="491"/>
      <c r="IK41" s="491"/>
      <c r="IL41" s="491"/>
      <c r="IM41" s="491"/>
      <c r="IN41" s="491"/>
      <c r="IO41" s="491"/>
      <c r="IP41" s="491"/>
      <c r="IQ41" s="491"/>
      <c r="IR41" s="491"/>
      <c r="IS41" s="491"/>
      <c r="IT41" s="491"/>
      <c r="IU41" s="491"/>
      <c r="IV41" s="491"/>
      <c r="IW41" s="491"/>
      <c r="IX41" s="491"/>
      <c r="IY41" s="491"/>
      <c r="IZ41" s="491"/>
      <c r="JA41" s="491"/>
      <c r="JB41" s="491"/>
      <c r="JC41" s="491"/>
      <c r="JD41" s="491"/>
      <c r="JE41" s="491"/>
      <c r="JF41" s="515"/>
      <c r="JG41" s="515"/>
      <c r="JH41" s="515"/>
      <c r="JI41" s="515"/>
      <c r="JJ41" s="515"/>
      <c r="JK41" s="530"/>
      <c r="JL41" s="515"/>
      <c r="JM41" s="515"/>
      <c r="JN41" s="515"/>
      <c r="JO41" s="515"/>
      <c r="JP41" s="515"/>
      <c r="JQ41" s="515"/>
      <c r="JR41" s="515"/>
      <c r="JS41" s="515"/>
      <c r="JT41" s="515"/>
      <c r="JU41" s="515"/>
      <c r="JV41" s="515"/>
      <c r="JW41" s="515"/>
      <c r="JX41" s="515"/>
      <c r="JY41" s="515"/>
      <c r="JZ41" s="515"/>
      <c r="KA41" s="515"/>
      <c r="KB41" s="542"/>
      <c r="KC41" s="515"/>
      <c r="KD41" s="515"/>
      <c r="KE41" s="515"/>
      <c r="KF41" s="515"/>
      <c r="KG41" s="515"/>
      <c r="KH41" s="515"/>
      <c r="KI41" s="515"/>
      <c r="KJ41" s="515"/>
      <c r="KK41" s="515"/>
      <c r="KL41" s="491"/>
      <c r="KM41" s="491"/>
      <c r="KN41" s="515"/>
      <c r="KO41" s="515"/>
      <c r="KP41" s="515"/>
      <c r="KQ41" s="515"/>
      <c r="KR41" s="515"/>
      <c r="KS41" s="515"/>
      <c r="KT41" s="515"/>
      <c r="KU41" s="543"/>
      <c r="KV41" s="491"/>
      <c r="KW41" s="491"/>
      <c r="KX41" s="491"/>
      <c r="KY41" s="491"/>
      <c r="KZ41" s="491"/>
      <c r="LA41" s="491"/>
      <c r="LB41" s="491"/>
      <c r="LC41" s="491"/>
      <c r="LD41" s="491"/>
      <c r="LE41" s="491"/>
      <c r="LF41" s="491"/>
      <c r="LG41" s="491"/>
      <c r="LH41" s="491"/>
      <c r="LI41" s="491"/>
      <c r="LJ41" s="491"/>
      <c r="LK41" s="491"/>
      <c r="LL41" s="491"/>
      <c r="LM41" s="491"/>
      <c r="LN41" s="491"/>
      <c r="LO41" s="491"/>
      <c r="LP41" s="529"/>
      <c r="LQ41" s="491"/>
      <c r="LR41" s="491"/>
      <c r="LS41" s="491"/>
      <c r="LT41" s="491"/>
      <c r="LU41" s="491"/>
      <c r="LV41" s="491"/>
      <c r="LW41" s="550"/>
      <c r="LX41" s="551"/>
      <c r="LY41" s="551"/>
      <c r="LZ41" s="551"/>
      <c r="MA41" s="551"/>
      <c r="MB41" s="551"/>
      <c r="MC41" s="551"/>
      <c r="MD41" s="551"/>
      <c r="ME41" s="551"/>
      <c r="MF41" s="551"/>
      <c r="MG41" s="551"/>
      <c r="MH41" s="552"/>
      <c r="MI41" s="491"/>
      <c r="MJ41" s="491"/>
      <c r="MK41" s="491"/>
      <c r="ML41" s="491"/>
      <c r="MM41" s="491"/>
      <c r="MN41" s="491"/>
      <c r="MO41" s="491"/>
      <c r="MP41" s="491"/>
      <c r="MQ41" s="491"/>
      <c r="MR41" s="491"/>
      <c r="MS41" s="491"/>
      <c r="MT41" s="491"/>
      <c r="MU41" s="491"/>
      <c r="MV41" s="491"/>
      <c r="MW41" s="491"/>
      <c r="MX41" s="491"/>
      <c r="MY41" s="491"/>
      <c r="MZ41" s="491"/>
      <c r="NA41" s="491"/>
      <c r="NB41" s="524"/>
      <c r="NC41" s="491"/>
      <c r="ND41" s="491"/>
      <c r="NE41" s="491"/>
      <c r="NF41" s="491"/>
      <c r="NG41" s="491"/>
      <c r="NH41" s="491"/>
      <c r="NI41" s="491"/>
      <c r="NJ41" s="491"/>
      <c r="NK41" s="491"/>
      <c r="NL41" s="491"/>
      <c r="NM41" s="491"/>
      <c r="NN41" s="491"/>
      <c r="NO41" s="491"/>
      <c r="NP41" s="491"/>
      <c r="NQ41" s="491"/>
      <c r="NR41" s="491"/>
      <c r="NS41" s="491"/>
      <c r="NT41" s="491"/>
      <c r="NU41" s="491"/>
      <c r="NV41" s="491"/>
      <c r="NW41" s="491"/>
      <c r="NX41" s="491"/>
      <c r="NY41" s="491"/>
      <c r="NZ41" s="491"/>
      <c r="PW41" s="482"/>
    </row>
    <row r="42" spans="8:470" ht="12.75" customHeight="1" x14ac:dyDescent="0.35">
      <c r="K42" s="482"/>
      <c r="AR42" s="541"/>
      <c r="AU42" s="491"/>
      <c r="AV42" s="491"/>
      <c r="AW42" s="491"/>
      <c r="AX42" s="491"/>
      <c r="AY42" s="491"/>
      <c r="AZ42" s="491"/>
      <c r="BA42" s="491"/>
      <c r="BB42" s="491"/>
      <c r="BC42" s="491"/>
      <c r="BD42" s="491"/>
      <c r="BE42" s="491"/>
      <c r="BF42" s="491"/>
      <c r="BG42" s="491"/>
      <c r="BH42" s="491"/>
      <c r="BI42" s="491"/>
      <c r="BJ42" s="491"/>
      <c r="BK42" s="491"/>
      <c r="BL42" s="491"/>
      <c r="BM42" s="491"/>
      <c r="BN42" s="491"/>
      <c r="BO42" s="491"/>
      <c r="BP42" s="491"/>
      <c r="BQ42" s="491"/>
      <c r="BR42" s="491"/>
      <c r="BS42" s="491"/>
      <c r="BT42" s="491"/>
      <c r="BU42" s="491"/>
      <c r="BV42" s="491"/>
      <c r="BW42" s="491"/>
      <c r="BX42" s="491"/>
      <c r="BY42" s="491"/>
      <c r="BZ42" s="491"/>
      <c r="CA42" s="491"/>
      <c r="CB42" s="491"/>
      <c r="CC42" s="491"/>
      <c r="CD42" s="491"/>
      <c r="CE42" s="491"/>
      <c r="CF42" s="491"/>
      <c r="CG42" s="491"/>
      <c r="CH42" s="491"/>
      <c r="CI42" s="491"/>
      <c r="CJ42" s="491"/>
      <c r="CK42" s="491"/>
      <c r="CL42" s="491"/>
      <c r="CM42" s="491"/>
      <c r="CN42" s="491"/>
      <c r="CO42" s="491"/>
      <c r="CP42" s="491"/>
      <c r="CQ42" s="491"/>
      <c r="CR42" s="491"/>
      <c r="CS42" s="491"/>
      <c r="CT42" s="491"/>
      <c r="CU42" s="491"/>
      <c r="CV42" s="491"/>
      <c r="CW42" s="491"/>
      <c r="CX42" s="491"/>
      <c r="CY42" s="491"/>
      <c r="CZ42" s="491"/>
      <c r="DA42" s="491"/>
      <c r="DB42" s="491"/>
      <c r="DC42" s="491"/>
      <c r="DD42" s="491"/>
      <c r="DE42" s="491"/>
      <c r="DF42" s="491"/>
      <c r="DG42" s="491"/>
      <c r="DH42" s="491"/>
      <c r="DI42" s="491"/>
      <c r="DJ42" s="491"/>
      <c r="DK42" s="491"/>
      <c r="DL42" s="491"/>
      <c r="DM42" s="491"/>
      <c r="DN42" s="491"/>
      <c r="DO42" s="492"/>
      <c r="DP42" s="491"/>
      <c r="DQ42" s="511"/>
      <c r="DR42" s="511"/>
      <c r="DS42" s="491"/>
      <c r="DT42" s="491"/>
      <c r="DU42" s="491"/>
      <c r="DV42" s="491"/>
      <c r="DW42" s="491"/>
      <c r="DX42" s="491"/>
      <c r="DY42" s="491"/>
      <c r="DZ42" s="491"/>
      <c r="EA42" s="491"/>
      <c r="EB42" s="491"/>
      <c r="EC42" s="491"/>
      <c r="ED42" s="491"/>
      <c r="EE42" s="491"/>
      <c r="EF42" s="491"/>
      <c r="EG42" s="553"/>
      <c r="EH42" s="491"/>
      <c r="EI42" s="491"/>
      <c r="EJ42" s="491"/>
      <c r="EK42" s="491"/>
      <c r="EL42" s="488"/>
      <c r="EM42" s="491"/>
      <c r="EN42" s="491"/>
      <c r="EO42" s="491"/>
      <c r="EP42" s="491"/>
      <c r="EQ42" s="491"/>
      <c r="ER42" s="491"/>
      <c r="ES42" s="491"/>
      <c r="ET42" s="491"/>
      <c r="EU42" s="491"/>
      <c r="EV42" s="491"/>
      <c r="EW42" s="491"/>
      <c r="EX42" s="491"/>
      <c r="EY42" s="491"/>
      <c r="EZ42" s="491"/>
      <c r="FA42" s="491"/>
      <c r="FB42" s="491"/>
      <c r="FC42" s="526"/>
      <c r="FD42" s="491"/>
      <c r="FE42" s="491"/>
      <c r="FF42" s="491"/>
      <c r="FG42" s="491"/>
      <c r="FH42" s="488"/>
      <c r="FI42" s="491"/>
      <c r="FJ42" s="491"/>
      <c r="FK42" s="491"/>
      <c r="FL42" s="491"/>
      <c r="FM42" s="491"/>
      <c r="FN42" s="491"/>
      <c r="FO42" s="491"/>
      <c r="FP42" s="491"/>
      <c r="FQ42" s="491"/>
      <c r="FR42" s="491"/>
      <c r="FS42" s="491"/>
      <c r="FT42" s="491"/>
      <c r="FU42" s="491"/>
      <c r="FV42" s="491"/>
      <c r="FW42" s="491"/>
      <c r="FX42" s="491"/>
      <c r="FY42" s="491"/>
      <c r="FZ42" s="491"/>
      <c r="GA42" s="491"/>
      <c r="GB42" s="491"/>
      <c r="GC42" s="491"/>
      <c r="GD42" s="491"/>
      <c r="GE42" s="491"/>
      <c r="GF42" s="491"/>
      <c r="GG42" s="491"/>
      <c r="GH42" s="491"/>
      <c r="GI42" s="491"/>
      <c r="GJ42" s="491"/>
      <c r="GK42" s="491"/>
      <c r="GL42" s="491"/>
      <c r="GM42" s="491"/>
      <c r="GN42" s="491"/>
      <c r="GO42" s="526"/>
      <c r="GP42" s="491"/>
      <c r="GQ42" s="491"/>
      <c r="GR42" s="491"/>
      <c r="GS42" s="491"/>
      <c r="GT42" s="491"/>
      <c r="GU42" s="491"/>
      <c r="GV42" s="491"/>
      <c r="GW42" s="491"/>
      <c r="GX42" s="491"/>
      <c r="GY42" s="491"/>
      <c r="GZ42" s="491"/>
      <c r="HA42" s="491"/>
      <c r="HB42" s="491"/>
      <c r="HC42" s="491"/>
      <c r="HD42" s="491"/>
      <c r="HE42" s="491"/>
      <c r="HF42" s="491"/>
      <c r="HG42" s="491"/>
      <c r="HH42" s="491"/>
      <c r="HI42" s="491"/>
      <c r="HJ42" s="491"/>
      <c r="HK42" s="491"/>
      <c r="HL42" s="491"/>
      <c r="HM42" s="491"/>
      <c r="HN42" s="491"/>
      <c r="HO42" s="491"/>
      <c r="HP42" s="491"/>
      <c r="HQ42" s="491"/>
      <c r="HR42" s="491"/>
      <c r="HS42" s="491"/>
      <c r="HT42" s="491"/>
      <c r="HU42" s="491"/>
      <c r="HV42" s="491"/>
      <c r="HW42" s="491"/>
      <c r="HX42" s="491"/>
      <c r="HY42" s="526"/>
      <c r="HZ42" s="491"/>
      <c r="IA42" s="491"/>
      <c r="IB42" s="491"/>
      <c r="IC42" s="491"/>
      <c r="ID42" s="491"/>
      <c r="IE42" s="491"/>
      <c r="IF42" s="491"/>
      <c r="IG42" s="491"/>
      <c r="IH42" s="491"/>
      <c r="II42" s="491"/>
      <c r="IJ42" s="491"/>
      <c r="IK42" s="491"/>
      <c r="IL42" s="491"/>
      <c r="IM42" s="491"/>
      <c r="IN42" s="491"/>
      <c r="IO42" s="491"/>
      <c r="IP42" s="491"/>
      <c r="IQ42" s="491"/>
      <c r="IR42" s="491"/>
      <c r="IS42" s="491"/>
      <c r="IT42" s="491"/>
      <c r="IU42" s="491"/>
      <c r="IV42" s="491"/>
      <c r="IW42" s="491"/>
      <c r="IX42" s="491"/>
      <c r="IY42" s="491"/>
      <c r="IZ42" s="491"/>
      <c r="JA42" s="491"/>
      <c r="JB42" s="491"/>
      <c r="JC42" s="491"/>
      <c r="JD42" s="491"/>
      <c r="JE42" s="491"/>
      <c r="JF42" s="515"/>
      <c r="JG42" s="515"/>
      <c r="JH42" s="515"/>
      <c r="JI42" s="515"/>
      <c r="JJ42" s="515"/>
      <c r="JK42" s="530"/>
      <c r="JL42" s="515"/>
      <c r="JM42" s="515"/>
      <c r="JN42" s="515"/>
      <c r="JO42" s="515"/>
      <c r="JP42" s="515"/>
      <c r="JQ42" s="515"/>
      <c r="JR42" s="515"/>
      <c r="JS42" s="515"/>
      <c r="JT42" s="515"/>
      <c r="JU42" s="515"/>
      <c r="JV42" s="515"/>
      <c r="JW42" s="515"/>
      <c r="JX42" s="515"/>
      <c r="JY42" s="515"/>
      <c r="JZ42" s="515"/>
      <c r="KA42" s="515"/>
      <c r="KB42" s="554"/>
      <c r="KC42" s="515"/>
      <c r="KD42" s="515"/>
      <c r="KE42" s="515"/>
      <c r="KF42" s="555"/>
      <c r="KG42" s="515"/>
      <c r="KH42" s="515"/>
      <c r="KI42" s="515"/>
      <c r="KJ42" s="515"/>
      <c r="KK42" s="515"/>
      <c r="KL42" s="491"/>
      <c r="KM42" s="491"/>
      <c r="KN42" s="515"/>
      <c r="KO42" s="491"/>
      <c r="KP42" s="491"/>
      <c r="KQ42" s="491"/>
      <c r="KR42" s="491"/>
      <c r="KS42" s="515"/>
      <c r="KT42" s="515"/>
      <c r="KU42" s="543"/>
      <c r="KV42" s="491"/>
      <c r="KW42" s="491"/>
      <c r="KX42" s="491"/>
      <c r="KY42" s="491"/>
      <c r="KZ42" s="491"/>
      <c r="LA42" s="491"/>
      <c r="LB42" s="491"/>
      <c r="LC42" s="491"/>
      <c r="LD42" s="491"/>
      <c r="LE42" s="491"/>
      <c r="LF42" s="491"/>
      <c r="LG42" s="491"/>
      <c r="LH42" s="491"/>
      <c r="LI42" s="491"/>
      <c r="LJ42" s="491"/>
      <c r="LK42" s="491"/>
      <c r="LL42" s="491"/>
      <c r="LM42" s="491"/>
      <c r="LN42" s="491"/>
      <c r="LO42" s="491"/>
      <c r="LP42" s="529"/>
      <c r="LQ42" s="491"/>
      <c r="LR42" s="491"/>
      <c r="LS42" s="491"/>
      <c r="LT42" s="491"/>
      <c r="LU42" s="491"/>
      <c r="LV42" s="491"/>
      <c r="LW42" s="500"/>
      <c r="LX42" s="500"/>
      <c r="LY42" s="500"/>
      <c r="LZ42" s="500"/>
      <c r="MA42" s="500"/>
      <c r="MB42" s="500"/>
      <c r="MC42" s="500"/>
      <c r="MD42" s="491"/>
      <c r="ME42" s="491"/>
      <c r="MF42" s="491"/>
      <c r="MG42" s="491"/>
      <c r="MH42" s="491"/>
      <c r="MI42" s="491"/>
      <c r="MJ42" s="491"/>
      <c r="MK42" s="491"/>
      <c r="ML42" s="491"/>
      <c r="MM42" s="491"/>
      <c r="MN42" s="491"/>
      <c r="MO42" s="491"/>
      <c r="MP42" s="491"/>
      <c r="MQ42" s="491"/>
      <c r="MR42" s="491"/>
      <c r="MS42" s="491"/>
      <c r="MT42" s="491"/>
      <c r="MU42" s="491"/>
      <c r="MV42" s="491"/>
      <c r="MW42" s="491"/>
      <c r="MX42" s="491"/>
      <c r="MY42" s="491"/>
      <c r="MZ42" s="491"/>
      <c r="NA42" s="491"/>
      <c r="NB42" s="524"/>
      <c r="NC42" s="491"/>
      <c r="ND42" s="491"/>
      <c r="NE42" s="491"/>
      <c r="NF42" s="491"/>
      <c r="NG42" s="491"/>
      <c r="NH42" s="491"/>
      <c r="NI42" s="491"/>
      <c r="NJ42" s="491"/>
      <c r="NK42" s="491"/>
      <c r="NL42" s="491"/>
      <c r="NM42" s="491"/>
      <c r="NN42" s="491"/>
      <c r="NO42" s="491"/>
      <c r="NP42" s="491"/>
      <c r="NQ42" s="491"/>
      <c r="NR42" s="491"/>
      <c r="NS42" s="491"/>
      <c r="NT42" s="491"/>
      <c r="NU42" s="491"/>
      <c r="NV42" s="491"/>
      <c r="NW42" s="491"/>
      <c r="NX42" s="491"/>
      <c r="NY42" s="491"/>
      <c r="NZ42" s="491"/>
      <c r="PW42" s="482"/>
    </row>
    <row r="43" spans="8:470" ht="12.75" customHeight="1" x14ac:dyDescent="0.35">
      <c r="K43" s="482"/>
      <c r="AR43" s="541"/>
      <c r="AU43" s="491"/>
      <c r="AV43" s="491"/>
      <c r="AW43" s="491"/>
      <c r="AX43" s="491"/>
      <c r="AY43" s="491"/>
      <c r="AZ43" s="491"/>
      <c r="BA43" s="491"/>
      <c r="BB43" s="491"/>
      <c r="BC43" s="491"/>
      <c r="BD43" s="491"/>
      <c r="BE43" s="491"/>
      <c r="BF43" s="491"/>
      <c r="BG43" s="491"/>
      <c r="BH43" s="491"/>
      <c r="BI43" s="491"/>
      <c r="BJ43" s="491"/>
      <c r="BK43" s="491"/>
      <c r="BL43" s="491"/>
      <c r="BM43" s="491"/>
      <c r="BN43" s="491"/>
      <c r="BO43" s="491"/>
      <c r="BP43" s="491"/>
      <c r="BQ43" s="491"/>
      <c r="BR43" s="491"/>
      <c r="BS43" s="491"/>
      <c r="BT43" s="491"/>
      <c r="BU43" s="491"/>
      <c r="BV43" s="491"/>
      <c r="BW43" s="491"/>
      <c r="BX43" s="491"/>
      <c r="BY43" s="491"/>
      <c r="BZ43" s="491"/>
      <c r="CA43" s="491"/>
      <c r="CB43" s="491"/>
      <c r="CC43" s="491"/>
      <c r="CD43" s="491"/>
      <c r="CE43" s="491"/>
      <c r="CF43" s="491"/>
      <c r="CG43" s="491"/>
      <c r="CH43" s="491"/>
      <c r="CI43" s="491"/>
      <c r="CJ43" s="491"/>
      <c r="CK43" s="491"/>
      <c r="CL43" s="491"/>
      <c r="CM43" s="491"/>
      <c r="CN43" s="491"/>
      <c r="CO43" s="491"/>
      <c r="CP43" s="497"/>
      <c r="CQ43" s="497"/>
      <c r="CR43" s="497"/>
      <c r="CS43" s="497"/>
      <c r="CT43" s="497"/>
      <c r="CU43" s="497"/>
      <c r="CV43" s="497"/>
      <c r="CW43" s="497"/>
      <c r="CX43" s="497"/>
      <c r="CY43" s="497"/>
      <c r="CZ43" s="497"/>
      <c r="DA43" s="497"/>
      <c r="DB43" s="497"/>
      <c r="DC43" s="497"/>
      <c r="DD43" s="497"/>
      <c r="DE43" s="556"/>
      <c r="DF43" s="556"/>
      <c r="DG43" s="556"/>
      <c r="DH43" s="556"/>
      <c r="DI43" s="556"/>
      <c r="DJ43" s="556"/>
      <c r="DK43" s="556"/>
      <c r="DL43" s="556"/>
      <c r="DM43" s="556"/>
      <c r="DN43" s="556"/>
      <c r="DO43" s="556"/>
      <c r="DP43" s="556"/>
      <c r="DQ43" s="556"/>
      <c r="DR43" s="556"/>
      <c r="DS43" s="556"/>
      <c r="DT43" s="494"/>
      <c r="DU43" s="494"/>
      <c r="DV43" s="494"/>
      <c r="DW43" s="494"/>
      <c r="DX43" s="556"/>
      <c r="DY43" s="556"/>
      <c r="DZ43" s="556"/>
      <c r="EA43" s="556"/>
      <c r="EB43" s="556"/>
      <c r="EC43" s="557">
        <v>0.5</v>
      </c>
      <c r="ED43" s="1456" t="s">
        <v>5019</v>
      </c>
      <c r="EE43" s="1457"/>
      <c r="EF43" s="1457"/>
      <c r="EG43" s="1457"/>
      <c r="EH43" s="1457"/>
      <c r="EI43" s="1457"/>
      <c r="EJ43" s="1457"/>
      <c r="EK43" s="1457"/>
      <c r="EL43" s="1458"/>
      <c r="EM43" s="491"/>
      <c r="EN43" s="491"/>
      <c r="EO43" s="491"/>
      <c r="EP43" s="491"/>
      <c r="EQ43" s="491"/>
      <c r="ER43" s="491"/>
      <c r="ES43" s="491"/>
      <c r="ET43" s="491"/>
      <c r="EU43" s="491"/>
      <c r="EV43" s="491"/>
      <c r="EW43" s="491"/>
      <c r="EX43" s="491"/>
      <c r="EY43" s="558">
        <v>1</v>
      </c>
      <c r="EZ43" s="559" t="s">
        <v>5020</v>
      </c>
      <c r="FA43" s="560"/>
      <c r="FB43" s="561"/>
      <c r="FC43" s="562"/>
      <c r="FD43" s="561"/>
      <c r="FE43" s="561"/>
      <c r="FF43" s="561"/>
      <c r="FG43" s="561"/>
      <c r="FH43" s="563"/>
      <c r="FI43" s="491"/>
      <c r="FJ43" s="491"/>
      <c r="FK43" s="491"/>
      <c r="FL43" s="491"/>
      <c r="FM43" s="491"/>
      <c r="FN43" s="491"/>
      <c r="FO43" s="491"/>
      <c r="FP43" s="491"/>
      <c r="FQ43" s="491"/>
      <c r="FR43" s="491"/>
      <c r="FS43" s="491"/>
      <c r="FT43" s="491"/>
      <c r="FU43" s="491"/>
      <c r="FV43" s="491"/>
      <c r="FW43" s="491"/>
      <c r="FX43" s="491"/>
      <c r="FY43" s="491"/>
      <c r="FZ43" s="491"/>
      <c r="GA43" s="491"/>
      <c r="GB43" s="491"/>
      <c r="GC43" s="491"/>
      <c r="GD43" s="491"/>
      <c r="GE43" s="491"/>
      <c r="GF43" s="491"/>
      <c r="GG43" s="491"/>
      <c r="GH43" s="491"/>
      <c r="GI43" s="491"/>
      <c r="GJ43" s="491"/>
      <c r="GK43" s="491"/>
      <c r="GL43" s="491"/>
      <c r="GM43" s="491"/>
      <c r="GN43" s="491"/>
      <c r="GO43" s="526"/>
      <c r="GP43" s="491"/>
      <c r="GQ43" s="491"/>
      <c r="GR43" s="491"/>
      <c r="GS43" s="491"/>
      <c r="GT43" s="491"/>
      <c r="GU43" s="491"/>
      <c r="GV43" s="491"/>
      <c r="GW43" s="491"/>
      <c r="GX43" s="491"/>
      <c r="GY43" s="491"/>
      <c r="GZ43" s="491"/>
      <c r="HA43" s="491"/>
      <c r="HB43" s="491"/>
      <c r="HC43" s="491"/>
      <c r="HD43" s="491"/>
      <c r="HE43" s="491"/>
      <c r="HF43" s="491"/>
      <c r="HG43" s="491"/>
      <c r="HH43" s="491"/>
      <c r="HI43" s="491"/>
      <c r="HJ43" s="491"/>
      <c r="HK43" s="491"/>
      <c r="HL43" s="491"/>
      <c r="HM43" s="491"/>
      <c r="HN43" s="491"/>
      <c r="HO43" s="491"/>
      <c r="HP43" s="491"/>
      <c r="HQ43" s="491"/>
      <c r="HR43" s="491"/>
      <c r="HS43" s="491"/>
      <c r="HT43" s="491"/>
      <c r="HU43" s="491"/>
      <c r="HV43" s="491"/>
      <c r="HW43" s="491"/>
      <c r="HX43" s="491"/>
      <c r="HY43" s="526"/>
      <c r="HZ43" s="491"/>
      <c r="IA43" s="491"/>
      <c r="IB43" s="491"/>
      <c r="IC43" s="491"/>
      <c r="ID43" s="491"/>
      <c r="IE43" s="491"/>
      <c r="IF43" s="491"/>
      <c r="IG43" s="491"/>
      <c r="IH43" s="491"/>
      <c r="II43" s="491"/>
      <c r="IJ43" s="491"/>
      <c r="IK43" s="491"/>
      <c r="IL43" s="491"/>
      <c r="IM43" s="491"/>
      <c r="IN43" s="491"/>
      <c r="IO43" s="491"/>
      <c r="IP43" s="491"/>
      <c r="IQ43" s="491"/>
      <c r="IR43" s="491"/>
      <c r="IS43" s="491"/>
      <c r="IT43" s="491"/>
      <c r="IU43" s="491"/>
      <c r="IV43" s="491"/>
      <c r="IW43" s="491"/>
      <c r="IX43" s="491"/>
      <c r="IY43" s="491"/>
      <c r="IZ43" s="491"/>
      <c r="JA43" s="491"/>
      <c r="JB43" s="491"/>
      <c r="JC43" s="491"/>
      <c r="JD43" s="491"/>
      <c r="JE43" s="491"/>
      <c r="JF43" s="491"/>
      <c r="JG43" s="491"/>
      <c r="JH43" s="491"/>
      <c r="JI43" s="491"/>
      <c r="JJ43" s="491"/>
      <c r="JK43" s="526"/>
      <c r="JL43" s="491"/>
      <c r="JM43" s="491"/>
      <c r="JN43" s="491"/>
      <c r="JO43" s="491"/>
      <c r="JP43" s="491"/>
      <c r="JQ43" s="491"/>
      <c r="JR43" s="491"/>
      <c r="JS43" s="491"/>
      <c r="JT43" s="491"/>
      <c r="JU43" s="491"/>
      <c r="JV43" s="491"/>
      <c r="JW43" s="516">
        <v>0.5</v>
      </c>
      <c r="JX43" s="1469" t="s">
        <v>4842</v>
      </c>
      <c r="JY43" s="1469"/>
      <c r="JZ43" s="1469"/>
      <c r="KA43" s="1469"/>
      <c r="KB43" s="1469"/>
      <c r="KC43" s="1469"/>
      <c r="KD43" s="1469"/>
      <c r="KE43" s="1469"/>
      <c r="KF43" s="1469"/>
      <c r="KG43" s="491"/>
      <c r="KH43" s="491"/>
      <c r="KI43" s="491"/>
      <c r="KJ43" s="491"/>
      <c r="KK43" s="491"/>
      <c r="KL43" s="491"/>
      <c r="KM43" s="491"/>
      <c r="KN43" s="491"/>
      <c r="KO43" s="491"/>
      <c r="KP43" s="491"/>
      <c r="KQ43" s="491"/>
      <c r="KR43" s="491"/>
      <c r="KS43" s="491"/>
      <c r="KT43" s="491"/>
      <c r="KU43" s="564"/>
      <c r="KV43" s="491"/>
      <c r="KW43" s="491"/>
      <c r="KX43" s="491"/>
      <c r="KY43" s="491"/>
      <c r="KZ43" s="491"/>
      <c r="LA43" s="491"/>
      <c r="LB43" s="491"/>
      <c r="LC43" s="491"/>
      <c r="LD43" s="491"/>
      <c r="LE43" s="491"/>
      <c r="LF43" s="491"/>
      <c r="LG43" s="491"/>
      <c r="LH43" s="491"/>
      <c r="LI43" s="491"/>
      <c r="LJ43" s="491"/>
      <c r="LK43" s="491"/>
      <c r="LL43" s="491"/>
      <c r="LM43" s="491"/>
      <c r="LN43" s="491"/>
      <c r="LO43" s="491"/>
      <c r="LP43" s="529"/>
      <c r="LQ43" s="491"/>
      <c r="LR43" s="491"/>
      <c r="LS43" s="491"/>
      <c r="LT43" s="491"/>
      <c r="LU43" s="491"/>
      <c r="LV43" s="491"/>
      <c r="LW43" s="491"/>
      <c r="LX43" s="491"/>
      <c r="LY43" s="491"/>
      <c r="LZ43" s="491"/>
      <c r="MA43" s="491"/>
      <c r="MB43" s="491"/>
      <c r="MC43" s="491"/>
      <c r="MD43" s="491"/>
      <c r="ME43" s="491"/>
      <c r="MF43" s="491"/>
      <c r="MG43" s="491"/>
      <c r="MH43" s="491"/>
      <c r="MI43" s="491"/>
      <c r="MJ43" s="491"/>
      <c r="MK43" s="491"/>
      <c r="ML43" s="491"/>
      <c r="MM43" s="491"/>
      <c r="MN43" s="491"/>
      <c r="MO43" s="491"/>
      <c r="MP43" s="491"/>
      <c r="MQ43" s="491"/>
      <c r="MR43" s="491"/>
      <c r="MS43" s="491"/>
      <c r="MT43" s="491"/>
      <c r="MU43" s="491"/>
      <c r="MV43" s="491"/>
      <c r="MW43" s="491"/>
      <c r="MX43" s="491"/>
      <c r="MY43" s="491"/>
      <c r="MZ43" s="491"/>
      <c r="NA43" s="491"/>
      <c r="NB43" s="524"/>
      <c r="NC43" s="491"/>
      <c r="ND43" s="491"/>
      <c r="NE43" s="491"/>
      <c r="NF43" s="491"/>
      <c r="NG43" s="491"/>
      <c r="NH43" s="491"/>
      <c r="NI43" s="491"/>
      <c r="NJ43" s="491"/>
      <c r="NK43" s="491"/>
      <c r="NL43" s="491"/>
      <c r="NM43" s="491"/>
      <c r="NN43" s="491"/>
      <c r="NO43" s="491"/>
      <c r="NP43" s="491"/>
      <c r="NQ43" s="491"/>
      <c r="NR43" s="491"/>
      <c r="NS43" s="491"/>
      <c r="NT43" s="491"/>
      <c r="NU43" s="491"/>
      <c r="NV43" s="491"/>
      <c r="NW43" s="491"/>
      <c r="NX43" s="491"/>
      <c r="NY43" s="491"/>
      <c r="NZ43" s="491"/>
      <c r="PW43" s="482"/>
    </row>
    <row r="44" spans="8:470" ht="12.75" customHeight="1" x14ac:dyDescent="0.35">
      <c r="K44" s="482"/>
      <c r="AR44" s="541"/>
      <c r="AU44" s="491"/>
      <c r="AV44" s="491"/>
      <c r="AW44" s="491"/>
      <c r="AX44" s="491"/>
      <c r="AY44" s="491"/>
      <c r="AZ44" s="491"/>
      <c r="BA44" s="491"/>
      <c r="BB44" s="491"/>
      <c r="BC44" s="491"/>
      <c r="BD44" s="491"/>
      <c r="BE44" s="491"/>
      <c r="BF44" s="491"/>
      <c r="BG44" s="491"/>
      <c r="BH44" s="491"/>
      <c r="BI44" s="491"/>
      <c r="BJ44" s="491"/>
      <c r="BK44" s="491"/>
      <c r="BL44" s="491"/>
      <c r="BM44" s="491"/>
      <c r="BN44" s="491"/>
      <c r="BO44" s="491"/>
      <c r="BP44" s="491"/>
      <c r="BQ44" s="491"/>
      <c r="BR44" s="491"/>
      <c r="BS44" s="491"/>
      <c r="BT44" s="491"/>
      <c r="BU44" s="491"/>
      <c r="BV44" s="491"/>
      <c r="BW44" s="491"/>
      <c r="BX44" s="491"/>
      <c r="BY44" s="491"/>
      <c r="BZ44" s="491"/>
      <c r="CA44" s="491"/>
      <c r="CB44" s="491"/>
      <c r="CC44" s="491"/>
      <c r="CD44" s="491"/>
      <c r="CE44" s="491"/>
      <c r="CF44" s="491"/>
      <c r="CG44" s="491"/>
      <c r="CH44" s="491"/>
      <c r="CI44" s="491"/>
      <c r="CJ44" s="491"/>
      <c r="CK44" s="491"/>
      <c r="CL44" s="491"/>
      <c r="CM44" s="491"/>
      <c r="CN44" s="491"/>
      <c r="CO44" s="524"/>
      <c r="CP44" s="491"/>
      <c r="CQ44" s="491"/>
      <c r="CR44" s="491"/>
      <c r="CS44" s="491"/>
      <c r="CT44" s="491"/>
      <c r="CU44" s="491"/>
      <c r="CV44" s="491"/>
      <c r="CW44" s="491"/>
      <c r="CX44" s="491"/>
      <c r="CY44" s="491"/>
      <c r="CZ44" s="491"/>
      <c r="DA44" s="491"/>
      <c r="DB44" s="491"/>
      <c r="DC44" s="565"/>
      <c r="DD44" s="491"/>
      <c r="DE44" s="491"/>
      <c r="DF44" s="491"/>
      <c r="DG44" s="491"/>
      <c r="DH44" s="491"/>
      <c r="DI44" s="491"/>
      <c r="DJ44" s="491"/>
      <c r="DK44" s="491"/>
      <c r="DL44" s="491"/>
      <c r="DM44" s="491"/>
      <c r="DN44" s="491"/>
      <c r="DO44" s="491"/>
      <c r="DP44" s="491"/>
      <c r="DQ44" s="491"/>
      <c r="DR44" s="491"/>
      <c r="DS44" s="491"/>
      <c r="DT44" s="491"/>
      <c r="DU44" s="491"/>
      <c r="DV44" s="491"/>
      <c r="DW44" s="491"/>
      <c r="DX44" s="491"/>
      <c r="DY44" s="491"/>
      <c r="DZ44" s="491"/>
      <c r="EA44" s="491"/>
      <c r="EB44" s="491"/>
      <c r="EC44" s="1447" t="s">
        <v>5021</v>
      </c>
      <c r="ED44" s="1448"/>
      <c r="EE44" s="1448"/>
      <c r="EF44" s="1448"/>
      <c r="EG44" s="1448"/>
      <c r="EH44" s="1448"/>
      <c r="EI44" s="1448"/>
      <c r="EJ44" s="1448"/>
      <c r="EK44" s="1448"/>
      <c r="EL44" s="1449"/>
      <c r="EM44" s="491"/>
      <c r="EN44" s="491"/>
      <c r="EO44" s="491"/>
      <c r="EP44" s="491"/>
      <c r="EQ44" s="491"/>
      <c r="ER44" s="491"/>
      <c r="ES44" s="491"/>
      <c r="ET44" s="491"/>
      <c r="EU44" s="491"/>
      <c r="EV44" s="491"/>
      <c r="EW44" s="491"/>
      <c r="EX44" s="491"/>
      <c r="EY44" s="1447" t="s">
        <v>5022</v>
      </c>
      <c r="EZ44" s="1448"/>
      <c r="FA44" s="1448"/>
      <c r="FB44" s="1448"/>
      <c r="FC44" s="1448"/>
      <c r="FD44" s="1448"/>
      <c r="FE44" s="1448"/>
      <c r="FF44" s="1448"/>
      <c r="FG44" s="1448"/>
      <c r="FH44" s="1449"/>
      <c r="FI44" s="491"/>
      <c r="FJ44" s="491"/>
      <c r="FK44" s="491"/>
      <c r="FL44" s="491"/>
      <c r="FM44" s="491"/>
      <c r="FN44" s="491"/>
      <c r="FO44" s="491"/>
      <c r="FP44" s="491"/>
      <c r="FQ44" s="491"/>
      <c r="FR44" s="491"/>
      <c r="FS44" s="491"/>
      <c r="FT44" s="491"/>
      <c r="FU44" s="491"/>
      <c r="FV44" s="491"/>
      <c r="FW44" s="491"/>
      <c r="FX44" s="491"/>
      <c r="FY44" s="491"/>
      <c r="FZ44" s="491"/>
      <c r="GA44" s="491"/>
      <c r="GB44" s="491"/>
      <c r="GC44" s="491"/>
      <c r="GD44" s="491"/>
      <c r="GE44" s="491"/>
      <c r="GF44" s="491"/>
      <c r="GG44" s="491"/>
      <c r="GH44" s="491"/>
      <c r="GI44" s="491"/>
      <c r="GJ44" s="491"/>
      <c r="GK44" s="491"/>
      <c r="GL44" s="491"/>
      <c r="GM44" s="491"/>
      <c r="GN44" s="491"/>
      <c r="GO44" s="526"/>
      <c r="GP44" s="491"/>
      <c r="GQ44" s="491"/>
      <c r="GR44" s="491"/>
      <c r="GS44" s="491"/>
      <c r="GT44" s="491"/>
      <c r="GU44" s="491"/>
      <c r="GV44" s="491"/>
      <c r="GW44" s="491"/>
      <c r="GX44" s="491"/>
      <c r="GY44" s="491"/>
      <c r="GZ44" s="491"/>
      <c r="HA44" s="491"/>
      <c r="HB44" s="491"/>
      <c r="HC44" s="491"/>
      <c r="HD44" s="491"/>
      <c r="HE44" s="491"/>
      <c r="HF44" s="491"/>
      <c r="HG44" s="491"/>
      <c r="HH44" s="491"/>
      <c r="HI44" s="491"/>
      <c r="HJ44" s="491"/>
      <c r="HK44" s="491"/>
      <c r="HL44" s="491"/>
      <c r="HM44" s="491"/>
      <c r="HN44" s="491"/>
      <c r="HO44" s="491"/>
      <c r="HP44" s="491"/>
      <c r="HQ44" s="491"/>
      <c r="HR44" s="491"/>
      <c r="HS44" s="491"/>
      <c r="HT44" s="491"/>
      <c r="HU44" s="491"/>
      <c r="HV44" s="491"/>
      <c r="HW44" s="491"/>
      <c r="HX44" s="491"/>
      <c r="HY44" s="526"/>
      <c r="HZ44" s="491"/>
      <c r="IA44" s="491"/>
      <c r="IB44" s="491"/>
      <c r="IC44" s="491"/>
      <c r="ID44" s="491"/>
      <c r="IE44" s="491"/>
      <c r="IF44" s="491"/>
      <c r="IG44" s="491"/>
      <c r="IH44" s="491"/>
      <c r="II44" s="491"/>
      <c r="IJ44" s="491"/>
      <c r="IK44" s="491"/>
      <c r="IL44" s="491"/>
      <c r="IM44" s="491"/>
      <c r="IN44" s="491"/>
      <c r="IO44" s="491"/>
      <c r="IP44" s="491"/>
      <c r="IQ44" s="491"/>
      <c r="IR44" s="491"/>
      <c r="IS44" s="491"/>
      <c r="IT44" s="491"/>
      <c r="IU44" s="491"/>
      <c r="IV44" s="491"/>
      <c r="IW44" s="491"/>
      <c r="IX44" s="491"/>
      <c r="IY44" s="491"/>
      <c r="IZ44" s="491"/>
      <c r="JA44" s="491"/>
      <c r="JB44" s="491"/>
      <c r="JC44" s="491"/>
      <c r="JD44" s="491"/>
      <c r="JE44" s="491"/>
      <c r="JF44" s="491"/>
      <c r="JG44" s="491"/>
      <c r="JH44" s="491"/>
      <c r="JI44" s="491"/>
      <c r="JJ44" s="491"/>
      <c r="JK44" s="526"/>
      <c r="JL44" s="491"/>
      <c r="JM44" s="491"/>
      <c r="JN44" s="491"/>
      <c r="JO44" s="491"/>
      <c r="JP44" s="491"/>
      <c r="JQ44" s="491"/>
      <c r="JR44" s="491"/>
      <c r="JS44" s="491"/>
      <c r="JT44" s="491"/>
      <c r="JU44" s="491"/>
      <c r="JV44" s="491"/>
      <c r="JW44" s="1476" t="s">
        <v>5023</v>
      </c>
      <c r="JX44" s="1476" t="s">
        <v>4873</v>
      </c>
      <c r="JY44" s="1476"/>
      <c r="JZ44" s="1476"/>
      <c r="KA44" s="1476"/>
      <c r="KB44" s="1476"/>
      <c r="KC44" s="1476"/>
      <c r="KD44" s="1476"/>
      <c r="KE44" s="1476"/>
      <c r="KF44" s="1476"/>
      <c r="KG44" s="491"/>
      <c r="KH44" s="491"/>
      <c r="KI44" s="491"/>
      <c r="KJ44" s="491"/>
      <c r="KK44" s="491"/>
      <c r="KL44" s="491"/>
      <c r="KM44" s="491"/>
      <c r="KN44" s="491"/>
      <c r="KO44" s="491"/>
      <c r="KP44" s="491"/>
      <c r="KQ44" s="491"/>
      <c r="KR44" s="491"/>
      <c r="KS44" s="491"/>
      <c r="KT44" s="491"/>
      <c r="KU44" s="564"/>
      <c r="KV44" s="491"/>
      <c r="KW44" s="491"/>
      <c r="KX44" s="491"/>
      <c r="KY44" s="491"/>
      <c r="KZ44" s="491"/>
      <c r="LA44" s="491"/>
      <c r="LB44" s="491"/>
      <c r="LC44" s="491"/>
      <c r="LD44" s="491"/>
      <c r="LE44" s="491"/>
      <c r="LF44" s="491"/>
      <c r="LG44" s="491"/>
      <c r="LH44" s="491"/>
      <c r="LI44" s="491"/>
      <c r="LJ44" s="491"/>
      <c r="LK44" s="491"/>
      <c r="LL44" s="491"/>
      <c r="LM44" s="491"/>
      <c r="LN44" s="491"/>
      <c r="LO44" s="491"/>
      <c r="LP44" s="529"/>
      <c r="LQ44" s="491"/>
      <c r="LR44" s="491"/>
      <c r="LS44" s="491"/>
      <c r="LT44" s="491"/>
      <c r="LU44" s="491"/>
      <c r="LV44" s="491"/>
      <c r="LW44" s="491"/>
      <c r="LX44" s="491"/>
      <c r="LY44" s="491"/>
      <c r="LZ44" s="491"/>
      <c r="MA44" s="491"/>
      <c r="MB44" s="491"/>
      <c r="MC44" s="491"/>
      <c r="MD44" s="491"/>
      <c r="ME44" s="491"/>
      <c r="MF44" s="491"/>
      <c r="MG44" s="491"/>
      <c r="MH44" s="491"/>
      <c r="MI44" s="491"/>
      <c r="MJ44" s="491"/>
      <c r="MK44" s="491"/>
      <c r="ML44" s="491"/>
      <c r="MM44" s="491"/>
      <c r="MN44" s="491"/>
      <c r="MO44" s="491"/>
      <c r="MP44" s="491"/>
      <c r="MQ44" s="491"/>
      <c r="MR44" s="491"/>
      <c r="MS44" s="491"/>
      <c r="MT44" s="491"/>
      <c r="MU44" s="491"/>
      <c r="MV44" s="491"/>
      <c r="MW44" s="491"/>
      <c r="MX44" s="491"/>
      <c r="MY44" s="491"/>
      <c r="MZ44" s="491"/>
      <c r="NA44" s="491"/>
      <c r="NB44" s="524"/>
      <c r="NC44" s="491"/>
      <c r="ND44" s="491"/>
      <c r="NE44" s="491"/>
      <c r="NF44" s="491"/>
      <c r="NG44" s="491"/>
      <c r="NH44" s="491"/>
      <c r="NI44" s="491"/>
      <c r="NJ44" s="491"/>
      <c r="NK44" s="491"/>
      <c r="NL44" s="491"/>
      <c r="NM44" s="491"/>
      <c r="NN44" s="491"/>
      <c r="NO44" s="491"/>
      <c r="NP44" s="491"/>
      <c r="NQ44" s="491"/>
      <c r="NR44" s="491"/>
      <c r="NS44" s="491"/>
      <c r="NT44" s="491"/>
      <c r="NU44" s="491"/>
      <c r="NV44" s="491"/>
      <c r="NW44" s="491"/>
      <c r="NX44" s="491"/>
      <c r="NY44" s="491"/>
      <c r="NZ44" s="491"/>
      <c r="PW44" s="482"/>
    </row>
    <row r="45" spans="8:470" ht="12.75" customHeight="1" x14ac:dyDescent="0.35">
      <c r="K45" s="482"/>
      <c r="AR45" s="541"/>
      <c r="AU45" s="491"/>
      <c r="AV45" s="491"/>
      <c r="AW45" s="491"/>
      <c r="AX45" s="491"/>
      <c r="AY45" s="491"/>
      <c r="AZ45" s="491"/>
      <c r="BA45" s="491"/>
      <c r="BB45" s="491"/>
      <c r="BC45" s="491"/>
      <c r="BD45" s="491"/>
      <c r="BE45" s="491"/>
      <c r="BF45" s="491"/>
      <c r="BG45" s="491"/>
      <c r="BH45" s="491"/>
      <c r="BI45" s="491"/>
      <c r="BJ45" s="491"/>
      <c r="BK45" s="491"/>
      <c r="BL45" s="491"/>
      <c r="BM45" s="491"/>
      <c r="BN45" s="491"/>
      <c r="BO45" s="491"/>
      <c r="BP45" s="491"/>
      <c r="BQ45" s="491"/>
      <c r="BR45" s="491"/>
      <c r="BS45" s="491"/>
      <c r="BT45" s="491"/>
      <c r="BU45" s="491"/>
      <c r="BV45" s="491"/>
      <c r="BW45" s="491"/>
      <c r="BX45" s="491"/>
      <c r="BY45" s="491"/>
      <c r="BZ45" s="491"/>
      <c r="CA45" s="491"/>
      <c r="CB45" s="491"/>
      <c r="CC45" s="491"/>
      <c r="CD45" s="491"/>
      <c r="CE45" s="491"/>
      <c r="CF45" s="491"/>
      <c r="CG45" s="491"/>
      <c r="CH45" s="491"/>
      <c r="CI45" s="491"/>
      <c r="CJ45" s="491"/>
      <c r="CK45" s="491"/>
      <c r="CL45" s="491"/>
      <c r="CM45" s="491"/>
      <c r="CN45" s="491"/>
      <c r="CO45" s="524"/>
      <c r="CP45" s="491"/>
      <c r="CQ45" s="491"/>
      <c r="CR45" s="491"/>
      <c r="CS45" s="491"/>
      <c r="CT45" s="491"/>
      <c r="CU45" s="491"/>
      <c r="CV45" s="491"/>
      <c r="CW45" s="491"/>
      <c r="CX45" s="491"/>
      <c r="CY45" s="491"/>
      <c r="CZ45" s="491"/>
      <c r="DA45" s="491"/>
      <c r="DB45" s="491"/>
      <c r="DC45" s="491"/>
      <c r="DD45" s="491"/>
      <c r="DE45" s="491"/>
      <c r="DF45" s="491"/>
      <c r="DG45" s="491"/>
      <c r="DH45" s="491"/>
      <c r="DI45" s="491"/>
      <c r="DJ45" s="491"/>
      <c r="DK45" s="491"/>
      <c r="DL45" s="491"/>
      <c r="DM45" s="491"/>
      <c r="DN45" s="491"/>
      <c r="DO45" s="491"/>
      <c r="DP45" s="491"/>
      <c r="DQ45" s="491"/>
      <c r="DR45" s="491"/>
      <c r="DS45" s="491"/>
      <c r="DT45" s="491"/>
      <c r="DU45" s="491"/>
      <c r="DV45" s="491"/>
      <c r="DW45" s="491"/>
      <c r="DX45" s="491"/>
      <c r="DY45" s="491"/>
      <c r="DZ45" s="491"/>
      <c r="EA45" s="491"/>
      <c r="EB45" s="491"/>
      <c r="EC45" s="491"/>
      <c r="ED45" s="491"/>
      <c r="EE45" s="491"/>
      <c r="EF45" s="491"/>
      <c r="EG45" s="491"/>
      <c r="EH45" s="491"/>
      <c r="EI45" s="491"/>
      <c r="EJ45" s="491"/>
      <c r="EK45" s="491"/>
      <c r="EL45" s="491"/>
      <c r="EM45" s="491"/>
      <c r="EN45" s="491"/>
      <c r="EO45" s="491"/>
      <c r="EP45" s="491"/>
      <c r="EQ45" s="491"/>
      <c r="ER45" s="491"/>
      <c r="ES45" s="491"/>
      <c r="ET45" s="491"/>
      <c r="EU45" s="491"/>
      <c r="EV45" s="491"/>
      <c r="EW45" s="491"/>
      <c r="EX45" s="491"/>
      <c r="EY45" s="491"/>
      <c r="EZ45" s="491"/>
      <c r="FA45" s="491"/>
      <c r="FB45" s="491"/>
      <c r="FC45" s="526"/>
      <c r="FD45" s="491"/>
      <c r="FE45" s="491"/>
      <c r="FF45" s="491"/>
      <c r="FG45" s="491"/>
      <c r="FH45" s="491"/>
      <c r="FI45" s="491"/>
      <c r="FJ45" s="491"/>
      <c r="FK45" s="491"/>
      <c r="FL45" s="491"/>
      <c r="FM45" s="491"/>
      <c r="FN45" s="491"/>
      <c r="FO45" s="491"/>
      <c r="FP45" s="491"/>
      <c r="FQ45" s="491"/>
      <c r="FR45" s="491"/>
      <c r="FS45" s="491"/>
      <c r="FT45" s="491"/>
      <c r="FU45" s="491"/>
      <c r="FV45" s="491"/>
      <c r="FW45" s="491"/>
      <c r="FX45" s="491"/>
      <c r="FY45" s="491"/>
      <c r="FZ45" s="491"/>
      <c r="GA45" s="491"/>
      <c r="GB45" s="491"/>
      <c r="GC45" s="491"/>
      <c r="GD45" s="491"/>
      <c r="GE45" s="491"/>
      <c r="GF45" s="491"/>
      <c r="GG45" s="491"/>
      <c r="GH45" s="491"/>
      <c r="GI45" s="491"/>
      <c r="GJ45" s="491"/>
      <c r="GK45" s="491"/>
      <c r="GL45" s="491"/>
      <c r="GM45" s="491"/>
      <c r="GN45" s="491"/>
      <c r="GO45" s="526"/>
      <c r="GP45" s="491"/>
      <c r="GQ45" s="491"/>
      <c r="GR45" s="491"/>
      <c r="GS45" s="491"/>
      <c r="GT45" s="491"/>
      <c r="GU45" s="491"/>
      <c r="GV45" s="491"/>
      <c r="GW45" s="491"/>
      <c r="GX45" s="491"/>
      <c r="GY45" s="491"/>
      <c r="GZ45" s="491"/>
      <c r="HA45" s="491"/>
      <c r="HB45" s="491"/>
      <c r="HC45" s="491"/>
      <c r="HD45" s="491"/>
      <c r="HE45" s="491"/>
      <c r="HF45" s="491"/>
      <c r="HG45" s="491"/>
      <c r="HH45" s="491"/>
      <c r="HI45" s="491"/>
      <c r="HJ45" s="491"/>
      <c r="HK45" s="491"/>
      <c r="HL45" s="491"/>
      <c r="HM45" s="491"/>
      <c r="HN45" s="491"/>
      <c r="HO45" s="491"/>
      <c r="HP45" s="491"/>
      <c r="HQ45" s="491"/>
      <c r="HR45" s="491"/>
      <c r="HS45" s="491"/>
      <c r="HT45" s="491"/>
      <c r="HU45" s="491"/>
      <c r="HV45" s="491"/>
      <c r="HW45" s="491"/>
      <c r="HX45" s="491"/>
      <c r="HY45" s="526"/>
      <c r="HZ45" s="491"/>
      <c r="IA45" s="491"/>
      <c r="IB45" s="491"/>
      <c r="IC45" s="491"/>
      <c r="ID45" s="491"/>
      <c r="IE45" s="491"/>
      <c r="IF45" s="491"/>
      <c r="IG45" s="491"/>
      <c r="IH45" s="491"/>
      <c r="II45" s="491"/>
      <c r="IJ45" s="491"/>
      <c r="IK45" s="491"/>
      <c r="IL45" s="491"/>
      <c r="IM45" s="491"/>
      <c r="IN45" s="491"/>
      <c r="IO45" s="491"/>
      <c r="IP45" s="491"/>
      <c r="IQ45" s="491"/>
      <c r="IR45" s="491"/>
      <c r="IS45" s="491"/>
      <c r="IT45" s="491"/>
      <c r="IU45" s="491"/>
      <c r="IV45" s="491"/>
      <c r="IW45" s="491"/>
      <c r="IX45" s="491"/>
      <c r="IY45" s="491"/>
      <c r="IZ45" s="491"/>
      <c r="JA45" s="491"/>
      <c r="JB45" s="491"/>
      <c r="JC45" s="491"/>
      <c r="JD45" s="491"/>
      <c r="JE45" s="491"/>
      <c r="JF45" s="491"/>
      <c r="JG45" s="491"/>
      <c r="JH45" s="491"/>
      <c r="JI45" s="491"/>
      <c r="JJ45" s="491"/>
      <c r="JK45" s="526"/>
      <c r="JL45" s="491"/>
      <c r="JM45" s="491"/>
      <c r="JN45" s="491"/>
      <c r="JO45" s="491"/>
      <c r="JP45" s="491"/>
      <c r="JQ45" s="491"/>
      <c r="JR45" s="491"/>
      <c r="JS45" s="491"/>
      <c r="JT45" s="491"/>
      <c r="JU45" s="491"/>
      <c r="JV45" s="491"/>
      <c r="JW45" s="500"/>
      <c r="JX45" s="500"/>
      <c r="JY45" s="500"/>
      <c r="JZ45" s="500"/>
      <c r="KA45" s="500"/>
      <c r="KB45" s="566"/>
      <c r="KC45" s="491"/>
      <c r="KD45" s="491"/>
      <c r="KE45" s="491"/>
      <c r="KF45" s="491"/>
      <c r="KG45" s="491"/>
      <c r="KH45" s="491"/>
      <c r="KI45" s="491"/>
      <c r="KJ45" s="491"/>
      <c r="KK45" s="491"/>
      <c r="KL45" s="491"/>
      <c r="KM45" s="491"/>
      <c r="KN45" s="491"/>
      <c r="KO45" s="491"/>
      <c r="KP45" s="491"/>
      <c r="KQ45" s="491"/>
      <c r="KR45" s="491"/>
      <c r="KS45" s="491"/>
      <c r="KT45" s="491"/>
      <c r="KU45" s="564"/>
      <c r="KV45" s="491"/>
      <c r="KW45" s="491"/>
      <c r="KX45" s="491"/>
      <c r="KY45" s="491"/>
      <c r="KZ45" s="491"/>
      <c r="LA45" s="491"/>
      <c r="LB45" s="491"/>
      <c r="LC45" s="491"/>
      <c r="LD45" s="491"/>
      <c r="LE45" s="491"/>
      <c r="LF45" s="491"/>
      <c r="LG45" s="491"/>
      <c r="LH45" s="491"/>
      <c r="LI45" s="491"/>
      <c r="LJ45" s="491"/>
      <c r="LK45" s="491"/>
      <c r="LL45" s="491"/>
      <c r="LM45" s="491"/>
      <c r="LN45" s="491"/>
      <c r="LO45" s="491"/>
      <c r="LP45" s="529"/>
      <c r="LQ45" s="491"/>
      <c r="LR45" s="491"/>
      <c r="LS45" s="491"/>
      <c r="LT45" s="491"/>
      <c r="LU45" s="491"/>
      <c r="LV45" s="491"/>
      <c r="LW45" s="491"/>
      <c r="LX45" s="491"/>
      <c r="LY45" s="491"/>
      <c r="LZ45" s="491"/>
      <c r="MA45" s="491"/>
      <c r="MB45" s="491"/>
      <c r="MC45" s="491"/>
      <c r="MD45" s="491"/>
      <c r="ME45" s="491"/>
      <c r="MF45" s="491"/>
      <c r="MG45" s="491"/>
      <c r="MH45" s="491"/>
      <c r="MI45" s="491"/>
      <c r="MJ45" s="491"/>
      <c r="MK45" s="491"/>
      <c r="ML45" s="491"/>
      <c r="MM45" s="491"/>
      <c r="MN45" s="491"/>
      <c r="MO45" s="491"/>
      <c r="MP45" s="491"/>
      <c r="MQ45" s="491"/>
      <c r="MR45" s="491"/>
      <c r="MS45" s="491"/>
      <c r="MT45" s="491"/>
      <c r="MU45" s="491"/>
      <c r="MV45" s="491"/>
      <c r="MW45" s="491"/>
      <c r="MX45" s="491"/>
      <c r="MY45" s="491"/>
      <c r="MZ45" s="491"/>
      <c r="NA45" s="491"/>
      <c r="NB45" s="524"/>
      <c r="NC45" s="491"/>
      <c r="ND45" s="491"/>
      <c r="NE45" s="491"/>
      <c r="NF45" s="491"/>
      <c r="NG45" s="491"/>
      <c r="NH45" s="491"/>
      <c r="NI45" s="491"/>
      <c r="NJ45" s="491"/>
      <c r="NK45" s="491"/>
      <c r="NL45" s="491"/>
      <c r="NM45" s="491"/>
      <c r="NN45" s="491"/>
      <c r="NO45" s="491"/>
      <c r="NP45" s="491"/>
      <c r="NQ45" s="491"/>
      <c r="NR45" s="491"/>
      <c r="NS45" s="491"/>
      <c r="NT45" s="491"/>
      <c r="NU45" s="491"/>
      <c r="NV45" s="491"/>
      <c r="NW45" s="491"/>
      <c r="NX45" s="491"/>
      <c r="NY45" s="491"/>
      <c r="NZ45" s="491"/>
      <c r="PW45" s="482"/>
      <c r="QA45" s="491"/>
      <c r="QB45" s="491"/>
      <c r="QC45" s="491"/>
      <c r="QD45" s="491"/>
      <c r="QE45" s="491"/>
      <c r="QF45" s="491"/>
      <c r="QG45" s="491"/>
      <c r="QH45" s="491"/>
      <c r="QI45" s="491"/>
      <c r="QJ45" s="491"/>
      <c r="QK45" s="491"/>
      <c r="QL45" s="491"/>
      <c r="QM45" s="491"/>
      <c r="QN45" s="491"/>
      <c r="QO45" s="491"/>
      <c r="QP45" s="491"/>
      <c r="QQ45" s="491"/>
      <c r="QR45" s="491"/>
      <c r="QS45" s="491"/>
      <c r="QT45" s="491"/>
      <c r="QU45" s="491"/>
      <c r="QV45" s="491"/>
      <c r="QW45" s="491"/>
      <c r="QX45" s="491"/>
      <c r="QY45" s="491"/>
      <c r="QZ45" s="491"/>
      <c r="RA45" s="491"/>
      <c r="RB45" s="491"/>
    </row>
    <row r="46" spans="8:470" ht="12.75" customHeight="1" x14ac:dyDescent="0.35">
      <c r="K46" s="482"/>
      <c r="AR46" s="541"/>
      <c r="AU46" s="491"/>
      <c r="AV46" s="491"/>
      <c r="AW46" s="491"/>
      <c r="AX46" s="491"/>
      <c r="AY46" s="491"/>
      <c r="AZ46" s="491"/>
      <c r="BA46" s="491"/>
      <c r="BB46" s="491"/>
      <c r="BC46" s="491"/>
      <c r="BD46" s="491"/>
      <c r="BE46" s="491"/>
      <c r="BF46" s="491"/>
      <c r="BG46" s="491"/>
      <c r="BH46" s="491"/>
      <c r="BI46" s="491"/>
      <c r="BJ46" s="491"/>
      <c r="BK46" s="491"/>
      <c r="BL46" s="491"/>
      <c r="BM46" s="491"/>
      <c r="BN46" s="491"/>
      <c r="BO46" s="491"/>
      <c r="BP46" s="491"/>
      <c r="BQ46" s="511"/>
      <c r="BR46" s="491"/>
      <c r="BS46" s="491"/>
      <c r="BT46" s="491"/>
      <c r="BU46" s="491"/>
      <c r="BV46" s="491"/>
      <c r="BW46" s="491"/>
      <c r="BX46" s="491"/>
      <c r="BY46" s="491"/>
      <c r="BZ46" s="491"/>
      <c r="CA46" s="491"/>
      <c r="CB46" s="491"/>
      <c r="CC46" s="491"/>
      <c r="CD46" s="491"/>
      <c r="CE46" s="491"/>
      <c r="CF46" s="491"/>
      <c r="CG46" s="491"/>
      <c r="CH46" s="491"/>
      <c r="CI46" s="491"/>
      <c r="CJ46" s="491"/>
      <c r="CK46" s="491"/>
      <c r="CL46" s="491"/>
      <c r="CM46" s="491"/>
      <c r="CN46" s="491"/>
      <c r="CO46" s="524"/>
      <c r="CP46" s="491"/>
      <c r="CQ46" s="491"/>
      <c r="CR46" s="491"/>
      <c r="CS46" s="491"/>
      <c r="CT46" s="491"/>
      <c r="CU46" s="491"/>
      <c r="CV46" s="491"/>
      <c r="CW46" s="491"/>
      <c r="CX46" s="491"/>
      <c r="CY46" s="491"/>
      <c r="CZ46" s="491"/>
      <c r="DA46" s="491"/>
      <c r="DB46" s="491"/>
      <c r="DC46" s="491"/>
      <c r="DD46" s="491"/>
      <c r="DE46" s="491"/>
      <c r="DF46" s="491"/>
      <c r="DG46" s="491"/>
      <c r="DH46" s="491"/>
      <c r="DI46" s="491"/>
      <c r="DJ46" s="491"/>
      <c r="DK46" s="491"/>
      <c r="DL46" s="491"/>
      <c r="DM46" s="491"/>
      <c r="DN46" s="491"/>
      <c r="DO46" s="491"/>
      <c r="DP46" s="491"/>
      <c r="DQ46" s="491"/>
      <c r="DR46" s="491"/>
      <c r="DS46" s="491"/>
      <c r="DT46" s="491"/>
      <c r="DU46" s="491"/>
      <c r="DV46" s="491"/>
      <c r="DW46" s="491"/>
      <c r="DX46" s="491"/>
      <c r="DY46" s="491"/>
      <c r="DZ46" s="491"/>
      <c r="EA46" s="491"/>
      <c r="EB46" s="491"/>
      <c r="EC46" s="491"/>
      <c r="ED46" s="491"/>
      <c r="EE46" s="491"/>
      <c r="EF46" s="491"/>
      <c r="EG46" s="491"/>
      <c r="EH46" s="491"/>
      <c r="EI46" s="491"/>
      <c r="EJ46" s="491"/>
      <c r="EK46" s="491"/>
      <c r="EL46" s="491"/>
      <c r="EM46" s="491"/>
      <c r="EN46" s="491"/>
      <c r="EO46" s="491"/>
      <c r="EP46" s="491"/>
      <c r="EQ46" s="491"/>
      <c r="ER46" s="491"/>
      <c r="ES46" s="491"/>
      <c r="ET46" s="491"/>
      <c r="EU46" s="491"/>
      <c r="EV46" s="491"/>
      <c r="EW46" s="491"/>
      <c r="EX46" s="491"/>
      <c r="EY46" s="491"/>
      <c r="EZ46" s="491"/>
      <c r="FA46" s="491"/>
      <c r="FB46" s="491"/>
      <c r="FC46" s="526"/>
      <c r="FD46" s="491"/>
      <c r="FE46" s="491"/>
      <c r="FF46" s="491"/>
      <c r="FG46" s="491"/>
      <c r="FH46" s="491"/>
      <c r="FI46" s="491"/>
      <c r="FJ46" s="491"/>
      <c r="FK46" s="491"/>
      <c r="FL46" s="491"/>
      <c r="FM46" s="491"/>
      <c r="FN46" s="491"/>
      <c r="FO46" s="491"/>
      <c r="FP46" s="491"/>
      <c r="FQ46" s="491"/>
      <c r="FR46" s="491"/>
      <c r="FS46" s="491"/>
      <c r="FT46" s="491"/>
      <c r="FU46" s="491"/>
      <c r="FV46" s="491"/>
      <c r="FW46" s="491"/>
      <c r="FX46" s="491"/>
      <c r="FY46" s="491"/>
      <c r="FZ46" s="491"/>
      <c r="GA46" s="491"/>
      <c r="GB46" s="491"/>
      <c r="GC46" s="491"/>
      <c r="GD46" s="491"/>
      <c r="GE46" s="491"/>
      <c r="GF46" s="491"/>
      <c r="GG46" s="491"/>
      <c r="GH46" s="491"/>
      <c r="GI46" s="491"/>
      <c r="GJ46" s="491"/>
      <c r="GK46" s="491"/>
      <c r="GL46" s="491"/>
      <c r="GM46" s="491"/>
      <c r="GN46" s="491"/>
      <c r="GO46" s="526"/>
      <c r="GP46" s="491"/>
      <c r="GQ46" s="491"/>
      <c r="GR46" s="491"/>
      <c r="GS46" s="491"/>
      <c r="GT46" s="491"/>
      <c r="GU46" s="491"/>
      <c r="GV46" s="491"/>
      <c r="GW46" s="491"/>
      <c r="GX46" s="491"/>
      <c r="GY46" s="491"/>
      <c r="GZ46" s="491"/>
      <c r="HA46" s="491"/>
      <c r="HB46" s="491"/>
      <c r="HC46" s="491"/>
      <c r="HD46" s="491"/>
      <c r="HE46" s="491"/>
      <c r="HF46" s="491"/>
      <c r="HG46" s="491"/>
      <c r="HH46" s="491"/>
      <c r="HI46" s="491"/>
      <c r="HJ46" s="491"/>
      <c r="HK46" s="491"/>
      <c r="HL46" s="491"/>
      <c r="HM46" s="491"/>
      <c r="HN46" s="491"/>
      <c r="HO46" s="491"/>
      <c r="HP46" s="491"/>
      <c r="HQ46" s="491"/>
      <c r="HR46" s="491"/>
      <c r="HS46" s="491"/>
      <c r="HT46" s="491"/>
      <c r="HU46" s="491"/>
      <c r="HV46" s="491"/>
      <c r="HW46" s="491"/>
      <c r="HX46" s="491"/>
      <c r="HY46" s="553"/>
      <c r="HZ46" s="491"/>
      <c r="IA46" s="491"/>
      <c r="IB46" s="491"/>
      <c r="IC46" s="491"/>
      <c r="ID46" s="510"/>
      <c r="IE46" s="491"/>
      <c r="IF46" s="491"/>
      <c r="IG46" s="491"/>
      <c r="IH46" s="491"/>
      <c r="II46" s="491"/>
      <c r="IJ46" s="491"/>
      <c r="IK46" s="491"/>
      <c r="IL46" s="491"/>
      <c r="IM46" s="491"/>
      <c r="IN46" s="491"/>
      <c r="IO46" s="491"/>
      <c r="IP46" s="491"/>
      <c r="IQ46" s="491"/>
      <c r="IR46" s="491"/>
      <c r="IS46" s="491"/>
      <c r="IT46" s="491"/>
      <c r="IU46" s="491"/>
      <c r="IV46" s="491"/>
      <c r="IW46" s="491"/>
      <c r="IX46" s="491"/>
      <c r="IY46" s="491"/>
      <c r="IZ46" s="491"/>
      <c r="JA46" s="491"/>
      <c r="JB46" s="491"/>
      <c r="JC46" s="491"/>
      <c r="JD46" s="491"/>
      <c r="JE46" s="491"/>
      <c r="JF46" s="491"/>
      <c r="JG46" s="491"/>
      <c r="JH46" s="491"/>
      <c r="JI46" s="491"/>
      <c r="JJ46" s="491"/>
      <c r="JK46" s="553"/>
      <c r="JL46" s="491"/>
      <c r="JM46" s="491"/>
      <c r="JN46" s="491"/>
      <c r="JO46" s="491"/>
      <c r="JP46" s="491"/>
      <c r="JQ46" s="567">
        <f>JH47</f>
        <v>0.5</v>
      </c>
      <c r="JR46" s="491"/>
      <c r="JS46" s="491"/>
      <c r="JT46" s="491"/>
      <c r="JU46" s="491"/>
      <c r="JV46" s="491"/>
      <c r="JW46" s="491"/>
      <c r="JX46" s="491"/>
      <c r="JY46" s="491"/>
      <c r="JZ46" s="491"/>
      <c r="KA46" s="491"/>
      <c r="KB46" s="526"/>
      <c r="KC46" s="491"/>
      <c r="KD46" s="491"/>
      <c r="KE46" s="491"/>
      <c r="KF46" s="491"/>
      <c r="KG46" s="491"/>
      <c r="KH46" s="491"/>
      <c r="KI46" s="491"/>
      <c r="KJ46" s="491"/>
      <c r="KK46" s="491"/>
      <c r="KL46" s="491"/>
      <c r="KM46" s="491"/>
      <c r="KN46" s="491"/>
      <c r="KO46" s="491"/>
      <c r="KP46" s="491"/>
      <c r="KQ46" s="491"/>
      <c r="KR46" s="491"/>
      <c r="KS46" s="491"/>
      <c r="KT46" s="491"/>
      <c r="KU46" s="564"/>
      <c r="KV46" s="491"/>
      <c r="KW46" s="491"/>
      <c r="KX46" s="491"/>
      <c r="KY46" s="491"/>
      <c r="KZ46" s="491"/>
      <c r="LA46" s="491"/>
      <c r="LB46" s="491"/>
      <c r="LC46" s="491"/>
      <c r="LD46" s="491"/>
      <c r="LE46" s="491"/>
      <c r="LF46" s="491"/>
      <c r="LG46" s="491"/>
      <c r="LH46" s="491"/>
      <c r="LI46" s="491"/>
      <c r="LJ46" s="491"/>
      <c r="LK46" s="491"/>
      <c r="LL46" s="491"/>
      <c r="LM46" s="491"/>
      <c r="LN46" s="491"/>
      <c r="LO46" s="491"/>
      <c r="LP46" s="529"/>
      <c r="LQ46" s="491"/>
      <c r="LR46" s="491"/>
      <c r="LS46" s="491"/>
      <c r="LT46" s="491"/>
      <c r="LU46" s="491"/>
      <c r="LV46" s="491"/>
      <c r="LW46" s="491"/>
      <c r="LX46" s="491"/>
      <c r="LY46" s="491"/>
      <c r="LZ46" s="491"/>
      <c r="MA46" s="491"/>
      <c r="MB46" s="491"/>
      <c r="MC46" s="491"/>
      <c r="MD46" s="491"/>
      <c r="ME46" s="491"/>
      <c r="MF46" s="491"/>
      <c r="MG46" s="567">
        <f>SUM(LL52,LL55,LA58,LA60,LL58,LL60,LL62,LL64,LL66,LL68,LL70,LW58,LW60+LX39)</f>
        <v>11</v>
      </c>
      <c r="MH46" s="491"/>
      <c r="MI46" s="491"/>
      <c r="MJ46" s="491"/>
      <c r="MK46" s="491"/>
      <c r="ML46" s="491"/>
      <c r="MM46" s="491"/>
      <c r="MN46" s="491"/>
      <c r="MO46" s="491"/>
      <c r="MP46" s="491"/>
      <c r="MQ46" s="491"/>
      <c r="MR46" s="491"/>
      <c r="MS46" s="491"/>
      <c r="MT46" s="491"/>
      <c r="MU46" s="491"/>
      <c r="MV46" s="491"/>
      <c r="MW46" s="491"/>
      <c r="MX46" s="491"/>
      <c r="MY46" s="491"/>
      <c r="MZ46" s="491"/>
      <c r="NA46" s="491"/>
      <c r="NB46" s="524"/>
      <c r="NC46" s="491"/>
      <c r="ND46" s="491"/>
      <c r="NE46" s="491"/>
      <c r="NF46" s="491"/>
      <c r="NG46" s="491"/>
      <c r="NH46" s="491"/>
      <c r="NI46" s="491"/>
      <c r="NJ46" s="491"/>
      <c r="NK46" s="491"/>
      <c r="NL46" s="491"/>
      <c r="NM46" s="491"/>
      <c r="NN46" s="491"/>
      <c r="NO46" s="491"/>
      <c r="NP46" s="491"/>
      <c r="NQ46" s="491"/>
      <c r="NR46" s="491"/>
      <c r="NS46" s="488"/>
      <c r="NT46" s="491"/>
      <c r="NU46" s="491"/>
      <c r="NV46" s="491"/>
      <c r="NW46" s="491"/>
      <c r="NX46" s="491"/>
      <c r="NY46" s="491"/>
      <c r="NZ46" s="491"/>
      <c r="PW46" s="482"/>
      <c r="QA46" s="491"/>
      <c r="QB46" s="491"/>
      <c r="QC46" s="491"/>
      <c r="QD46" s="491"/>
      <c r="QE46" s="491"/>
      <c r="QF46" s="491"/>
      <c r="QG46" s="491"/>
      <c r="QH46" s="491"/>
      <c r="QI46" s="491"/>
      <c r="QJ46" s="491"/>
      <c r="QK46" s="491"/>
      <c r="QL46" s="491"/>
      <c r="QM46" s="491"/>
      <c r="QN46" s="491"/>
      <c r="QO46" s="491"/>
      <c r="QP46" s="491"/>
      <c r="QQ46" s="491"/>
      <c r="QR46" s="491"/>
      <c r="QS46" s="491"/>
      <c r="QT46" s="491"/>
      <c r="QU46" s="491"/>
      <c r="QV46" s="491"/>
      <c r="QW46" s="491"/>
      <c r="QX46" s="491"/>
      <c r="QY46" s="491"/>
      <c r="QZ46" s="491"/>
      <c r="RA46" s="491"/>
      <c r="RB46" s="491"/>
    </row>
    <row r="47" spans="8:470" ht="12.75" customHeight="1" x14ac:dyDescent="0.35">
      <c r="K47" s="482"/>
      <c r="AR47" s="541"/>
      <c r="AU47" s="491"/>
      <c r="AV47" s="491"/>
      <c r="AW47" s="491"/>
      <c r="AX47" s="491"/>
      <c r="AY47" s="491"/>
      <c r="AZ47" s="491"/>
      <c r="BA47" s="491"/>
      <c r="BB47" s="491"/>
      <c r="BC47" s="491"/>
      <c r="BD47" s="491"/>
      <c r="BE47" s="497"/>
      <c r="BF47" s="497"/>
      <c r="BG47" s="497"/>
      <c r="BH47" s="497"/>
      <c r="BI47" s="497"/>
      <c r="BJ47" s="497"/>
      <c r="BK47" s="497"/>
      <c r="BL47" s="497"/>
      <c r="BM47" s="497"/>
      <c r="BN47" s="497"/>
      <c r="BO47" s="497"/>
      <c r="BP47" s="497"/>
      <c r="BQ47" s="568"/>
      <c r="BR47" s="497"/>
      <c r="BS47" s="497"/>
      <c r="BT47" s="497"/>
      <c r="BU47" s="497"/>
      <c r="BV47" s="497"/>
      <c r="BW47" s="497"/>
      <c r="BX47" s="497"/>
      <c r="BY47" s="497"/>
      <c r="BZ47" s="497"/>
      <c r="CA47" s="497"/>
      <c r="CB47" s="491"/>
      <c r="CC47" s="491"/>
      <c r="CD47" s="491"/>
      <c r="CE47" s="491"/>
      <c r="CF47" s="491"/>
      <c r="CG47" s="491"/>
      <c r="CH47" s="491"/>
      <c r="CI47" s="491"/>
      <c r="CJ47" s="491"/>
      <c r="CK47" s="491"/>
      <c r="CL47" s="491"/>
      <c r="CM47" s="491"/>
      <c r="CN47" s="491"/>
      <c r="CO47" s="569"/>
      <c r="CP47" s="491"/>
      <c r="CQ47" s="491"/>
      <c r="CR47" s="491"/>
      <c r="CS47" s="491"/>
      <c r="CT47" s="491"/>
      <c r="CU47" s="491"/>
      <c r="CV47" s="491"/>
      <c r="CW47" s="491"/>
      <c r="CX47" s="491"/>
      <c r="CY47" s="491"/>
      <c r="CZ47" s="491"/>
      <c r="DA47" s="491"/>
      <c r="DB47" s="491"/>
      <c r="DC47" s="494"/>
      <c r="DD47" s="494"/>
      <c r="DE47" s="494"/>
      <c r="DF47" s="494"/>
      <c r="DG47" s="494"/>
      <c r="DH47" s="494"/>
      <c r="DI47" s="494"/>
      <c r="DJ47" s="494"/>
      <c r="DK47" s="494"/>
      <c r="DL47" s="494"/>
      <c r="DM47" s="494"/>
      <c r="DN47" s="494"/>
      <c r="DO47" s="494"/>
      <c r="DP47" s="494"/>
      <c r="DQ47" s="494"/>
      <c r="DR47" s="494"/>
      <c r="DS47" s="494"/>
      <c r="DT47" s="494"/>
      <c r="DU47" s="494"/>
      <c r="DV47" s="494"/>
      <c r="DW47" s="494"/>
      <c r="DX47" s="491"/>
      <c r="DY47" s="491"/>
      <c r="DZ47" s="491"/>
      <c r="EA47" s="491"/>
      <c r="EB47" s="491"/>
      <c r="EC47" s="491"/>
      <c r="ED47" s="491"/>
      <c r="EE47" s="491"/>
      <c r="EF47" s="491"/>
      <c r="EG47" s="491"/>
      <c r="EH47" s="491"/>
      <c r="EI47" s="491"/>
      <c r="EJ47" s="491"/>
      <c r="EK47" s="491"/>
      <c r="EL47" s="491"/>
      <c r="EM47" s="491"/>
      <c r="EN47" s="491"/>
      <c r="EO47" s="491"/>
      <c r="EP47" s="491"/>
      <c r="EQ47" s="491"/>
      <c r="ER47" s="491"/>
      <c r="ES47" s="491"/>
      <c r="ET47" s="491"/>
      <c r="EU47" s="491"/>
      <c r="EV47" s="491"/>
      <c r="EW47" s="491"/>
      <c r="EX47" s="491"/>
      <c r="EY47" s="491"/>
      <c r="EZ47" s="491"/>
      <c r="FA47" s="491"/>
      <c r="FB47" s="491"/>
      <c r="FC47" s="526"/>
      <c r="FD47" s="491"/>
      <c r="FE47" s="491"/>
      <c r="FF47" s="491"/>
      <c r="FG47" s="491"/>
      <c r="FH47" s="491"/>
      <c r="FI47" s="491"/>
      <c r="FJ47" s="491"/>
      <c r="FK47" s="491"/>
      <c r="FL47" s="491"/>
      <c r="FM47" s="491"/>
      <c r="FN47" s="491"/>
      <c r="FO47" s="491"/>
      <c r="FP47" s="491"/>
      <c r="FQ47" s="491"/>
      <c r="FR47" s="491"/>
      <c r="FS47" s="491"/>
      <c r="FT47" s="491"/>
      <c r="FU47" s="491"/>
      <c r="FV47" s="491"/>
      <c r="FW47" s="491"/>
      <c r="FX47" s="491"/>
      <c r="FY47" s="491"/>
      <c r="FZ47" s="491"/>
      <c r="GA47" s="491"/>
      <c r="GB47" s="491"/>
      <c r="GC47" s="491"/>
      <c r="GD47" s="491"/>
      <c r="GE47" s="491"/>
      <c r="GF47" s="491"/>
      <c r="GG47" s="491"/>
      <c r="GH47" s="491"/>
      <c r="GI47" s="491"/>
      <c r="GJ47" s="491"/>
      <c r="GK47" s="491"/>
      <c r="GL47" s="491"/>
      <c r="GM47" s="491"/>
      <c r="GN47" s="491"/>
      <c r="GO47" s="526"/>
      <c r="GP47" s="491"/>
      <c r="GQ47" s="491"/>
      <c r="GR47" s="491"/>
      <c r="GS47" s="491"/>
      <c r="GT47" s="491"/>
      <c r="GU47" s="491"/>
      <c r="GV47" s="491"/>
      <c r="GW47" s="491"/>
      <c r="GX47" s="491"/>
      <c r="GY47" s="491"/>
      <c r="GZ47" s="491"/>
      <c r="HA47" s="491"/>
      <c r="HB47" s="491"/>
      <c r="HC47" s="491"/>
      <c r="HD47" s="491"/>
      <c r="HE47" s="491"/>
      <c r="HF47" s="491"/>
      <c r="HG47" s="491"/>
      <c r="HH47" s="491"/>
      <c r="HI47" s="491"/>
      <c r="HJ47" s="491"/>
      <c r="HK47" s="491"/>
      <c r="HL47" s="491"/>
      <c r="HM47" s="491"/>
      <c r="HN47" s="491"/>
      <c r="HO47" s="491"/>
      <c r="HP47" s="491"/>
      <c r="HQ47" s="491"/>
      <c r="HR47" s="491"/>
      <c r="HS47" s="491"/>
      <c r="HT47" s="491"/>
      <c r="HU47" s="516">
        <v>0.5</v>
      </c>
      <c r="HV47" s="1469" t="s">
        <v>5024</v>
      </c>
      <c r="HW47" s="1469"/>
      <c r="HX47" s="1469"/>
      <c r="HY47" s="1469"/>
      <c r="HZ47" s="1469"/>
      <c r="IA47" s="1469"/>
      <c r="IB47" s="1469"/>
      <c r="IC47" s="1469"/>
      <c r="ID47" s="1469"/>
      <c r="IE47" s="570"/>
      <c r="IF47" s="556"/>
      <c r="IG47" s="556"/>
      <c r="IH47" s="556"/>
      <c r="II47" s="556"/>
      <c r="IJ47" s="556"/>
      <c r="IK47" s="556"/>
      <c r="IL47" s="556"/>
      <c r="IM47" s="556"/>
      <c r="IN47" s="556"/>
      <c r="IO47" s="556"/>
      <c r="IP47" s="556"/>
      <c r="IQ47" s="556"/>
      <c r="IR47" s="556"/>
      <c r="IS47" s="556"/>
      <c r="IT47" s="491"/>
      <c r="IU47" s="491"/>
      <c r="IV47" s="491"/>
      <c r="IW47" s="491"/>
      <c r="IX47" s="491"/>
      <c r="IY47" s="491"/>
      <c r="IZ47" s="491"/>
      <c r="JA47" s="491"/>
      <c r="JB47" s="491"/>
      <c r="JC47" s="491"/>
      <c r="JD47" s="491"/>
      <c r="JE47" s="491"/>
      <c r="JF47" s="491"/>
      <c r="JG47" s="491"/>
      <c r="JH47" s="512">
        <v>0.5</v>
      </c>
      <c r="JI47" s="1456" t="s">
        <v>5025</v>
      </c>
      <c r="JJ47" s="1457"/>
      <c r="JK47" s="1457"/>
      <c r="JL47" s="1457"/>
      <c r="JM47" s="1457"/>
      <c r="JN47" s="1457"/>
      <c r="JO47" s="1457"/>
      <c r="JP47" s="1457"/>
      <c r="JQ47" s="1458"/>
      <c r="JR47" s="491"/>
      <c r="JS47" s="491"/>
      <c r="JT47" s="491"/>
      <c r="JU47" s="491"/>
      <c r="JV47" s="491"/>
      <c r="JW47" s="491"/>
      <c r="JX47" s="491"/>
      <c r="JY47" s="491"/>
      <c r="JZ47" s="491"/>
      <c r="KA47" s="491"/>
      <c r="KB47" s="526"/>
      <c r="KC47" s="491"/>
      <c r="KD47" s="491"/>
      <c r="KE47" s="491"/>
      <c r="KF47" s="491"/>
      <c r="KG47" s="491"/>
      <c r="KH47" s="491"/>
      <c r="KI47" s="491"/>
      <c r="KJ47" s="491"/>
      <c r="KK47" s="491"/>
      <c r="KL47" s="491"/>
      <c r="KM47" s="491"/>
      <c r="KN47" s="491"/>
      <c r="KO47" s="491"/>
      <c r="KP47" s="491"/>
      <c r="KQ47" s="491"/>
      <c r="KR47" s="491"/>
      <c r="KS47" s="491"/>
      <c r="KT47" s="491"/>
      <c r="KU47" s="564"/>
      <c r="KV47" s="491"/>
      <c r="KW47" s="491"/>
      <c r="KX47" s="491"/>
      <c r="KY47" s="491"/>
      <c r="KZ47" s="571"/>
      <c r="LA47" s="533"/>
      <c r="LB47" s="533"/>
      <c r="LC47" s="533"/>
      <c r="LD47" s="533"/>
      <c r="LE47" s="533"/>
      <c r="LF47" s="533"/>
      <c r="LG47" s="533"/>
      <c r="LH47" s="533"/>
      <c r="LI47" s="533"/>
      <c r="LJ47" s="533"/>
      <c r="LK47" s="533"/>
      <c r="LL47" s="533"/>
      <c r="LM47" s="533"/>
      <c r="LN47" s="533"/>
      <c r="LO47" s="533"/>
      <c r="LP47" s="572"/>
      <c r="LQ47" s="533"/>
      <c r="LR47" s="533"/>
      <c r="LS47" s="533"/>
      <c r="LT47" s="533"/>
      <c r="LU47" s="533"/>
      <c r="LV47" s="533"/>
      <c r="LW47" s="533"/>
      <c r="LX47" s="533"/>
      <c r="LY47" s="533"/>
      <c r="LZ47" s="533"/>
      <c r="MA47" s="1453" t="s">
        <v>5026</v>
      </c>
      <c r="MB47" s="1454"/>
      <c r="MC47" s="1454"/>
      <c r="MD47" s="1454"/>
      <c r="ME47" s="1454"/>
      <c r="MF47" s="1454"/>
      <c r="MG47" s="1455"/>
      <c r="MH47" s="491"/>
      <c r="MI47" s="491"/>
      <c r="MJ47" s="491"/>
      <c r="MK47" s="491"/>
      <c r="ML47" s="491"/>
      <c r="MM47" s="491"/>
      <c r="MN47" s="571"/>
      <c r="MO47" s="533"/>
      <c r="MP47" s="533"/>
      <c r="MQ47" s="533"/>
      <c r="MR47" s="533"/>
      <c r="MS47" s="533"/>
      <c r="MT47" s="533"/>
      <c r="MU47" s="533"/>
      <c r="MV47" s="533"/>
      <c r="MW47" s="533"/>
      <c r="MX47" s="533"/>
      <c r="MY47" s="533"/>
      <c r="MZ47" s="533"/>
      <c r="NA47" s="533"/>
      <c r="NB47" s="573"/>
      <c r="NC47" s="533"/>
      <c r="ND47" s="533"/>
      <c r="NE47" s="533"/>
      <c r="NF47" s="533"/>
      <c r="NG47" s="533"/>
      <c r="NH47" s="533"/>
      <c r="NI47" s="533"/>
      <c r="NJ47" s="533"/>
      <c r="NK47" s="533"/>
      <c r="NL47" s="533"/>
      <c r="NM47" s="1453" t="s">
        <v>5027</v>
      </c>
      <c r="NN47" s="1454"/>
      <c r="NO47" s="1454"/>
      <c r="NP47" s="1454"/>
      <c r="NQ47" s="1454"/>
      <c r="NR47" s="1454"/>
      <c r="NS47" s="1455"/>
      <c r="NT47" s="491"/>
      <c r="NU47" s="491"/>
      <c r="NV47" s="491"/>
      <c r="NW47" s="491"/>
      <c r="NX47" s="491"/>
      <c r="PW47" s="482"/>
      <c r="QA47" s="491"/>
      <c r="QB47" s="491"/>
      <c r="QC47" s="491"/>
      <c r="QD47" s="491"/>
      <c r="QE47" s="491"/>
      <c r="QF47" s="491"/>
      <c r="QG47" s="491"/>
      <c r="QH47" s="491"/>
      <c r="QI47" s="491"/>
      <c r="QJ47" s="491"/>
      <c r="QK47" s="491"/>
      <c r="QL47" s="491"/>
      <c r="QM47" s="491"/>
      <c r="QN47" s="491"/>
      <c r="QO47" s="491"/>
      <c r="QP47" s="491"/>
      <c r="QQ47" s="491"/>
      <c r="QR47" s="491"/>
      <c r="QS47" s="491"/>
      <c r="QT47" s="491"/>
      <c r="QU47" s="491"/>
      <c r="QV47" s="491"/>
      <c r="QW47" s="491"/>
      <c r="QX47" s="491"/>
      <c r="QY47" s="491"/>
      <c r="QZ47" s="491"/>
      <c r="RA47" s="491"/>
      <c r="RB47" s="491"/>
    </row>
    <row r="48" spans="8:470" ht="12.75" customHeight="1" x14ac:dyDescent="0.35">
      <c r="K48" s="482"/>
      <c r="AR48" s="541"/>
      <c r="AU48" s="491"/>
      <c r="AV48" s="491"/>
      <c r="AW48" s="491"/>
      <c r="AX48" s="491"/>
      <c r="AY48" s="491"/>
      <c r="AZ48" s="491"/>
      <c r="BA48" s="491"/>
      <c r="BB48" s="491"/>
      <c r="BC48" s="491"/>
      <c r="BD48" s="524"/>
      <c r="BE48" s="491"/>
      <c r="BF48" s="491"/>
      <c r="BG48" s="491"/>
      <c r="BH48" s="491"/>
      <c r="BI48" s="491"/>
      <c r="BJ48" s="491"/>
      <c r="BK48" s="491"/>
      <c r="BL48" s="491"/>
      <c r="BM48" s="491"/>
      <c r="BN48" s="491"/>
      <c r="BO48" s="491"/>
      <c r="BP48" s="491"/>
      <c r="BQ48" s="492"/>
      <c r="BR48" s="492"/>
      <c r="BS48" s="491"/>
      <c r="BT48" s="511"/>
      <c r="BU48" s="511"/>
      <c r="BV48" s="511"/>
      <c r="BW48" s="511"/>
      <c r="BX48" s="511"/>
      <c r="BY48" s="511"/>
      <c r="BZ48" s="511"/>
      <c r="CA48" s="511"/>
      <c r="CB48" s="574"/>
      <c r="CC48" s="575"/>
      <c r="CD48" s="576"/>
      <c r="CE48" s="576"/>
      <c r="CF48" s="575"/>
      <c r="CG48" s="575"/>
      <c r="CH48" s="575"/>
      <c r="CI48" s="575"/>
      <c r="CJ48" s="575"/>
      <c r="CK48" s="576"/>
      <c r="CL48" s="576"/>
      <c r="CM48" s="576"/>
      <c r="CN48" s="576"/>
      <c r="CO48" s="576"/>
      <c r="CP48" s="576"/>
      <c r="CQ48" s="576"/>
      <c r="CR48" s="576"/>
      <c r="CS48" s="576"/>
      <c r="CT48" s="576"/>
      <c r="CU48" s="576"/>
      <c r="CV48" s="576"/>
      <c r="CW48" s="576"/>
      <c r="CX48" s="576"/>
      <c r="CY48" s="576"/>
      <c r="CZ48" s="576"/>
      <c r="DA48" s="576"/>
      <c r="DB48" s="577"/>
      <c r="DC48" s="491"/>
      <c r="DD48" s="491"/>
      <c r="DE48" s="491"/>
      <c r="DF48" s="491"/>
      <c r="DG48" s="491"/>
      <c r="DH48" s="491"/>
      <c r="DI48" s="491"/>
      <c r="DJ48" s="491"/>
      <c r="DK48" s="491"/>
      <c r="DL48" s="491"/>
      <c r="DM48" s="491"/>
      <c r="DN48" s="491"/>
      <c r="DO48" s="491"/>
      <c r="DP48" s="491"/>
      <c r="DQ48" s="491"/>
      <c r="DR48" s="491"/>
      <c r="DS48" s="491"/>
      <c r="DT48" s="491"/>
      <c r="DU48" s="491"/>
      <c r="DV48" s="491"/>
      <c r="DW48" s="527"/>
      <c r="DX48" s="491"/>
      <c r="DY48" s="491"/>
      <c r="DZ48" s="491"/>
      <c r="EA48" s="491"/>
      <c r="EB48" s="491"/>
      <c r="EC48" s="491"/>
      <c r="ED48" s="491"/>
      <c r="EE48" s="491"/>
      <c r="EF48" s="491"/>
      <c r="EG48" s="491"/>
      <c r="EH48" s="491"/>
      <c r="EI48" s="491"/>
      <c r="EJ48" s="491"/>
      <c r="EK48" s="491"/>
      <c r="EL48" s="491"/>
      <c r="EM48" s="491"/>
      <c r="EN48" s="491"/>
      <c r="EO48" s="491"/>
      <c r="EP48" s="491"/>
      <c r="EQ48" s="491"/>
      <c r="ER48" s="491"/>
      <c r="ES48" s="491"/>
      <c r="ET48" s="491"/>
      <c r="EU48" s="491"/>
      <c r="EV48" s="491"/>
      <c r="EW48" s="491"/>
      <c r="EX48" s="491"/>
      <c r="EY48" s="491"/>
      <c r="EZ48" s="491"/>
      <c r="FA48" s="491"/>
      <c r="FB48" s="491"/>
      <c r="FC48" s="526"/>
      <c r="FD48" s="491"/>
      <c r="FE48" s="491"/>
      <c r="FF48" s="491"/>
      <c r="FG48" s="491"/>
      <c r="FH48" s="491"/>
      <c r="FI48" s="491"/>
      <c r="FJ48" s="491"/>
      <c r="FK48" s="491"/>
      <c r="FL48" s="491"/>
      <c r="FM48" s="491"/>
      <c r="FN48" s="491"/>
      <c r="FO48" s="491"/>
      <c r="FP48" s="491"/>
      <c r="FQ48" s="491"/>
      <c r="FR48" s="491"/>
      <c r="FS48" s="491"/>
      <c r="FT48" s="491"/>
      <c r="FU48" s="491"/>
      <c r="FV48" s="491"/>
      <c r="FW48" s="491"/>
      <c r="FX48" s="491"/>
      <c r="FY48" s="491"/>
      <c r="FZ48" s="491"/>
      <c r="GA48" s="491"/>
      <c r="GB48" s="491"/>
      <c r="GC48" s="491"/>
      <c r="GD48" s="491"/>
      <c r="GE48" s="491"/>
      <c r="GF48" s="491"/>
      <c r="GG48" s="491"/>
      <c r="GH48" s="491"/>
      <c r="GI48" s="491"/>
      <c r="GJ48" s="491"/>
      <c r="GK48" s="491"/>
      <c r="GL48" s="491"/>
      <c r="GM48" s="491"/>
      <c r="GN48" s="491"/>
      <c r="GO48" s="526"/>
      <c r="GP48" s="491"/>
      <c r="GQ48" s="491"/>
      <c r="GR48" s="491"/>
      <c r="GS48" s="491"/>
      <c r="GT48" s="491"/>
      <c r="GU48" s="491"/>
      <c r="GV48" s="491"/>
      <c r="GW48" s="491"/>
      <c r="GX48" s="491"/>
      <c r="GY48" s="491"/>
      <c r="GZ48" s="491"/>
      <c r="HA48" s="491"/>
      <c r="HB48" s="491"/>
      <c r="HC48" s="491"/>
      <c r="HD48" s="491"/>
      <c r="HE48" s="491"/>
      <c r="HF48" s="491"/>
      <c r="HG48" s="491"/>
      <c r="HH48" s="491"/>
      <c r="HI48" s="491"/>
      <c r="HJ48" s="491"/>
      <c r="HK48" s="491"/>
      <c r="HL48" s="491"/>
      <c r="HM48" s="491"/>
      <c r="HN48" s="491"/>
      <c r="HO48" s="491"/>
      <c r="HP48" s="491"/>
      <c r="HQ48" s="491"/>
      <c r="HR48" s="491"/>
      <c r="HS48" s="491"/>
      <c r="HT48" s="491"/>
      <c r="HU48" s="1472" t="s">
        <v>4348</v>
      </c>
      <c r="HV48" s="1472"/>
      <c r="HW48" s="1472"/>
      <c r="HX48" s="1472"/>
      <c r="HY48" s="1472"/>
      <c r="HZ48" s="1472"/>
      <c r="IA48" s="1472"/>
      <c r="IB48" s="1472"/>
      <c r="IC48" s="1472"/>
      <c r="ID48" s="1472"/>
      <c r="IE48" s="491"/>
      <c r="IF48" s="491"/>
      <c r="IG48" s="491"/>
      <c r="IH48" s="491"/>
      <c r="II48" s="491"/>
      <c r="IJ48" s="491"/>
      <c r="IK48" s="491"/>
      <c r="IL48" s="491"/>
      <c r="IM48" s="491"/>
      <c r="IN48" s="491"/>
      <c r="IO48" s="491"/>
      <c r="IP48" s="491"/>
      <c r="IQ48" s="491"/>
      <c r="IR48" s="491"/>
      <c r="IS48" s="577"/>
      <c r="IT48" s="491"/>
      <c r="IU48" s="491"/>
      <c r="IV48" s="491"/>
      <c r="IW48" s="491"/>
      <c r="IX48" s="491"/>
      <c r="IY48" s="491"/>
      <c r="IZ48" s="491"/>
      <c r="JA48" s="491"/>
      <c r="JB48" s="491"/>
      <c r="JC48" s="491"/>
      <c r="JD48" s="491"/>
      <c r="JE48" s="491"/>
      <c r="JF48" s="491"/>
      <c r="JG48" s="491"/>
      <c r="JH48" s="1447" t="s">
        <v>5028</v>
      </c>
      <c r="JI48" s="1448"/>
      <c r="JJ48" s="1448"/>
      <c r="JK48" s="1448"/>
      <c r="JL48" s="1448"/>
      <c r="JM48" s="1448"/>
      <c r="JN48" s="1448"/>
      <c r="JO48" s="1448"/>
      <c r="JP48" s="1448"/>
      <c r="JQ48" s="1449"/>
      <c r="JR48" s="491"/>
      <c r="JS48" s="491"/>
      <c r="JT48" s="491"/>
      <c r="JU48" s="491"/>
      <c r="JV48" s="491"/>
      <c r="JW48" s="491"/>
      <c r="JX48" s="491"/>
      <c r="JY48" s="491"/>
      <c r="JZ48" s="491"/>
      <c r="KA48" s="491"/>
      <c r="KB48" s="526"/>
      <c r="KC48" s="491"/>
      <c r="KD48" s="491"/>
      <c r="KE48" s="491"/>
      <c r="KF48" s="491"/>
      <c r="KG48" s="491"/>
      <c r="KH48" s="491"/>
      <c r="KI48" s="491"/>
      <c r="KJ48" s="491"/>
      <c r="KK48" s="491"/>
      <c r="KL48" s="491"/>
      <c r="KM48" s="491"/>
      <c r="KN48" s="491"/>
      <c r="KO48" s="491"/>
      <c r="KP48" s="491"/>
      <c r="KQ48" s="491"/>
      <c r="KR48" s="491"/>
      <c r="KS48" s="491"/>
      <c r="KT48" s="491"/>
      <c r="KU48" s="564"/>
      <c r="KV48" s="491"/>
      <c r="KW48" s="491"/>
      <c r="KX48" s="491"/>
      <c r="KY48" s="491"/>
      <c r="KZ48" s="578"/>
      <c r="LA48" s="491"/>
      <c r="LB48" s="491"/>
      <c r="LC48" s="491"/>
      <c r="LD48" s="491"/>
      <c r="LE48" s="491"/>
      <c r="LF48" s="491"/>
      <c r="LG48" s="491"/>
      <c r="LH48" s="491"/>
      <c r="LI48" s="491"/>
      <c r="LJ48" s="491"/>
      <c r="LK48" s="491"/>
      <c r="LL48" s="491"/>
      <c r="LM48" s="491"/>
      <c r="LN48" s="491"/>
      <c r="LO48" s="491"/>
      <c r="LP48" s="529"/>
      <c r="LQ48" s="491"/>
      <c r="LR48" s="491"/>
      <c r="LS48" s="491"/>
      <c r="LT48" s="491"/>
      <c r="LU48" s="491"/>
      <c r="LV48" s="491"/>
      <c r="LW48" s="491"/>
      <c r="LX48" s="491"/>
      <c r="LY48" s="491"/>
      <c r="LZ48" s="491"/>
      <c r="MA48" s="491"/>
      <c r="MB48" s="491"/>
      <c r="MC48" s="491"/>
      <c r="MD48" s="491"/>
      <c r="ME48" s="491"/>
      <c r="MF48" s="491"/>
      <c r="MG48" s="564"/>
      <c r="MH48" s="491"/>
      <c r="MI48" s="491"/>
      <c r="MJ48" s="491"/>
      <c r="MK48" s="491"/>
      <c r="ML48" s="491"/>
      <c r="MM48" s="491"/>
      <c r="MN48" s="578"/>
      <c r="MO48" s="491"/>
      <c r="MP48" s="491"/>
      <c r="MQ48" s="491"/>
      <c r="MR48" s="491"/>
      <c r="MS48" s="491"/>
      <c r="MT48" s="491"/>
      <c r="MU48" s="491"/>
      <c r="MV48" s="491"/>
      <c r="MW48" s="491"/>
      <c r="MX48" s="491"/>
      <c r="MY48" s="491"/>
      <c r="MZ48" s="491"/>
      <c r="NA48" s="491"/>
      <c r="NB48" s="524"/>
      <c r="NC48" s="491"/>
      <c r="ND48" s="491"/>
      <c r="NE48" s="491"/>
      <c r="NF48" s="491"/>
      <c r="NG48" s="491"/>
      <c r="NH48" s="491"/>
      <c r="NI48" s="491"/>
      <c r="NJ48" s="491"/>
      <c r="NK48" s="491"/>
      <c r="NL48" s="491"/>
      <c r="NM48" s="491"/>
      <c r="NN48" s="491"/>
      <c r="NO48" s="491"/>
      <c r="NP48" s="491"/>
      <c r="NQ48" s="491"/>
      <c r="NR48" s="491"/>
      <c r="NS48" s="564"/>
      <c r="NT48" s="491"/>
      <c r="NU48" s="491"/>
      <c r="NV48" s="491"/>
      <c r="NW48" s="491"/>
      <c r="NX48" s="491"/>
      <c r="PW48" s="482"/>
      <c r="QA48" s="491"/>
      <c r="QB48" s="491"/>
      <c r="QC48" s="491"/>
      <c r="QD48" s="491"/>
      <c r="QE48" s="491"/>
      <c r="QF48" s="491"/>
      <c r="QG48" s="491"/>
      <c r="QH48" s="491"/>
      <c r="QI48" s="491"/>
      <c r="QJ48" s="491"/>
      <c r="QK48" s="491"/>
      <c r="QL48" s="491"/>
      <c r="QM48" s="491"/>
      <c r="QN48" s="491"/>
      <c r="QO48" s="491"/>
      <c r="QP48" s="491"/>
      <c r="QQ48" s="491"/>
      <c r="QR48" s="491"/>
      <c r="QS48" s="491"/>
      <c r="QT48" s="491"/>
      <c r="QU48" s="491"/>
      <c r="QV48" s="491"/>
      <c r="QW48" s="491"/>
      <c r="QX48" s="491"/>
      <c r="QY48" s="491"/>
      <c r="QZ48" s="491"/>
      <c r="RA48" s="491"/>
      <c r="RB48" s="491"/>
    </row>
    <row r="49" spans="11:470" ht="12.75" customHeight="1" x14ac:dyDescent="0.35">
      <c r="K49" s="482"/>
      <c r="AR49" s="541"/>
      <c r="AU49" s="491"/>
      <c r="AV49" s="491"/>
      <c r="AW49" s="491"/>
      <c r="AX49" s="491"/>
      <c r="AY49" s="491"/>
      <c r="AZ49" s="491"/>
      <c r="BA49" s="491"/>
      <c r="BB49" s="491"/>
      <c r="BC49" s="491"/>
      <c r="BD49" s="491"/>
      <c r="BE49" s="503"/>
      <c r="BF49" s="491"/>
      <c r="BG49" s="491"/>
      <c r="BH49" s="491"/>
      <c r="BI49" s="491"/>
      <c r="BJ49" s="491"/>
      <c r="BK49" s="491"/>
      <c r="BL49" s="491"/>
      <c r="BM49" s="491"/>
      <c r="BN49" s="491"/>
      <c r="BO49" s="491"/>
      <c r="BP49" s="491"/>
      <c r="BQ49" s="492"/>
      <c r="BR49" s="492"/>
      <c r="BS49" s="491"/>
      <c r="BT49" s="511"/>
      <c r="BU49" s="511"/>
      <c r="BV49" s="511"/>
      <c r="BW49" s="511"/>
      <c r="BX49" s="511"/>
      <c r="BY49" s="511"/>
      <c r="BZ49" s="511"/>
      <c r="CA49" s="511"/>
      <c r="CB49" s="579"/>
      <c r="CC49" s="511"/>
      <c r="CD49" s="491"/>
      <c r="CE49" s="491"/>
      <c r="CF49" s="511"/>
      <c r="CG49" s="511"/>
      <c r="CH49" s="511"/>
      <c r="CI49" s="511"/>
      <c r="CJ49" s="511"/>
      <c r="CK49" s="511"/>
      <c r="CL49" s="511"/>
      <c r="CM49" s="511"/>
      <c r="CN49" s="511"/>
      <c r="CO49" s="511"/>
      <c r="CP49" s="491"/>
      <c r="CQ49" s="491"/>
      <c r="CR49" s="491"/>
      <c r="CS49" s="491"/>
      <c r="CT49" s="491"/>
      <c r="CU49" s="491"/>
      <c r="CV49" s="491"/>
      <c r="CW49" s="491"/>
      <c r="CX49" s="491"/>
      <c r="CY49" s="491"/>
      <c r="CZ49" s="491"/>
      <c r="DA49" s="491"/>
      <c r="DB49" s="529"/>
      <c r="DC49" s="491"/>
      <c r="DD49" s="491"/>
      <c r="DE49" s="491"/>
      <c r="DF49" s="491"/>
      <c r="DG49" s="491"/>
      <c r="DH49" s="491"/>
      <c r="DI49" s="491"/>
      <c r="DJ49" s="491"/>
      <c r="DK49" s="491"/>
      <c r="DL49" s="491"/>
      <c r="DM49" s="491"/>
      <c r="DN49" s="491"/>
      <c r="DO49" s="491"/>
      <c r="DP49" s="491"/>
      <c r="DQ49" s="491"/>
      <c r="DR49" s="491"/>
      <c r="DS49" s="491"/>
      <c r="DT49" s="491"/>
      <c r="DU49" s="491"/>
      <c r="DV49" s="491"/>
      <c r="DW49" s="526"/>
      <c r="DX49" s="491"/>
      <c r="DY49" s="491"/>
      <c r="DZ49" s="491"/>
      <c r="EA49" s="491"/>
      <c r="EB49" s="491"/>
      <c r="EC49" s="491"/>
      <c r="ED49" s="491"/>
      <c r="EE49" s="491"/>
      <c r="EF49" s="491"/>
      <c r="EG49" s="491"/>
      <c r="EH49" s="491"/>
      <c r="EI49" s="491"/>
      <c r="EJ49" s="491"/>
      <c r="EK49" s="491"/>
      <c r="EL49" s="491"/>
      <c r="EM49" s="491"/>
      <c r="EN49" s="491"/>
      <c r="EO49" s="491"/>
      <c r="EP49" s="491"/>
      <c r="EQ49" s="491"/>
      <c r="ER49" s="491"/>
      <c r="ES49" s="491"/>
      <c r="ET49" s="491"/>
      <c r="EU49" s="491"/>
      <c r="EV49" s="491"/>
      <c r="EW49" s="491"/>
      <c r="EX49" s="491"/>
      <c r="EY49" s="491"/>
      <c r="EZ49" s="491"/>
      <c r="FA49" s="491"/>
      <c r="FB49" s="491"/>
      <c r="FC49" s="526"/>
      <c r="FD49" s="491"/>
      <c r="FE49" s="491"/>
      <c r="FF49" s="491"/>
      <c r="FG49" s="491"/>
      <c r="FH49" s="491"/>
      <c r="FI49" s="491"/>
      <c r="FJ49" s="491"/>
      <c r="FK49" s="491"/>
      <c r="FL49" s="491"/>
      <c r="FM49" s="491"/>
      <c r="FN49" s="491"/>
      <c r="FO49" s="491"/>
      <c r="FP49" s="491"/>
      <c r="FQ49" s="491"/>
      <c r="FR49" s="491"/>
      <c r="FS49" s="491"/>
      <c r="FT49" s="491"/>
      <c r="FU49" s="491"/>
      <c r="FV49" s="491"/>
      <c r="FW49" s="491"/>
      <c r="FX49" s="491"/>
      <c r="FY49" s="491"/>
      <c r="FZ49" s="491"/>
      <c r="GA49" s="491"/>
      <c r="GB49" s="491"/>
      <c r="GC49" s="491"/>
      <c r="GD49" s="491"/>
      <c r="GE49" s="491"/>
      <c r="GF49" s="491"/>
      <c r="GG49" s="491"/>
      <c r="GH49" s="491"/>
      <c r="GI49" s="491"/>
      <c r="GJ49" s="491"/>
      <c r="GK49" s="491"/>
      <c r="GL49" s="491"/>
      <c r="GM49" s="491"/>
      <c r="GN49" s="491"/>
      <c r="GO49" s="526"/>
      <c r="GP49" s="491"/>
      <c r="GQ49" s="491"/>
      <c r="GR49" s="491"/>
      <c r="GS49" s="491"/>
      <c r="GT49" s="491"/>
      <c r="GU49" s="491"/>
      <c r="GV49" s="491"/>
      <c r="GW49" s="491"/>
      <c r="GX49" s="491"/>
      <c r="GY49" s="491"/>
      <c r="GZ49" s="491"/>
      <c r="HA49" s="491"/>
      <c r="HB49" s="491"/>
      <c r="HC49" s="491"/>
      <c r="HD49" s="491"/>
      <c r="HE49" s="491"/>
      <c r="HF49" s="491"/>
      <c r="HG49" s="491"/>
      <c r="HH49" s="491"/>
      <c r="HI49" s="491"/>
      <c r="HJ49" s="491"/>
      <c r="HK49" s="491"/>
      <c r="HL49" s="491"/>
      <c r="HM49" s="491"/>
      <c r="HN49" s="491"/>
      <c r="HO49" s="491"/>
      <c r="HP49" s="491"/>
      <c r="HQ49" s="491"/>
      <c r="HR49" s="491"/>
      <c r="HS49" s="491"/>
      <c r="HT49" s="491"/>
      <c r="HU49" s="491"/>
      <c r="HV49" s="491"/>
      <c r="HW49" s="491"/>
      <c r="HX49" s="491"/>
      <c r="HY49" s="580"/>
      <c r="HZ49" s="491"/>
      <c r="IA49" s="491"/>
      <c r="IB49" s="491"/>
      <c r="IC49" s="491"/>
      <c r="ID49" s="491"/>
      <c r="IE49" s="491"/>
      <c r="IF49" s="491"/>
      <c r="IG49" s="491"/>
      <c r="IH49" s="491"/>
      <c r="II49" s="491"/>
      <c r="IJ49" s="491"/>
      <c r="IK49" s="491"/>
      <c r="IL49" s="491"/>
      <c r="IM49" s="491"/>
      <c r="IN49" s="491"/>
      <c r="IO49" s="491"/>
      <c r="IP49" s="491"/>
      <c r="IQ49" s="491"/>
      <c r="IR49" s="491"/>
      <c r="IS49" s="529"/>
      <c r="IT49" s="491"/>
      <c r="IU49" s="491"/>
      <c r="IV49" s="491"/>
      <c r="IW49" s="491"/>
      <c r="IX49" s="491"/>
      <c r="IY49" s="491"/>
      <c r="IZ49" s="491"/>
      <c r="JA49" s="491"/>
      <c r="JB49" s="491"/>
      <c r="JC49" s="491"/>
      <c r="JD49" s="491"/>
      <c r="JE49" s="491"/>
      <c r="JF49" s="491"/>
      <c r="JG49" s="491"/>
      <c r="JH49" s="500"/>
      <c r="JI49" s="500"/>
      <c r="JJ49" s="500"/>
      <c r="JK49" s="500"/>
      <c r="JL49" s="500"/>
      <c r="JM49" s="500"/>
      <c r="JN49" s="491"/>
      <c r="JO49" s="491"/>
      <c r="JP49" s="491"/>
      <c r="JQ49" s="491"/>
      <c r="JR49" s="491"/>
      <c r="JS49" s="491"/>
      <c r="JT49" s="491"/>
      <c r="JU49" s="491"/>
      <c r="JV49" s="491"/>
      <c r="JW49" s="491"/>
      <c r="JX49" s="491"/>
      <c r="JY49" s="491"/>
      <c r="JZ49" s="491"/>
      <c r="KA49" s="491"/>
      <c r="KB49" s="526"/>
      <c r="KC49" s="491"/>
      <c r="KD49" s="491"/>
      <c r="KE49" s="491"/>
      <c r="KF49" s="491"/>
      <c r="KG49" s="491"/>
      <c r="KH49" s="491"/>
      <c r="KI49" s="491"/>
      <c r="KJ49" s="491"/>
      <c r="KK49" s="491"/>
      <c r="KL49" s="491"/>
      <c r="KM49" s="491"/>
      <c r="KN49" s="491"/>
      <c r="KO49" s="491"/>
      <c r="KP49" s="491"/>
      <c r="KQ49" s="491"/>
      <c r="KR49" s="491"/>
      <c r="KS49" s="491"/>
      <c r="KT49" s="491"/>
      <c r="KU49" s="564"/>
      <c r="KV49" s="491"/>
      <c r="KW49" s="491"/>
      <c r="KX49" s="491"/>
      <c r="KY49" s="491"/>
      <c r="KZ49" s="578"/>
      <c r="LA49" s="491"/>
      <c r="LB49" s="491"/>
      <c r="LC49" s="491"/>
      <c r="LD49" s="491"/>
      <c r="LE49" s="491"/>
      <c r="LF49" s="491"/>
      <c r="LG49" s="491"/>
      <c r="LH49" s="491"/>
      <c r="LI49" s="491"/>
      <c r="LJ49" s="491"/>
      <c r="LK49" s="491"/>
      <c r="LL49" s="491"/>
      <c r="LM49" s="491"/>
      <c r="LN49" s="491"/>
      <c r="LO49" s="491"/>
      <c r="LP49" s="529"/>
      <c r="LQ49" s="491"/>
      <c r="LR49" s="491"/>
      <c r="LS49" s="491"/>
      <c r="LT49" s="491"/>
      <c r="LU49" s="491"/>
      <c r="LV49" s="491"/>
      <c r="LW49" s="491"/>
      <c r="LX49" s="491"/>
      <c r="LY49" s="491"/>
      <c r="LZ49" s="491"/>
      <c r="MA49" s="491"/>
      <c r="MB49" s="491"/>
      <c r="MC49" s="491"/>
      <c r="MD49" s="491"/>
      <c r="ME49" s="491"/>
      <c r="MF49" s="491"/>
      <c r="MG49" s="564"/>
      <c r="MH49" s="491"/>
      <c r="MI49" s="491"/>
      <c r="MJ49" s="491"/>
      <c r="MK49" s="491"/>
      <c r="ML49" s="491"/>
      <c r="MM49" s="491"/>
      <c r="MN49" s="578"/>
      <c r="MO49" s="491"/>
      <c r="MP49" s="491"/>
      <c r="MQ49" s="491"/>
      <c r="MR49" s="491"/>
      <c r="MS49" s="491"/>
      <c r="MT49" s="491"/>
      <c r="MU49" s="491"/>
      <c r="MV49" s="491"/>
      <c r="MW49" s="491"/>
      <c r="MX49" s="491"/>
      <c r="MY49" s="491"/>
      <c r="MZ49" s="491"/>
      <c r="NA49" s="491"/>
      <c r="NB49" s="524"/>
      <c r="NC49" s="491"/>
      <c r="ND49" s="491"/>
      <c r="NE49" s="491"/>
      <c r="NF49" s="491"/>
      <c r="NG49" s="491"/>
      <c r="NH49" s="491"/>
      <c r="NI49" s="491"/>
      <c r="NJ49" s="491"/>
      <c r="NK49" s="491"/>
      <c r="NL49" s="491"/>
      <c r="NM49" s="491"/>
      <c r="NN49" s="491"/>
      <c r="NO49" s="491"/>
      <c r="NP49" s="491"/>
      <c r="NQ49" s="491"/>
      <c r="NR49" s="491"/>
      <c r="NS49" s="564"/>
      <c r="NT49" s="491"/>
      <c r="NU49" s="491"/>
      <c r="NV49" s="491"/>
      <c r="NW49" s="491"/>
      <c r="NX49" s="491"/>
      <c r="PW49" s="482"/>
      <c r="QA49" s="491"/>
      <c r="QB49" s="491"/>
      <c r="QC49" s="491"/>
      <c r="QD49" s="491"/>
      <c r="QE49" s="491"/>
      <c r="QF49" s="491"/>
      <c r="QG49" s="491"/>
      <c r="QH49" s="491"/>
      <c r="QI49" s="491"/>
      <c r="QJ49" s="491"/>
      <c r="QK49" s="491"/>
      <c r="QL49" s="491"/>
      <c r="QM49" s="491"/>
      <c r="QN49" s="491"/>
      <c r="QO49" s="491"/>
      <c r="QP49" s="491"/>
      <c r="QQ49" s="491"/>
      <c r="QR49" s="491"/>
      <c r="QS49" s="491"/>
      <c r="QT49" s="491"/>
      <c r="QU49" s="491"/>
      <c r="QV49" s="491"/>
      <c r="QW49" s="491"/>
      <c r="QX49" s="491"/>
      <c r="QY49" s="491"/>
      <c r="QZ49" s="491"/>
      <c r="RA49" s="491"/>
      <c r="RB49" s="491"/>
    </row>
    <row r="50" spans="11:470" ht="12.75" customHeight="1" x14ac:dyDescent="0.35">
      <c r="K50" s="482"/>
      <c r="AN50" s="581"/>
      <c r="AR50" s="541"/>
      <c r="AU50" s="491"/>
      <c r="AV50" s="491"/>
      <c r="AW50" s="491"/>
      <c r="AX50" s="491"/>
      <c r="AY50" s="491"/>
      <c r="AZ50" s="491"/>
      <c r="BA50" s="491"/>
      <c r="BB50" s="491"/>
      <c r="BC50" s="491"/>
      <c r="BD50" s="491"/>
      <c r="BE50" s="503"/>
      <c r="BF50" s="491"/>
      <c r="BG50" s="491"/>
      <c r="BH50" s="491"/>
      <c r="BI50" s="491"/>
      <c r="BJ50" s="491"/>
      <c r="BK50" s="491"/>
      <c r="BL50" s="567">
        <f>SUM(BA53,BA56,BA58,BA62,BA64,BA60)</f>
        <v>3</v>
      </c>
      <c r="BM50" s="491"/>
      <c r="BN50" s="491"/>
      <c r="BO50" s="491"/>
      <c r="BP50" s="491"/>
      <c r="BQ50" s="492"/>
      <c r="BR50" s="492"/>
      <c r="BS50" s="491"/>
      <c r="BT50" s="511"/>
      <c r="BU50" s="511"/>
      <c r="BV50" s="511"/>
      <c r="BW50" s="511"/>
      <c r="BX50" s="511"/>
      <c r="BY50" s="511"/>
      <c r="BZ50" s="511"/>
      <c r="CA50" s="511"/>
      <c r="CB50" s="579"/>
      <c r="CC50" s="511"/>
      <c r="CD50" s="491"/>
      <c r="CE50" s="491"/>
      <c r="CF50" s="511"/>
      <c r="CG50" s="511"/>
      <c r="CH50" s="511"/>
      <c r="CI50" s="511"/>
      <c r="CJ50" s="511"/>
      <c r="CK50" s="511"/>
      <c r="CL50" s="511"/>
      <c r="CM50" s="582">
        <f>SUM(BW53,BQ56,BQ58,BQ60,BQ65,BQ67,BQ69,BQ71,BQ73,BQ75,CC65,CC67,CC69,CC71,CC73,CC75,BQ80,BQ82,BQ84,BQ86,BQ88,BQ91,CC80,CC82,CC84,CC86,CC88,CC91,CC56,CC58)</f>
        <v>28</v>
      </c>
      <c r="CN50" s="511"/>
      <c r="CO50" s="511"/>
      <c r="CP50" s="491"/>
      <c r="CQ50" s="491"/>
      <c r="CR50" s="491"/>
      <c r="CS50" s="491"/>
      <c r="CT50" s="491"/>
      <c r="CU50" s="491"/>
      <c r="CV50" s="491"/>
      <c r="CW50" s="491"/>
      <c r="CX50" s="491"/>
      <c r="CY50" s="491"/>
      <c r="CZ50" s="491"/>
      <c r="DA50" s="491"/>
      <c r="DB50" s="529"/>
      <c r="DC50" s="491"/>
      <c r="DD50" s="491"/>
      <c r="DE50" s="491"/>
      <c r="DF50" s="491"/>
      <c r="DG50" s="491"/>
      <c r="DH50" s="491"/>
      <c r="DI50" s="491"/>
      <c r="DJ50" s="491"/>
      <c r="DK50" s="491"/>
      <c r="DL50" s="491"/>
      <c r="DM50" s="491"/>
      <c r="DN50" s="583">
        <f>SUM(CX53,CR56,CR63,CR65,CR67,DD63,DD65,DD67,CR72,CR74,CR76,DD72,DD74,DD76)</f>
        <v>14</v>
      </c>
      <c r="DO50" s="491"/>
      <c r="DP50" s="491"/>
      <c r="DQ50" s="491"/>
      <c r="DR50" s="491"/>
      <c r="DS50" s="491"/>
      <c r="DT50" s="491"/>
      <c r="DU50" s="491"/>
      <c r="DV50" s="491"/>
      <c r="DW50" s="526"/>
      <c r="DX50" s="491"/>
      <c r="DY50" s="491"/>
      <c r="DZ50" s="491"/>
      <c r="EA50" s="491"/>
      <c r="EB50" s="491"/>
      <c r="EC50" s="567">
        <f>SUM(DS54,DS56,DS58)</f>
        <v>1.5</v>
      </c>
      <c r="ED50" s="491"/>
      <c r="EE50" s="491"/>
      <c r="EF50" s="491"/>
      <c r="EG50" s="491"/>
      <c r="EH50" s="491"/>
      <c r="EI50" s="491"/>
      <c r="EJ50" s="491"/>
      <c r="EK50" s="491"/>
      <c r="EL50" s="491"/>
      <c r="EM50" s="491"/>
      <c r="EN50" s="491"/>
      <c r="EO50" s="491"/>
      <c r="EP50" s="491"/>
      <c r="EQ50" s="491"/>
      <c r="ER50" s="491"/>
      <c r="ES50" s="491"/>
      <c r="ET50" s="491"/>
      <c r="EU50" s="491"/>
      <c r="EV50" s="491"/>
      <c r="EW50" s="491"/>
      <c r="EX50" s="491"/>
      <c r="EY50" s="491"/>
      <c r="EZ50" s="491"/>
      <c r="FA50" s="491"/>
      <c r="FB50" s="491"/>
      <c r="FC50" s="526"/>
      <c r="FD50" s="491"/>
      <c r="FE50" s="491"/>
      <c r="FF50" s="491"/>
      <c r="FG50" s="491"/>
      <c r="FH50" s="491"/>
      <c r="FI50" s="491"/>
      <c r="FJ50" s="491"/>
      <c r="FK50" s="491"/>
      <c r="FL50" s="491"/>
      <c r="FM50" s="491"/>
      <c r="FN50" s="491"/>
      <c r="FO50" s="491"/>
      <c r="FP50" s="491"/>
      <c r="FQ50" s="491"/>
      <c r="FR50" s="491"/>
      <c r="FS50" s="491"/>
      <c r="FT50" s="491"/>
      <c r="FU50" s="491"/>
      <c r="FV50" s="491"/>
      <c r="FW50" s="491"/>
      <c r="FX50" s="491"/>
      <c r="FY50" s="491"/>
      <c r="FZ50" s="491"/>
      <c r="GA50" s="491"/>
      <c r="GB50" s="491"/>
      <c r="GC50" s="491"/>
      <c r="GD50" s="491"/>
      <c r="GE50" s="491"/>
      <c r="GF50" s="491"/>
      <c r="GG50" s="491"/>
      <c r="GH50" s="491"/>
      <c r="GI50" s="491"/>
      <c r="GJ50" s="491"/>
      <c r="GK50" s="567">
        <f>SUM(EM55,EY55,ER64,FC64,FM64:FN64,FY64,GJ64)</f>
        <v>17</v>
      </c>
      <c r="GL50" s="491"/>
      <c r="GM50" s="491"/>
      <c r="GN50" s="491"/>
      <c r="GO50" s="526"/>
      <c r="GP50" s="491"/>
      <c r="GQ50" s="491"/>
      <c r="GR50" s="491"/>
      <c r="GS50" s="491"/>
      <c r="GT50" s="491"/>
      <c r="GU50" s="491"/>
      <c r="GV50" s="491"/>
      <c r="GW50" s="491"/>
      <c r="GX50" s="491"/>
      <c r="GY50" s="491"/>
      <c r="GZ50" s="491"/>
      <c r="HA50" s="491"/>
      <c r="HB50" s="491"/>
      <c r="HC50" s="491"/>
      <c r="HD50" s="491"/>
      <c r="HE50" s="491"/>
      <c r="HF50" s="491"/>
      <c r="HG50" s="491"/>
      <c r="HH50" s="491"/>
      <c r="HI50" s="491"/>
      <c r="HJ50" s="491"/>
      <c r="HK50" s="491"/>
      <c r="HL50" s="491"/>
      <c r="HM50" s="491"/>
      <c r="HN50" s="491"/>
      <c r="HO50" s="491"/>
      <c r="HP50" s="491"/>
      <c r="HQ50" s="491"/>
      <c r="HR50" s="491"/>
      <c r="HS50" s="491"/>
      <c r="HT50" s="491"/>
      <c r="HU50" s="491"/>
      <c r="HV50" s="491"/>
      <c r="HW50" s="491"/>
      <c r="HX50" s="491"/>
      <c r="HY50" s="529"/>
      <c r="HZ50" s="511"/>
      <c r="IA50" s="491"/>
      <c r="IB50" s="491"/>
      <c r="IC50" s="491"/>
      <c r="ID50" s="491"/>
      <c r="IE50" s="491"/>
      <c r="IF50" s="491"/>
      <c r="IG50" s="491"/>
      <c r="IH50" s="491"/>
      <c r="II50" s="491"/>
      <c r="IJ50" s="491"/>
      <c r="IK50" s="491"/>
      <c r="IL50" s="567">
        <f>SUM(HP55,IA55,IA57,IA59,IA61)</f>
        <v>5</v>
      </c>
      <c r="IM50" s="491"/>
      <c r="IN50" s="491"/>
      <c r="IO50" s="491"/>
      <c r="IP50" s="491"/>
      <c r="IQ50" s="491"/>
      <c r="IR50" s="491"/>
      <c r="IS50" s="529"/>
      <c r="IT50" s="491"/>
      <c r="IU50" s="491"/>
      <c r="IV50" s="491"/>
      <c r="IW50" s="491"/>
      <c r="IX50" s="491"/>
      <c r="IY50" s="491"/>
      <c r="IZ50" s="491"/>
      <c r="JA50" s="567">
        <f>SUM(IP54,IP56,IP58)</f>
        <v>3</v>
      </c>
      <c r="JB50" s="491"/>
      <c r="JC50" s="491"/>
      <c r="JD50" s="491"/>
      <c r="JE50" s="491"/>
      <c r="JF50" s="491"/>
      <c r="JG50" s="491"/>
      <c r="JH50" s="491"/>
      <c r="JI50" s="491"/>
      <c r="JJ50" s="491"/>
      <c r="JK50" s="491"/>
      <c r="JL50" s="491"/>
      <c r="JM50" s="491"/>
      <c r="JN50" s="491"/>
      <c r="JO50" s="491"/>
      <c r="JP50" s="491"/>
      <c r="JQ50" s="491"/>
      <c r="JR50" s="491"/>
      <c r="JS50" s="491"/>
      <c r="JT50" s="491"/>
      <c r="JU50" s="491"/>
      <c r="JV50" s="491"/>
      <c r="JW50" s="491"/>
      <c r="JX50" s="491"/>
      <c r="JY50" s="491"/>
      <c r="JZ50" s="491"/>
      <c r="KA50" s="491"/>
      <c r="KB50" s="526"/>
      <c r="KC50" s="491"/>
      <c r="KD50" s="491"/>
      <c r="KE50" s="491"/>
      <c r="KF50" s="491"/>
      <c r="KG50" s="491"/>
      <c r="KH50" s="491"/>
      <c r="KI50" s="491"/>
      <c r="KJ50" s="491"/>
      <c r="KK50" s="491"/>
      <c r="KL50" s="491"/>
      <c r="KM50" s="491"/>
      <c r="KN50" s="491"/>
      <c r="KO50" s="491"/>
      <c r="KP50" s="491"/>
      <c r="KQ50" s="491"/>
      <c r="KR50" s="491"/>
      <c r="KS50" s="491"/>
      <c r="KT50" s="491"/>
      <c r="KU50" s="564"/>
      <c r="KV50" s="491"/>
      <c r="KW50" s="491"/>
      <c r="KX50" s="491"/>
      <c r="KY50" s="491"/>
      <c r="KZ50" s="578"/>
      <c r="LA50" s="491"/>
      <c r="LB50" s="491"/>
      <c r="LC50" s="491"/>
      <c r="LD50" s="491"/>
      <c r="LE50" s="491"/>
      <c r="LF50" s="491"/>
      <c r="LG50" s="491"/>
      <c r="LH50" s="491"/>
      <c r="LI50" s="491"/>
      <c r="LJ50" s="491"/>
      <c r="LK50" s="491"/>
      <c r="LL50" s="491"/>
      <c r="LM50" s="491"/>
      <c r="LN50" s="491"/>
      <c r="LO50" s="491"/>
      <c r="LP50" s="529"/>
      <c r="LQ50" s="491"/>
      <c r="LR50" s="491"/>
      <c r="LS50" s="491"/>
      <c r="LT50" s="491"/>
      <c r="LU50" s="491"/>
      <c r="LV50" s="491"/>
      <c r="LW50" s="491"/>
      <c r="LX50" s="491"/>
      <c r="LY50" s="491"/>
      <c r="LZ50" s="491"/>
      <c r="MA50" s="491"/>
      <c r="MB50" s="491"/>
      <c r="MC50" s="491"/>
      <c r="MD50" s="491"/>
      <c r="ME50" s="491"/>
      <c r="MF50" s="491"/>
      <c r="MG50" s="564"/>
      <c r="MH50" s="491"/>
      <c r="MI50" s="491"/>
      <c r="MJ50" s="491"/>
      <c r="MK50" s="491"/>
      <c r="ML50" s="491"/>
      <c r="MM50" s="491"/>
      <c r="MN50" s="578"/>
      <c r="MO50" s="491"/>
      <c r="MP50" s="491"/>
      <c r="MQ50" s="491"/>
      <c r="MR50" s="491"/>
      <c r="MS50" s="491"/>
      <c r="MT50" s="491"/>
      <c r="MU50" s="491"/>
      <c r="MV50" s="491"/>
      <c r="MW50" s="491"/>
      <c r="MX50" s="491"/>
      <c r="MY50" s="491"/>
      <c r="MZ50" s="491"/>
      <c r="NA50" s="491"/>
      <c r="NB50" s="524"/>
      <c r="NC50" s="491"/>
      <c r="ND50" s="491"/>
      <c r="NE50" s="491"/>
      <c r="NF50" s="491"/>
      <c r="NG50" s="491"/>
      <c r="NH50" s="491"/>
      <c r="NI50" s="491"/>
      <c r="NJ50" s="491"/>
      <c r="NK50" s="491"/>
      <c r="NL50" s="491"/>
      <c r="NM50" s="491"/>
      <c r="NN50" s="491"/>
      <c r="NO50" s="491"/>
      <c r="NP50" s="491"/>
      <c r="NQ50" s="491"/>
      <c r="NR50" s="491"/>
      <c r="NS50" s="564"/>
      <c r="NT50" s="491"/>
      <c r="NU50" s="491"/>
      <c r="NV50" s="491"/>
      <c r="NW50" s="491"/>
      <c r="NX50" s="491"/>
      <c r="PW50" s="482"/>
      <c r="QA50" s="491"/>
      <c r="QB50" s="491"/>
      <c r="QC50" s="491"/>
      <c r="QD50" s="491"/>
      <c r="QE50" s="491"/>
      <c r="QF50" s="491"/>
      <c r="QG50" s="491"/>
      <c r="QH50" s="491"/>
      <c r="QI50" s="491"/>
      <c r="QJ50" s="491"/>
      <c r="QK50" s="491"/>
      <c r="QL50" s="491"/>
      <c r="QM50" s="491"/>
      <c r="QN50" s="491"/>
      <c r="QO50" s="491"/>
      <c r="QP50" s="491"/>
      <c r="QQ50" s="491"/>
      <c r="QR50" s="491"/>
      <c r="QS50" s="491"/>
      <c r="QT50" s="491"/>
      <c r="QU50" s="491"/>
      <c r="QV50" s="491"/>
      <c r="QW50" s="491"/>
      <c r="QX50" s="491"/>
      <c r="QY50" s="491"/>
      <c r="QZ50" s="491"/>
      <c r="RA50" s="491"/>
      <c r="RB50" s="491"/>
    </row>
    <row r="51" spans="11:470" ht="12.75" customHeight="1" x14ac:dyDescent="0.35">
      <c r="K51" s="482"/>
      <c r="AR51" s="541"/>
      <c r="AU51" s="491"/>
      <c r="AV51" s="491"/>
      <c r="AW51" s="491"/>
      <c r="AX51" s="491"/>
      <c r="AY51" s="571"/>
      <c r="AZ51" s="533"/>
      <c r="BA51" s="533"/>
      <c r="BB51" s="533"/>
      <c r="BC51" s="533"/>
      <c r="BD51" s="1453" t="s">
        <v>4846</v>
      </c>
      <c r="BE51" s="1454"/>
      <c r="BF51" s="1454"/>
      <c r="BG51" s="1454"/>
      <c r="BH51" s="1454"/>
      <c r="BI51" s="1454"/>
      <c r="BJ51" s="1454"/>
      <c r="BK51" s="1454"/>
      <c r="BL51" s="1455"/>
      <c r="BM51" s="491"/>
      <c r="BN51" s="491"/>
      <c r="BO51" s="491"/>
      <c r="BP51" s="571"/>
      <c r="BQ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84"/>
      <c r="CC51" s="533"/>
      <c r="CD51" s="533"/>
      <c r="CE51" s="533"/>
      <c r="CF51" s="1473" t="s">
        <v>5029</v>
      </c>
      <c r="CG51" s="1474"/>
      <c r="CH51" s="1474"/>
      <c r="CI51" s="1474"/>
      <c r="CJ51" s="1474"/>
      <c r="CK51" s="1474"/>
      <c r="CL51" s="1474"/>
      <c r="CM51" s="1475"/>
      <c r="CN51" s="511"/>
      <c r="CO51" s="511"/>
      <c r="CP51" s="491"/>
      <c r="CQ51" s="571"/>
      <c r="CR51" s="533"/>
      <c r="CS51" s="533"/>
      <c r="CT51" s="533"/>
      <c r="CU51" s="533"/>
      <c r="CV51" s="533"/>
      <c r="CW51" s="533"/>
      <c r="CX51" s="533"/>
      <c r="CY51" s="533"/>
      <c r="CZ51" s="533"/>
      <c r="DA51" s="533"/>
      <c r="DB51" s="533"/>
      <c r="DC51" s="584"/>
      <c r="DD51" s="533"/>
      <c r="DE51" s="585"/>
      <c r="DF51" s="586"/>
      <c r="DG51" s="587"/>
      <c r="DH51" s="1453" t="s">
        <v>5030</v>
      </c>
      <c r="DI51" s="1454"/>
      <c r="DJ51" s="1454"/>
      <c r="DK51" s="1454"/>
      <c r="DL51" s="1454"/>
      <c r="DM51" s="1454"/>
      <c r="DN51" s="1455"/>
      <c r="DO51" s="491"/>
      <c r="DP51" s="491"/>
      <c r="DQ51" s="491"/>
      <c r="DR51" s="571"/>
      <c r="DS51" s="533"/>
      <c r="DT51" s="533"/>
      <c r="DU51" s="1453" t="s">
        <v>5031</v>
      </c>
      <c r="DV51" s="1454"/>
      <c r="DW51" s="1454"/>
      <c r="DX51" s="1454"/>
      <c r="DY51" s="1454"/>
      <c r="DZ51" s="1454"/>
      <c r="EA51" s="1454"/>
      <c r="EB51" s="1454"/>
      <c r="EC51" s="1455"/>
      <c r="ED51" s="491"/>
      <c r="EE51" s="491"/>
      <c r="EF51" s="491"/>
      <c r="EG51" s="571"/>
      <c r="EH51" s="533"/>
      <c r="EI51" s="533"/>
      <c r="EJ51" s="533"/>
      <c r="EK51" s="533"/>
      <c r="EL51" s="533"/>
      <c r="EM51" s="533"/>
      <c r="EN51" s="533"/>
      <c r="EO51" s="533"/>
      <c r="EP51" s="533"/>
      <c r="EQ51" s="533"/>
      <c r="ER51" s="533"/>
      <c r="ES51" s="533"/>
      <c r="ET51" s="533"/>
      <c r="EU51" s="533"/>
      <c r="EV51" s="533"/>
      <c r="EW51" s="533"/>
      <c r="EX51" s="588"/>
      <c r="EY51" s="588"/>
      <c r="EZ51" s="588"/>
      <c r="FA51" s="588"/>
      <c r="FB51" s="588"/>
      <c r="FC51" s="588"/>
      <c r="FD51" s="588"/>
      <c r="FE51" s="588"/>
      <c r="FF51" s="588"/>
      <c r="FG51" s="588"/>
      <c r="FH51" s="588"/>
      <c r="FI51" s="588"/>
      <c r="FJ51" s="588"/>
      <c r="FK51" s="588"/>
      <c r="FL51" s="588"/>
      <c r="FM51" s="588"/>
      <c r="FN51" s="588"/>
      <c r="FO51" s="588"/>
      <c r="FP51" s="588"/>
      <c r="FQ51" s="588"/>
      <c r="FR51" s="588"/>
      <c r="FS51" s="588"/>
      <c r="FT51" s="588"/>
      <c r="FU51" s="588"/>
      <c r="FV51" s="588"/>
      <c r="FW51" s="588"/>
      <c r="FX51" s="588"/>
      <c r="FY51" s="588"/>
      <c r="FZ51" s="588"/>
      <c r="GA51" s="588"/>
      <c r="GB51" s="588"/>
      <c r="GC51" s="588"/>
      <c r="GD51" s="533"/>
      <c r="GE51" s="1453" t="s">
        <v>377</v>
      </c>
      <c r="GF51" s="1454"/>
      <c r="GG51" s="1454"/>
      <c r="GH51" s="1454"/>
      <c r="GI51" s="1454"/>
      <c r="GJ51" s="1454"/>
      <c r="GK51" s="1455"/>
      <c r="GL51" s="491"/>
      <c r="GM51" s="491"/>
      <c r="GN51" s="491"/>
      <c r="GO51" s="526"/>
      <c r="GP51" s="491"/>
      <c r="GQ51" s="491"/>
      <c r="GR51" s="491"/>
      <c r="GS51" s="491"/>
      <c r="GT51" s="491"/>
      <c r="GU51" s="491"/>
      <c r="GV51" s="491"/>
      <c r="GW51" s="491"/>
      <c r="GX51" s="491"/>
      <c r="GY51" s="491"/>
      <c r="GZ51" s="491"/>
      <c r="HA51" s="491"/>
      <c r="HB51" s="491"/>
      <c r="HC51" s="491"/>
      <c r="HD51" s="491"/>
      <c r="HE51" s="491"/>
      <c r="HF51" s="491"/>
      <c r="HG51" s="491"/>
      <c r="HH51" s="491"/>
      <c r="HI51" s="491"/>
      <c r="HJ51" s="491"/>
      <c r="HK51" s="491"/>
      <c r="HL51" s="491"/>
      <c r="HM51" s="491"/>
      <c r="HN51" s="571"/>
      <c r="HO51" s="533"/>
      <c r="HP51" s="533"/>
      <c r="HQ51" s="533"/>
      <c r="HR51" s="533"/>
      <c r="HS51" s="533"/>
      <c r="HT51" s="533"/>
      <c r="HU51" s="533"/>
      <c r="HV51" s="533"/>
      <c r="HW51" s="533"/>
      <c r="HX51" s="533"/>
      <c r="HY51" s="533"/>
      <c r="HZ51" s="589"/>
      <c r="IA51" s="533"/>
      <c r="IB51" s="533"/>
      <c r="IC51" s="533"/>
      <c r="ID51" s="533"/>
      <c r="IE51" s="533"/>
      <c r="IF51" s="1453" t="s">
        <v>375</v>
      </c>
      <c r="IG51" s="1454"/>
      <c r="IH51" s="1454"/>
      <c r="II51" s="1454"/>
      <c r="IJ51" s="1454"/>
      <c r="IK51" s="1454"/>
      <c r="IL51" s="1455"/>
      <c r="IM51" s="491"/>
      <c r="IN51" s="491"/>
      <c r="IO51" s="571"/>
      <c r="IP51" s="533"/>
      <c r="IQ51" s="533"/>
      <c r="IR51" s="533"/>
      <c r="IS51" s="572"/>
      <c r="IT51" s="533"/>
      <c r="IU51" s="590" t="s">
        <v>376</v>
      </c>
      <c r="IV51" s="591"/>
      <c r="IW51" s="591"/>
      <c r="IX51" s="591"/>
      <c r="IY51" s="591"/>
      <c r="IZ51" s="591"/>
      <c r="JA51" s="564"/>
      <c r="JB51" s="491"/>
      <c r="JC51" s="491"/>
      <c r="JD51" s="491"/>
      <c r="JE51" s="491"/>
      <c r="JF51" s="491"/>
      <c r="JG51" s="491"/>
      <c r="JH51" s="491"/>
      <c r="JI51" s="491"/>
      <c r="JJ51" s="491"/>
      <c r="JK51" s="491"/>
      <c r="JL51" s="491"/>
      <c r="JM51" s="491"/>
      <c r="JN51" s="491"/>
      <c r="JO51" s="491"/>
      <c r="JP51" s="491"/>
      <c r="JQ51" s="491"/>
      <c r="JR51" s="491"/>
      <c r="JS51" s="491"/>
      <c r="JT51" s="491"/>
      <c r="JU51" s="491"/>
      <c r="JV51" s="491"/>
      <c r="JW51" s="491"/>
      <c r="JX51" s="491"/>
      <c r="JY51" s="491"/>
      <c r="JZ51" s="491"/>
      <c r="KA51" s="491"/>
      <c r="KB51" s="526"/>
      <c r="KC51" s="491"/>
      <c r="KD51" s="491"/>
      <c r="KE51" s="491"/>
      <c r="KF51" s="491"/>
      <c r="KG51" s="491"/>
      <c r="KH51" s="491"/>
      <c r="KI51" s="491"/>
      <c r="KJ51" s="491"/>
      <c r="KK51" s="491"/>
      <c r="KL51" s="491"/>
      <c r="KM51" s="491"/>
      <c r="KN51" s="491"/>
      <c r="KO51" s="491"/>
      <c r="KP51" s="491"/>
      <c r="KQ51" s="491"/>
      <c r="KR51" s="491"/>
      <c r="KS51" s="491"/>
      <c r="KT51" s="491"/>
      <c r="KU51" s="564"/>
      <c r="KV51" s="491"/>
      <c r="KW51" s="491"/>
      <c r="KX51" s="491"/>
      <c r="KY51" s="491"/>
      <c r="KZ51" s="578"/>
      <c r="LA51" s="491"/>
      <c r="LB51" s="491"/>
      <c r="LC51" s="491"/>
      <c r="LD51" s="491"/>
      <c r="LE51" s="491"/>
      <c r="LF51" s="491"/>
      <c r="LG51" s="491"/>
      <c r="LH51" s="491"/>
      <c r="LI51" s="491"/>
      <c r="LJ51" s="498"/>
      <c r="LK51" s="491"/>
      <c r="LL51" s="498"/>
      <c r="LM51" s="498"/>
      <c r="LN51" s="498"/>
      <c r="LO51" s="498"/>
      <c r="LP51" s="592"/>
      <c r="LQ51" s="491"/>
      <c r="LR51" s="491"/>
      <c r="LS51" s="491"/>
      <c r="LT51" s="491"/>
      <c r="LU51" s="491"/>
      <c r="LV51" s="491"/>
      <c r="LW51" s="491"/>
      <c r="LX51" s="491"/>
      <c r="LY51" s="491"/>
      <c r="LZ51" s="491"/>
      <c r="MA51" s="491"/>
      <c r="MB51" s="491"/>
      <c r="MC51" s="491"/>
      <c r="MD51" s="491"/>
      <c r="ME51" s="491"/>
      <c r="MF51" s="491"/>
      <c r="MG51" s="564"/>
      <c r="MH51" s="491"/>
      <c r="MI51" s="491"/>
      <c r="MJ51" s="491"/>
      <c r="MK51" s="491"/>
      <c r="ML51" s="491"/>
      <c r="MM51" s="491"/>
      <c r="MN51" s="578"/>
      <c r="MO51" s="491"/>
      <c r="MP51" s="491"/>
      <c r="MQ51" s="491"/>
      <c r="MR51" s="491"/>
      <c r="MS51" s="491"/>
      <c r="MT51" s="491"/>
      <c r="MU51" s="491"/>
      <c r="MV51" s="491"/>
      <c r="MW51" s="491"/>
      <c r="MX51" s="491"/>
      <c r="MY51" s="491"/>
      <c r="MZ51" s="491"/>
      <c r="NA51" s="491"/>
      <c r="NB51" s="524"/>
      <c r="NC51" s="491"/>
      <c r="ND51" s="491"/>
      <c r="NE51" s="491"/>
      <c r="NF51" s="491"/>
      <c r="NG51" s="491"/>
      <c r="NH51" s="491"/>
      <c r="NI51" s="491"/>
      <c r="NJ51" s="491"/>
      <c r="NK51" s="491"/>
      <c r="NL51" s="491"/>
      <c r="NM51" s="491"/>
      <c r="NN51" s="491"/>
      <c r="NO51" s="491"/>
      <c r="NP51" s="491"/>
      <c r="NQ51" s="491"/>
      <c r="NR51" s="491"/>
      <c r="NS51" s="564"/>
      <c r="NT51" s="491"/>
      <c r="NU51" s="491"/>
      <c r="NV51" s="491"/>
      <c r="NW51" s="491"/>
      <c r="NX51" s="491"/>
      <c r="PW51" s="482"/>
      <c r="QA51" s="491"/>
      <c r="QB51" s="1470"/>
      <c r="QC51" s="1470"/>
      <c r="QD51" s="1470"/>
      <c r="QE51" s="1470"/>
      <c r="QF51" s="1470"/>
      <c r="QG51" s="1470"/>
      <c r="QH51" s="1470"/>
      <c r="QI51" s="1470"/>
      <c r="QJ51" s="1470"/>
      <c r="QK51" s="1470"/>
      <c r="QL51" s="1470"/>
      <c r="QM51" s="1470"/>
      <c r="QN51" s="1471"/>
      <c r="QO51" s="1471"/>
      <c r="QP51" s="1471"/>
      <c r="QQ51" s="1471"/>
      <c r="QR51" s="491"/>
      <c r="QS51" s="491"/>
      <c r="QT51" s="491"/>
      <c r="QU51" s="491"/>
      <c r="QV51" s="491"/>
      <c r="QW51" s="491"/>
      <c r="QX51" s="491"/>
      <c r="QY51" s="491"/>
      <c r="QZ51" s="491"/>
      <c r="RA51" s="491"/>
      <c r="RB51" s="491"/>
    </row>
    <row r="52" spans="11:470" ht="12.75" customHeight="1" x14ac:dyDescent="0.35">
      <c r="K52" s="482"/>
      <c r="AR52" s="541"/>
      <c r="AU52" s="491"/>
      <c r="AV52" s="491"/>
      <c r="AW52" s="491"/>
      <c r="AX52" s="491"/>
      <c r="AY52" s="578"/>
      <c r="AZ52" s="491"/>
      <c r="BA52" s="491"/>
      <c r="BB52" s="491"/>
      <c r="BC52" s="491"/>
      <c r="BD52" s="593"/>
      <c r="BE52" s="491"/>
      <c r="BF52" s="491"/>
      <c r="BG52" s="491"/>
      <c r="BH52" s="491"/>
      <c r="BI52" s="491"/>
      <c r="BJ52" s="491"/>
      <c r="BK52" s="491"/>
      <c r="BL52" s="564"/>
      <c r="BM52" s="491"/>
      <c r="BN52" s="491"/>
      <c r="BO52" s="491"/>
      <c r="BP52" s="578"/>
      <c r="BQ52" s="491"/>
      <c r="BR52" s="491"/>
      <c r="BS52" s="491"/>
      <c r="BT52" s="491"/>
      <c r="BU52" s="491"/>
      <c r="BV52" s="491"/>
      <c r="BW52" s="594"/>
      <c r="BX52" s="594"/>
      <c r="BY52" s="594"/>
      <c r="BZ52" s="594"/>
      <c r="CA52" s="594"/>
      <c r="CB52" s="595"/>
      <c r="CC52" s="594"/>
      <c r="CD52" s="594"/>
      <c r="CE52" s="594"/>
      <c r="CF52" s="596"/>
      <c r="CG52" s="597"/>
      <c r="CH52" s="597"/>
      <c r="CI52" s="597"/>
      <c r="CJ52" s="597"/>
      <c r="CK52" s="597"/>
      <c r="CL52" s="597"/>
      <c r="CM52" s="598"/>
      <c r="CN52" s="511"/>
      <c r="CO52" s="511"/>
      <c r="CP52" s="491"/>
      <c r="CQ52" s="578"/>
      <c r="CR52" s="491"/>
      <c r="CS52" s="491"/>
      <c r="CT52" s="491"/>
      <c r="CU52" s="491"/>
      <c r="CV52" s="491"/>
      <c r="CW52" s="491"/>
      <c r="CX52" s="498"/>
      <c r="CY52" s="498"/>
      <c r="CZ52" s="498"/>
      <c r="DA52" s="498"/>
      <c r="DB52" s="498"/>
      <c r="DC52" s="595"/>
      <c r="DD52" s="498"/>
      <c r="DE52" s="498"/>
      <c r="DF52" s="498"/>
      <c r="DG52" s="498"/>
      <c r="DH52" s="491"/>
      <c r="DI52" s="491"/>
      <c r="DJ52" s="491"/>
      <c r="DK52" s="491"/>
      <c r="DL52" s="491"/>
      <c r="DM52" s="491"/>
      <c r="DN52" s="564"/>
      <c r="DO52" s="491"/>
      <c r="DP52" s="491"/>
      <c r="DQ52" s="491"/>
      <c r="DR52" s="578"/>
      <c r="DS52" s="491"/>
      <c r="DT52" s="491"/>
      <c r="DU52" s="491"/>
      <c r="DV52" s="491"/>
      <c r="DW52" s="491"/>
      <c r="DX52" s="599"/>
      <c r="DY52" s="491"/>
      <c r="DZ52" s="491"/>
      <c r="EA52" s="491"/>
      <c r="EB52" s="597"/>
      <c r="EC52" s="598"/>
      <c r="ED52" s="491"/>
      <c r="EE52" s="491"/>
      <c r="EF52" s="491"/>
      <c r="EG52" s="578"/>
      <c r="EH52" s="491"/>
      <c r="EI52" s="491"/>
      <c r="EJ52" s="491"/>
      <c r="EK52" s="491"/>
      <c r="EL52" s="491"/>
      <c r="EM52" s="491"/>
      <c r="EN52" s="491"/>
      <c r="EO52" s="491"/>
      <c r="EP52" s="491"/>
      <c r="EQ52" s="491"/>
      <c r="ER52" s="494"/>
      <c r="ES52" s="494"/>
      <c r="ET52" s="494"/>
      <c r="EU52" s="494"/>
      <c r="EV52" s="494"/>
      <c r="EW52" s="600"/>
      <c r="EX52" s="494"/>
      <c r="EY52" s="494"/>
      <c r="EZ52" s="494"/>
      <c r="FA52" s="494"/>
      <c r="FB52" s="494"/>
      <c r="FC52" s="494"/>
      <c r="FD52" s="491"/>
      <c r="FE52" s="491"/>
      <c r="FF52" s="491"/>
      <c r="FG52" s="491"/>
      <c r="FH52" s="491"/>
      <c r="FI52" s="491"/>
      <c r="FJ52" s="491"/>
      <c r="FK52" s="491"/>
      <c r="FL52" s="491"/>
      <c r="FM52" s="491"/>
      <c r="FN52" s="491"/>
      <c r="FO52" s="491"/>
      <c r="FP52" s="491"/>
      <c r="FQ52" s="491"/>
      <c r="FR52" s="491"/>
      <c r="FS52" s="491"/>
      <c r="FT52" s="527"/>
      <c r="FU52" s="491"/>
      <c r="FV52" s="491"/>
      <c r="FW52" s="491"/>
      <c r="FX52" s="491"/>
      <c r="FY52" s="491"/>
      <c r="FZ52" s="491"/>
      <c r="GA52" s="491"/>
      <c r="GB52" s="491"/>
      <c r="GC52" s="527"/>
      <c r="GD52" s="491"/>
      <c r="GE52" s="491"/>
      <c r="GF52" s="491"/>
      <c r="GG52" s="491"/>
      <c r="GH52" s="491"/>
      <c r="GI52" s="491"/>
      <c r="GJ52" s="491"/>
      <c r="GK52" s="564"/>
      <c r="GL52" s="491"/>
      <c r="GM52" s="491"/>
      <c r="GN52" s="491"/>
      <c r="GO52" s="526"/>
      <c r="GP52" s="491"/>
      <c r="GQ52" s="491"/>
      <c r="GR52" s="491"/>
      <c r="GS52" s="491"/>
      <c r="GT52" s="491"/>
      <c r="GU52" s="491"/>
      <c r="GV52" s="491"/>
      <c r="GW52" s="491"/>
      <c r="GX52" s="491"/>
      <c r="GY52" s="491"/>
      <c r="GZ52" s="491"/>
      <c r="HA52" s="491"/>
      <c r="HB52" s="491"/>
      <c r="HC52" s="491"/>
      <c r="HD52" s="491"/>
      <c r="HE52" s="491"/>
      <c r="HF52" s="491"/>
      <c r="HG52" s="491"/>
      <c r="HH52" s="491"/>
      <c r="HI52" s="491"/>
      <c r="HJ52" s="491"/>
      <c r="HK52" s="491"/>
      <c r="HL52" s="491"/>
      <c r="HM52" s="491"/>
      <c r="HN52" s="578"/>
      <c r="HO52" s="491"/>
      <c r="HP52" s="491"/>
      <c r="HQ52" s="491"/>
      <c r="HR52" s="491"/>
      <c r="HS52" s="491"/>
      <c r="HT52" s="491"/>
      <c r="HU52" s="556"/>
      <c r="HV52" s="556"/>
      <c r="HW52" s="556"/>
      <c r="HX52" s="556"/>
      <c r="HY52" s="556"/>
      <c r="HZ52" s="601"/>
      <c r="IA52" s="556"/>
      <c r="IB52" s="556"/>
      <c r="IC52" s="556"/>
      <c r="ID52" s="556"/>
      <c r="IE52" s="491"/>
      <c r="IF52" s="491"/>
      <c r="IG52" s="491"/>
      <c r="IH52" s="491"/>
      <c r="II52" s="491"/>
      <c r="IJ52" s="491"/>
      <c r="IK52" s="491"/>
      <c r="IL52" s="564"/>
      <c r="IM52" s="491"/>
      <c r="IN52" s="491"/>
      <c r="IO52" s="578"/>
      <c r="IP52" s="491"/>
      <c r="IQ52" s="491"/>
      <c r="IR52" s="491"/>
      <c r="IS52" s="602"/>
      <c r="IT52" s="491"/>
      <c r="IU52" s="491"/>
      <c r="IV52" s="491"/>
      <c r="IW52" s="491"/>
      <c r="IX52" s="491"/>
      <c r="IY52" s="491"/>
      <c r="IZ52" s="491"/>
      <c r="JA52" s="564"/>
      <c r="JB52" s="491"/>
      <c r="JC52" s="491"/>
      <c r="JD52" s="491"/>
      <c r="JE52" s="491"/>
      <c r="JF52" s="491"/>
      <c r="JG52" s="491"/>
      <c r="JH52" s="491"/>
      <c r="JI52" s="491"/>
      <c r="JJ52" s="491"/>
      <c r="JK52" s="491"/>
      <c r="JL52" s="491"/>
      <c r="JM52" s="491"/>
      <c r="JN52" s="491"/>
      <c r="JO52" s="491"/>
      <c r="JP52" s="491"/>
      <c r="JQ52" s="491"/>
      <c r="JR52" s="491"/>
      <c r="JS52" s="491"/>
      <c r="JT52" s="491"/>
      <c r="JU52" s="494"/>
      <c r="JV52" s="494"/>
      <c r="JW52" s="494"/>
      <c r="JX52" s="494"/>
      <c r="JY52" s="494"/>
      <c r="JZ52" s="494"/>
      <c r="KA52" s="494"/>
      <c r="KB52" s="600"/>
      <c r="KC52" s="494"/>
      <c r="KD52" s="494"/>
      <c r="KE52" s="494"/>
      <c r="KF52" s="494"/>
      <c r="KG52" s="494"/>
      <c r="KH52" s="494"/>
      <c r="KI52" s="494"/>
      <c r="KJ52" s="494"/>
      <c r="KK52" s="491"/>
      <c r="KL52" s="491"/>
      <c r="KM52" s="491"/>
      <c r="KN52" s="491"/>
      <c r="KO52" s="491"/>
      <c r="KP52" s="491"/>
      <c r="KQ52" s="491"/>
      <c r="KR52" s="491"/>
      <c r="KS52" s="491"/>
      <c r="KT52" s="491"/>
      <c r="KU52" s="564"/>
      <c r="KV52" s="491"/>
      <c r="KW52" s="491"/>
      <c r="KX52" s="491"/>
      <c r="KY52" s="491"/>
      <c r="KZ52" s="578"/>
      <c r="LA52" s="491"/>
      <c r="LB52" s="491"/>
      <c r="LC52" s="491"/>
      <c r="LD52" s="491"/>
      <c r="LE52" s="491"/>
      <c r="LF52" s="556"/>
      <c r="LG52" s="556"/>
      <c r="LH52" s="556"/>
      <c r="LI52" s="556"/>
      <c r="LJ52" s="556"/>
      <c r="LK52" s="556"/>
      <c r="LL52" s="556"/>
      <c r="LM52" s="556"/>
      <c r="LN52" s="556"/>
      <c r="LO52" s="556"/>
      <c r="LP52" s="592"/>
      <c r="LQ52" s="556"/>
      <c r="LR52" s="556"/>
      <c r="LS52" s="556"/>
      <c r="LT52" s="556"/>
      <c r="LU52" s="556"/>
      <c r="LV52" s="556"/>
      <c r="LW52" s="556"/>
      <c r="LX52" s="556"/>
      <c r="LY52" s="556"/>
      <c r="LZ52" s="556"/>
      <c r="MA52" s="556"/>
      <c r="MB52" s="491"/>
      <c r="MC52" s="491"/>
      <c r="MD52" s="491"/>
      <c r="ME52" s="491"/>
      <c r="MF52" s="491"/>
      <c r="MG52" s="564"/>
      <c r="MH52" s="491"/>
      <c r="MI52" s="491"/>
      <c r="MJ52" s="491"/>
      <c r="MK52" s="491"/>
      <c r="ML52" s="491"/>
      <c r="MM52" s="491"/>
      <c r="MN52" s="578"/>
      <c r="MO52" s="491"/>
      <c r="MP52" s="491"/>
      <c r="MQ52" s="491"/>
      <c r="MR52" s="491"/>
      <c r="MS52" s="491"/>
      <c r="MT52" s="491"/>
      <c r="MU52" s="491"/>
      <c r="MV52" s="491"/>
      <c r="MW52" s="491"/>
      <c r="MX52" s="491"/>
      <c r="MY52" s="491"/>
      <c r="MZ52" s="491"/>
      <c r="NA52" s="491"/>
      <c r="NB52" s="524"/>
      <c r="NC52" s="491"/>
      <c r="ND52" s="491"/>
      <c r="NE52" s="491"/>
      <c r="NF52" s="491"/>
      <c r="NG52" s="491"/>
      <c r="NH52" s="491"/>
      <c r="NI52" s="491"/>
      <c r="NJ52" s="491"/>
      <c r="NK52" s="491"/>
      <c r="NL52" s="491"/>
      <c r="NM52" s="491"/>
      <c r="NN52" s="491"/>
      <c r="NO52" s="491"/>
      <c r="NP52" s="491"/>
      <c r="NQ52" s="491"/>
      <c r="NR52" s="491"/>
      <c r="NS52" s="564"/>
      <c r="NT52" s="491"/>
      <c r="NU52" s="491"/>
      <c r="NV52" s="491"/>
      <c r="NW52" s="491"/>
      <c r="NX52" s="491"/>
      <c r="NZ52" s="603"/>
      <c r="PW52" s="482"/>
      <c r="QA52" s="491"/>
      <c r="QB52" s="1470"/>
      <c r="QC52" s="1470"/>
      <c r="QD52" s="1470"/>
      <c r="QE52" s="1470"/>
      <c r="QF52" s="1470"/>
      <c r="QG52" s="1470"/>
      <c r="QH52" s="1470"/>
      <c r="QI52" s="1470"/>
      <c r="QJ52" s="1470"/>
      <c r="QK52" s="1470"/>
      <c r="QL52" s="1470"/>
      <c r="QM52" s="1470"/>
      <c r="QN52" s="1471"/>
      <c r="QO52" s="1471"/>
      <c r="QP52" s="1471"/>
      <c r="QQ52" s="1471"/>
      <c r="QR52" s="491"/>
      <c r="QS52" s="491"/>
      <c r="QT52" s="491"/>
      <c r="QU52" s="491"/>
      <c r="QV52" s="491"/>
      <c r="QW52" s="491"/>
      <c r="QX52" s="491"/>
      <c r="QY52" s="491"/>
      <c r="QZ52" s="491"/>
      <c r="RA52" s="491"/>
      <c r="RB52" s="491"/>
    </row>
    <row r="53" spans="11:470" ht="12.75" customHeight="1" x14ac:dyDescent="0.35">
      <c r="K53" s="482"/>
      <c r="AR53" s="541"/>
      <c r="AU53" s="491"/>
      <c r="AV53" s="491"/>
      <c r="AW53" s="491"/>
      <c r="AX53" s="491"/>
      <c r="AY53" s="578"/>
      <c r="AZ53" s="491"/>
      <c r="BA53" s="518">
        <v>0.5</v>
      </c>
      <c r="BB53" s="1456" t="s">
        <v>5032</v>
      </c>
      <c r="BC53" s="1457"/>
      <c r="BD53" s="1457"/>
      <c r="BE53" s="1457"/>
      <c r="BF53" s="1457"/>
      <c r="BG53" s="1457"/>
      <c r="BH53" s="1457"/>
      <c r="BI53" s="1457"/>
      <c r="BJ53" s="1458"/>
      <c r="BK53" s="491"/>
      <c r="BL53" s="564"/>
      <c r="BM53" s="491"/>
      <c r="BN53" s="491"/>
      <c r="BO53" s="491"/>
      <c r="BP53" s="578"/>
      <c r="BQ53" s="491"/>
      <c r="BR53" s="491"/>
      <c r="BS53" s="491"/>
      <c r="BT53" s="491"/>
      <c r="BU53" s="491"/>
      <c r="BV53" s="519"/>
      <c r="BW53" s="513">
        <v>1</v>
      </c>
      <c r="BX53" s="1456" t="s">
        <v>5032</v>
      </c>
      <c r="BY53" s="1457"/>
      <c r="BZ53" s="1457"/>
      <c r="CA53" s="1457"/>
      <c r="CB53" s="1457"/>
      <c r="CC53" s="1457"/>
      <c r="CD53" s="1457"/>
      <c r="CE53" s="1457"/>
      <c r="CF53" s="1458"/>
      <c r="CG53" s="514"/>
      <c r="CH53" s="604"/>
      <c r="CI53" s="491"/>
      <c r="CJ53" s="491"/>
      <c r="CK53" s="491"/>
      <c r="CL53" s="491"/>
      <c r="CM53" s="564"/>
      <c r="CN53" s="511"/>
      <c r="CO53" s="511"/>
      <c r="CP53" s="491"/>
      <c r="CQ53" s="578"/>
      <c r="CR53" s="491"/>
      <c r="CS53" s="491"/>
      <c r="CT53" s="491"/>
      <c r="CU53" s="491"/>
      <c r="CV53" s="491"/>
      <c r="CW53" s="491"/>
      <c r="CX53" s="513">
        <v>1</v>
      </c>
      <c r="CY53" s="1456" t="s">
        <v>5033</v>
      </c>
      <c r="CZ53" s="1457"/>
      <c r="DA53" s="1457"/>
      <c r="DB53" s="1457"/>
      <c r="DC53" s="1457"/>
      <c r="DD53" s="1457"/>
      <c r="DE53" s="1457"/>
      <c r="DF53" s="1457"/>
      <c r="DG53" s="1458"/>
      <c r="DH53" s="491"/>
      <c r="DI53" s="491"/>
      <c r="DJ53" s="491"/>
      <c r="DK53" s="491"/>
      <c r="DL53" s="491"/>
      <c r="DM53" s="491"/>
      <c r="DN53" s="564"/>
      <c r="DO53" s="491"/>
      <c r="DP53" s="491"/>
      <c r="DQ53" s="491"/>
      <c r="DR53" s="578"/>
      <c r="DS53" s="491"/>
      <c r="DT53" s="491"/>
      <c r="DU53" s="491"/>
      <c r="DV53" s="491"/>
      <c r="DW53" s="491"/>
      <c r="DX53" s="605"/>
      <c r="DY53" s="491"/>
      <c r="DZ53" s="491"/>
      <c r="EA53" s="491"/>
      <c r="EB53" s="491"/>
      <c r="EC53" s="564"/>
      <c r="ED53" s="491"/>
      <c r="EE53" s="491"/>
      <c r="EF53" s="491"/>
      <c r="EG53" s="578"/>
      <c r="EH53" s="491"/>
      <c r="EI53" s="491"/>
      <c r="EJ53" s="491"/>
      <c r="EK53" s="491"/>
      <c r="EL53" s="491"/>
      <c r="EM53" s="491"/>
      <c r="EN53" s="491"/>
      <c r="EO53" s="491"/>
      <c r="EP53" s="491"/>
      <c r="EQ53" s="553"/>
      <c r="ER53" s="491"/>
      <c r="ES53" s="491"/>
      <c r="ET53" s="506"/>
      <c r="EU53" s="506"/>
      <c r="EV53" s="491"/>
      <c r="EW53" s="491"/>
      <c r="EX53" s="491"/>
      <c r="EY53" s="491"/>
      <c r="EZ53" s="491"/>
      <c r="FA53" s="491"/>
      <c r="FB53" s="491"/>
      <c r="FC53" s="553"/>
      <c r="FD53" s="491"/>
      <c r="FE53" s="491"/>
      <c r="FF53" s="491"/>
      <c r="FG53" s="491"/>
      <c r="FH53" s="491"/>
      <c r="FI53" s="491"/>
      <c r="FJ53" s="491"/>
      <c r="FK53" s="491"/>
      <c r="FL53" s="491"/>
      <c r="FM53" s="491"/>
      <c r="FN53" s="491"/>
      <c r="FO53" s="491"/>
      <c r="FP53" s="491"/>
      <c r="FQ53" s="491"/>
      <c r="FR53" s="491"/>
      <c r="FS53" s="491"/>
      <c r="FT53" s="526"/>
      <c r="FU53" s="491"/>
      <c r="FV53" s="491"/>
      <c r="FW53" s="491"/>
      <c r="FX53" s="491"/>
      <c r="FY53" s="491"/>
      <c r="FZ53" s="491"/>
      <c r="GA53" s="491"/>
      <c r="GB53" s="491"/>
      <c r="GC53" s="526"/>
      <c r="GD53" s="491"/>
      <c r="GE53" s="491"/>
      <c r="GF53" s="491"/>
      <c r="GG53" s="491"/>
      <c r="GH53" s="491"/>
      <c r="GI53" s="491"/>
      <c r="GJ53" s="491"/>
      <c r="GK53" s="564"/>
      <c r="GL53" s="491"/>
      <c r="GM53" s="491"/>
      <c r="GN53" s="491"/>
      <c r="GO53" s="526"/>
      <c r="GP53" s="491"/>
      <c r="GQ53" s="491"/>
      <c r="GR53" s="491"/>
      <c r="GS53" s="491"/>
      <c r="GT53" s="491"/>
      <c r="GU53" s="491"/>
      <c r="GV53" s="491"/>
      <c r="GW53" s="491"/>
      <c r="GX53" s="491"/>
      <c r="GY53" s="491"/>
      <c r="GZ53" s="491"/>
      <c r="HA53" s="491"/>
      <c r="HB53" s="491"/>
      <c r="HC53" s="491"/>
      <c r="HD53" s="491"/>
      <c r="HE53" s="491"/>
      <c r="HF53" s="491"/>
      <c r="HG53" s="491"/>
      <c r="HH53" s="491"/>
      <c r="HI53" s="491"/>
      <c r="HJ53" s="491"/>
      <c r="HK53" s="491"/>
      <c r="HL53" s="491"/>
      <c r="HM53" s="491"/>
      <c r="HN53" s="578"/>
      <c r="HO53" s="491"/>
      <c r="HP53" s="491"/>
      <c r="HQ53" s="491"/>
      <c r="HR53" s="491"/>
      <c r="HS53" s="491"/>
      <c r="HT53" s="529"/>
      <c r="HU53" s="491"/>
      <c r="HV53" s="491"/>
      <c r="HW53" s="491"/>
      <c r="HX53" s="491"/>
      <c r="HY53" s="491"/>
      <c r="HZ53" s="491"/>
      <c r="IA53" s="491"/>
      <c r="IB53" s="491"/>
      <c r="IC53" s="491"/>
      <c r="ID53" s="577"/>
      <c r="IE53" s="491"/>
      <c r="IF53" s="491"/>
      <c r="IG53" s="491"/>
      <c r="IH53" s="491"/>
      <c r="II53" s="491"/>
      <c r="IJ53" s="491"/>
      <c r="IK53" s="491"/>
      <c r="IL53" s="564"/>
      <c r="IM53" s="491"/>
      <c r="IN53" s="491"/>
      <c r="IO53" s="578"/>
      <c r="IP53" s="1456" t="s">
        <v>5034</v>
      </c>
      <c r="IQ53" s="1457"/>
      <c r="IR53" s="1457"/>
      <c r="IS53" s="1457"/>
      <c r="IT53" s="1457"/>
      <c r="IU53" s="1457"/>
      <c r="IV53" s="1457"/>
      <c r="IW53" s="1457"/>
      <c r="IX53" s="1457"/>
      <c r="IY53" s="1458"/>
      <c r="IZ53" s="491"/>
      <c r="JA53" s="564"/>
      <c r="JB53" s="491"/>
      <c r="JC53" s="491"/>
      <c r="JD53" s="491"/>
      <c r="JE53" s="491"/>
      <c r="JF53" s="491"/>
      <c r="JG53" s="491"/>
      <c r="JH53" s="491"/>
      <c r="JI53" s="491"/>
      <c r="JJ53" s="491"/>
      <c r="JK53" s="491"/>
      <c r="JL53" s="491"/>
      <c r="JM53" s="491"/>
      <c r="JN53" s="491"/>
      <c r="JO53" s="491"/>
      <c r="JP53" s="491"/>
      <c r="JQ53" s="491"/>
      <c r="JR53" s="491"/>
      <c r="JS53" s="491"/>
      <c r="JT53" s="526"/>
      <c r="JU53" s="491"/>
      <c r="JV53" s="491"/>
      <c r="JW53" s="491"/>
      <c r="JX53" s="491"/>
      <c r="JY53" s="491"/>
      <c r="JZ53" s="491"/>
      <c r="KA53" s="567">
        <f>JQ56</f>
        <v>0.5</v>
      </c>
      <c r="KB53" s="526"/>
      <c r="KC53" s="491"/>
      <c r="KD53" s="491"/>
      <c r="KE53" s="491"/>
      <c r="KF53" s="491"/>
      <c r="KG53" s="491"/>
      <c r="KH53" s="491"/>
      <c r="KI53" s="491"/>
      <c r="KJ53" s="527"/>
      <c r="KK53" s="491"/>
      <c r="KL53" s="491"/>
      <c r="KM53" s="491"/>
      <c r="KN53" s="491"/>
      <c r="KO53" s="567">
        <f>SUM(KE56,KE59,KE61,KE63,KE65,KE67)</f>
        <v>6</v>
      </c>
      <c r="KP53" s="491"/>
      <c r="KQ53" s="491"/>
      <c r="KR53" s="491"/>
      <c r="KS53" s="491"/>
      <c r="KT53" s="491"/>
      <c r="KU53" s="564"/>
      <c r="KV53" s="491"/>
      <c r="KW53" s="491"/>
      <c r="KX53" s="491"/>
      <c r="KY53" s="491"/>
      <c r="KZ53" s="578"/>
      <c r="LA53" s="491"/>
      <c r="LB53" s="491"/>
      <c r="LC53" s="491"/>
      <c r="LD53" s="491"/>
      <c r="LE53" s="529"/>
      <c r="LF53" s="491"/>
      <c r="LG53" s="491"/>
      <c r="LH53" s="491"/>
      <c r="LI53" s="491"/>
      <c r="LJ53" s="491"/>
      <c r="LK53" s="491"/>
      <c r="LL53" s="491"/>
      <c r="LM53" s="491"/>
      <c r="LN53" s="491"/>
      <c r="LO53" s="491"/>
      <c r="LP53" s="606"/>
      <c r="LQ53" s="491"/>
      <c r="LR53" s="491"/>
      <c r="LS53" s="491"/>
      <c r="LT53" s="491"/>
      <c r="LU53" s="491"/>
      <c r="LV53" s="491"/>
      <c r="LW53" s="491"/>
      <c r="LX53" s="491"/>
      <c r="LY53" s="491"/>
      <c r="LZ53" s="491"/>
      <c r="MA53" s="577"/>
      <c r="MB53" s="491"/>
      <c r="MC53" s="491"/>
      <c r="MD53" s="491"/>
      <c r="ME53" s="491"/>
      <c r="MF53" s="491"/>
      <c r="MG53" s="564"/>
      <c r="MH53" s="491"/>
      <c r="MI53" s="491"/>
      <c r="MJ53" s="491"/>
      <c r="MK53" s="491"/>
      <c r="ML53" s="491"/>
      <c r="MM53" s="491"/>
      <c r="MN53" s="578"/>
      <c r="MO53" s="491"/>
      <c r="MP53" s="491"/>
      <c r="MQ53" s="491"/>
      <c r="MR53" s="491"/>
      <c r="MS53" s="491"/>
      <c r="MT53" s="491"/>
      <c r="MU53" s="491"/>
      <c r="MV53" s="491"/>
      <c r="MW53" s="491"/>
      <c r="MX53" s="491"/>
      <c r="MY53" s="491"/>
      <c r="MZ53" s="491"/>
      <c r="NA53" s="491"/>
      <c r="NB53" s="524"/>
      <c r="NC53" s="491"/>
      <c r="ND53" s="491"/>
      <c r="NE53" s="491"/>
      <c r="NF53" s="491"/>
      <c r="NG53" s="491"/>
      <c r="NH53" s="491"/>
      <c r="NI53" s="491"/>
      <c r="NJ53" s="491"/>
      <c r="NK53" s="491"/>
      <c r="NL53" s="491"/>
      <c r="NM53" s="491"/>
      <c r="NN53" s="491"/>
      <c r="NO53" s="491"/>
      <c r="NP53" s="491"/>
      <c r="NQ53" s="491"/>
      <c r="NR53" s="491"/>
      <c r="NS53" s="564"/>
      <c r="NT53" s="491"/>
      <c r="NU53" s="491"/>
      <c r="NV53" s="491"/>
      <c r="NW53" s="491"/>
      <c r="NX53" s="491"/>
      <c r="PW53" s="482"/>
      <c r="QA53" s="491"/>
      <c r="QB53" s="1470"/>
      <c r="QC53" s="1470"/>
      <c r="QD53" s="1470"/>
      <c r="QE53" s="1470"/>
      <c r="QF53" s="1470"/>
      <c r="QG53" s="1470"/>
      <c r="QH53" s="1470"/>
      <c r="QI53" s="1470"/>
      <c r="QJ53" s="1470"/>
      <c r="QK53" s="1470"/>
      <c r="QL53" s="1470"/>
      <c r="QM53" s="1470"/>
      <c r="QN53" s="1471"/>
      <c r="QO53" s="1471"/>
      <c r="QP53" s="1471"/>
      <c r="QQ53" s="1471"/>
      <c r="QR53" s="491"/>
      <c r="QS53" s="491"/>
      <c r="QT53" s="491"/>
      <c r="QU53" s="491"/>
      <c r="QV53" s="491"/>
      <c r="QW53" s="491"/>
      <c r="QX53" s="491"/>
      <c r="QY53" s="491"/>
      <c r="QZ53" s="491"/>
      <c r="RA53" s="491"/>
      <c r="RB53" s="491"/>
    </row>
    <row r="54" spans="11:470" ht="12.75" customHeight="1" x14ac:dyDescent="0.35">
      <c r="K54" s="482"/>
      <c r="AR54" s="541"/>
      <c r="AU54" s="491"/>
      <c r="AV54" s="491"/>
      <c r="AW54" s="491"/>
      <c r="AX54" s="491"/>
      <c r="AY54" s="578"/>
      <c r="AZ54" s="491"/>
      <c r="BA54" s="1447" t="s">
        <v>3870</v>
      </c>
      <c r="BB54" s="1448"/>
      <c r="BC54" s="1448"/>
      <c r="BD54" s="1448"/>
      <c r="BE54" s="1448"/>
      <c r="BF54" s="1448"/>
      <c r="BG54" s="1448"/>
      <c r="BH54" s="1448"/>
      <c r="BI54" s="1448"/>
      <c r="BJ54" s="1449"/>
      <c r="BK54" s="491"/>
      <c r="BL54" s="564"/>
      <c r="BM54" s="491"/>
      <c r="BN54" s="491"/>
      <c r="BO54" s="491"/>
      <c r="BP54" s="578"/>
      <c r="BQ54" s="491"/>
      <c r="BR54" s="491"/>
      <c r="BS54" s="491"/>
      <c r="BT54" s="491"/>
      <c r="BU54" s="607"/>
      <c r="BV54" s="608"/>
      <c r="BW54" s="1447" t="s">
        <v>5035</v>
      </c>
      <c r="BX54" s="1448"/>
      <c r="BY54" s="1448"/>
      <c r="BZ54" s="1448"/>
      <c r="CA54" s="1448"/>
      <c r="CB54" s="1448"/>
      <c r="CC54" s="1448"/>
      <c r="CD54" s="1448"/>
      <c r="CE54" s="1448"/>
      <c r="CF54" s="1449"/>
      <c r="CG54" s="607"/>
      <c r="CH54" s="491"/>
      <c r="CI54" s="609"/>
      <c r="CJ54" s="491"/>
      <c r="CK54" s="491"/>
      <c r="CL54" s="491"/>
      <c r="CM54" s="564"/>
      <c r="CN54" s="511"/>
      <c r="CO54" s="511"/>
      <c r="CP54" s="491"/>
      <c r="CQ54" s="578"/>
      <c r="CR54" s="491"/>
      <c r="CS54" s="491"/>
      <c r="CT54" s="491"/>
      <c r="CU54" s="491"/>
      <c r="CV54" s="491"/>
      <c r="CW54" s="607"/>
      <c r="CX54" s="1450" t="s">
        <v>5036</v>
      </c>
      <c r="CY54" s="1451"/>
      <c r="CZ54" s="1451"/>
      <c r="DA54" s="1451"/>
      <c r="DB54" s="1451"/>
      <c r="DC54" s="1451"/>
      <c r="DD54" s="1451"/>
      <c r="DE54" s="1451"/>
      <c r="DF54" s="1451"/>
      <c r="DG54" s="1452"/>
      <c r="DH54" s="491"/>
      <c r="DI54" s="491"/>
      <c r="DJ54" s="491"/>
      <c r="DK54" s="491"/>
      <c r="DL54" s="491"/>
      <c r="DM54" s="491"/>
      <c r="DN54" s="564"/>
      <c r="DO54" s="491"/>
      <c r="DP54" s="491"/>
      <c r="DQ54" s="491"/>
      <c r="DR54" s="578"/>
      <c r="DS54" s="518">
        <v>0.5</v>
      </c>
      <c r="DT54" s="1456" t="s">
        <v>5037</v>
      </c>
      <c r="DU54" s="1457"/>
      <c r="DV54" s="1457"/>
      <c r="DW54" s="1457"/>
      <c r="DX54" s="1457"/>
      <c r="DY54" s="1457"/>
      <c r="DZ54" s="1457"/>
      <c r="EA54" s="1457"/>
      <c r="EB54" s="1458"/>
      <c r="EC54" s="564"/>
      <c r="ED54" s="491"/>
      <c r="EE54" s="491"/>
      <c r="EF54" s="491"/>
      <c r="EG54" s="578"/>
      <c r="EH54" s="491"/>
      <c r="EI54" s="491"/>
      <c r="EJ54" s="491"/>
      <c r="EK54" s="491"/>
      <c r="EL54" s="491"/>
      <c r="EM54" s="1456" t="s">
        <v>119</v>
      </c>
      <c r="EN54" s="1457"/>
      <c r="EO54" s="1457"/>
      <c r="EP54" s="1457"/>
      <c r="EQ54" s="1457"/>
      <c r="ER54" s="1457"/>
      <c r="ES54" s="1457"/>
      <c r="ET54" s="1457"/>
      <c r="EU54" s="1457"/>
      <c r="EV54" s="1458"/>
      <c r="EW54" s="491"/>
      <c r="EX54" s="491"/>
      <c r="EY54" s="1456" t="s">
        <v>119</v>
      </c>
      <c r="EZ54" s="1457"/>
      <c r="FA54" s="1457"/>
      <c r="FB54" s="1457"/>
      <c r="FC54" s="1457"/>
      <c r="FD54" s="1457"/>
      <c r="FE54" s="1457"/>
      <c r="FF54" s="1457"/>
      <c r="FG54" s="1457"/>
      <c r="FH54" s="1458"/>
      <c r="FI54" s="491"/>
      <c r="FJ54" s="491"/>
      <c r="FK54" s="491"/>
      <c r="FL54" s="491"/>
      <c r="FM54" s="491"/>
      <c r="FN54" s="491"/>
      <c r="FO54" s="491"/>
      <c r="FP54" s="491"/>
      <c r="FQ54" s="491"/>
      <c r="FR54" s="491"/>
      <c r="FS54" s="491"/>
      <c r="FT54" s="526"/>
      <c r="FU54" s="491"/>
      <c r="FV54" s="491"/>
      <c r="FW54" s="491"/>
      <c r="FX54" s="491"/>
      <c r="FY54" s="491"/>
      <c r="FZ54" s="491"/>
      <c r="GA54" s="491"/>
      <c r="GB54" s="491"/>
      <c r="GC54" s="526"/>
      <c r="GD54" s="491"/>
      <c r="GE54" s="491"/>
      <c r="GF54" s="491"/>
      <c r="GG54" s="491"/>
      <c r="GH54" s="491"/>
      <c r="GI54" s="491"/>
      <c r="GJ54" s="491"/>
      <c r="GK54" s="564"/>
      <c r="GL54" s="491"/>
      <c r="GM54" s="491"/>
      <c r="GN54" s="491"/>
      <c r="GO54" s="526"/>
      <c r="GP54" s="491"/>
      <c r="GQ54" s="491"/>
      <c r="GR54" s="491"/>
      <c r="GS54" s="491"/>
      <c r="GT54" s="491"/>
      <c r="GU54" s="491"/>
      <c r="GV54" s="491"/>
      <c r="GW54" s="491"/>
      <c r="GX54" s="491"/>
      <c r="GY54" s="491"/>
      <c r="GZ54" s="491"/>
      <c r="HA54" s="491"/>
      <c r="HB54" s="491"/>
      <c r="HC54" s="491"/>
      <c r="HD54" s="491"/>
      <c r="HE54" s="491"/>
      <c r="HF54" s="491"/>
      <c r="HG54" s="491"/>
      <c r="HH54" s="491"/>
      <c r="HI54" s="491"/>
      <c r="HJ54" s="491"/>
      <c r="HK54" s="491"/>
      <c r="HL54" s="491"/>
      <c r="HM54" s="491"/>
      <c r="HN54" s="578"/>
      <c r="HO54" s="491"/>
      <c r="HP54" s="491"/>
      <c r="HQ54" s="491"/>
      <c r="HR54" s="491"/>
      <c r="HS54" s="491"/>
      <c r="HT54" s="602"/>
      <c r="HU54" s="491"/>
      <c r="HV54" s="491"/>
      <c r="HW54" s="491"/>
      <c r="HX54" s="491"/>
      <c r="HY54" s="491"/>
      <c r="HZ54" s="491"/>
      <c r="IA54" s="491"/>
      <c r="IB54" s="491"/>
      <c r="IC54" s="491"/>
      <c r="ID54" s="529"/>
      <c r="IE54" s="491"/>
      <c r="IF54" s="491"/>
      <c r="IG54" s="491"/>
      <c r="IH54" s="491"/>
      <c r="II54" s="491"/>
      <c r="IJ54" s="491"/>
      <c r="IK54" s="491"/>
      <c r="IL54" s="564"/>
      <c r="IM54" s="491"/>
      <c r="IN54" s="491"/>
      <c r="IO54" s="578"/>
      <c r="IP54" s="513">
        <v>1</v>
      </c>
      <c r="IQ54" s="1456" t="s">
        <v>4834</v>
      </c>
      <c r="IR54" s="1457"/>
      <c r="IS54" s="1457"/>
      <c r="IT54" s="1457"/>
      <c r="IU54" s="1457"/>
      <c r="IV54" s="1457"/>
      <c r="IW54" s="1457"/>
      <c r="IX54" s="1457"/>
      <c r="IY54" s="1458"/>
      <c r="IZ54" s="491"/>
      <c r="JA54" s="564"/>
      <c r="JB54" s="491"/>
      <c r="JC54" s="491"/>
      <c r="JD54" s="491"/>
      <c r="JE54" s="491"/>
      <c r="JF54" s="491"/>
      <c r="JG54" s="491"/>
      <c r="JH54" s="491"/>
      <c r="JI54" s="491"/>
      <c r="JJ54" s="491"/>
      <c r="JK54" s="491"/>
      <c r="JL54" s="491"/>
      <c r="JM54" s="491"/>
      <c r="JN54" s="491"/>
      <c r="JO54" s="491"/>
      <c r="JP54" s="571"/>
      <c r="JQ54" s="533"/>
      <c r="JR54" s="533"/>
      <c r="JS54" s="533"/>
      <c r="JT54" s="533"/>
      <c r="JU54" s="1477" t="s">
        <v>5038</v>
      </c>
      <c r="JV54" s="1477"/>
      <c r="JW54" s="1477"/>
      <c r="JX54" s="1477"/>
      <c r="JY54" s="1477"/>
      <c r="JZ54" s="1477"/>
      <c r="KA54" s="1478"/>
      <c r="KB54" s="526"/>
      <c r="KC54" s="491"/>
      <c r="KD54" s="571"/>
      <c r="KE54" s="533"/>
      <c r="KF54" s="533"/>
      <c r="KG54" s="533"/>
      <c r="KH54" s="533"/>
      <c r="KI54" s="1477" t="s">
        <v>4854</v>
      </c>
      <c r="KJ54" s="1477"/>
      <c r="KK54" s="1477"/>
      <c r="KL54" s="1477"/>
      <c r="KM54" s="1477"/>
      <c r="KN54" s="1477"/>
      <c r="KO54" s="1478"/>
      <c r="KP54" s="491"/>
      <c r="KQ54" s="491"/>
      <c r="KR54" s="491"/>
      <c r="KS54" s="491"/>
      <c r="KT54" s="491"/>
      <c r="KU54" s="564"/>
      <c r="KV54" s="491"/>
      <c r="KW54" s="491"/>
      <c r="KX54" s="491"/>
      <c r="KY54" s="491"/>
      <c r="KZ54" s="578"/>
      <c r="LA54" s="491"/>
      <c r="LB54" s="491"/>
      <c r="LC54" s="491"/>
      <c r="LD54" s="491"/>
      <c r="LE54" s="529"/>
      <c r="LF54" s="491"/>
      <c r="LG54" s="491"/>
      <c r="LH54" s="491"/>
      <c r="LI54" s="491"/>
      <c r="LJ54" s="491"/>
      <c r="LK54" s="491"/>
      <c r="LL54" s="491"/>
      <c r="LM54" s="491"/>
      <c r="LN54" s="491"/>
      <c r="LO54" s="491"/>
      <c r="LP54" s="529"/>
      <c r="LQ54" s="491"/>
      <c r="LR54" s="491"/>
      <c r="LS54" s="491"/>
      <c r="LT54" s="491"/>
      <c r="LU54" s="491"/>
      <c r="LV54" s="491"/>
      <c r="LW54" s="491"/>
      <c r="LX54" s="491"/>
      <c r="LY54" s="491"/>
      <c r="LZ54" s="491"/>
      <c r="MA54" s="529"/>
      <c r="MB54" s="491"/>
      <c r="MC54" s="491"/>
      <c r="MD54" s="491"/>
      <c r="ME54" s="491"/>
      <c r="MF54" s="491"/>
      <c r="MG54" s="564"/>
      <c r="MH54" s="491"/>
      <c r="MI54" s="491"/>
      <c r="MJ54" s="491"/>
      <c r="MK54" s="491"/>
      <c r="ML54" s="491"/>
      <c r="MM54" s="491"/>
      <c r="MN54" s="578"/>
      <c r="MO54" s="491"/>
      <c r="MP54" s="491"/>
      <c r="MQ54" s="491"/>
      <c r="MR54" s="491"/>
      <c r="MS54" s="491"/>
      <c r="MT54" s="491"/>
      <c r="MU54" s="491"/>
      <c r="MV54" s="491"/>
      <c r="MW54" s="491"/>
      <c r="MX54" s="491"/>
      <c r="MY54" s="491"/>
      <c r="MZ54" s="491"/>
      <c r="NA54" s="491"/>
      <c r="NB54" s="524"/>
      <c r="NC54" s="491"/>
      <c r="ND54" s="491"/>
      <c r="NE54" s="491"/>
      <c r="NF54" s="491"/>
      <c r="NG54" s="491"/>
      <c r="NH54" s="491"/>
      <c r="NI54" s="491"/>
      <c r="NJ54" s="491"/>
      <c r="NK54" s="491"/>
      <c r="NL54" s="491"/>
      <c r="NM54" s="491"/>
      <c r="NN54" s="491"/>
      <c r="NO54" s="491"/>
      <c r="NP54" s="491"/>
      <c r="NQ54" s="491"/>
      <c r="NR54" s="491"/>
      <c r="NS54" s="564"/>
      <c r="NT54" s="491"/>
      <c r="NU54" s="491"/>
      <c r="NV54" s="491"/>
      <c r="NW54" s="491"/>
      <c r="NX54" s="491"/>
      <c r="PW54" s="482"/>
      <c r="QA54" s="491"/>
      <c r="QB54" s="610"/>
      <c r="QC54" s="610"/>
      <c r="QD54" s="610"/>
      <c r="QE54" s="610"/>
      <c r="QF54" s="610"/>
      <c r="QG54" s="610"/>
      <c r="QH54" s="610"/>
      <c r="QI54" s="610"/>
      <c r="QJ54" s="610"/>
      <c r="QK54" s="610"/>
      <c r="QL54" s="610"/>
      <c r="QM54" s="610"/>
      <c r="QN54" s="491"/>
      <c r="QO54" s="491"/>
      <c r="QP54" s="491"/>
      <c r="QQ54" s="491"/>
      <c r="QR54" s="491"/>
      <c r="QS54" s="491"/>
      <c r="QT54" s="491"/>
      <c r="QU54" s="491"/>
      <c r="QV54" s="491"/>
      <c r="QW54" s="491"/>
      <c r="QX54" s="491"/>
      <c r="QY54" s="491"/>
      <c r="QZ54" s="491"/>
      <c r="RA54" s="491"/>
      <c r="RB54" s="491"/>
    </row>
    <row r="55" spans="11:470" ht="12.75" customHeight="1" x14ac:dyDescent="0.35">
      <c r="K55" s="482"/>
      <c r="AR55" s="541"/>
      <c r="AU55" s="491"/>
      <c r="AV55" s="491"/>
      <c r="AW55" s="491"/>
      <c r="AX55" s="491"/>
      <c r="AY55" s="578"/>
      <c r="AZ55" s="491"/>
      <c r="BA55" s="491"/>
      <c r="BB55" s="491"/>
      <c r="BC55" s="491"/>
      <c r="BD55" s="593"/>
      <c r="BE55" s="491"/>
      <c r="BF55" s="491"/>
      <c r="BG55" s="491"/>
      <c r="BH55" s="491"/>
      <c r="BI55" s="491"/>
      <c r="BJ55" s="491"/>
      <c r="BK55" s="491"/>
      <c r="BL55" s="564"/>
      <c r="BM55" s="491"/>
      <c r="BN55" s="491"/>
      <c r="BO55" s="491"/>
      <c r="BP55" s="578"/>
      <c r="BQ55" s="491"/>
      <c r="BR55" s="491"/>
      <c r="BS55" s="491"/>
      <c r="BT55" s="491"/>
      <c r="BU55" s="611"/>
      <c r="BV55" s="491"/>
      <c r="BW55" s="491"/>
      <c r="BX55" s="491"/>
      <c r="BY55" s="491"/>
      <c r="BZ55" s="491"/>
      <c r="CA55" s="597"/>
      <c r="CB55" s="612"/>
      <c r="CC55" s="491"/>
      <c r="CD55" s="491"/>
      <c r="CE55" s="491"/>
      <c r="CF55" s="491"/>
      <c r="CG55" s="491"/>
      <c r="CH55" s="491"/>
      <c r="CI55" s="613"/>
      <c r="CJ55" s="491"/>
      <c r="CK55" s="491"/>
      <c r="CL55" s="491"/>
      <c r="CM55" s="564"/>
      <c r="CN55" s="511"/>
      <c r="CO55" s="511"/>
      <c r="CP55" s="491"/>
      <c r="CQ55" s="578"/>
      <c r="CR55" s="491"/>
      <c r="CS55" s="491"/>
      <c r="CT55" s="491"/>
      <c r="CU55" s="491"/>
      <c r="CV55" s="491"/>
      <c r="CW55" s="611"/>
      <c r="CX55" s="491"/>
      <c r="CY55" s="491"/>
      <c r="CZ55" s="614"/>
      <c r="DA55" s="491"/>
      <c r="DB55" s="491"/>
      <c r="DC55" s="612"/>
      <c r="DD55" s="597"/>
      <c r="DE55" s="491"/>
      <c r="DF55" s="491"/>
      <c r="DG55" s="491"/>
      <c r="DH55" s="491"/>
      <c r="DI55" s="491"/>
      <c r="DJ55" s="491"/>
      <c r="DK55" s="491"/>
      <c r="DL55" s="491"/>
      <c r="DM55" s="491"/>
      <c r="DN55" s="564"/>
      <c r="DO55" s="491"/>
      <c r="DP55" s="491"/>
      <c r="DQ55" s="491"/>
      <c r="DR55" s="578"/>
      <c r="DS55" s="1447" t="s">
        <v>5039</v>
      </c>
      <c r="DT55" s="1448"/>
      <c r="DU55" s="1448"/>
      <c r="DV55" s="1448"/>
      <c r="DW55" s="1448"/>
      <c r="DX55" s="1448"/>
      <c r="DY55" s="1448"/>
      <c r="DZ55" s="1448"/>
      <c r="EA55" s="1448"/>
      <c r="EB55" s="1449"/>
      <c r="EC55" s="564"/>
      <c r="ED55" s="491"/>
      <c r="EE55" s="491"/>
      <c r="EF55" s="491"/>
      <c r="EG55" s="578"/>
      <c r="EH55" s="491"/>
      <c r="EI55" s="491"/>
      <c r="EJ55" s="491"/>
      <c r="EK55" s="491"/>
      <c r="EL55" s="491"/>
      <c r="EM55" s="513">
        <v>1</v>
      </c>
      <c r="EN55" s="1456" t="s">
        <v>5040</v>
      </c>
      <c r="EO55" s="1457"/>
      <c r="EP55" s="1457"/>
      <c r="EQ55" s="1457"/>
      <c r="ER55" s="1457"/>
      <c r="ES55" s="1457"/>
      <c r="ET55" s="1457"/>
      <c r="EU55" s="1457"/>
      <c r="EV55" s="1457"/>
      <c r="EW55" s="514"/>
      <c r="EX55" s="491"/>
      <c r="EY55" s="513">
        <v>1</v>
      </c>
      <c r="EZ55" s="1456" t="s">
        <v>5040</v>
      </c>
      <c r="FA55" s="1457"/>
      <c r="FB55" s="1457"/>
      <c r="FC55" s="1457"/>
      <c r="FD55" s="1457"/>
      <c r="FE55" s="1457"/>
      <c r="FF55" s="1457"/>
      <c r="FG55" s="1457"/>
      <c r="FH55" s="1458"/>
      <c r="FI55" s="491"/>
      <c r="FJ55" s="491"/>
      <c r="FK55" s="491"/>
      <c r="FL55" s="491"/>
      <c r="FM55" s="491"/>
      <c r="FN55" s="491"/>
      <c r="FO55" s="491"/>
      <c r="FP55" s="491"/>
      <c r="FQ55" s="491"/>
      <c r="FR55" s="491"/>
      <c r="FS55" s="491"/>
      <c r="FT55" s="526"/>
      <c r="FU55" s="491"/>
      <c r="FV55" s="491"/>
      <c r="FW55" s="491"/>
      <c r="FX55" s="491"/>
      <c r="FY55" s="491"/>
      <c r="FZ55" s="491"/>
      <c r="GA55" s="491"/>
      <c r="GB55" s="491"/>
      <c r="GC55" s="526"/>
      <c r="GD55" s="491"/>
      <c r="GE55" s="491"/>
      <c r="GF55" s="491"/>
      <c r="GG55" s="491"/>
      <c r="GH55" s="491"/>
      <c r="GI55" s="491"/>
      <c r="GJ55" s="491"/>
      <c r="GK55" s="564"/>
      <c r="GL55" s="491"/>
      <c r="GM55" s="491"/>
      <c r="GN55" s="491"/>
      <c r="GO55" s="526"/>
      <c r="GP55" s="491"/>
      <c r="GQ55" s="491"/>
      <c r="GR55" s="491"/>
      <c r="GS55" s="491"/>
      <c r="GT55" s="491"/>
      <c r="GU55" s="491"/>
      <c r="GV55" s="491"/>
      <c r="GW55" s="491"/>
      <c r="GX55" s="491"/>
      <c r="GY55" s="491"/>
      <c r="GZ55" s="491"/>
      <c r="HA55" s="491"/>
      <c r="HB55" s="491"/>
      <c r="HC55" s="491"/>
      <c r="HD55" s="491"/>
      <c r="HE55" s="491"/>
      <c r="HF55" s="491"/>
      <c r="HG55" s="491"/>
      <c r="HH55" s="491"/>
      <c r="HI55" s="491"/>
      <c r="HJ55" s="491"/>
      <c r="HK55" s="491"/>
      <c r="HL55" s="491"/>
      <c r="HM55" s="491"/>
      <c r="HN55" s="578"/>
      <c r="HO55" s="491"/>
      <c r="HP55" s="615">
        <v>1</v>
      </c>
      <c r="HQ55" s="1479" t="s">
        <v>5041</v>
      </c>
      <c r="HR55" s="1480"/>
      <c r="HS55" s="1480"/>
      <c r="HT55" s="1480"/>
      <c r="HU55" s="1480"/>
      <c r="HV55" s="1480"/>
      <c r="HW55" s="1480"/>
      <c r="HX55" s="1480"/>
      <c r="HY55" s="1481"/>
      <c r="HZ55" s="491"/>
      <c r="IA55" s="513">
        <v>1</v>
      </c>
      <c r="IB55" s="1456" t="s">
        <v>5042</v>
      </c>
      <c r="IC55" s="1457"/>
      <c r="ID55" s="1457"/>
      <c r="IE55" s="1457"/>
      <c r="IF55" s="1457"/>
      <c r="IG55" s="1457"/>
      <c r="IH55" s="1457"/>
      <c r="II55" s="1457"/>
      <c r="IJ55" s="1458"/>
      <c r="IK55" s="491"/>
      <c r="IL55" s="564"/>
      <c r="IM55" s="491"/>
      <c r="IN55" s="491"/>
      <c r="IO55" s="578"/>
      <c r="IP55" s="1447" t="s">
        <v>5043</v>
      </c>
      <c r="IQ55" s="1448"/>
      <c r="IR55" s="1448"/>
      <c r="IS55" s="1448"/>
      <c r="IT55" s="1448"/>
      <c r="IU55" s="1448"/>
      <c r="IV55" s="1448"/>
      <c r="IW55" s="1448"/>
      <c r="IX55" s="1448"/>
      <c r="IY55" s="1449"/>
      <c r="IZ55" s="491"/>
      <c r="JA55" s="564"/>
      <c r="JB55" s="491"/>
      <c r="JC55" s="491"/>
      <c r="JD55" s="491"/>
      <c r="JE55" s="491"/>
      <c r="JF55" s="491"/>
      <c r="JG55" s="491"/>
      <c r="JH55" s="491"/>
      <c r="JI55" s="491"/>
      <c r="JJ55" s="491"/>
      <c r="JK55" s="491"/>
      <c r="JL55" s="491"/>
      <c r="JM55" s="491"/>
      <c r="JN55" s="491"/>
      <c r="JO55" s="491"/>
      <c r="JP55" s="578"/>
      <c r="JQ55" s="506"/>
      <c r="JR55" s="491"/>
      <c r="JS55" s="506"/>
      <c r="JT55" s="506"/>
      <c r="JU55" s="491"/>
      <c r="JV55" s="491"/>
      <c r="JW55" s="491"/>
      <c r="JX55" s="491"/>
      <c r="JY55" s="506"/>
      <c r="JZ55" s="491"/>
      <c r="KA55" s="564"/>
      <c r="KB55" s="526"/>
      <c r="KC55" s="491"/>
      <c r="KD55" s="578"/>
      <c r="KE55" s="491"/>
      <c r="KF55" s="491"/>
      <c r="KG55" s="491"/>
      <c r="KH55" s="491"/>
      <c r="KI55" s="491"/>
      <c r="KJ55" s="491"/>
      <c r="KK55" s="491"/>
      <c r="KL55" s="491"/>
      <c r="KM55" s="491"/>
      <c r="KN55" s="491"/>
      <c r="KO55" s="564"/>
      <c r="KP55" s="491"/>
      <c r="KQ55" s="491"/>
      <c r="KR55" s="491"/>
      <c r="KS55" s="491"/>
      <c r="KT55" s="491"/>
      <c r="KU55" s="564"/>
      <c r="KV55" s="491"/>
      <c r="KW55" s="491"/>
      <c r="KX55" s="491"/>
      <c r="KY55" s="491"/>
      <c r="KZ55" s="578"/>
      <c r="LA55" s="491"/>
      <c r="LB55" s="491"/>
      <c r="LC55" s="491"/>
      <c r="LD55" s="491"/>
      <c r="LE55" s="529"/>
      <c r="LF55" s="491"/>
      <c r="LG55" s="491"/>
      <c r="LH55" s="491"/>
      <c r="LI55" s="491"/>
      <c r="LJ55" s="491"/>
      <c r="LK55" s="491"/>
      <c r="LL55" s="518">
        <v>0.5</v>
      </c>
      <c r="LM55" s="1488" t="s">
        <v>5044</v>
      </c>
      <c r="LN55" s="1489"/>
      <c r="LO55" s="1489"/>
      <c r="LP55" s="1489"/>
      <c r="LQ55" s="1489"/>
      <c r="LR55" s="1489"/>
      <c r="LS55" s="1489"/>
      <c r="LT55" s="1489"/>
      <c r="LU55" s="1490"/>
      <c r="LV55" s="491"/>
      <c r="LW55" s="491"/>
      <c r="LX55" s="491"/>
      <c r="LY55" s="491"/>
      <c r="LZ55" s="491"/>
      <c r="MA55" s="529"/>
      <c r="MB55" s="491"/>
      <c r="MC55" s="491"/>
      <c r="MD55" s="491"/>
      <c r="ME55" s="491"/>
      <c r="MF55" s="491"/>
      <c r="MG55" s="564"/>
      <c r="MH55" s="491"/>
      <c r="MI55" s="491"/>
      <c r="MJ55" s="491"/>
      <c r="MK55" s="491"/>
      <c r="ML55" s="491"/>
      <c r="MM55" s="491"/>
      <c r="MN55" s="578"/>
      <c r="MO55" s="491"/>
      <c r="MP55" s="491"/>
      <c r="MQ55" s="491"/>
      <c r="MR55" s="491"/>
      <c r="MS55" s="491"/>
      <c r="MT55" s="491"/>
      <c r="MU55" s="556"/>
      <c r="MV55" s="556"/>
      <c r="MW55" s="556"/>
      <c r="MX55" s="556"/>
      <c r="MY55" s="556"/>
      <c r="MZ55" s="556"/>
      <c r="NA55" s="556"/>
      <c r="NB55" s="619"/>
      <c r="NC55" s="556"/>
      <c r="ND55" s="556"/>
      <c r="NE55" s="556"/>
      <c r="NF55" s="556"/>
      <c r="NG55" s="556"/>
      <c r="NH55" s="556"/>
      <c r="NI55" s="556"/>
      <c r="NJ55" s="556"/>
      <c r="NK55" s="556"/>
      <c r="NL55" s="556"/>
      <c r="NM55" s="491"/>
      <c r="NN55" s="491"/>
      <c r="NO55" s="491"/>
      <c r="NP55" s="491"/>
      <c r="NQ55" s="491"/>
      <c r="NR55" s="491"/>
      <c r="NS55" s="564"/>
      <c r="NT55" s="491"/>
      <c r="NU55" s="491"/>
      <c r="NV55" s="491"/>
      <c r="NW55" s="491"/>
      <c r="NX55" s="491"/>
      <c r="PW55" s="482"/>
      <c r="QA55" s="491"/>
      <c r="QB55" s="1491"/>
      <c r="QC55" s="1470"/>
      <c r="QD55" s="1470"/>
      <c r="QE55" s="1470"/>
      <c r="QF55" s="610"/>
      <c r="QG55" s="610"/>
      <c r="QH55" s="610"/>
      <c r="QI55" s="610"/>
      <c r="QJ55" s="610"/>
      <c r="QK55" s="610"/>
      <c r="QL55" s="610"/>
      <c r="QM55" s="610"/>
      <c r="QN55" s="491"/>
      <c r="QO55" s="491"/>
      <c r="QP55" s="491"/>
      <c r="QQ55" s="491"/>
      <c r="QR55" s="491"/>
      <c r="QS55" s="491"/>
      <c r="QT55" s="491"/>
      <c r="QU55" s="491"/>
      <c r="QV55" s="491"/>
      <c r="QW55" s="491"/>
      <c r="QX55" s="491"/>
      <c r="QY55" s="491"/>
      <c r="QZ55" s="491"/>
      <c r="RA55" s="491"/>
      <c r="RB55" s="491"/>
    </row>
    <row r="56" spans="11:470" ht="12.75" customHeight="1" x14ac:dyDescent="0.35">
      <c r="K56" s="482"/>
      <c r="AR56" s="541"/>
      <c r="AU56" s="491"/>
      <c r="AV56" s="491"/>
      <c r="AW56" s="491"/>
      <c r="AX56" s="491"/>
      <c r="AY56" s="578"/>
      <c r="AZ56" s="491"/>
      <c r="BA56" s="518">
        <v>0.5</v>
      </c>
      <c r="BB56" s="1456" t="s">
        <v>4994</v>
      </c>
      <c r="BC56" s="1457"/>
      <c r="BD56" s="1457"/>
      <c r="BE56" s="1457"/>
      <c r="BF56" s="1457"/>
      <c r="BG56" s="1457"/>
      <c r="BH56" s="1457"/>
      <c r="BI56" s="1457"/>
      <c r="BJ56" s="1458"/>
      <c r="BK56" s="491"/>
      <c r="BL56" s="564"/>
      <c r="BM56" s="491"/>
      <c r="BN56" s="491"/>
      <c r="BO56" s="491"/>
      <c r="BP56" s="578"/>
      <c r="BQ56" s="513">
        <v>1</v>
      </c>
      <c r="BR56" s="1456" t="s">
        <v>5045</v>
      </c>
      <c r="BS56" s="1457"/>
      <c r="BT56" s="1457"/>
      <c r="BU56" s="1457"/>
      <c r="BV56" s="1457"/>
      <c r="BW56" s="1457"/>
      <c r="BX56" s="1457"/>
      <c r="BY56" s="1457"/>
      <c r="BZ56" s="1458"/>
      <c r="CA56" s="491"/>
      <c r="CB56" s="611"/>
      <c r="CC56" s="513">
        <v>1</v>
      </c>
      <c r="CD56" s="1456" t="s">
        <v>5007</v>
      </c>
      <c r="CE56" s="1457"/>
      <c r="CF56" s="1457"/>
      <c r="CG56" s="1457"/>
      <c r="CH56" s="1457"/>
      <c r="CI56" s="1457"/>
      <c r="CJ56" s="1457"/>
      <c r="CK56" s="1457"/>
      <c r="CL56" s="1458"/>
      <c r="CM56" s="564"/>
      <c r="CN56" s="511"/>
      <c r="CO56" s="511"/>
      <c r="CP56" s="491"/>
      <c r="CQ56" s="578"/>
      <c r="CR56" s="513">
        <v>1</v>
      </c>
      <c r="CS56" s="1456" t="s">
        <v>5046</v>
      </c>
      <c r="CT56" s="1457"/>
      <c r="CU56" s="1457"/>
      <c r="CV56" s="1457"/>
      <c r="CW56" s="1457"/>
      <c r="CX56" s="1457"/>
      <c r="CY56" s="1457"/>
      <c r="CZ56" s="1457"/>
      <c r="DA56" s="1458"/>
      <c r="DB56" s="491"/>
      <c r="DC56" s="611"/>
      <c r="DD56" s="491"/>
      <c r="DE56" s="491"/>
      <c r="DF56" s="491"/>
      <c r="DG56" s="491"/>
      <c r="DH56" s="491"/>
      <c r="DI56" s="491"/>
      <c r="DJ56" s="491"/>
      <c r="DK56" s="491"/>
      <c r="DL56" s="491"/>
      <c r="DM56" s="491"/>
      <c r="DN56" s="564"/>
      <c r="DO56" s="491"/>
      <c r="DP56" s="491"/>
      <c r="DQ56" s="491"/>
      <c r="DR56" s="578"/>
      <c r="DS56" s="518">
        <v>0.5</v>
      </c>
      <c r="DT56" s="1456" t="s">
        <v>5047</v>
      </c>
      <c r="DU56" s="1457"/>
      <c r="DV56" s="1457"/>
      <c r="DW56" s="1457"/>
      <c r="DX56" s="1457"/>
      <c r="DY56" s="1457"/>
      <c r="DZ56" s="1457"/>
      <c r="EA56" s="1457"/>
      <c r="EB56" s="1458"/>
      <c r="EC56" s="564"/>
      <c r="ED56" s="491"/>
      <c r="EE56" s="491"/>
      <c r="EF56" s="491"/>
      <c r="EG56" s="578"/>
      <c r="EH56" s="491"/>
      <c r="EI56" s="491"/>
      <c r="EJ56" s="491"/>
      <c r="EK56" s="491"/>
      <c r="EL56" s="491"/>
      <c r="EM56" s="1447" t="s">
        <v>5048</v>
      </c>
      <c r="EN56" s="1448"/>
      <c r="EO56" s="1448"/>
      <c r="EP56" s="1448"/>
      <c r="EQ56" s="1448"/>
      <c r="ER56" s="1448"/>
      <c r="ES56" s="1448"/>
      <c r="ET56" s="1448"/>
      <c r="EU56" s="1448"/>
      <c r="EV56" s="1449"/>
      <c r="EW56" s="491"/>
      <c r="EX56" s="491"/>
      <c r="EY56" s="1447" t="s">
        <v>5049</v>
      </c>
      <c r="EZ56" s="1448"/>
      <c r="FA56" s="1448"/>
      <c r="FB56" s="1448"/>
      <c r="FC56" s="1448"/>
      <c r="FD56" s="1448"/>
      <c r="FE56" s="1448"/>
      <c r="FF56" s="1448"/>
      <c r="FG56" s="1448"/>
      <c r="FH56" s="1449"/>
      <c r="FI56" s="491"/>
      <c r="FJ56" s="491"/>
      <c r="FK56" s="491"/>
      <c r="FL56" s="491"/>
      <c r="FM56" s="491"/>
      <c r="FN56" s="491"/>
      <c r="FO56" s="491"/>
      <c r="FP56" s="491"/>
      <c r="FQ56" s="491"/>
      <c r="FR56" s="491"/>
      <c r="FS56" s="491"/>
      <c r="FT56" s="526"/>
      <c r="FU56" s="491"/>
      <c r="FV56" s="491"/>
      <c r="FW56" s="491"/>
      <c r="FX56" s="491"/>
      <c r="FY56" s="491"/>
      <c r="FZ56" s="491"/>
      <c r="GA56" s="491"/>
      <c r="GB56" s="491"/>
      <c r="GC56" s="526"/>
      <c r="GD56" s="491"/>
      <c r="GE56" s="491"/>
      <c r="GF56" s="491"/>
      <c r="GG56" s="491"/>
      <c r="GH56" s="491"/>
      <c r="GI56" s="491"/>
      <c r="GJ56" s="491"/>
      <c r="GK56" s="564"/>
      <c r="GL56" s="491"/>
      <c r="GM56" s="491"/>
      <c r="GN56" s="491"/>
      <c r="GO56" s="526"/>
      <c r="GP56" s="491"/>
      <c r="GQ56" s="491"/>
      <c r="GR56" s="491"/>
      <c r="GS56" s="491"/>
      <c r="GT56" s="491"/>
      <c r="GU56" s="491"/>
      <c r="GV56" s="491"/>
      <c r="GW56" s="491"/>
      <c r="GX56" s="491"/>
      <c r="GY56" s="491"/>
      <c r="GZ56" s="491"/>
      <c r="HA56" s="491"/>
      <c r="HB56" s="491"/>
      <c r="HC56" s="491"/>
      <c r="HD56" s="491"/>
      <c r="HE56" s="491"/>
      <c r="HF56" s="491"/>
      <c r="HG56" s="491"/>
      <c r="HH56" s="491"/>
      <c r="HI56" s="491"/>
      <c r="HJ56" s="491"/>
      <c r="HK56" s="491"/>
      <c r="HL56" s="491"/>
      <c r="HM56" s="491"/>
      <c r="HN56" s="578"/>
      <c r="HO56" s="491"/>
      <c r="HP56" s="1492" t="s">
        <v>5050</v>
      </c>
      <c r="HQ56" s="1493"/>
      <c r="HR56" s="1493"/>
      <c r="HS56" s="1493"/>
      <c r="HT56" s="1493"/>
      <c r="HU56" s="1493"/>
      <c r="HV56" s="1493"/>
      <c r="HW56" s="1493"/>
      <c r="HX56" s="1493"/>
      <c r="HY56" s="1494"/>
      <c r="HZ56" s="491"/>
      <c r="IA56" s="1450" t="s">
        <v>5051</v>
      </c>
      <c r="IB56" s="1451"/>
      <c r="IC56" s="1451"/>
      <c r="ID56" s="1451"/>
      <c r="IE56" s="1451"/>
      <c r="IF56" s="1451"/>
      <c r="IG56" s="1451"/>
      <c r="IH56" s="1451"/>
      <c r="II56" s="1451"/>
      <c r="IJ56" s="1452"/>
      <c r="IK56" s="491"/>
      <c r="IL56" s="564"/>
      <c r="IM56" s="491"/>
      <c r="IN56" s="491"/>
      <c r="IO56" s="578"/>
      <c r="IP56" s="513">
        <v>1</v>
      </c>
      <c r="IQ56" s="1456" t="s">
        <v>4834</v>
      </c>
      <c r="IR56" s="1457"/>
      <c r="IS56" s="1457"/>
      <c r="IT56" s="1457"/>
      <c r="IU56" s="1457"/>
      <c r="IV56" s="1457"/>
      <c r="IW56" s="1457"/>
      <c r="IX56" s="1457"/>
      <c r="IY56" s="1458"/>
      <c r="IZ56" s="491"/>
      <c r="JA56" s="564"/>
      <c r="JB56" s="491"/>
      <c r="JC56" s="491"/>
      <c r="JD56" s="491"/>
      <c r="JE56" s="491"/>
      <c r="JF56" s="491"/>
      <c r="JG56" s="491"/>
      <c r="JH56" s="491"/>
      <c r="JI56" s="491"/>
      <c r="JJ56" s="491"/>
      <c r="JK56" s="491"/>
      <c r="JL56" s="491"/>
      <c r="JM56" s="491"/>
      <c r="JN56" s="491"/>
      <c r="JO56" s="491"/>
      <c r="JP56" s="578"/>
      <c r="JQ56" s="512">
        <v>0.5</v>
      </c>
      <c r="JR56" s="1469" t="s">
        <v>763</v>
      </c>
      <c r="JS56" s="1469"/>
      <c r="JT56" s="1469"/>
      <c r="JU56" s="1469"/>
      <c r="JV56" s="1469"/>
      <c r="JW56" s="1469"/>
      <c r="JX56" s="1469"/>
      <c r="JY56" s="1469"/>
      <c r="JZ56" s="1469"/>
      <c r="KA56" s="564"/>
      <c r="KB56" s="526"/>
      <c r="KC56" s="491"/>
      <c r="KD56" s="578"/>
      <c r="KE56" s="513">
        <v>1</v>
      </c>
      <c r="KF56" s="1469" t="s">
        <v>5052</v>
      </c>
      <c r="KG56" s="1469"/>
      <c r="KH56" s="1469"/>
      <c r="KI56" s="1469"/>
      <c r="KJ56" s="1469"/>
      <c r="KK56" s="1469"/>
      <c r="KL56" s="1469"/>
      <c r="KM56" s="1469"/>
      <c r="KN56" s="1469"/>
      <c r="KO56" s="564"/>
      <c r="KP56" s="491"/>
      <c r="KQ56" s="491"/>
      <c r="KR56" s="491"/>
      <c r="KS56" s="491"/>
      <c r="KT56" s="491"/>
      <c r="KU56" s="564"/>
      <c r="KV56" s="491"/>
      <c r="KW56" s="491"/>
      <c r="KX56" s="491"/>
      <c r="KY56" s="491"/>
      <c r="KZ56" s="578"/>
      <c r="LA56" s="491"/>
      <c r="LB56" s="491"/>
      <c r="LC56" s="491"/>
      <c r="LD56" s="491"/>
      <c r="LE56" s="529"/>
      <c r="LF56" s="491"/>
      <c r="LG56" s="491"/>
      <c r="LH56" s="491"/>
      <c r="LI56" s="491"/>
      <c r="LJ56" s="491"/>
      <c r="LK56" s="491"/>
      <c r="LL56" s="1482" t="s">
        <v>5053</v>
      </c>
      <c r="LM56" s="1483"/>
      <c r="LN56" s="1483"/>
      <c r="LO56" s="1483"/>
      <c r="LP56" s="1483"/>
      <c r="LQ56" s="1483"/>
      <c r="LR56" s="1483"/>
      <c r="LS56" s="1483"/>
      <c r="LT56" s="1483"/>
      <c r="LU56" s="1484"/>
      <c r="LV56" s="491"/>
      <c r="LW56" s="491"/>
      <c r="LX56" s="491"/>
      <c r="LY56" s="491"/>
      <c r="LZ56" s="491"/>
      <c r="MA56" s="529"/>
      <c r="MB56" s="491"/>
      <c r="MC56" s="491"/>
      <c r="MD56" s="491"/>
      <c r="ME56" s="491"/>
      <c r="MF56" s="491"/>
      <c r="MG56" s="564"/>
      <c r="MH56" s="491"/>
      <c r="MI56" s="491"/>
      <c r="MJ56" s="491"/>
      <c r="MK56" s="491"/>
      <c r="ML56" s="491"/>
      <c r="MM56" s="491"/>
      <c r="MN56" s="578"/>
      <c r="MO56" s="491"/>
      <c r="MP56" s="491"/>
      <c r="MQ56" s="491"/>
      <c r="MR56" s="491"/>
      <c r="MS56" s="491"/>
      <c r="MT56" s="620"/>
      <c r="MU56" s="491"/>
      <c r="MV56" s="491"/>
      <c r="MW56" s="491"/>
      <c r="MX56" s="491"/>
      <c r="MY56" s="491"/>
      <c r="MZ56" s="491"/>
      <c r="NA56" s="491"/>
      <c r="NB56" s="491"/>
      <c r="NC56" s="491"/>
      <c r="ND56" s="491"/>
      <c r="NE56" s="491"/>
      <c r="NF56" s="491"/>
      <c r="NG56" s="491"/>
      <c r="NH56" s="491"/>
      <c r="NI56" s="491"/>
      <c r="NJ56" s="491"/>
      <c r="NK56" s="491"/>
      <c r="NL56" s="621"/>
      <c r="NM56" s="491"/>
      <c r="NN56" s="491"/>
      <c r="NO56" s="491"/>
      <c r="NP56" s="491"/>
      <c r="NQ56" s="491"/>
      <c r="NR56" s="491"/>
      <c r="NS56" s="567">
        <f>NH72+NH70+NH68+NH66+NH64+NH62+NH59</f>
        <v>6.5</v>
      </c>
      <c r="NT56" s="491"/>
      <c r="NU56" s="491"/>
      <c r="NV56" s="491"/>
      <c r="NW56" s="491"/>
      <c r="NX56" s="491"/>
      <c r="PW56" s="482"/>
      <c r="QA56" s="491"/>
      <c r="QB56" s="1470"/>
      <c r="QC56" s="1470"/>
      <c r="QD56" s="1470"/>
      <c r="QE56" s="1470"/>
      <c r="QF56" s="610"/>
      <c r="QG56" s="610"/>
      <c r="QH56" s="610"/>
      <c r="QI56" s="610"/>
      <c r="QJ56" s="610"/>
      <c r="QK56" s="610"/>
      <c r="QL56" s="610"/>
      <c r="QM56" s="610"/>
      <c r="QN56" s="491"/>
      <c r="QO56" s="491"/>
      <c r="QP56" s="491"/>
      <c r="QQ56" s="491"/>
      <c r="QR56" s="491"/>
      <c r="QS56" s="491"/>
      <c r="QT56" s="491"/>
      <c r="QU56" s="491"/>
      <c r="QV56" s="491"/>
      <c r="QW56" s="491"/>
      <c r="QX56" s="491"/>
      <c r="QY56" s="491"/>
      <c r="QZ56" s="491"/>
      <c r="RA56" s="491"/>
      <c r="RB56" s="491"/>
    </row>
    <row r="57" spans="11:470" ht="12.75" customHeight="1" x14ac:dyDescent="0.35">
      <c r="K57" s="482"/>
      <c r="AR57" s="541"/>
      <c r="AU57" s="491"/>
      <c r="AV57" s="491"/>
      <c r="AW57" s="491"/>
      <c r="AX57" s="491"/>
      <c r="AY57" s="578"/>
      <c r="AZ57" s="491"/>
      <c r="BA57" s="1485" t="s">
        <v>4366</v>
      </c>
      <c r="BB57" s="1486"/>
      <c r="BC57" s="1486"/>
      <c r="BD57" s="1486"/>
      <c r="BE57" s="1486"/>
      <c r="BF57" s="1486"/>
      <c r="BG57" s="1486"/>
      <c r="BH57" s="1486"/>
      <c r="BI57" s="1486"/>
      <c r="BJ57" s="1487"/>
      <c r="BK57" s="491"/>
      <c r="BL57" s="564"/>
      <c r="BM57" s="491"/>
      <c r="BN57" s="491"/>
      <c r="BO57" s="491"/>
      <c r="BP57" s="578"/>
      <c r="BQ57" s="1447" t="s">
        <v>5054</v>
      </c>
      <c r="BR57" s="1448"/>
      <c r="BS57" s="1448"/>
      <c r="BT57" s="1448"/>
      <c r="BU57" s="1448"/>
      <c r="BV57" s="1448"/>
      <c r="BW57" s="1448"/>
      <c r="BX57" s="1448"/>
      <c r="BY57" s="1448"/>
      <c r="BZ57" s="1449"/>
      <c r="CA57" s="491"/>
      <c r="CB57" s="611"/>
      <c r="CC57" s="1447" t="s">
        <v>5055</v>
      </c>
      <c r="CD57" s="1448"/>
      <c r="CE57" s="1448"/>
      <c r="CF57" s="1448"/>
      <c r="CG57" s="1448"/>
      <c r="CH57" s="1448"/>
      <c r="CI57" s="1448"/>
      <c r="CJ57" s="1448"/>
      <c r="CK57" s="1448"/>
      <c r="CL57" s="1449"/>
      <c r="CM57" s="564"/>
      <c r="CN57" s="511"/>
      <c r="CO57" s="511"/>
      <c r="CP57" s="491"/>
      <c r="CQ57" s="578"/>
      <c r="CR57" s="1447" t="s">
        <v>1080</v>
      </c>
      <c r="CS57" s="1448"/>
      <c r="CT57" s="1448"/>
      <c r="CU57" s="1448"/>
      <c r="CV57" s="1448"/>
      <c r="CW57" s="1448"/>
      <c r="CX57" s="1448"/>
      <c r="CY57" s="1448"/>
      <c r="CZ57" s="1448"/>
      <c r="DA57" s="1449"/>
      <c r="DB57" s="491"/>
      <c r="DC57" s="611"/>
      <c r="DD57" s="491"/>
      <c r="DE57" s="491"/>
      <c r="DF57" s="491"/>
      <c r="DG57" s="491"/>
      <c r="DH57" s="491"/>
      <c r="DI57" s="491"/>
      <c r="DJ57" s="491"/>
      <c r="DK57" s="491"/>
      <c r="DL57" s="491"/>
      <c r="DM57" s="491"/>
      <c r="DN57" s="564"/>
      <c r="DO57" s="491"/>
      <c r="DP57" s="491"/>
      <c r="DQ57" s="491"/>
      <c r="DR57" s="578"/>
      <c r="DS57" s="1450" t="s">
        <v>5056</v>
      </c>
      <c r="DT57" s="1451"/>
      <c r="DU57" s="1451"/>
      <c r="DV57" s="1451"/>
      <c r="DW57" s="1451"/>
      <c r="DX57" s="1451"/>
      <c r="DY57" s="1451"/>
      <c r="DZ57" s="1451"/>
      <c r="EA57" s="1451"/>
      <c r="EB57" s="1452"/>
      <c r="EC57" s="564"/>
      <c r="ED57" s="491"/>
      <c r="EE57" s="491"/>
      <c r="EF57" s="491"/>
      <c r="EG57" s="578"/>
      <c r="EH57" s="491"/>
      <c r="EI57" s="491"/>
      <c r="EJ57" s="491"/>
      <c r="EK57" s="491"/>
      <c r="EL57" s="491"/>
      <c r="EM57" s="491"/>
      <c r="EN57" s="491"/>
      <c r="EO57" s="491"/>
      <c r="EP57" s="491"/>
      <c r="EQ57" s="580"/>
      <c r="ER57" s="622"/>
      <c r="ES57" s="556"/>
      <c r="ET57" s="556"/>
      <c r="EU57" s="556"/>
      <c r="EV57" s="556"/>
      <c r="EW57" s="556"/>
      <c r="EX57" s="623"/>
      <c r="EY57" s="556"/>
      <c r="EZ57" s="556"/>
      <c r="FA57" s="556"/>
      <c r="FB57" s="556"/>
      <c r="FC57" s="624"/>
      <c r="FD57" s="491"/>
      <c r="FE57" s="491"/>
      <c r="FF57" s="491"/>
      <c r="FG57" s="491"/>
      <c r="FH57" s="491"/>
      <c r="FI57" s="491"/>
      <c r="FJ57" s="491"/>
      <c r="FK57" s="491"/>
      <c r="FL57" s="491"/>
      <c r="FM57" s="491"/>
      <c r="FN57" s="491"/>
      <c r="FO57" s="491"/>
      <c r="FP57" s="491"/>
      <c r="FQ57" s="491"/>
      <c r="FR57" s="491"/>
      <c r="FS57" s="491"/>
      <c r="FT57" s="526"/>
      <c r="FU57" s="491"/>
      <c r="FV57" s="491"/>
      <c r="FW57" s="491"/>
      <c r="FX57" s="491"/>
      <c r="FY57" s="491"/>
      <c r="FZ57" s="491"/>
      <c r="GA57" s="491"/>
      <c r="GB57" s="491"/>
      <c r="GC57" s="526"/>
      <c r="GD57" s="491"/>
      <c r="GE57" s="491"/>
      <c r="GF57" s="491"/>
      <c r="GG57" s="491"/>
      <c r="GH57" s="491"/>
      <c r="GI57" s="491"/>
      <c r="GJ57" s="491"/>
      <c r="GK57" s="564"/>
      <c r="GL57" s="491"/>
      <c r="GM57" s="491"/>
      <c r="GN57" s="491"/>
      <c r="GO57" s="526"/>
      <c r="GP57" s="491"/>
      <c r="GQ57" s="491"/>
      <c r="GR57" s="491"/>
      <c r="GS57" s="491"/>
      <c r="GT57" s="491"/>
      <c r="GU57" s="491"/>
      <c r="GV57" s="491"/>
      <c r="GW57" s="491"/>
      <c r="GX57" s="491"/>
      <c r="GY57" s="491"/>
      <c r="GZ57" s="491"/>
      <c r="HA57" s="491"/>
      <c r="HB57" s="491"/>
      <c r="HC57" s="491"/>
      <c r="HD57" s="491"/>
      <c r="HE57" s="491"/>
      <c r="HF57" s="491"/>
      <c r="HG57" s="491"/>
      <c r="HH57" s="491"/>
      <c r="HI57" s="491"/>
      <c r="HJ57" s="491"/>
      <c r="HK57" s="491"/>
      <c r="HL57" s="491"/>
      <c r="HM57" s="491"/>
      <c r="HN57" s="578"/>
      <c r="HO57" s="491"/>
      <c r="HP57" s="625"/>
      <c r="HQ57" s="1500" t="s">
        <v>5041</v>
      </c>
      <c r="HR57" s="1501"/>
      <c r="HS57" s="1501"/>
      <c r="HT57" s="1501"/>
      <c r="HU57" s="1501"/>
      <c r="HV57" s="1501"/>
      <c r="HW57" s="1501"/>
      <c r="HX57" s="1501"/>
      <c r="HY57" s="1502"/>
      <c r="HZ57" s="491"/>
      <c r="IA57" s="513">
        <v>1</v>
      </c>
      <c r="IB57" s="1456" t="s">
        <v>5042</v>
      </c>
      <c r="IC57" s="1457"/>
      <c r="ID57" s="1457"/>
      <c r="IE57" s="1457"/>
      <c r="IF57" s="1457"/>
      <c r="IG57" s="1457"/>
      <c r="IH57" s="1457"/>
      <c r="II57" s="1457"/>
      <c r="IJ57" s="1458"/>
      <c r="IK57" s="491"/>
      <c r="IL57" s="564"/>
      <c r="IM57" s="491"/>
      <c r="IN57" s="491"/>
      <c r="IO57" s="578"/>
      <c r="IP57" s="1503" t="s">
        <v>1618</v>
      </c>
      <c r="IQ57" s="1504"/>
      <c r="IR57" s="1504"/>
      <c r="IS57" s="1504"/>
      <c r="IT57" s="1504"/>
      <c r="IU57" s="1504"/>
      <c r="IV57" s="1504"/>
      <c r="IW57" s="1504"/>
      <c r="IX57" s="1504"/>
      <c r="IY57" s="1505"/>
      <c r="IZ57" s="491"/>
      <c r="JA57" s="564"/>
      <c r="JB57" s="491"/>
      <c r="JC57" s="491"/>
      <c r="JD57" s="491"/>
      <c r="JE57" s="491"/>
      <c r="JF57" s="491"/>
      <c r="JG57" s="491"/>
      <c r="JH57" s="491"/>
      <c r="JI57" s="491"/>
      <c r="JJ57" s="491"/>
      <c r="JK57" s="491"/>
      <c r="JL57" s="491"/>
      <c r="JM57" s="491"/>
      <c r="JN57" s="491"/>
      <c r="JO57" s="491"/>
      <c r="JP57" s="578"/>
      <c r="JQ57" s="1506" t="s">
        <v>5057</v>
      </c>
      <c r="JR57" s="1507"/>
      <c r="JS57" s="1507"/>
      <c r="JT57" s="1507"/>
      <c r="JU57" s="1507"/>
      <c r="JV57" s="1507"/>
      <c r="JW57" s="1507"/>
      <c r="JX57" s="1507"/>
      <c r="JY57" s="1507"/>
      <c r="JZ57" s="1508"/>
      <c r="KA57" s="564"/>
      <c r="KB57" s="526"/>
      <c r="KC57" s="491"/>
      <c r="KD57" s="578"/>
      <c r="KE57" s="1447" t="s">
        <v>5058</v>
      </c>
      <c r="KF57" s="1448"/>
      <c r="KG57" s="1448"/>
      <c r="KH57" s="1448"/>
      <c r="KI57" s="1448"/>
      <c r="KJ57" s="1448"/>
      <c r="KK57" s="1448"/>
      <c r="KL57" s="1448"/>
      <c r="KM57" s="1448"/>
      <c r="KN57" s="1449"/>
      <c r="KO57" s="564"/>
      <c r="KP57" s="491"/>
      <c r="KQ57" s="491"/>
      <c r="KR57" s="491"/>
      <c r="KS57" s="491"/>
      <c r="KT57" s="491"/>
      <c r="KU57" s="564"/>
      <c r="KV57" s="491"/>
      <c r="KW57" s="491"/>
      <c r="KX57" s="491"/>
      <c r="KY57" s="491"/>
      <c r="KZ57" s="578"/>
      <c r="LA57" s="491"/>
      <c r="LB57" s="491"/>
      <c r="LC57" s="491"/>
      <c r="LD57" s="491"/>
      <c r="LE57" s="602"/>
      <c r="LF57" s="491"/>
      <c r="LG57" s="491"/>
      <c r="LH57" s="491"/>
      <c r="LI57" s="491"/>
      <c r="LJ57" s="491"/>
      <c r="LK57" s="491"/>
      <c r="LL57" s="491"/>
      <c r="LM57" s="491"/>
      <c r="LN57" s="491"/>
      <c r="LO57" s="491"/>
      <c r="LP57" s="529"/>
      <c r="LQ57" s="491"/>
      <c r="LR57" s="491"/>
      <c r="LS57" s="491"/>
      <c r="LT57" s="491"/>
      <c r="LU57" s="491"/>
      <c r="LV57" s="491"/>
      <c r="LW57" s="491"/>
      <c r="LX57" s="491"/>
      <c r="LY57" s="491"/>
      <c r="LZ57" s="491"/>
      <c r="MA57" s="602"/>
      <c r="MB57" s="491"/>
      <c r="MC57" s="491"/>
      <c r="MD57" s="491"/>
      <c r="ME57" s="491"/>
      <c r="MF57" s="491"/>
      <c r="MG57" s="564"/>
      <c r="MH57" s="491"/>
      <c r="MI57" s="491"/>
      <c r="MJ57" s="491"/>
      <c r="MK57" s="491"/>
      <c r="ML57" s="491"/>
      <c r="MM57" s="491"/>
      <c r="MN57" s="578"/>
      <c r="MO57" s="571"/>
      <c r="MP57" s="533"/>
      <c r="MQ57" s="533"/>
      <c r="MR57" s="533"/>
      <c r="MS57" s="533"/>
      <c r="MT57" s="1453" t="s">
        <v>113</v>
      </c>
      <c r="MU57" s="1454"/>
      <c r="MV57" s="1454"/>
      <c r="MW57" s="1454"/>
      <c r="MX57" s="1454"/>
      <c r="MY57" s="1454"/>
      <c r="MZ57" s="1455"/>
      <c r="NA57" s="491"/>
      <c r="NB57" s="491"/>
      <c r="NC57" s="491"/>
      <c r="ND57" s="491"/>
      <c r="NE57" s="491"/>
      <c r="NF57" s="491"/>
      <c r="NG57" s="571"/>
      <c r="NH57" s="533"/>
      <c r="NI57" s="533"/>
      <c r="NJ57" s="533"/>
      <c r="NK57" s="533"/>
      <c r="NL57" s="1453" t="s">
        <v>5059</v>
      </c>
      <c r="NM57" s="1454"/>
      <c r="NN57" s="1454"/>
      <c r="NO57" s="1454"/>
      <c r="NP57" s="1454"/>
      <c r="NQ57" s="1454"/>
      <c r="NR57" s="1455"/>
      <c r="NS57" s="564"/>
      <c r="NT57" s="491"/>
      <c r="NU57" s="491"/>
      <c r="NV57" s="491"/>
      <c r="NW57" s="491"/>
      <c r="NX57" s="491"/>
      <c r="PW57" s="482"/>
      <c r="QA57" s="491"/>
      <c r="QB57" s="491"/>
      <c r="QC57" s="491"/>
      <c r="QD57" s="491"/>
      <c r="QE57" s="491"/>
      <c r="QF57" s="491"/>
      <c r="QG57" s="491"/>
      <c r="QH57" s="491"/>
      <c r="QI57" s="491"/>
      <c r="QJ57" s="491"/>
      <c r="QK57" s="491"/>
      <c r="QL57" s="491"/>
      <c r="QM57" s="491"/>
      <c r="QN57" s="491"/>
      <c r="QO57" s="491"/>
      <c r="QP57" s="491"/>
      <c r="QQ57" s="491"/>
      <c r="QR57" s="491"/>
      <c r="QS57" s="491"/>
      <c r="QT57" s="491"/>
      <c r="QU57" s="491"/>
      <c r="QV57" s="491"/>
      <c r="QW57" s="491"/>
      <c r="QX57" s="491"/>
      <c r="QY57" s="491"/>
      <c r="QZ57" s="491"/>
      <c r="RA57" s="491"/>
      <c r="RB57" s="491"/>
    </row>
    <row r="58" spans="11:470" ht="12.75" customHeight="1" x14ac:dyDescent="0.35">
      <c r="K58" s="482"/>
      <c r="AR58" s="541"/>
      <c r="AU58" s="491"/>
      <c r="AV58" s="491"/>
      <c r="AW58" s="491"/>
      <c r="AX58" s="491"/>
      <c r="AY58" s="578"/>
      <c r="AZ58" s="491"/>
      <c r="BA58" s="518">
        <v>0.5</v>
      </c>
      <c r="BB58" s="1456" t="s">
        <v>4994</v>
      </c>
      <c r="BC58" s="1457"/>
      <c r="BD58" s="1457"/>
      <c r="BE58" s="1457"/>
      <c r="BF58" s="1457"/>
      <c r="BG58" s="1457"/>
      <c r="BH58" s="1457"/>
      <c r="BI58" s="1457"/>
      <c r="BJ58" s="1458"/>
      <c r="BK58" s="491"/>
      <c r="BL58" s="564"/>
      <c r="BM58" s="491"/>
      <c r="BN58" s="491"/>
      <c r="BO58" s="491"/>
      <c r="BP58" s="578"/>
      <c r="BQ58" s="513">
        <v>1</v>
      </c>
      <c r="BR58" s="1456" t="s">
        <v>5045</v>
      </c>
      <c r="BS58" s="1457"/>
      <c r="BT58" s="1457"/>
      <c r="BU58" s="1457"/>
      <c r="BV58" s="1457"/>
      <c r="BW58" s="1457"/>
      <c r="BX58" s="1457"/>
      <c r="BY58" s="1457"/>
      <c r="BZ58" s="1458"/>
      <c r="CA58" s="491"/>
      <c r="CB58" s="611"/>
      <c r="CC58" s="513">
        <v>1</v>
      </c>
      <c r="CD58" s="1456" t="s">
        <v>5007</v>
      </c>
      <c r="CE58" s="1457"/>
      <c r="CF58" s="1457"/>
      <c r="CG58" s="1457"/>
      <c r="CH58" s="1457"/>
      <c r="CI58" s="1457"/>
      <c r="CJ58" s="1457"/>
      <c r="CK58" s="1457"/>
      <c r="CL58" s="1458"/>
      <c r="CM58" s="564"/>
      <c r="CN58" s="511"/>
      <c r="CO58" s="511"/>
      <c r="CP58" s="491"/>
      <c r="CQ58" s="578"/>
      <c r="CR58" s="491"/>
      <c r="CS58" s="491"/>
      <c r="CT58" s="491"/>
      <c r="CU58" s="491"/>
      <c r="CV58" s="491"/>
      <c r="CW58" s="491"/>
      <c r="CX58" s="491"/>
      <c r="CY58" s="491"/>
      <c r="CZ58" s="491"/>
      <c r="DA58" s="491"/>
      <c r="DB58" s="491"/>
      <c r="DC58" s="611"/>
      <c r="DD58" s="491"/>
      <c r="DE58" s="491"/>
      <c r="DF58" s="491"/>
      <c r="DG58" s="491"/>
      <c r="DH58" s="491"/>
      <c r="DI58" s="491"/>
      <c r="DJ58" s="491"/>
      <c r="DK58" s="491"/>
      <c r="DL58" s="491"/>
      <c r="DM58" s="491"/>
      <c r="DN58" s="564"/>
      <c r="DO58" s="491"/>
      <c r="DP58" s="491"/>
      <c r="DQ58" s="491"/>
      <c r="DR58" s="578"/>
      <c r="DS58" s="518">
        <v>0.5</v>
      </c>
      <c r="DT58" s="1456" t="s">
        <v>5060</v>
      </c>
      <c r="DU58" s="1457"/>
      <c r="DV58" s="1457"/>
      <c r="DW58" s="1457"/>
      <c r="DX58" s="1457"/>
      <c r="DY58" s="1457"/>
      <c r="DZ58" s="1457"/>
      <c r="EA58" s="1457"/>
      <c r="EB58" s="1458"/>
      <c r="EC58" s="564"/>
      <c r="ED58" s="491"/>
      <c r="EE58" s="491"/>
      <c r="EF58" s="491"/>
      <c r="EG58" s="578"/>
      <c r="EH58" s="491"/>
      <c r="EI58" s="491"/>
      <c r="EJ58" s="491"/>
      <c r="EK58" s="491"/>
      <c r="EL58" s="491"/>
      <c r="EM58" s="491"/>
      <c r="EN58" s="491"/>
      <c r="EO58" s="491"/>
      <c r="EP58" s="491"/>
      <c r="EQ58" s="491"/>
      <c r="ER58" s="491"/>
      <c r="ES58" s="491"/>
      <c r="ET58" s="491"/>
      <c r="EU58" s="491"/>
      <c r="EV58" s="491"/>
      <c r="EW58" s="626"/>
      <c r="EX58" s="491"/>
      <c r="EY58" s="491"/>
      <c r="EZ58" s="491"/>
      <c r="FA58" s="491"/>
      <c r="FB58" s="491"/>
      <c r="FC58" s="491"/>
      <c r="FD58" s="491"/>
      <c r="FE58" s="491"/>
      <c r="FF58" s="491"/>
      <c r="FG58" s="491"/>
      <c r="FH58" s="491"/>
      <c r="FI58" s="491"/>
      <c r="FJ58" s="491"/>
      <c r="FK58" s="491"/>
      <c r="FL58" s="491"/>
      <c r="FM58" s="491"/>
      <c r="FN58" s="491"/>
      <c r="FO58" s="491"/>
      <c r="FP58" s="491"/>
      <c r="FQ58" s="491"/>
      <c r="FR58" s="491"/>
      <c r="FS58" s="491"/>
      <c r="FT58" s="526"/>
      <c r="FU58" s="491"/>
      <c r="FV58" s="491"/>
      <c r="FW58" s="491"/>
      <c r="FX58" s="491"/>
      <c r="FY58" s="491"/>
      <c r="FZ58" s="491"/>
      <c r="GA58" s="491"/>
      <c r="GB58" s="491"/>
      <c r="GC58" s="526"/>
      <c r="GD58" s="491"/>
      <c r="GE58" s="491"/>
      <c r="GF58" s="491"/>
      <c r="GG58" s="491"/>
      <c r="GH58" s="491"/>
      <c r="GI58" s="491"/>
      <c r="GJ58" s="491"/>
      <c r="GK58" s="564"/>
      <c r="GL58" s="491"/>
      <c r="GM58" s="491"/>
      <c r="GN58" s="491"/>
      <c r="GO58" s="526"/>
      <c r="GP58" s="491"/>
      <c r="GQ58" s="491"/>
      <c r="GR58" s="491"/>
      <c r="GS58" s="491"/>
      <c r="GT58" s="491"/>
      <c r="GU58" s="491"/>
      <c r="GV58" s="491"/>
      <c r="GW58" s="491"/>
      <c r="GX58" s="491"/>
      <c r="GY58" s="491"/>
      <c r="GZ58" s="491"/>
      <c r="HA58" s="491"/>
      <c r="HB58" s="491"/>
      <c r="HC58" s="491"/>
      <c r="HD58" s="491"/>
      <c r="HE58" s="491"/>
      <c r="HF58" s="491"/>
      <c r="HG58" s="491"/>
      <c r="HH58" s="491"/>
      <c r="HI58" s="491"/>
      <c r="HJ58" s="491"/>
      <c r="HK58" s="491"/>
      <c r="HL58" s="491"/>
      <c r="HM58" s="491"/>
      <c r="HN58" s="578"/>
      <c r="HO58" s="491"/>
      <c r="HP58" s="1497" t="s">
        <v>3464</v>
      </c>
      <c r="HQ58" s="1498"/>
      <c r="HR58" s="1498"/>
      <c r="HS58" s="1498"/>
      <c r="HT58" s="1498"/>
      <c r="HU58" s="1498"/>
      <c r="HV58" s="1498"/>
      <c r="HW58" s="1498"/>
      <c r="HX58" s="1498"/>
      <c r="HY58" s="1499"/>
      <c r="HZ58" s="491"/>
      <c r="IA58" s="1447" t="s">
        <v>5061</v>
      </c>
      <c r="IB58" s="1448"/>
      <c r="IC58" s="1448"/>
      <c r="ID58" s="1448"/>
      <c r="IE58" s="1448"/>
      <c r="IF58" s="1448"/>
      <c r="IG58" s="1448"/>
      <c r="IH58" s="1448"/>
      <c r="II58" s="1448"/>
      <c r="IJ58" s="1449"/>
      <c r="IK58" s="491"/>
      <c r="IL58" s="564"/>
      <c r="IM58" s="491"/>
      <c r="IN58" s="491"/>
      <c r="IO58" s="578"/>
      <c r="IP58" s="513">
        <v>1</v>
      </c>
      <c r="IQ58" s="1456" t="s">
        <v>4834</v>
      </c>
      <c r="IR58" s="1457"/>
      <c r="IS58" s="1457"/>
      <c r="IT58" s="1457"/>
      <c r="IU58" s="1457"/>
      <c r="IV58" s="1457"/>
      <c r="IW58" s="1457"/>
      <c r="IX58" s="1457"/>
      <c r="IY58" s="1458"/>
      <c r="IZ58" s="491"/>
      <c r="JA58" s="564"/>
      <c r="JB58" s="491"/>
      <c r="JC58" s="491"/>
      <c r="JD58" s="491"/>
      <c r="JE58" s="491"/>
      <c r="JF58" s="491"/>
      <c r="JG58" s="491"/>
      <c r="JH58" s="491"/>
      <c r="JI58" s="491"/>
      <c r="JJ58" s="491"/>
      <c r="JK58" s="491"/>
      <c r="JL58" s="491"/>
      <c r="JM58" s="491"/>
      <c r="JN58" s="491"/>
      <c r="JO58" s="491"/>
      <c r="JP58" s="627"/>
      <c r="JQ58" s="628"/>
      <c r="JR58" s="628"/>
      <c r="JS58" s="628"/>
      <c r="JT58" s="628"/>
      <c r="JU58" s="628"/>
      <c r="JV58" s="628"/>
      <c r="JW58" s="628"/>
      <c r="JX58" s="628"/>
      <c r="JY58" s="628"/>
      <c r="JZ58" s="628"/>
      <c r="KA58" s="629"/>
      <c r="KB58" s="526"/>
      <c r="KC58" s="491"/>
      <c r="KD58" s="578"/>
      <c r="KE58" s="491"/>
      <c r="KF58" s="491"/>
      <c r="KG58" s="491"/>
      <c r="KH58" s="491"/>
      <c r="KI58" s="491"/>
      <c r="KJ58" s="491"/>
      <c r="KK58" s="491"/>
      <c r="KL58" s="491"/>
      <c r="KM58" s="491"/>
      <c r="KN58" s="491"/>
      <c r="KO58" s="564"/>
      <c r="KP58" s="491"/>
      <c r="KQ58" s="491"/>
      <c r="KR58" s="491"/>
      <c r="KS58" s="491"/>
      <c r="KT58" s="491"/>
      <c r="KU58" s="564"/>
      <c r="KV58" s="491"/>
      <c r="KW58" s="491"/>
      <c r="KX58" s="491"/>
      <c r="KY58" s="491"/>
      <c r="KZ58" s="578"/>
      <c r="LA58" s="513">
        <v>1</v>
      </c>
      <c r="LB58" s="1456" t="s">
        <v>5062</v>
      </c>
      <c r="LC58" s="1457"/>
      <c r="LD58" s="1457"/>
      <c r="LE58" s="1457"/>
      <c r="LF58" s="1457"/>
      <c r="LG58" s="1457"/>
      <c r="LH58" s="1457"/>
      <c r="LI58" s="1457"/>
      <c r="LJ58" s="1458"/>
      <c r="LK58" s="491"/>
      <c r="LL58" s="513">
        <v>1</v>
      </c>
      <c r="LM58" s="1456" t="s">
        <v>5063</v>
      </c>
      <c r="LN58" s="1457"/>
      <c r="LO58" s="1457"/>
      <c r="LP58" s="1457"/>
      <c r="LQ58" s="1457"/>
      <c r="LR58" s="1457"/>
      <c r="LS58" s="1457"/>
      <c r="LT58" s="1457"/>
      <c r="LU58" s="1458"/>
      <c r="LV58" s="491"/>
      <c r="LW58" s="518">
        <v>0.5</v>
      </c>
      <c r="LX58" s="1456" t="s">
        <v>5064</v>
      </c>
      <c r="LY58" s="1457"/>
      <c r="LZ58" s="1457"/>
      <c r="MA58" s="1457"/>
      <c r="MB58" s="1457"/>
      <c r="MC58" s="1457"/>
      <c r="MD58" s="1457"/>
      <c r="ME58" s="1457"/>
      <c r="MF58" s="1458"/>
      <c r="MG58" s="564"/>
      <c r="MH58" s="491"/>
      <c r="MI58" s="491"/>
      <c r="MJ58" s="491"/>
      <c r="MK58" s="491"/>
      <c r="ML58" s="491"/>
      <c r="MM58" s="491"/>
      <c r="MN58" s="578"/>
      <c r="MO58" s="578"/>
      <c r="MP58" s="491"/>
      <c r="MQ58" s="491"/>
      <c r="MR58" s="491"/>
      <c r="MS58" s="491"/>
      <c r="MT58" s="630"/>
      <c r="MU58" s="491"/>
      <c r="MV58" s="491"/>
      <c r="MW58" s="491"/>
      <c r="MX58" s="491"/>
      <c r="MY58" s="491"/>
      <c r="MZ58" s="564"/>
      <c r="NA58" s="491"/>
      <c r="NB58" s="491"/>
      <c r="NC58" s="491"/>
      <c r="ND58" s="491"/>
      <c r="NE58" s="491"/>
      <c r="NF58" s="491"/>
      <c r="NG58" s="578"/>
      <c r="NH58" s="491"/>
      <c r="NI58" s="491"/>
      <c r="NJ58" s="491"/>
      <c r="NK58" s="491"/>
      <c r="NL58" s="511"/>
      <c r="NM58" s="630"/>
      <c r="NN58" s="491"/>
      <c r="NO58" s="491"/>
      <c r="NP58" s="491"/>
      <c r="NQ58" s="491"/>
      <c r="NR58" s="564"/>
      <c r="NS58" s="564"/>
      <c r="NT58" s="491"/>
      <c r="NU58" s="491"/>
      <c r="NV58" s="491"/>
      <c r="NW58" s="491"/>
      <c r="NX58" s="491"/>
      <c r="PW58" s="482"/>
      <c r="QA58" s="491"/>
      <c r="QB58" s="1495"/>
      <c r="QC58" s="1496"/>
      <c r="QD58" s="1496"/>
      <c r="QE58" s="1496"/>
      <c r="QF58" s="610"/>
      <c r="QG58" s="610"/>
      <c r="QH58" s="610"/>
      <c r="QI58" s="610"/>
      <c r="QJ58" s="610"/>
      <c r="QK58" s="610"/>
      <c r="QL58" s="610"/>
      <c r="QM58" s="610"/>
      <c r="QN58" s="491"/>
      <c r="QO58" s="491"/>
      <c r="QP58" s="1491"/>
      <c r="QQ58" s="1470"/>
      <c r="QR58" s="491"/>
      <c r="QS58" s="491"/>
      <c r="QT58" s="491"/>
      <c r="QU58" s="491"/>
      <c r="QV58" s="491"/>
      <c r="QW58" s="491"/>
      <c r="QX58" s="491"/>
      <c r="QY58" s="491"/>
      <c r="QZ58" s="491"/>
      <c r="RA58" s="491"/>
      <c r="RB58" s="491"/>
    </row>
    <row r="59" spans="11:470" ht="12.75" customHeight="1" x14ac:dyDescent="0.35">
      <c r="K59" s="482"/>
      <c r="AR59" s="541"/>
      <c r="AU59" s="491"/>
      <c r="AV59" s="491"/>
      <c r="AW59" s="491"/>
      <c r="AX59" s="491"/>
      <c r="AY59" s="578"/>
      <c r="AZ59" s="491"/>
      <c r="BA59" s="1447" t="s">
        <v>2904</v>
      </c>
      <c r="BB59" s="1448"/>
      <c r="BC59" s="1448"/>
      <c r="BD59" s="1448"/>
      <c r="BE59" s="1448"/>
      <c r="BF59" s="1448"/>
      <c r="BG59" s="1448"/>
      <c r="BH59" s="1448"/>
      <c r="BI59" s="1448"/>
      <c r="BJ59" s="1449"/>
      <c r="BK59" s="491"/>
      <c r="BL59" s="564"/>
      <c r="BM59" s="491"/>
      <c r="BN59" s="491"/>
      <c r="BO59" s="491"/>
      <c r="BP59" s="578"/>
      <c r="BQ59" s="1447" t="s">
        <v>5065</v>
      </c>
      <c r="BR59" s="1448"/>
      <c r="BS59" s="1448"/>
      <c r="BT59" s="1448"/>
      <c r="BU59" s="1448"/>
      <c r="BV59" s="1448"/>
      <c r="BW59" s="1448"/>
      <c r="BX59" s="1448"/>
      <c r="BY59" s="1448"/>
      <c r="BZ59" s="1449"/>
      <c r="CA59" s="491"/>
      <c r="CB59" s="611"/>
      <c r="CC59" s="1450" t="s">
        <v>1857</v>
      </c>
      <c r="CD59" s="1451"/>
      <c r="CE59" s="1451"/>
      <c r="CF59" s="1451"/>
      <c r="CG59" s="1451"/>
      <c r="CH59" s="1451"/>
      <c r="CI59" s="1451"/>
      <c r="CJ59" s="1451"/>
      <c r="CK59" s="1451"/>
      <c r="CL59" s="1452"/>
      <c r="CM59" s="564"/>
      <c r="CN59" s="511"/>
      <c r="CO59" s="511"/>
      <c r="CP59" s="491"/>
      <c r="CQ59" s="578"/>
      <c r="CR59" s="491"/>
      <c r="CS59" s="491"/>
      <c r="CT59" s="491"/>
      <c r="CU59" s="491"/>
      <c r="CV59" s="491"/>
      <c r="CW59" s="491"/>
      <c r="CX59" s="491"/>
      <c r="CY59" s="491"/>
      <c r="CZ59" s="491"/>
      <c r="DA59" s="491"/>
      <c r="DB59" s="491"/>
      <c r="DC59" s="631"/>
      <c r="DD59" s="632"/>
      <c r="DE59" s="632"/>
      <c r="DF59" s="632"/>
      <c r="DG59" s="632"/>
      <c r="DH59" s="632"/>
      <c r="DI59" s="498"/>
      <c r="DJ59" s="498"/>
      <c r="DK59" s="498"/>
      <c r="DL59" s="498"/>
      <c r="DM59" s="498"/>
      <c r="DN59" s="564"/>
      <c r="DO59" s="491"/>
      <c r="DP59" s="491"/>
      <c r="DQ59" s="491"/>
      <c r="DR59" s="578"/>
      <c r="DS59" s="1450" t="s">
        <v>5066</v>
      </c>
      <c r="DT59" s="1451"/>
      <c r="DU59" s="1451"/>
      <c r="DV59" s="1451"/>
      <c r="DW59" s="1451"/>
      <c r="DX59" s="1451"/>
      <c r="DY59" s="1451"/>
      <c r="DZ59" s="1451"/>
      <c r="EA59" s="1451"/>
      <c r="EB59" s="1452"/>
      <c r="EC59" s="564"/>
      <c r="ED59" s="491"/>
      <c r="EE59" s="491"/>
      <c r="EF59" s="491"/>
      <c r="EG59" s="578"/>
      <c r="EH59" s="491"/>
      <c r="EI59" s="491"/>
      <c r="EJ59" s="491"/>
      <c r="EK59" s="491"/>
      <c r="EL59" s="491"/>
      <c r="EM59" s="491"/>
      <c r="EN59" s="491"/>
      <c r="EO59" s="491"/>
      <c r="EP59" s="491"/>
      <c r="EQ59" s="491"/>
      <c r="ER59" s="491"/>
      <c r="ES59" s="491"/>
      <c r="ET59" s="491"/>
      <c r="EU59" s="491"/>
      <c r="EV59" s="491"/>
      <c r="EW59" s="526"/>
      <c r="EX59" s="491"/>
      <c r="EY59" s="491"/>
      <c r="EZ59" s="491"/>
      <c r="FA59" s="491"/>
      <c r="FB59" s="491"/>
      <c r="FC59" s="491"/>
      <c r="FD59" s="491"/>
      <c r="FE59" s="491"/>
      <c r="FF59" s="491"/>
      <c r="FG59" s="491"/>
      <c r="FH59" s="491"/>
      <c r="FI59" s="491"/>
      <c r="FJ59" s="491"/>
      <c r="FK59" s="491"/>
      <c r="FL59" s="491"/>
      <c r="FM59" s="491"/>
      <c r="FN59" s="491"/>
      <c r="FO59" s="491"/>
      <c r="FP59" s="491"/>
      <c r="FQ59" s="491"/>
      <c r="FR59" s="491"/>
      <c r="FS59" s="491"/>
      <c r="FT59" s="526"/>
      <c r="FU59" s="491"/>
      <c r="FV59" s="491"/>
      <c r="FW59" s="491"/>
      <c r="FX59" s="491"/>
      <c r="FY59" s="491"/>
      <c r="FZ59" s="491"/>
      <c r="GA59" s="491"/>
      <c r="GB59" s="491"/>
      <c r="GC59" s="526"/>
      <c r="GD59" s="491"/>
      <c r="GE59" s="491"/>
      <c r="GF59" s="491"/>
      <c r="GG59" s="491"/>
      <c r="GH59" s="491"/>
      <c r="GI59" s="491"/>
      <c r="GJ59" s="491"/>
      <c r="GK59" s="564"/>
      <c r="GL59" s="491"/>
      <c r="GM59" s="491"/>
      <c r="GN59" s="491"/>
      <c r="GO59" s="526"/>
      <c r="GP59" s="491"/>
      <c r="GQ59" s="491"/>
      <c r="GR59" s="491"/>
      <c r="GS59" s="491"/>
      <c r="GT59" s="491"/>
      <c r="GU59" s="491"/>
      <c r="GV59" s="491"/>
      <c r="GW59" s="491"/>
      <c r="GX59" s="491"/>
      <c r="GY59" s="491"/>
      <c r="GZ59" s="491"/>
      <c r="HA59" s="491"/>
      <c r="HB59" s="491"/>
      <c r="HC59" s="491"/>
      <c r="HD59" s="491"/>
      <c r="HE59" s="491"/>
      <c r="HF59" s="491"/>
      <c r="HG59" s="491"/>
      <c r="HH59" s="491"/>
      <c r="HI59" s="491"/>
      <c r="HJ59" s="491"/>
      <c r="HK59" s="491"/>
      <c r="HL59" s="491"/>
      <c r="HM59" s="491"/>
      <c r="HN59" s="578"/>
      <c r="HO59" s="491"/>
      <c r="HP59" s="491"/>
      <c r="HQ59" s="491"/>
      <c r="HR59" s="491"/>
      <c r="HS59" s="491"/>
      <c r="HT59" s="491"/>
      <c r="HU59" s="491"/>
      <c r="HV59" s="491"/>
      <c r="HW59" s="491"/>
      <c r="HX59" s="491"/>
      <c r="HY59" s="491"/>
      <c r="HZ59" s="491"/>
      <c r="IA59" s="513">
        <v>1</v>
      </c>
      <c r="IB59" s="1456" t="s">
        <v>5042</v>
      </c>
      <c r="IC59" s="1457"/>
      <c r="ID59" s="1457"/>
      <c r="IE59" s="1457"/>
      <c r="IF59" s="1457"/>
      <c r="IG59" s="1457"/>
      <c r="IH59" s="1457"/>
      <c r="II59" s="1457"/>
      <c r="IJ59" s="1458"/>
      <c r="IK59" s="491"/>
      <c r="IL59" s="564"/>
      <c r="IM59" s="491"/>
      <c r="IN59" s="491"/>
      <c r="IO59" s="578"/>
      <c r="IP59" s="1447" t="s">
        <v>5067</v>
      </c>
      <c r="IQ59" s="1448"/>
      <c r="IR59" s="1448"/>
      <c r="IS59" s="1448"/>
      <c r="IT59" s="1448"/>
      <c r="IU59" s="1448"/>
      <c r="IV59" s="1448"/>
      <c r="IW59" s="1448"/>
      <c r="IX59" s="1448"/>
      <c r="IY59" s="1449"/>
      <c r="IZ59" s="491"/>
      <c r="JA59" s="564"/>
      <c r="JB59" s="491"/>
      <c r="JC59" s="491"/>
      <c r="JD59" s="491"/>
      <c r="JE59" s="491"/>
      <c r="JF59" s="491"/>
      <c r="JG59" s="491"/>
      <c r="JH59" s="491"/>
      <c r="JI59" s="491"/>
      <c r="JJ59" s="491"/>
      <c r="JK59" s="491"/>
      <c r="JL59" s="491"/>
      <c r="JM59" s="491"/>
      <c r="JN59" s="491"/>
      <c r="JO59" s="491"/>
      <c r="JP59" s="491"/>
      <c r="JQ59" s="491"/>
      <c r="JR59" s="500"/>
      <c r="JS59" s="500"/>
      <c r="JT59" s="500"/>
      <c r="JU59" s="500"/>
      <c r="JV59" s="500"/>
      <c r="JW59" s="500"/>
      <c r="JX59" s="491"/>
      <c r="JY59" s="491"/>
      <c r="JZ59" s="491"/>
      <c r="KA59" s="491"/>
      <c r="KB59" s="526"/>
      <c r="KC59" s="491"/>
      <c r="KD59" s="578"/>
      <c r="KE59" s="513">
        <v>1</v>
      </c>
      <c r="KF59" s="1456" t="s">
        <v>171</v>
      </c>
      <c r="KG59" s="1457"/>
      <c r="KH59" s="1457"/>
      <c r="KI59" s="1457"/>
      <c r="KJ59" s="1457"/>
      <c r="KK59" s="1457"/>
      <c r="KL59" s="1457"/>
      <c r="KM59" s="1457"/>
      <c r="KN59" s="1458"/>
      <c r="KO59" s="564"/>
      <c r="KP59" s="491"/>
      <c r="KQ59" s="491"/>
      <c r="KR59" s="491"/>
      <c r="KS59" s="491"/>
      <c r="KT59" s="491"/>
      <c r="KU59" s="564"/>
      <c r="KV59" s="491"/>
      <c r="KW59" s="491"/>
      <c r="KX59" s="491"/>
      <c r="KY59" s="491"/>
      <c r="KZ59" s="578"/>
      <c r="LA59" s="1512" t="s">
        <v>1548</v>
      </c>
      <c r="LB59" s="1513"/>
      <c r="LC59" s="1513"/>
      <c r="LD59" s="1513"/>
      <c r="LE59" s="1513"/>
      <c r="LF59" s="1513"/>
      <c r="LG59" s="1513"/>
      <c r="LH59" s="1513"/>
      <c r="LI59" s="1513"/>
      <c r="LJ59" s="1514"/>
      <c r="LK59" s="491"/>
      <c r="LL59" s="1512" t="s">
        <v>1545</v>
      </c>
      <c r="LM59" s="1513"/>
      <c r="LN59" s="1513"/>
      <c r="LO59" s="1513"/>
      <c r="LP59" s="1513"/>
      <c r="LQ59" s="1513"/>
      <c r="LR59" s="1513"/>
      <c r="LS59" s="1513"/>
      <c r="LT59" s="1513"/>
      <c r="LU59" s="1514"/>
      <c r="LV59" s="491"/>
      <c r="LW59" s="1447" t="s">
        <v>5068</v>
      </c>
      <c r="LX59" s="1448"/>
      <c r="LY59" s="1448"/>
      <c r="LZ59" s="1448"/>
      <c r="MA59" s="1448"/>
      <c r="MB59" s="1448"/>
      <c r="MC59" s="1448"/>
      <c r="MD59" s="1448"/>
      <c r="ME59" s="1448"/>
      <c r="MF59" s="1449"/>
      <c r="MG59" s="564"/>
      <c r="MH59" s="491"/>
      <c r="MI59" s="491"/>
      <c r="MJ59" s="491"/>
      <c r="MK59" s="491"/>
      <c r="ML59" s="491"/>
      <c r="MM59" s="491"/>
      <c r="MN59" s="578"/>
      <c r="MO59" s="633"/>
      <c r="MP59" s="634">
        <v>1</v>
      </c>
      <c r="MQ59" s="1456" t="s">
        <v>90</v>
      </c>
      <c r="MR59" s="1457"/>
      <c r="MS59" s="1457"/>
      <c r="MT59" s="1457"/>
      <c r="MU59" s="1457"/>
      <c r="MV59" s="1457"/>
      <c r="MW59" s="1457"/>
      <c r="MX59" s="1457"/>
      <c r="MY59" s="1458"/>
      <c r="MZ59" s="564"/>
      <c r="NA59" s="491"/>
      <c r="NB59" s="491"/>
      <c r="NC59" s="491"/>
      <c r="ND59" s="491"/>
      <c r="NE59" s="491"/>
      <c r="NF59" s="491"/>
      <c r="NG59" s="578"/>
      <c r="NH59" s="512">
        <v>0.5</v>
      </c>
      <c r="NI59" s="1456" t="s">
        <v>4812</v>
      </c>
      <c r="NJ59" s="1457"/>
      <c r="NK59" s="1457"/>
      <c r="NL59" s="1457"/>
      <c r="NM59" s="1457"/>
      <c r="NN59" s="1457"/>
      <c r="NO59" s="1457"/>
      <c r="NP59" s="1457"/>
      <c r="NQ59" s="1458"/>
      <c r="NR59" s="564"/>
      <c r="NS59" s="564"/>
      <c r="NT59" s="491"/>
      <c r="NU59" s="491"/>
      <c r="NV59" s="491"/>
      <c r="NW59" s="491"/>
      <c r="NX59" s="491"/>
      <c r="PW59" s="482"/>
      <c r="QA59" s="491"/>
      <c r="QB59" s="491"/>
      <c r="QC59" s="491"/>
      <c r="QD59" s="491"/>
      <c r="QE59" s="491"/>
      <c r="QF59" s="491"/>
      <c r="QG59" s="491"/>
      <c r="QH59" s="491"/>
      <c r="QI59" s="491"/>
      <c r="QJ59" s="491"/>
      <c r="QK59" s="491"/>
      <c r="QL59" s="491"/>
      <c r="QM59" s="491"/>
      <c r="QN59" s="491"/>
      <c r="QO59" s="491"/>
      <c r="QP59" s="491"/>
      <c r="QQ59" s="491"/>
      <c r="QR59" s="491"/>
      <c r="QS59" s="491"/>
      <c r="QT59" s="491"/>
      <c r="QU59" s="491"/>
      <c r="QV59" s="491"/>
      <c r="QW59" s="491"/>
      <c r="QX59" s="491"/>
      <c r="QY59" s="491"/>
      <c r="QZ59" s="491"/>
      <c r="RA59" s="491"/>
      <c r="RB59" s="491"/>
    </row>
    <row r="60" spans="11:470" ht="12.75" customHeight="1" x14ac:dyDescent="0.35">
      <c r="K60" s="482"/>
      <c r="AR60" s="541"/>
      <c r="AU60" s="491"/>
      <c r="AV60" s="491"/>
      <c r="AW60" s="491"/>
      <c r="AX60" s="491"/>
      <c r="AY60" s="578"/>
      <c r="AZ60" s="491"/>
      <c r="BA60" s="518">
        <v>0.5</v>
      </c>
      <c r="BB60" s="1456" t="s">
        <v>4994</v>
      </c>
      <c r="BC60" s="1457"/>
      <c r="BD60" s="1457"/>
      <c r="BE60" s="1457"/>
      <c r="BF60" s="1457"/>
      <c r="BG60" s="1457"/>
      <c r="BH60" s="1457"/>
      <c r="BI60" s="1457"/>
      <c r="BJ60" s="1458"/>
      <c r="BK60" s="491"/>
      <c r="BL60" s="564"/>
      <c r="BM60" s="491"/>
      <c r="BN60" s="491"/>
      <c r="BO60" s="491"/>
      <c r="BP60" s="578"/>
      <c r="BQ60" s="513">
        <v>1</v>
      </c>
      <c r="BR60" s="1456" t="s">
        <v>5069</v>
      </c>
      <c r="BS60" s="1457"/>
      <c r="BT60" s="1457"/>
      <c r="BU60" s="1457"/>
      <c r="BV60" s="1457"/>
      <c r="BW60" s="1457"/>
      <c r="BX60" s="1457"/>
      <c r="BY60" s="1457"/>
      <c r="BZ60" s="1458"/>
      <c r="CA60" s="491"/>
      <c r="CB60" s="611"/>
      <c r="CC60" s="491"/>
      <c r="CD60" s="491"/>
      <c r="CE60" s="491"/>
      <c r="CF60" s="491"/>
      <c r="CG60" s="491"/>
      <c r="CH60" s="491"/>
      <c r="CI60" s="491"/>
      <c r="CJ60" s="491"/>
      <c r="CK60" s="491"/>
      <c r="CL60" s="491"/>
      <c r="CM60" s="564"/>
      <c r="CN60" s="511"/>
      <c r="CO60" s="511"/>
      <c r="CP60" s="491"/>
      <c r="CQ60" s="578"/>
      <c r="CR60" s="491"/>
      <c r="CS60" s="491"/>
      <c r="CT60" s="491"/>
      <c r="CU60" s="491"/>
      <c r="CV60" s="491"/>
      <c r="CW60" s="491"/>
      <c r="CX60" s="491"/>
      <c r="CY60" s="491"/>
      <c r="CZ60" s="491"/>
      <c r="DA60" s="491"/>
      <c r="DB60" s="491"/>
      <c r="DC60" s="622"/>
      <c r="DD60" s="556"/>
      <c r="DE60" s="556"/>
      <c r="DF60" s="556"/>
      <c r="DG60" s="556"/>
      <c r="DH60" s="556"/>
      <c r="DI60" s="491"/>
      <c r="DJ60" s="491"/>
      <c r="DK60" s="491"/>
      <c r="DL60" s="491"/>
      <c r="DM60" s="491"/>
      <c r="DN60" s="564"/>
      <c r="DO60" s="491"/>
      <c r="DP60" s="491"/>
      <c r="DQ60" s="491"/>
      <c r="DR60" s="627"/>
      <c r="DS60" s="628"/>
      <c r="DT60" s="628"/>
      <c r="DU60" s="628"/>
      <c r="DV60" s="628"/>
      <c r="DW60" s="628"/>
      <c r="DX60" s="628"/>
      <c r="DY60" s="628"/>
      <c r="DZ60" s="628"/>
      <c r="EA60" s="628"/>
      <c r="EB60" s="628"/>
      <c r="EC60" s="629"/>
      <c r="ED60" s="491"/>
      <c r="EE60" s="491"/>
      <c r="EF60" s="491"/>
      <c r="EG60" s="578"/>
      <c r="EH60" s="491"/>
      <c r="EI60" s="491"/>
      <c r="EJ60" s="491"/>
      <c r="EK60" s="491"/>
      <c r="EL60" s="491"/>
      <c r="EM60" s="491"/>
      <c r="EN60" s="491"/>
      <c r="EO60" s="491"/>
      <c r="EP60" s="491"/>
      <c r="EQ60" s="491"/>
      <c r="ER60" s="491"/>
      <c r="ES60" s="491"/>
      <c r="ET60" s="491"/>
      <c r="EU60" s="491"/>
      <c r="EV60" s="491"/>
      <c r="EW60" s="526"/>
      <c r="EX60" s="491"/>
      <c r="EY60" s="491"/>
      <c r="EZ60" s="491"/>
      <c r="FA60" s="491"/>
      <c r="FB60" s="491"/>
      <c r="FC60" s="491"/>
      <c r="FD60" s="491"/>
      <c r="FE60" s="491"/>
      <c r="FF60" s="491"/>
      <c r="FG60" s="491"/>
      <c r="FH60" s="491"/>
      <c r="FI60" s="491"/>
      <c r="FJ60" s="491"/>
      <c r="FK60" s="491"/>
      <c r="FL60" s="491"/>
      <c r="FM60" s="491"/>
      <c r="FN60" s="491"/>
      <c r="FO60" s="491"/>
      <c r="FP60" s="491"/>
      <c r="FQ60" s="491"/>
      <c r="FR60" s="491"/>
      <c r="FS60" s="491"/>
      <c r="FT60" s="526"/>
      <c r="FU60" s="491"/>
      <c r="FV60" s="491"/>
      <c r="FW60" s="491"/>
      <c r="FX60" s="491"/>
      <c r="FY60" s="491"/>
      <c r="FZ60" s="491"/>
      <c r="GA60" s="491"/>
      <c r="GB60" s="491"/>
      <c r="GC60" s="526"/>
      <c r="GD60" s="491"/>
      <c r="GE60" s="491"/>
      <c r="GF60" s="491"/>
      <c r="GG60" s="491"/>
      <c r="GH60" s="491"/>
      <c r="GI60" s="491"/>
      <c r="GJ60" s="491"/>
      <c r="GK60" s="564"/>
      <c r="GL60" s="491"/>
      <c r="GM60" s="491"/>
      <c r="GN60" s="491"/>
      <c r="GO60" s="526"/>
      <c r="GP60" s="491"/>
      <c r="GQ60" s="491"/>
      <c r="GR60" s="491"/>
      <c r="GS60" s="491"/>
      <c r="GT60" s="491"/>
      <c r="GU60" s="491"/>
      <c r="GV60" s="491"/>
      <c r="GW60" s="491"/>
      <c r="GX60" s="491"/>
      <c r="GY60" s="491"/>
      <c r="GZ60" s="491"/>
      <c r="HA60" s="491"/>
      <c r="HB60" s="491"/>
      <c r="HC60" s="491"/>
      <c r="HD60" s="491"/>
      <c r="HE60" s="491"/>
      <c r="HF60" s="491"/>
      <c r="HG60" s="491"/>
      <c r="HH60" s="491"/>
      <c r="HI60" s="491"/>
      <c r="HJ60" s="491"/>
      <c r="HK60" s="491"/>
      <c r="HL60" s="491"/>
      <c r="HM60" s="491"/>
      <c r="HN60" s="578"/>
      <c r="HO60" s="491"/>
      <c r="HP60" s="491"/>
      <c r="HQ60" s="491"/>
      <c r="HR60" s="491"/>
      <c r="HS60" s="491"/>
      <c r="HT60" s="491"/>
      <c r="HU60" s="491"/>
      <c r="HV60" s="491"/>
      <c r="HW60" s="491"/>
      <c r="HX60" s="491"/>
      <c r="HY60" s="491"/>
      <c r="HZ60" s="491"/>
      <c r="IA60" s="1515" t="s">
        <v>3431</v>
      </c>
      <c r="IB60" s="1516"/>
      <c r="IC60" s="1516"/>
      <c r="ID60" s="1516"/>
      <c r="IE60" s="1516"/>
      <c r="IF60" s="1516"/>
      <c r="IG60" s="1516"/>
      <c r="IH60" s="1516"/>
      <c r="II60" s="1516"/>
      <c r="IJ60" s="1517"/>
      <c r="IK60" s="491"/>
      <c r="IL60" s="564"/>
      <c r="IM60" s="491"/>
      <c r="IN60" s="491"/>
      <c r="IO60" s="578"/>
      <c r="IP60" s="491"/>
      <c r="IQ60" s="491"/>
      <c r="IR60" s="491"/>
      <c r="IS60" s="491"/>
      <c r="IT60" s="491"/>
      <c r="IU60" s="491"/>
      <c r="IV60" s="491"/>
      <c r="IW60" s="491"/>
      <c r="IX60" s="491"/>
      <c r="IY60" s="491"/>
      <c r="IZ60" s="491"/>
      <c r="JA60" s="567">
        <f>IP62+IP64+IP66</f>
        <v>3</v>
      </c>
      <c r="JB60" s="491"/>
      <c r="JC60" s="491"/>
      <c r="JD60" s="491"/>
      <c r="JE60" s="491"/>
      <c r="JF60" s="491"/>
      <c r="JG60" s="491"/>
      <c r="JH60" s="491"/>
      <c r="JI60" s="491"/>
      <c r="JJ60" s="491"/>
      <c r="JK60" s="491"/>
      <c r="JL60" s="491"/>
      <c r="JM60" s="491"/>
      <c r="JN60" s="491"/>
      <c r="JO60" s="491"/>
      <c r="JP60" s="491"/>
      <c r="JQ60" s="491"/>
      <c r="JR60" s="491"/>
      <c r="JS60" s="491"/>
      <c r="JT60" s="491"/>
      <c r="JU60" s="491"/>
      <c r="JV60" s="491"/>
      <c r="JW60" s="491"/>
      <c r="JX60" s="491"/>
      <c r="JY60" s="491"/>
      <c r="JZ60" s="491"/>
      <c r="KA60" s="491"/>
      <c r="KB60" s="526"/>
      <c r="KC60" s="491"/>
      <c r="KD60" s="578"/>
      <c r="KE60" s="1518" t="s">
        <v>177</v>
      </c>
      <c r="KF60" s="1518"/>
      <c r="KG60" s="1518"/>
      <c r="KH60" s="1518"/>
      <c r="KI60" s="1518"/>
      <c r="KJ60" s="1518"/>
      <c r="KK60" s="1518"/>
      <c r="KL60" s="1518"/>
      <c r="KM60" s="1518"/>
      <c r="KN60" s="1518"/>
      <c r="KO60" s="564"/>
      <c r="KP60" s="491"/>
      <c r="KQ60" s="491"/>
      <c r="KR60" s="491"/>
      <c r="KS60" s="491"/>
      <c r="KT60" s="491"/>
      <c r="KU60" s="564"/>
      <c r="KV60" s="491"/>
      <c r="KW60" s="491"/>
      <c r="KX60" s="491"/>
      <c r="KY60" s="491"/>
      <c r="KZ60" s="578"/>
      <c r="LA60" s="513">
        <v>1</v>
      </c>
      <c r="LB60" s="1456" t="s">
        <v>5062</v>
      </c>
      <c r="LC60" s="1457"/>
      <c r="LD60" s="1457"/>
      <c r="LE60" s="1457"/>
      <c r="LF60" s="1457"/>
      <c r="LG60" s="1457"/>
      <c r="LH60" s="1457"/>
      <c r="LI60" s="1457"/>
      <c r="LJ60" s="1458"/>
      <c r="LK60" s="491"/>
      <c r="LL60" s="513">
        <v>1</v>
      </c>
      <c r="LM60" s="1456" t="s">
        <v>5070</v>
      </c>
      <c r="LN60" s="1457"/>
      <c r="LO60" s="1457"/>
      <c r="LP60" s="1457"/>
      <c r="LQ60" s="1457"/>
      <c r="LR60" s="1457"/>
      <c r="LS60" s="1457"/>
      <c r="LT60" s="1457"/>
      <c r="LU60" s="1458"/>
      <c r="LV60" s="491"/>
      <c r="LW60" s="518">
        <v>0.5</v>
      </c>
      <c r="LX60" s="1456" t="s">
        <v>5071</v>
      </c>
      <c r="LY60" s="1457"/>
      <c r="LZ60" s="1457"/>
      <c r="MA60" s="1457"/>
      <c r="MB60" s="1457"/>
      <c r="MC60" s="1457"/>
      <c r="MD60" s="1457"/>
      <c r="ME60" s="1457"/>
      <c r="MF60" s="1458"/>
      <c r="MG60" s="564"/>
      <c r="MH60" s="491"/>
      <c r="MI60" s="491"/>
      <c r="MJ60" s="491"/>
      <c r="MK60" s="491"/>
      <c r="ML60" s="491"/>
      <c r="MM60" s="491"/>
      <c r="MN60" s="578"/>
      <c r="MO60" s="633"/>
      <c r="MP60" s="1509" t="s">
        <v>3790</v>
      </c>
      <c r="MQ60" s="1486"/>
      <c r="MR60" s="1486"/>
      <c r="MS60" s="1486"/>
      <c r="MT60" s="1486"/>
      <c r="MU60" s="1486"/>
      <c r="MV60" s="1486"/>
      <c r="MW60" s="1486"/>
      <c r="MX60" s="1486"/>
      <c r="MY60" s="1487"/>
      <c r="MZ60" s="564"/>
      <c r="NA60" s="491"/>
      <c r="NB60" s="491"/>
      <c r="NC60" s="491"/>
      <c r="ND60" s="491"/>
      <c r="NE60" s="491"/>
      <c r="NF60" s="491"/>
      <c r="NG60" s="578"/>
      <c r="NH60" s="1482" t="s">
        <v>2622</v>
      </c>
      <c r="NI60" s="1510"/>
      <c r="NJ60" s="1510"/>
      <c r="NK60" s="1510"/>
      <c r="NL60" s="1510"/>
      <c r="NM60" s="1510"/>
      <c r="NN60" s="1510"/>
      <c r="NO60" s="1510"/>
      <c r="NP60" s="1510"/>
      <c r="NQ60" s="1511"/>
      <c r="NR60" s="564"/>
      <c r="NS60" s="564"/>
      <c r="NT60" s="491"/>
      <c r="NU60" s="491"/>
      <c r="NV60" s="491"/>
      <c r="NW60" s="491"/>
      <c r="NX60" s="491"/>
      <c r="PW60" s="482"/>
      <c r="QA60" s="491"/>
      <c r="QB60" s="491"/>
      <c r="QC60" s="491"/>
      <c r="QD60" s="491"/>
      <c r="QE60" s="491"/>
      <c r="QF60" s="491"/>
      <c r="QG60" s="491"/>
      <c r="QH60" s="491"/>
      <c r="QI60" s="491"/>
      <c r="QJ60" s="491"/>
      <c r="QK60" s="491"/>
      <c r="QL60" s="491"/>
      <c r="QM60" s="491"/>
      <c r="QN60" s="491"/>
      <c r="QO60" s="491"/>
      <c r="QP60" s="491"/>
      <c r="QQ60" s="491"/>
      <c r="QR60" s="491"/>
      <c r="QS60" s="491"/>
      <c r="QT60" s="491"/>
      <c r="QU60" s="491"/>
      <c r="QV60" s="491"/>
      <c r="QW60" s="491"/>
      <c r="QX60" s="491"/>
      <c r="QY60" s="491"/>
      <c r="QZ60" s="491"/>
      <c r="RA60" s="491"/>
      <c r="RB60" s="491"/>
    </row>
    <row r="61" spans="11:470" ht="12.75" customHeight="1" x14ac:dyDescent="0.35">
      <c r="K61" s="482"/>
      <c r="AR61" s="541"/>
      <c r="AU61" s="491"/>
      <c r="AV61" s="491"/>
      <c r="AW61" s="491"/>
      <c r="AX61" s="491"/>
      <c r="AY61" s="578"/>
      <c r="AZ61" s="491"/>
      <c r="BA61" s="1447" t="s">
        <v>3559</v>
      </c>
      <c r="BB61" s="1448"/>
      <c r="BC61" s="1448"/>
      <c r="BD61" s="1448"/>
      <c r="BE61" s="1448"/>
      <c r="BF61" s="1448"/>
      <c r="BG61" s="1448"/>
      <c r="BH61" s="1448"/>
      <c r="BI61" s="1448"/>
      <c r="BJ61" s="1449"/>
      <c r="BK61" s="491"/>
      <c r="BL61" s="564"/>
      <c r="BM61" s="491"/>
      <c r="BN61" s="491"/>
      <c r="BO61" s="491"/>
      <c r="BP61" s="578"/>
      <c r="BQ61" s="1447" t="s">
        <v>1606</v>
      </c>
      <c r="BR61" s="1448"/>
      <c r="BS61" s="1448"/>
      <c r="BT61" s="1448"/>
      <c r="BU61" s="1448"/>
      <c r="BV61" s="1448"/>
      <c r="BW61" s="1448"/>
      <c r="BX61" s="1448"/>
      <c r="BY61" s="1448"/>
      <c r="BZ61" s="1449"/>
      <c r="CA61" s="491"/>
      <c r="CB61" s="611"/>
      <c r="CC61" s="491"/>
      <c r="CD61" s="491"/>
      <c r="CE61" s="491"/>
      <c r="CF61" s="491"/>
      <c r="CG61" s="491"/>
      <c r="CH61" s="491"/>
      <c r="CI61" s="491"/>
      <c r="CJ61" s="491"/>
      <c r="CK61" s="491"/>
      <c r="CL61" s="491"/>
      <c r="CM61" s="564"/>
      <c r="CN61" s="511"/>
      <c r="CO61" s="511"/>
      <c r="CP61" s="491"/>
      <c r="CQ61" s="578"/>
      <c r="CR61" s="491"/>
      <c r="CS61" s="491"/>
      <c r="CT61" s="491"/>
      <c r="CU61" s="491"/>
      <c r="CV61" s="491"/>
      <c r="CW61" s="607"/>
      <c r="CX61" s="576"/>
      <c r="CY61" s="576"/>
      <c r="CZ61" s="576"/>
      <c r="DA61" s="576"/>
      <c r="DB61" s="576"/>
      <c r="DC61" s="607"/>
      <c r="DD61" s="576"/>
      <c r="DE61" s="576"/>
      <c r="DF61" s="576"/>
      <c r="DG61" s="576"/>
      <c r="DH61" s="577"/>
      <c r="DI61" s="611"/>
      <c r="DJ61" s="491"/>
      <c r="DK61" s="491"/>
      <c r="DL61" s="491"/>
      <c r="DM61" s="491"/>
      <c r="DN61" s="564"/>
      <c r="DO61" s="491"/>
      <c r="DP61" s="491"/>
      <c r="DQ61" s="491"/>
      <c r="DR61" s="491"/>
      <c r="DS61" s="491"/>
      <c r="DT61" s="491"/>
      <c r="DU61" s="635"/>
      <c r="DV61" s="635"/>
      <c r="DW61" s="635"/>
      <c r="DX61" s="635"/>
      <c r="DY61" s="635"/>
      <c r="DZ61" s="635"/>
      <c r="EA61" s="635"/>
      <c r="EB61" s="491"/>
      <c r="EC61" s="491"/>
      <c r="ED61" s="491"/>
      <c r="EE61" s="491"/>
      <c r="EF61" s="491"/>
      <c r="EG61" s="578"/>
      <c r="EH61" s="491"/>
      <c r="EI61" s="491"/>
      <c r="EJ61" s="491"/>
      <c r="EK61" s="491"/>
      <c r="EL61" s="491"/>
      <c r="EM61" s="491"/>
      <c r="EN61" s="491"/>
      <c r="EO61" s="491"/>
      <c r="EP61" s="491"/>
      <c r="EQ61" s="491"/>
      <c r="ER61" s="491"/>
      <c r="ES61" s="491"/>
      <c r="ET61" s="491"/>
      <c r="EU61" s="491"/>
      <c r="EV61" s="491"/>
      <c r="EW61" s="526"/>
      <c r="EX61" s="491"/>
      <c r="EY61" s="491"/>
      <c r="EZ61" s="491"/>
      <c r="FA61" s="491"/>
      <c r="FB61" s="491"/>
      <c r="FC61" s="491"/>
      <c r="FD61" s="491"/>
      <c r="FE61" s="491"/>
      <c r="FF61" s="491"/>
      <c r="FG61" s="491"/>
      <c r="FH61" s="491"/>
      <c r="FI61" s="491"/>
      <c r="FJ61" s="491"/>
      <c r="FK61" s="491"/>
      <c r="FL61" s="491"/>
      <c r="FM61" s="491"/>
      <c r="FN61" s="491"/>
      <c r="FO61" s="491"/>
      <c r="FP61" s="491"/>
      <c r="FQ61" s="491"/>
      <c r="FR61" s="491"/>
      <c r="FS61" s="491"/>
      <c r="FT61" s="526"/>
      <c r="FU61" s="491"/>
      <c r="FV61" s="491"/>
      <c r="FW61" s="491"/>
      <c r="FX61" s="491"/>
      <c r="FY61" s="491"/>
      <c r="FZ61" s="491"/>
      <c r="GA61" s="491"/>
      <c r="GB61" s="491"/>
      <c r="GC61" s="526"/>
      <c r="GD61" s="491"/>
      <c r="GE61" s="491"/>
      <c r="GF61" s="491"/>
      <c r="GG61" s="491"/>
      <c r="GH61" s="491"/>
      <c r="GI61" s="491"/>
      <c r="GJ61" s="491"/>
      <c r="GK61" s="564"/>
      <c r="GL61" s="491"/>
      <c r="GM61" s="491"/>
      <c r="GN61" s="491"/>
      <c r="GO61" s="526"/>
      <c r="GP61" s="491"/>
      <c r="GQ61" s="491"/>
      <c r="GR61" s="491"/>
      <c r="GS61" s="491"/>
      <c r="GT61" s="491"/>
      <c r="GU61" s="491"/>
      <c r="GV61" s="491"/>
      <c r="GW61" s="491"/>
      <c r="GX61" s="491"/>
      <c r="GY61" s="491"/>
      <c r="GZ61" s="491"/>
      <c r="HA61" s="491"/>
      <c r="HB61" s="491"/>
      <c r="HC61" s="491"/>
      <c r="HD61" s="491"/>
      <c r="HE61" s="491"/>
      <c r="HF61" s="491"/>
      <c r="HG61" s="491"/>
      <c r="HH61" s="491"/>
      <c r="HI61" s="491"/>
      <c r="HJ61" s="491"/>
      <c r="HK61" s="491"/>
      <c r="HL61" s="491"/>
      <c r="HM61" s="564"/>
      <c r="HN61" s="491"/>
      <c r="HO61" s="491"/>
      <c r="HP61" s="491"/>
      <c r="HQ61" s="491"/>
      <c r="HR61" s="491"/>
      <c r="HS61" s="491"/>
      <c r="HT61" s="491"/>
      <c r="HU61" s="491"/>
      <c r="HV61" s="491"/>
      <c r="HW61" s="491"/>
      <c r="HX61" s="491"/>
      <c r="HY61" s="491"/>
      <c r="HZ61" s="491"/>
      <c r="IA61" s="513">
        <v>1</v>
      </c>
      <c r="IB61" s="1456" t="s">
        <v>5042</v>
      </c>
      <c r="IC61" s="1457"/>
      <c r="ID61" s="1457"/>
      <c r="IE61" s="1457"/>
      <c r="IF61" s="1457"/>
      <c r="IG61" s="1457"/>
      <c r="IH61" s="1457"/>
      <c r="II61" s="1457"/>
      <c r="IJ61" s="1458"/>
      <c r="IK61" s="491"/>
      <c r="IL61" s="564"/>
      <c r="IM61" s="491"/>
      <c r="IN61" s="491"/>
      <c r="IO61" s="578"/>
      <c r="IP61" s="1456" t="s">
        <v>5072</v>
      </c>
      <c r="IQ61" s="1457"/>
      <c r="IR61" s="1457"/>
      <c r="IS61" s="1457"/>
      <c r="IT61" s="1457"/>
      <c r="IU61" s="1457"/>
      <c r="IV61" s="1457"/>
      <c r="IW61" s="1457"/>
      <c r="IX61" s="1457"/>
      <c r="IY61" s="1458"/>
      <c r="IZ61" s="491"/>
      <c r="JA61" s="564"/>
      <c r="JB61" s="491"/>
      <c r="JC61" s="491"/>
      <c r="JD61" s="491"/>
      <c r="JE61" s="491"/>
      <c r="JF61" s="491"/>
      <c r="JG61" s="491"/>
      <c r="JH61" s="491"/>
      <c r="JI61" s="491"/>
      <c r="JJ61" s="491"/>
      <c r="JK61" s="491"/>
      <c r="JL61" s="491"/>
      <c r="JM61" s="491"/>
      <c r="JN61" s="491"/>
      <c r="JO61" s="491"/>
      <c r="JP61" s="491"/>
      <c r="JQ61" s="491"/>
      <c r="JR61" s="491"/>
      <c r="JS61" s="491"/>
      <c r="JT61" s="491"/>
      <c r="JU61" s="491"/>
      <c r="JV61" s="491"/>
      <c r="JW61" s="491"/>
      <c r="JX61" s="491"/>
      <c r="JY61" s="491"/>
      <c r="JZ61" s="491"/>
      <c r="KA61" s="491"/>
      <c r="KB61" s="526"/>
      <c r="KC61" s="491"/>
      <c r="KD61" s="578"/>
      <c r="KE61" s="513">
        <v>1</v>
      </c>
      <c r="KF61" s="1456" t="s">
        <v>171</v>
      </c>
      <c r="KG61" s="1457"/>
      <c r="KH61" s="1457"/>
      <c r="KI61" s="1457"/>
      <c r="KJ61" s="1457"/>
      <c r="KK61" s="1457"/>
      <c r="KL61" s="1457"/>
      <c r="KM61" s="1457"/>
      <c r="KN61" s="1458"/>
      <c r="KO61" s="564"/>
      <c r="KP61" s="491"/>
      <c r="KQ61" s="491"/>
      <c r="KR61" s="491"/>
      <c r="KS61" s="491"/>
      <c r="KT61" s="491"/>
      <c r="KU61" s="564"/>
      <c r="KV61" s="491"/>
      <c r="KW61" s="491"/>
      <c r="KX61" s="491"/>
      <c r="KY61" s="491"/>
      <c r="KZ61" s="578"/>
      <c r="LA61" s="1447" t="s">
        <v>5073</v>
      </c>
      <c r="LB61" s="1448"/>
      <c r="LC61" s="1448"/>
      <c r="LD61" s="1448"/>
      <c r="LE61" s="1448"/>
      <c r="LF61" s="1448"/>
      <c r="LG61" s="1448"/>
      <c r="LH61" s="1448"/>
      <c r="LI61" s="1448"/>
      <c r="LJ61" s="1449"/>
      <c r="LK61" s="491"/>
      <c r="LL61" s="1447" t="s">
        <v>5074</v>
      </c>
      <c r="LM61" s="1448"/>
      <c r="LN61" s="1448"/>
      <c r="LO61" s="1448"/>
      <c r="LP61" s="1448"/>
      <c r="LQ61" s="1448"/>
      <c r="LR61" s="1448"/>
      <c r="LS61" s="1448"/>
      <c r="LT61" s="1448"/>
      <c r="LU61" s="1449"/>
      <c r="LV61" s="491"/>
      <c r="LW61" s="1447" t="s">
        <v>5075</v>
      </c>
      <c r="LX61" s="1448"/>
      <c r="LY61" s="1448"/>
      <c r="LZ61" s="1448"/>
      <c r="MA61" s="1448"/>
      <c r="MB61" s="1448"/>
      <c r="MC61" s="1448"/>
      <c r="MD61" s="1448"/>
      <c r="ME61" s="1448"/>
      <c r="MF61" s="1449"/>
      <c r="MG61" s="564"/>
      <c r="MH61" s="491"/>
      <c r="MI61" s="491"/>
      <c r="MJ61" s="491"/>
      <c r="MK61" s="491"/>
      <c r="ML61" s="491"/>
      <c r="MM61" s="491"/>
      <c r="MN61" s="578"/>
      <c r="MO61" s="627"/>
      <c r="MP61" s="628"/>
      <c r="MQ61" s="628"/>
      <c r="MR61" s="628"/>
      <c r="MS61" s="628"/>
      <c r="MT61" s="628"/>
      <c r="MU61" s="628"/>
      <c r="MV61" s="628"/>
      <c r="MW61" s="628"/>
      <c r="MX61" s="628"/>
      <c r="MY61" s="628"/>
      <c r="MZ61" s="629"/>
      <c r="NA61" s="491"/>
      <c r="NB61" s="491"/>
      <c r="NC61" s="491"/>
      <c r="ND61" s="491"/>
      <c r="NE61" s="491"/>
      <c r="NF61" s="491"/>
      <c r="NG61" s="578"/>
      <c r="NH61" s="491"/>
      <c r="NI61" s="491"/>
      <c r="NJ61" s="491"/>
      <c r="NK61" s="491"/>
      <c r="NL61" s="636"/>
      <c r="NM61" s="491"/>
      <c r="NN61" s="491"/>
      <c r="NO61" s="491"/>
      <c r="NP61" s="491"/>
      <c r="NQ61" s="491"/>
      <c r="NR61" s="564"/>
      <c r="NS61" s="564"/>
      <c r="NT61" s="491"/>
      <c r="NU61" s="491"/>
      <c r="NV61" s="491"/>
      <c r="NW61" s="491"/>
      <c r="NX61" s="491"/>
      <c r="PW61" s="482"/>
      <c r="QA61" s="491"/>
      <c r="QB61" s="491"/>
      <c r="QC61" s="491"/>
      <c r="QD61" s="491"/>
      <c r="QE61" s="491"/>
      <c r="QF61" s="491"/>
      <c r="QG61" s="491"/>
      <c r="QH61" s="491"/>
      <c r="QI61" s="491"/>
      <c r="QJ61" s="491"/>
      <c r="QK61" s="491"/>
      <c r="QL61" s="491"/>
      <c r="QM61" s="491"/>
      <c r="QN61" s="491"/>
      <c r="QO61" s="491"/>
      <c r="QP61" s="491"/>
      <c r="QQ61" s="491"/>
      <c r="QR61" s="491"/>
      <c r="QS61" s="491"/>
      <c r="QT61" s="491"/>
      <c r="QU61" s="491"/>
      <c r="QV61" s="491"/>
      <c r="QW61" s="491"/>
      <c r="QX61" s="491"/>
      <c r="QY61" s="491"/>
      <c r="QZ61" s="491"/>
      <c r="RA61" s="491"/>
      <c r="RB61" s="491"/>
    </row>
    <row r="62" spans="11:470" ht="12.75" customHeight="1" x14ac:dyDescent="0.35">
      <c r="K62" s="482"/>
      <c r="AR62" s="541"/>
      <c r="AU62" s="491"/>
      <c r="AV62" s="491"/>
      <c r="AW62" s="491"/>
      <c r="AX62" s="491"/>
      <c r="AY62" s="578"/>
      <c r="AZ62" s="491"/>
      <c r="BA62" s="518">
        <v>0.5</v>
      </c>
      <c r="BB62" s="1456" t="s">
        <v>5076</v>
      </c>
      <c r="BC62" s="1457"/>
      <c r="BD62" s="1457"/>
      <c r="BE62" s="1457"/>
      <c r="BF62" s="1457"/>
      <c r="BG62" s="1457"/>
      <c r="BH62" s="1457"/>
      <c r="BI62" s="1457"/>
      <c r="BJ62" s="1458"/>
      <c r="BK62" s="491"/>
      <c r="BL62" s="564"/>
      <c r="BM62" s="491"/>
      <c r="BN62" s="491"/>
      <c r="BO62" s="491"/>
      <c r="BP62" s="578"/>
      <c r="BQ62" s="491"/>
      <c r="BR62" s="491"/>
      <c r="BS62" s="491"/>
      <c r="BT62" s="491"/>
      <c r="BU62" s="491"/>
      <c r="BV62" s="491"/>
      <c r="BW62" s="491"/>
      <c r="BX62" s="491"/>
      <c r="BY62" s="491"/>
      <c r="BZ62" s="491"/>
      <c r="CA62" s="491"/>
      <c r="CB62" s="622"/>
      <c r="CC62" s="491"/>
      <c r="CD62" s="491"/>
      <c r="CE62" s="491"/>
      <c r="CF62" s="491"/>
      <c r="CG62" s="491"/>
      <c r="CH62" s="491"/>
      <c r="CI62" s="491"/>
      <c r="CJ62" s="491"/>
      <c r="CK62" s="491"/>
      <c r="CL62" s="491"/>
      <c r="CM62" s="564"/>
      <c r="CN62" s="511"/>
      <c r="CO62" s="511"/>
      <c r="CP62" s="491"/>
      <c r="CQ62" s="578"/>
      <c r="CR62" s="1456" t="s">
        <v>5077</v>
      </c>
      <c r="CS62" s="1457"/>
      <c r="CT62" s="1457"/>
      <c r="CU62" s="1457"/>
      <c r="CV62" s="1457"/>
      <c r="CW62" s="1457"/>
      <c r="CX62" s="1457"/>
      <c r="CY62" s="1457"/>
      <c r="CZ62" s="1457"/>
      <c r="DA62" s="1458"/>
      <c r="DB62" s="491"/>
      <c r="DC62" s="611"/>
      <c r="DD62" s="1456" t="s">
        <v>5078</v>
      </c>
      <c r="DE62" s="1457"/>
      <c r="DF62" s="1457"/>
      <c r="DG62" s="1457"/>
      <c r="DH62" s="1457"/>
      <c r="DI62" s="1457"/>
      <c r="DJ62" s="1457"/>
      <c r="DK62" s="1457"/>
      <c r="DL62" s="1457"/>
      <c r="DM62" s="1458"/>
      <c r="DN62" s="564"/>
      <c r="DO62" s="491"/>
      <c r="DP62" s="491"/>
      <c r="DQ62" s="491"/>
      <c r="DR62" s="491"/>
      <c r="DS62" s="491"/>
      <c r="DT62" s="491"/>
      <c r="DU62" s="488"/>
      <c r="DV62" s="491"/>
      <c r="DW62" s="491"/>
      <c r="DX62" s="491"/>
      <c r="DY62" s="491"/>
      <c r="DZ62" s="491"/>
      <c r="EA62" s="491"/>
      <c r="EB62" s="491"/>
      <c r="EC62" s="491"/>
      <c r="ED62" s="491"/>
      <c r="EE62" s="491"/>
      <c r="EF62" s="491"/>
      <c r="EG62" s="578"/>
      <c r="EH62" s="491"/>
      <c r="EI62" s="491"/>
      <c r="EJ62" s="491"/>
      <c r="EK62" s="491"/>
      <c r="EL62" s="491"/>
      <c r="EM62" s="556"/>
      <c r="EN62" s="556"/>
      <c r="EO62" s="556"/>
      <c r="EP62" s="556"/>
      <c r="EQ62" s="556"/>
      <c r="ER62" s="556"/>
      <c r="ES62" s="556"/>
      <c r="ET62" s="556"/>
      <c r="EU62" s="556"/>
      <c r="EV62" s="556"/>
      <c r="EW62" s="637"/>
      <c r="EX62" s="556"/>
      <c r="EY62" s="556"/>
      <c r="EZ62" s="556"/>
      <c r="FA62" s="556"/>
      <c r="FB62" s="556"/>
      <c r="FC62" s="556"/>
      <c r="FD62" s="556"/>
      <c r="FE62" s="556"/>
      <c r="FF62" s="556"/>
      <c r="FG62" s="556"/>
      <c r="FH62" s="556"/>
      <c r="FI62" s="556"/>
      <c r="FJ62" s="491"/>
      <c r="FK62" s="491"/>
      <c r="FL62" s="491"/>
      <c r="FM62" s="491"/>
      <c r="FN62" s="491"/>
      <c r="FO62" s="491"/>
      <c r="FP62" s="491"/>
      <c r="FQ62" s="491"/>
      <c r="FR62" s="491"/>
      <c r="FS62" s="491"/>
      <c r="FT62" s="526"/>
      <c r="FU62" s="491"/>
      <c r="FV62" s="491"/>
      <c r="FW62" s="491"/>
      <c r="FX62" s="491"/>
      <c r="FY62" s="491"/>
      <c r="FZ62" s="491"/>
      <c r="GA62" s="491"/>
      <c r="GB62" s="491"/>
      <c r="GC62" s="526"/>
      <c r="GD62" s="491"/>
      <c r="GE62" s="491"/>
      <c r="GF62" s="491"/>
      <c r="GG62" s="491"/>
      <c r="GH62" s="491"/>
      <c r="GI62" s="491"/>
      <c r="GJ62" s="491"/>
      <c r="GK62" s="564"/>
      <c r="GL62" s="491"/>
      <c r="GM62" s="491"/>
      <c r="GN62" s="491"/>
      <c r="GO62" s="526"/>
      <c r="GP62" s="491"/>
      <c r="GQ62" s="491"/>
      <c r="GR62" s="491"/>
      <c r="GS62" s="491"/>
      <c r="GT62" s="491"/>
      <c r="GU62" s="491"/>
      <c r="GV62" s="491"/>
      <c r="GW62" s="491"/>
      <c r="GX62" s="491"/>
      <c r="GY62" s="491"/>
      <c r="GZ62" s="491"/>
      <c r="HA62" s="491"/>
      <c r="HB62" s="491"/>
      <c r="HC62" s="491"/>
      <c r="HD62" s="491"/>
      <c r="HE62" s="491"/>
      <c r="HF62" s="491"/>
      <c r="HG62" s="491"/>
      <c r="HH62" s="491"/>
      <c r="HI62" s="491"/>
      <c r="HJ62" s="491"/>
      <c r="HK62" s="491"/>
      <c r="HL62" s="491"/>
      <c r="HM62" s="564"/>
      <c r="HN62" s="491"/>
      <c r="HO62" s="491"/>
      <c r="HP62" s="491"/>
      <c r="HQ62" s="491"/>
      <c r="HR62" s="491"/>
      <c r="HS62" s="491"/>
      <c r="HT62" s="491"/>
      <c r="HU62" s="491"/>
      <c r="HV62" s="491"/>
      <c r="HW62" s="491"/>
      <c r="HX62" s="491"/>
      <c r="HY62" s="491"/>
      <c r="HZ62" s="491"/>
      <c r="IA62" s="1450" t="s">
        <v>5079</v>
      </c>
      <c r="IB62" s="1451"/>
      <c r="IC62" s="1451"/>
      <c r="ID62" s="1451"/>
      <c r="IE62" s="1451"/>
      <c r="IF62" s="1451"/>
      <c r="IG62" s="1451"/>
      <c r="IH62" s="1451"/>
      <c r="II62" s="1451"/>
      <c r="IJ62" s="1452"/>
      <c r="IK62" s="491"/>
      <c r="IL62" s="564"/>
      <c r="IM62" s="491"/>
      <c r="IN62" s="491"/>
      <c r="IO62" s="578"/>
      <c r="IP62" s="513">
        <v>1</v>
      </c>
      <c r="IQ62" s="1456" t="s">
        <v>4834</v>
      </c>
      <c r="IR62" s="1457"/>
      <c r="IS62" s="1457"/>
      <c r="IT62" s="1457"/>
      <c r="IU62" s="1457"/>
      <c r="IV62" s="1457"/>
      <c r="IW62" s="1457"/>
      <c r="IX62" s="1457"/>
      <c r="IY62" s="1458"/>
      <c r="IZ62" s="491"/>
      <c r="JA62" s="564"/>
      <c r="JB62" s="491"/>
      <c r="JC62" s="491"/>
      <c r="JD62" s="491"/>
      <c r="JE62" s="491"/>
      <c r="JF62" s="491"/>
      <c r="JG62" s="491"/>
      <c r="JH62" s="491"/>
      <c r="JI62" s="491"/>
      <c r="JJ62" s="491"/>
      <c r="JK62" s="491"/>
      <c r="JL62" s="491"/>
      <c r="JM62" s="491"/>
      <c r="JN62" s="491"/>
      <c r="JO62" s="491"/>
      <c r="JP62" s="491"/>
      <c r="JQ62" s="491"/>
      <c r="JR62" s="491"/>
      <c r="JS62" s="491"/>
      <c r="JT62" s="491"/>
      <c r="JU62" s="491"/>
      <c r="JV62" s="491"/>
      <c r="JW62" s="491"/>
      <c r="JX62" s="491"/>
      <c r="JY62" s="491"/>
      <c r="JZ62" s="491"/>
      <c r="KA62" s="491"/>
      <c r="KB62" s="526"/>
      <c r="KC62" s="491"/>
      <c r="KD62" s="578"/>
      <c r="KE62" s="1472" t="s">
        <v>5080</v>
      </c>
      <c r="KF62" s="1472"/>
      <c r="KG62" s="1472"/>
      <c r="KH62" s="1472"/>
      <c r="KI62" s="1472"/>
      <c r="KJ62" s="1472"/>
      <c r="KK62" s="1472"/>
      <c r="KL62" s="1472"/>
      <c r="KM62" s="1472"/>
      <c r="KN62" s="1472"/>
      <c r="KO62" s="564"/>
      <c r="KP62" s="491"/>
      <c r="KQ62" s="491"/>
      <c r="KR62" s="491"/>
      <c r="KS62" s="491"/>
      <c r="KT62" s="491"/>
      <c r="KU62" s="564"/>
      <c r="KV62" s="491"/>
      <c r="KW62" s="491"/>
      <c r="KX62" s="491"/>
      <c r="KY62" s="491"/>
      <c r="KZ62" s="578"/>
      <c r="LA62" s="491"/>
      <c r="LB62" s="491"/>
      <c r="LC62" s="491"/>
      <c r="LD62" s="491"/>
      <c r="LE62" s="491"/>
      <c r="LF62" s="491"/>
      <c r="LG62" s="491"/>
      <c r="LH62" s="491"/>
      <c r="LI62" s="491"/>
      <c r="LJ62" s="491"/>
      <c r="LK62" s="491"/>
      <c r="LL62" s="513">
        <v>1</v>
      </c>
      <c r="LM62" s="1456" t="s">
        <v>5063</v>
      </c>
      <c r="LN62" s="1457"/>
      <c r="LO62" s="1457"/>
      <c r="LP62" s="1457"/>
      <c r="LQ62" s="1457"/>
      <c r="LR62" s="1457"/>
      <c r="LS62" s="1457"/>
      <c r="LT62" s="1457"/>
      <c r="LU62" s="1458"/>
      <c r="LV62" s="491"/>
      <c r="LW62" s="491"/>
      <c r="LX62" s="491"/>
      <c r="LY62" s="491"/>
      <c r="LZ62" s="491"/>
      <c r="MA62" s="491"/>
      <c r="MB62" s="491"/>
      <c r="MC62" s="491"/>
      <c r="MD62" s="491"/>
      <c r="ME62" s="491"/>
      <c r="MF62" s="491"/>
      <c r="MG62" s="564"/>
      <c r="MH62" s="491"/>
      <c r="MI62" s="491"/>
      <c r="MJ62" s="491"/>
      <c r="MK62" s="491"/>
      <c r="ML62" s="491"/>
      <c r="MM62" s="491"/>
      <c r="MN62" s="578"/>
      <c r="MO62" s="491"/>
      <c r="MP62" s="491"/>
      <c r="MQ62" s="491"/>
      <c r="MR62" s="491"/>
      <c r="MS62" s="491"/>
      <c r="MT62" s="491"/>
      <c r="MU62" s="491"/>
      <c r="MV62" s="491"/>
      <c r="MW62" s="491"/>
      <c r="MX62" s="491"/>
      <c r="MY62" s="491"/>
      <c r="MZ62" s="491"/>
      <c r="NA62" s="491"/>
      <c r="NB62" s="491"/>
      <c r="NC62" s="491"/>
      <c r="ND62" s="491"/>
      <c r="NE62" s="491"/>
      <c r="NF62" s="491"/>
      <c r="NG62" s="578"/>
      <c r="NH62" s="513">
        <v>1</v>
      </c>
      <c r="NI62" s="1456" t="s">
        <v>91</v>
      </c>
      <c r="NJ62" s="1457"/>
      <c r="NK62" s="1457"/>
      <c r="NL62" s="1457"/>
      <c r="NM62" s="1457"/>
      <c r="NN62" s="1457"/>
      <c r="NO62" s="1457"/>
      <c r="NP62" s="1457"/>
      <c r="NQ62" s="1458"/>
      <c r="NR62" s="564"/>
      <c r="NS62" s="564"/>
      <c r="NT62" s="491"/>
      <c r="NU62" s="491"/>
      <c r="NV62" s="491"/>
      <c r="NW62" s="491"/>
      <c r="NX62" s="491"/>
      <c r="PW62" s="482"/>
      <c r="QA62" s="491"/>
      <c r="QB62" s="491"/>
      <c r="QC62" s="491"/>
      <c r="QD62" s="491"/>
      <c r="QE62" s="491"/>
      <c r="QF62" s="491"/>
      <c r="QG62" s="491"/>
      <c r="QH62" s="491"/>
      <c r="QI62" s="491"/>
      <c r="QJ62" s="491"/>
      <c r="QK62" s="491"/>
      <c r="QL62" s="491"/>
      <c r="QM62" s="491"/>
      <c r="QN62" s="491"/>
      <c r="QO62" s="491"/>
      <c r="QP62" s="491"/>
      <c r="QQ62" s="491"/>
      <c r="QR62" s="491"/>
      <c r="QS62" s="491"/>
      <c r="QT62" s="491"/>
      <c r="QU62" s="491"/>
      <c r="QV62" s="491"/>
      <c r="QW62" s="491"/>
      <c r="QX62" s="491"/>
      <c r="QY62" s="491"/>
      <c r="QZ62" s="491"/>
      <c r="RA62" s="491"/>
      <c r="RB62" s="491"/>
    </row>
    <row r="63" spans="11:470" ht="12.75" customHeight="1" x14ac:dyDescent="0.35">
      <c r="K63" s="482"/>
      <c r="AR63" s="541"/>
      <c r="AU63" s="491"/>
      <c r="AV63" s="491"/>
      <c r="AW63" s="491"/>
      <c r="AX63" s="491"/>
      <c r="AY63" s="578"/>
      <c r="AZ63" s="491"/>
      <c r="BA63" s="1447" t="s">
        <v>1621</v>
      </c>
      <c r="BB63" s="1448"/>
      <c r="BC63" s="1448"/>
      <c r="BD63" s="1448"/>
      <c r="BE63" s="1448"/>
      <c r="BF63" s="1448"/>
      <c r="BG63" s="1448"/>
      <c r="BH63" s="1448"/>
      <c r="BI63" s="1448"/>
      <c r="BJ63" s="1449"/>
      <c r="BK63" s="491"/>
      <c r="BL63" s="564"/>
      <c r="BM63" s="491"/>
      <c r="BN63" s="491"/>
      <c r="BO63" s="491"/>
      <c r="BP63" s="578"/>
      <c r="BQ63" s="491"/>
      <c r="BR63" s="491"/>
      <c r="BS63" s="491"/>
      <c r="BT63" s="491"/>
      <c r="BU63" s="491"/>
      <c r="BV63" s="607"/>
      <c r="BW63" s="576"/>
      <c r="BX63" s="576"/>
      <c r="BY63" s="576"/>
      <c r="BZ63" s="576"/>
      <c r="CA63" s="576"/>
      <c r="CB63" s="607"/>
      <c r="CC63" s="576"/>
      <c r="CD63" s="576"/>
      <c r="CE63" s="576"/>
      <c r="CF63" s="576"/>
      <c r="CG63" s="577"/>
      <c r="CH63" s="611"/>
      <c r="CI63" s="491"/>
      <c r="CJ63" s="491"/>
      <c r="CK63" s="491"/>
      <c r="CL63" s="491"/>
      <c r="CM63" s="564"/>
      <c r="CN63" s="511"/>
      <c r="CO63" s="511"/>
      <c r="CP63" s="491"/>
      <c r="CQ63" s="578"/>
      <c r="CR63" s="513">
        <v>1</v>
      </c>
      <c r="CS63" s="1456" t="s">
        <v>5081</v>
      </c>
      <c r="CT63" s="1457"/>
      <c r="CU63" s="1457"/>
      <c r="CV63" s="1457"/>
      <c r="CW63" s="1457"/>
      <c r="CX63" s="1457"/>
      <c r="CY63" s="1457"/>
      <c r="CZ63" s="1457"/>
      <c r="DA63" s="1458"/>
      <c r="DB63" s="491"/>
      <c r="DC63" s="611"/>
      <c r="DD63" s="513">
        <v>1</v>
      </c>
      <c r="DE63" s="1456" t="s">
        <v>5081</v>
      </c>
      <c r="DF63" s="1457"/>
      <c r="DG63" s="1457"/>
      <c r="DH63" s="1457"/>
      <c r="DI63" s="1457"/>
      <c r="DJ63" s="1457"/>
      <c r="DK63" s="1457"/>
      <c r="DL63" s="1457"/>
      <c r="DM63" s="1458"/>
      <c r="DN63" s="564"/>
      <c r="DO63" s="491"/>
      <c r="DP63" s="491"/>
      <c r="DQ63" s="491"/>
      <c r="DR63" s="491"/>
      <c r="DS63" s="491"/>
      <c r="DT63" s="491"/>
      <c r="DU63" s="491"/>
      <c r="DV63" s="491"/>
      <c r="DW63" s="491"/>
      <c r="DX63" s="491"/>
      <c r="DY63" s="491"/>
      <c r="DZ63" s="491"/>
      <c r="EA63" s="491"/>
      <c r="EB63" s="491"/>
      <c r="EC63" s="491"/>
      <c r="ED63" s="491"/>
      <c r="EE63" s="491"/>
      <c r="EF63" s="491"/>
      <c r="EG63" s="578"/>
      <c r="EH63" s="491"/>
      <c r="EI63" s="491"/>
      <c r="EJ63" s="491"/>
      <c r="EK63" s="491"/>
      <c r="EL63" s="529"/>
      <c r="EM63" s="491"/>
      <c r="EN63" s="491"/>
      <c r="EO63" s="491"/>
      <c r="EP63" s="491"/>
      <c r="EQ63" s="491"/>
      <c r="ER63" s="491"/>
      <c r="ES63" s="491"/>
      <c r="ET63" s="491"/>
      <c r="EU63" s="491"/>
      <c r="EV63" s="491"/>
      <c r="EW63" s="526"/>
      <c r="EX63" s="491"/>
      <c r="EY63" s="491"/>
      <c r="EZ63" s="491"/>
      <c r="FA63" s="491"/>
      <c r="FB63" s="491"/>
      <c r="FC63" s="491"/>
      <c r="FD63" s="491"/>
      <c r="FE63" s="491"/>
      <c r="FF63" s="491"/>
      <c r="FG63" s="491"/>
      <c r="FH63" s="491"/>
      <c r="FI63" s="529"/>
      <c r="FJ63" s="491"/>
      <c r="FK63" s="491"/>
      <c r="FL63" s="491"/>
      <c r="FM63" s="491"/>
      <c r="FN63" s="491"/>
      <c r="FO63" s="491"/>
      <c r="FP63" s="491"/>
      <c r="FQ63" s="491"/>
      <c r="FR63" s="491"/>
      <c r="FS63" s="491"/>
      <c r="FT63" s="526"/>
      <c r="FU63" s="491"/>
      <c r="FV63" s="491"/>
      <c r="FW63" s="491"/>
      <c r="FX63" s="491"/>
      <c r="FY63" s="491"/>
      <c r="FZ63" s="491"/>
      <c r="GA63" s="491"/>
      <c r="GB63" s="491"/>
      <c r="GC63" s="526"/>
      <c r="GD63" s="491"/>
      <c r="GE63" s="491"/>
      <c r="GF63" s="491"/>
      <c r="GG63" s="491"/>
      <c r="GH63" s="491"/>
      <c r="GI63" s="491"/>
      <c r="GJ63" s="491"/>
      <c r="GK63" s="564"/>
      <c r="GL63" s="491"/>
      <c r="GM63" s="491"/>
      <c r="GN63" s="491"/>
      <c r="GO63" s="526"/>
      <c r="GP63" s="491"/>
      <c r="GQ63" s="491"/>
      <c r="GR63" s="491"/>
      <c r="GS63" s="491"/>
      <c r="GT63" s="491"/>
      <c r="GU63" s="491"/>
      <c r="GV63" s="491"/>
      <c r="GW63" s="491"/>
      <c r="GX63" s="491"/>
      <c r="GY63" s="491"/>
      <c r="GZ63" s="491"/>
      <c r="HA63" s="491"/>
      <c r="HB63" s="491"/>
      <c r="HC63" s="491"/>
      <c r="HD63" s="491"/>
      <c r="HE63" s="491"/>
      <c r="HF63" s="491"/>
      <c r="HG63" s="491"/>
      <c r="HH63" s="491"/>
      <c r="HI63" s="491"/>
      <c r="HJ63" s="491"/>
      <c r="HK63" s="491"/>
      <c r="HL63" s="491"/>
      <c r="HM63" s="564"/>
      <c r="HN63" s="491"/>
      <c r="HO63" s="491"/>
      <c r="HP63" s="491"/>
      <c r="HQ63" s="491"/>
      <c r="HR63" s="491"/>
      <c r="HS63" s="491"/>
      <c r="HT63" s="491"/>
      <c r="HU63" s="491"/>
      <c r="HV63" s="491"/>
      <c r="HW63" s="491"/>
      <c r="HX63" s="491"/>
      <c r="HY63" s="491"/>
      <c r="HZ63" s="491"/>
      <c r="IA63" s="491"/>
      <c r="IB63" s="491"/>
      <c r="IC63" s="491"/>
      <c r="ID63" s="491"/>
      <c r="IE63" s="491"/>
      <c r="IF63" s="491"/>
      <c r="IG63" s="491"/>
      <c r="IH63" s="491"/>
      <c r="II63" s="491"/>
      <c r="IJ63" s="491"/>
      <c r="IK63" s="491"/>
      <c r="IL63" s="564"/>
      <c r="IM63" s="491"/>
      <c r="IN63" s="491"/>
      <c r="IO63" s="578"/>
      <c r="IP63" s="1447" t="s">
        <v>5082</v>
      </c>
      <c r="IQ63" s="1448"/>
      <c r="IR63" s="1448"/>
      <c r="IS63" s="1448"/>
      <c r="IT63" s="1448"/>
      <c r="IU63" s="1448"/>
      <c r="IV63" s="1448"/>
      <c r="IW63" s="1448"/>
      <c r="IX63" s="1448"/>
      <c r="IY63" s="1449"/>
      <c r="IZ63" s="491"/>
      <c r="JA63" s="564"/>
      <c r="JB63" s="491"/>
      <c r="JC63" s="491"/>
      <c r="JD63" s="491"/>
      <c r="JE63" s="491"/>
      <c r="JF63" s="491"/>
      <c r="JG63" s="491"/>
      <c r="JH63" s="491"/>
      <c r="JI63" s="491"/>
      <c r="JJ63" s="491"/>
      <c r="JK63" s="491"/>
      <c r="JL63" s="491"/>
      <c r="JM63" s="491"/>
      <c r="JN63" s="491"/>
      <c r="JO63" s="491"/>
      <c r="JP63" s="491"/>
      <c r="JQ63" s="491"/>
      <c r="JR63" s="491"/>
      <c r="JS63" s="491"/>
      <c r="JT63" s="491"/>
      <c r="JU63" s="491"/>
      <c r="JV63" s="491"/>
      <c r="JW63" s="491"/>
      <c r="JX63" s="491"/>
      <c r="JY63" s="491"/>
      <c r="JZ63" s="491"/>
      <c r="KA63" s="491"/>
      <c r="KB63" s="526"/>
      <c r="KC63" s="491"/>
      <c r="KD63" s="578"/>
      <c r="KE63" s="513">
        <v>1</v>
      </c>
      <c r="KF63" s="1456" t="s">
        <v>171</v>
      </c>
      <c r="KG63" s="1457"/>
      <c r="KH63" s="1457"/>
      <c r="KI63" s="1457"/>
      <c r="KJ63" s="1457"/>
      <c r="KK63" s="1457"/>
      <c r="KL63" s="1457"/>
      <c r="KM63" s="1457"/>
      <c r="KN63" s="1458"/>
      <c r="KO63" s="564"/>
      <c r="KP63" s="491"/>
      <c r="KQ63" s="491"/>
      <c r="KR63" s="491"/>
      <c r="KS63" s="491"/>
      <c r="KT63" s="491"/>
      <c r="KU63" s="564"/>
      <c r="KV63" s="491"/>
      <c r="KW63" s="491"/>
      <c r="KX63" s="491"/>
      <c r="KY63" s="491"/>
      <c r="KZ63" s="578"/>
      <c r="LA63" s="491"/>
      <c r="LB63" s="491"/>
      <c r="LC63" s="491"/>
      <c r="LD63" s="491"/>
      <c r="LE63" s="491"/>
      <c r="LF63" s="491"/>
      <c r="LG63" s="491"/>
      <c r="LH63" s="491"/>
      <c r="LI63" s="491"/>
      <c r="LJ63" s="491"/>
      <c r="LK63" s="491"/>
      <c r="LL63" s="1450" t="s">
        <v>5083</v>
      </c>
      <c r="LM63" s="1451"/>
      <c r="LN63" s="1451"/>
      <c r="LO63" s="1451"/>
      <c r="LP63" s="1451"/>
      <c r="LQ63" s="1451"/>
      <c r="LR63" s="1451"/>
      <c r="LS63" s="1451"/>
      <c r="LT63" s="1451"/>
      <c r="LU63" s="1452"/>
      <c r="LV63" s="491"/>
      <c r="LW63" s="491"/>
      <c r="LX63" s="491"/>
      <c r="LY63" s="491"/>
      <c r="LZ63" s="491"/>
      <c r="MA63" s="491"/>
      <c r="MB63" s="491"/>
      <c r="MC63" s="491"/>
      <c r="MD63" s="491"/>
      <c r="ME63" s="491"/>
      <c r="MF63" s="491"/>
      <c r="MG63" s="564"/>
      <c r="MH63" s="491"/>
      <c r="MI63" s="491"/>
      <c r="MJ63" s="491"/>
      <c r="MK63" s="491"/>
      <c r="ML63" s="491"/>
      <c r="MM63" s="491"/>
      <c r="MN63" s="578"/>
      <c r="MO63" s="491"/>
      <c r="MP63" s="491"/>
      <c r="MQ63" s="491"/>
      <c r="MR63" s="491"/>
      <c r="MS63" s="491"/>
      <c r="MT63" s="491"/>
      <c r="MU63" s="491"/>
      <c r="MV63" s="491"/>
      <c r="MW63" s="491"/>
      <c r="MX63" s="491"/>
      <c r="MY63" s="491"/>
      <c r="MZ63" s="491"/>
      <c r="NA63" s="491"/>
      <c r="NB63" s="491"/>
      <c r="NC63" s="491"/>
      <c r="ND63" s="491"/>
      <c r="NE63" s="491"/>
      <c r="NF63" s="491"/>
      <c r="NG63" s="578"/>
      <c r="NH63" s="1485" t="s">
        <v>2880</v>
      </c>
      <c r="NI63" s="1486"/>
      <c r="NJ63" s="1486"/>
      <c r="NK63" s="1486"/>
      <c r="NL63" s="1486"/>
      <c r="NM63" s="1486"/>
      <c r="NN63" s="1486"/>
      <c r="NO63" s="1486"/>
      <c r="NP63" s="1486"/>
      <c r="NQ63" s="1487"/>
      <c r="NR63" s="564"/>
      <c r="NS63" s="564"/>
      <c r="NT63" s="491"/>
      <c r="NU63" s="491"/>
      <c r="NV63" s="491"/>
      <c r="NW63" s="491"/>
      <c r="NX63" s="491"/>
      <c r="PW63" s="482"/>
      <c r="QA63" s="491"/>
      <c r="QB63" s="491"/>
      <c r="QC63" s="491"/>
      <c r="QD63" s="491"/>
      <c r="QE63" s="491"/>
      <c r="QF63" s="491"/>
      <c r="QG63" s="491"/>
      <c r="QH63" s="491"/>
      <c r="QI63" s="491"/>
      <c r="QJ63" s="491"/>
      <c r="QK63" s="491"/>
      <c r="QL63" s="491"/>
      <c r="QM63" s="491"/>
      <c r="QN63" s="491"/>
      <c r="QO63" s="491"/>
      <c r="QP63" s="491"/>
      <c r="QQ63" s="491"/>
      <c r="QR63" s="491"/>
      <c r="QS63" s="491"/>
      <c r="QT63" s="491"/>
      <c r="QU63" s="491"/>
      <c r="QV63" s="491"/>
      <c r="QW63" s="491"/>
      <c r="QX63" s="491"/>
      <c r="QY63" s="491"/>
      <c r="QZ63" s="491"/>
      <c r="RA63" s="491"/>
      <c r="RB63" s="491"/>
    </row>
    <row r="64" spans="11:470" ht="12.75" customHeight="1" x14ac:dyDescent="0.35">
      <c r="K64" s="482"/>
      <c r="AR64" s="541"/>
      <c r="AU64" s="491"/>
      <c r="AV64" s="491"/>
      <c r="AW64" s="491"/>
      <c r="AX64" s="491"/>
      <c r="AY64" s="578"/>
      <c r="AZ64" s="491"/>
      <c r="BA64" s="518">
        <v>0.5</v>
      </c>
      <c r="BB64" s="1456" t="s">
        <v>5076</v>
      </c>
      <c r="BC64" s="1457"/>
      <c r="BD64" s="1457"/>
      <c r="BE64" s="1457"/>
      <c r="BF64" s="1457"/>
      <c r="BG64" s="1457"/>
      <c r="BH64" s="1457"/>
      <c r="BI64" s="1457"/>
      <c r="BJ64" s="1458"/>
      <c r="BK64" s="491"/>
      <c r="BL64" s="564"/>
      <c r="BM64" s="491"/>
      <c r="BN64" s="491"/>
      <c r="BO64" s="491"/>
      <c r="BP64" s="578"/>
      <c r="BQ64" s="1456" t="s">
        <v>5077</v>
      </c>
      <c r="BR64" s="1457"/>
      <c r="BS64" s="1457"/>
      <c r="BT64" s="1457"/>
      <c r="BU64" s="1457"/>
      <c r="BV64" s="1457"/>
      <c r="BW64" s="1457"/>
      <c r="BX64" s="1457"/>
      <c r="BY64" s="1457"/>
      <c r="BZ64" s="1458"/>
      <c r="CA64" s="491"/>
      <c r="CB64" s="611"/>
      <c r="CC64" s="1456" t="s">
        <v>5078</v>
      </c>
      <c r="CD64" s="1457"/>
      <c r="CE64" s="1457"/>
      <c r="CF64" s="1457"/>
      <c r="CG64" s="1457"/>
      <c r="CH64" s="1457"/>
      <c r="CI64" s="1457"/>
      <c r="CJ64" s="1457"/>
      <c r="CK64" s="1457"/>
      <c r="CL64" s="1458"/>
      <c r="CM64" s="564"/>
      <c r="CN64" s="511"/>
      <c r="CO64" s="511"/>
      <c r="CP64" s="491"/>
      <c r="CQ64" s="578"/>
      <c r="CR64" s="1450" t="s">
        <v>2078</v>
      </c>
      <c r="CS64" s="1451"/>
      <c r="CT64" s="1451"/>
      <c r="CU64" s="1451"/>
      <c r="CV64" s="1451"/>
      <c r="CW64" s="1451"/>
      <c r="CX64" s="1451"/>
      <c r="CY64" s="1451"/>
      <c r="CZ64" s="1451"/>
      <c r="DA64" s="1452"/>
      <c r="DB64" s="491"/>
      <c r="DC64" s="611"/>
      <c r="DD64" s="1450" t="s">
        <v>3304</v>
      </c>
      <c r="DE64" s="1451"/>
      <c r="DF64" s="1451"/>
      <c r="DG64" s="1451"/>
      <c r="DH64" s="1451"/>
      <c r="DI64" s="1451"/>
      <c r="DJ64" s="1451"/>
      <c r="DK64" s="1451"/>
      <c r="DL64" s="1451"/>
      <c r="DM64" s="1452"/>
      <c r="DN64" s="564"/>
      <c r="DO64" s="491"/>
      <c r="DP64" s="491"/>
      <c r="DQ64" s="491"/>
      <c r="DR64" s="491"/>
      <c r="DS64" s="491"/>
      <c r="DT64" s="491"/>
      <c r="DU64" s="491"/>
      <c r="DV64" s="491"/>
      <c r="DW64" s="491"/>
      <c r="DX64" s="491"/>
      <c r="DY64" s="491"/>
      <c r="DZ64" s="491"/>
      <c r="EA64" s="491"/>
      <c r="EB64" s="491"/>
      <c r="EC64" s="491"/>
      <c r="ED64" s="491"/>
      <c r="EE64" s="491"/>
      <c r="EF64" s="491"/>
      <c r="EG64" s="578"/>
      <c r="EH64" s="491"/>
      <c r="EI64" s="491"/>
      <c r="EJ64" s="491"/>
      <c r="EK64" s="491"/>
      <c r="EL64" s="602"/>
      <c r="EM64" s="491"/>
      <c r="EN64" s="491"/>
      <c r="EO64" s="491"/>
      <c r="EP64" s="491"/>
      <c r="EQ64" s="491"/>
      <c r="ER64" s="491">
        <f>SUM(EI66,EI68,EI70,EI72)</f>
        <v>4</v>
      </c>
      <c r="ES64" s="491"/>
      <c r="ET64" s="491"/>
      <c r="EU64" s="491"/>
      <c r="EV64" s="491"/>
      <c r="EW64" s="553"/>
      <c r="EX64" s="491"/>
      <c r="EY64" s="491"/>
      <c r="EZ64" s="491"/>
      <c r="FA64" s="491"/>
      <c r="FB64" s="491"/>
      <c r="FC64" s="491">
        <f>SUM(ET66,ET68,ET70,ET72)</f>
        <v>4</v>
      </c>
      <c r="FD64" s="491"/>
      <c r="FE64" s="491"/>
      <c r="FF64" s="491"/>
      <c r="FG64" s="491"/>
      <c r="FH64" s="491"/>
      <c r="FI64" s="529"/>
      <c r="FJ64" s="491"/>
      <c r="FK64" s="491"/>
      <c r="FL64" s="491"/>
      <c r="FM64" s="491"/>
      <c r="FN64" s="491">
        <f>SUM(FE66,FE68)</f>
        <v>1</v>
      </c>
      <c r="FO64" s="491"/>
      <c r="FP64" s="491"/>
      <c r="FQ64" s="491"/>
      <c r="FR64" s="491"/>
      <c r="FS64" s="491"/>
      <c r="FT64" s="553"/>
      <c r="FU64" s="491"/>
      <c r="FV64" s="491"/>
      <c r="FW64" s="491"/>
      <c r="FX64" s="491"/>
      <c r="FY64" s="488">
        <f>SUM(FP66,FP68,FP70,FP72)</f>
        <v>4</v>
      </c>
      <c r="FZ64" s="491"/>
      <c r="GA64" s="491"/>
      <c r="GB64" s="491"/>
      <c r="GC64" s="553"/>
      <c r="GD64" s="491"/>
      <c r="GE64" s="491"/>
      <c r="GF64" s="491"/>
      <c r="GG64" s="491"/>
      <c r="GH64" s="491"/>
      <c r="GI64" s="491"/>
      <c r="GJ64" s="488">
        <f>SUM(GA66,GA68,GA70)</f>
        <v>2</v>
      </c>
      <c r="GK64" s="564"/>
      <c r="GL64" s="491"/>
      <c r="GM64" s="491"/>
      <c r="GN64" s="491"/>
      <c r="GO64" s="526"/>
      <c r="GP64" s="491"/>
      <c r="GQ64" s="491"/>
      <c r="GR64" s="491"/>
      <c r="GS64" s="491"/>
      <c r="GT64" s="491"/>
      <c r="GU64" s="491"/>
      <c r="GV64" s="491"/>
      <c r="GW64" s="491"/>
      <c r="GX64" s="491"/>
      <c r="GY64" s="491"/>
      <c r="GZ64" s="491"/>
      <c r="HA64" s="491"/>
      <c r="HB64" s="491"/>
      <c r="HC64" s="491"/>
      <c r="HD64" s="491"/>
      <c r="HE64" s="491"/>
      <c r="HF64" s="491"/>
      <c r="HG64" s="491"/>
      <c r="HH64" s="491"/>
      <c r="HI64" s="491"/>
      <c r="HJ64" s="491"/>
      <c r="HK64" s="491"/>
      <c r="HL64" s="491"/>
      <c r="HM64" s="491"/>
      <c r="HN64" s="627"/>
      <c r="HO64" s="628"/>
      <c r="HP64" s="628"/>
      <c r="HQ64" s="628"/>
      <c r="HR64" s="628"/>
      <c r="HS64" s="628"/>
      <c r="HT64" s="628"/>
      <c r="HU64" s="628"/>
      <c r="HV64" s="628"/>
      <c r="HW64" s="628"/>
      <c r="HX64" s="628"/>
      <c r="HY64" s="628"/>
      <c r="HZ64" s="628"/>
      <c r="IA64" s="628"/>
      <c r="IB64" s="628"/>
      <c r="IC64" s="628"/>
      <c r="ID64" s="628"/>
      <c r="IE64" s="628"/>
      <c r="IF64" s="628"/>
      <c r="IG64" s="628"/>
      <c r="IH64" s="628"/>
      <c r="II64" s="628"/>
      <c r="IJ64" s="628"/>
      <c r="IK64" s="628"/>
      <c r="IL64" s="629"/>
      <c r="IM64" s="491"/>
      <c r="IN64" s="491"/>
      <c r="IO64" s="578"/>
      <c r="IP64" s="513">
        <v>1</v>
      </c>
      <c r="IQ64" s="1456" t="s">
        <v>4834</v>
      </c>
      <c r="IR64" s="1457"/>
      <c r="IS64" s="1457"/>
      <c r="IT64" s="1457"/>
      <c r="IU64" s="1457"/>
      <c r="IV64" s="1457"/>
      <c r="IW64" s="1457"/>
      <c r="IX64" s="1457"/>
      <c r="IY64" s="1458"/>
      <c r="IZ64" s="491"/>
      <c r="JA64" s="564"/>
      <c r="JB64" s="491"/>
      <c r="JC64" s="491"/>
      <c r="JD64" s="491"/>
      <c r="JE64" s="491"/>
      <c r="JF64" s="491"/>
      <c r="JG64" s="491"/>
      <c r="JH64" s="491"/>
      <c r="JI64" s="491"/>
      <c r="JJ64" s="491"/>
      <c r="JK64" s="491"/>
      <c r="JL64" s="491"/>
      <c r="JM64" s="491"/>
      <c r="JN64" s="491"/>
      <c r="JO64" s="491"/>
      <c r="JP64" s="491"/>
      <c r="JQ64" s="491"/>
      <c r="JR64" s="491"/>
      <c r="JS64" s="491"/>
      <c r="JT64" s="491"/>
      <c r="JU64" s="491"/>
      <c r="JV64" s="491"/>
      <c r="JW64" s="491"/>
      <c r="JX64" s="491"/>
      <c r="JY64" s="491"/>
      <c r="JZ64" s="491"/>
      <c r="KA64" s="491"/>
      <c r="KB64" s="526"/>
      <c r="KC64" s="491"/>
      <c r="KD64" s="578"/>
      <c r="KE64" s="1485" t="s">
        <v>3694</v>
      </c>
      <c r="KF64" s="1486"/>
      <c r="KG64" s="1486"/>
      <c r="KH64" s="1486"/>
      <c r="KI64" s="1486"/>
      <c r="KJ64" s="1486"/>
      <c r="KK64" s="1486"/>
      <c r="KL64" s="1486"/>
      <c r="KM64" s="1486"/>
      <c r="KN64" s="1487"/>
      <c r="KO64" s="564"/>
      <c r="KP64" s="491"/>
      <c r="KQ64" s="491"/>
      <c r="KR64" s="491"/>
      <c r="KS64" s="491"/>
      <c r="KT64" s="491"/>
      <c r="KU64" s="564"/>
      <c r="KV64" s="491"/>
      <c r="KW64" s="491"/>
      <c r="KX64" s="491"/>
      <c r="KY64" s="491"/>
      <c r="KZ64" s="578"/>
      <c r="LA64" s="491"/>
      <c r="LB64" s="491"/>
      <c r="LC64" s="491"/>
      <c r="LD64" s="491"/>
      <c r="LE64" s="491"/>
      <c r="LF64" s="491"/>
      <c r="LG64" s="491"/>
      <c r="LH64" s="491"/>
      <c r="LI64" s="491"/>
      <c r="LJ64" s="491"/>
      <c r="LK64" s="491"/>
      <c r="LL64" s="513">
        <v>1</v>
      </c>
      <c r="LM64" s="1456" t="s">
        <v>5063</v>
      </c>
      <c r="LN64" s="1457"/>
      <c r="LO64" s="1457"/>
      <c r="LP64" s="1457"/>
      <c r="LQ64" s="1457"/>
      <c r="LR64" s="1457"/>
      <c r="LS64" s="1457"/>
      <c r="LT64" s="1457"/>
      <c r="LU64" s="1458"/>
      <c r="LV64" s="491"/>
      <c r="LW64" s="491"/>
      <c r="LX64" s="491"/>
      <c r="LY64" s="491"/>
      <c r="LZ64" s="491"/>
      <c r="MA64" s="491"/>
      <c r="MB64" s="491"/>
      <c r="MC64" s="491"/>
      <c r="MD64" s="491"/>
      <c r="ME64" s="491"/>
      <c r="MF64" s="491"/>
      <c r="MG64" s="564"/>
      <c r="MH64" s="491"/>
      <c r="MI64" s="491"/>
      <c r="MJ64" s="491"/>
      <c r="MK64" s="491"/>
      <c r="ML64" s="491"/>
      <c r="MM64" s="491"/>
      <c r="MN64" s="578"/>
      <c r="MO64" s="491"/>
      <c r="MP64" s="491"/>
      <c r="MQ64" s="491"/>
      <c r="MR64" s="491"/>
      <c r="MS64" s="491"/>
      <c r="MT64" s="491"/>
      <c r="MU64" s="491"/>
      <c r="MV64" s="491"/>
      <c r="MW64" s="491"/>
      <c r="MX64" s="491"/>
      <c r="MY64" s="491"/>
      <c r="MZ64" s="491"/>
      <c r="NA64" s="491"/>
      <c r="NB64" s="491"/>
      <c r="NC64" s="491"/>
      <c r="ND64" s="491"/>
      <c r="NE64" s="491"/>
      <c r="NF64" s="491"/>
      <c r="NG64" s="578"/>
      <c r="NH64" s="513">
        <v>1</v>
      </c>
      <c r="NI64" s="1456" t="s">
        <v>91</v>
      </c>
      <c r="NJ64" s="1457"/>
      <c r="NK64" s="1457"/>
      <c r="NL64" s="1457"/>
      <c r="NM64" s="1457"/>
      <c r="NN64" s="1457"/>
      <c r="NO64" s="1457"/>
      <c r="NP64" s="1457"/>
      <c r="NQ64" s="1458"/>
      <c r="NR64" s="564"/>
      <c r="NS64" s="564"/>
      <c r="NT64" s="491"/>
      <c r="NU64" s="491"/>
      <c r="NV64" s="491"/>
      <c r="NW64" s="491"/>
      <c r="NX64" s="491"/>
      <c r="PW64" s="482"/>
      <c r="QA64" s="491"/>
      <c r="QB64" s="491"/>
      <c r="QC64" s="491"/>
      <c r="QD64" s="491"/>
      <c r="QE64" s="491"/>
      <c r="QF64" s="491"/>
      <c r="QG64" s="491"/>
      <c r="QH64" s="491"/>
      <c r="QI64" s="491"/>
      <c r="QJ64" s="491"/>
      <c r="QK64" s="491"/>
      <c r="QL64" s="491"/>
      <c r="QM64" s="491"/>
      <c r="QN64" s="491"/>
      <c r="QO64" s="491"/>
      <c r="QP64" s="491"/>
      <c r="QQ64" s="491"/>
      <c r="QR64" s="491"/>
      <c r="QS64" s="491"/>
      <c r="QT64" s="491"/>
      <c r="QU64" s="491"/>
      <c r="QV64" s="491"/>
      <c r="QW64" s="491"/>
      <c r="QX64" s="491"/>
      <c r="QY64" s="491"/>
      <c r="QZ64" s="491"/>
      <c r="RA64" s="491"/>
      <c r="RB64" s="491"/>
    </row>
    <row r="65" spans="11:470" ht="12.75" customHeight="1" x14ac:dyDescent="0.35">
      <c r="K65" s="482"/>
      <c r="AR65" s="541"/>
      <c r="AU65" s="491"/>
      <c r="AV65" s="491"/>
      <c r="AW65" s="491"/>
      <c r="AX65" s="491"/>
      <c r="AY65" s="578"/>
      <c r="AZ65" s="491"/>
      <c r="BA65" s="1447" t="s">
        <v>3974</v>
      </c>
      <c r="BB65" s="1448"/>
      <c r="BC65" s="1448"/>
      <c r="BD65" s="1448"/>
      <c r="BE65" s="1448"/>
      <c r="BF65" s="1448"/>
      <c r="BG65" s="1448"/>
      <c r="BH65" s="1448"/>
      <c r="BI65" s="1448"/>
      <c r="BJ65" s="1449"/>
      <c r="BK65" s="491"/>
      <c r="BL65" s="564"/>
      <c r="BM65" s="491"/>
      <c r="BN65" s="491"/>
      <c r="BO65" s="491"/>
      <c r="BP65" s="578"/>
      <c r="BQ65" s="513">
        <v>1</v>
      </c>
      <c r="BR65" s="1456" t="s">
        <v>5081</v>
      </c>
      <c r="BS65" s="1457"/>
      <c r="BT65" s="1457"/>
      <c r="BU65" s="1457"/>
      <c r="BV65" s="1457"/>
      <c r="BW65" s="1457"/>
      <c r="BX65" s="1457"/>
      <c r="BY65" s="1457"/>
      <c r="BZ65" s="1458"/>
      <c r="CA65" s="491"/>
      <c r="CB65" s="611"/>
      <c r="CC65" s="513">
        <v>1</v>
      </c>
      <c r="CD65" s="1456" t="s">
        <v>5081</v>
      </c>
      <c r="CE65" s="1457"/>
      <c r="CF65" s="1457"/>
      <c r="CG65" s="1457"/>
      <c r="CH65" s="1457"/>
      <c r="CI65" s="1457"/>
      <c r="CJ65" s="1457"/>
      <c r="CK65" s="1457"/>
      <c r="CL65" s="1458"/>
      <c r="CM65" s="638"/>
      <c r="CN65" s="511"/>
      <c r="CO65" s="511"/>
      <c r="CP65" s="491"/>
      <c r="CQ65" s="578"/>
      <c r="CR65" s="513">
        <v>1</v>
      </c>
      <c r="CS65" s="1456" t="s">
        <v>4737</v>
      </c>
      <c r="CT65" s="1457"/>
      <c r="CU65" s="1457"/>
      <c r="CV65" s="1457"/>
      <c r="CW65" s="1457"/>
      <c r="CX65" s="1457"/>
      <c r="CY65" s="1457"/>
      <c r="CZ65" s="1457"/>
      <c r="DA65" s="1458"/>
      <c r="DB65" s="491"/>
      <c r="DC65" s="611"/>
      <c r="DD65" s="513">
        <v>1</v>
      </c>
      <c r="DE65" s="1456" t="s">
        <v>4737</v>
      </c>
      <c r="DF65" s="1457"/>
      <c r="DG65" s="1457"/>
      <c r="DH65" s="1457"/>
      <c r="DI65" s="1457"/>
      <c r="DJ65" s="1457"/>
      <c r="DK65" s="1457"/>
      <c r="DL65" s="1457"/>
      <c r="DM65" s="1458"/>
      <c r="DN65" s="564"/>
      <c r="DO65" s="491"/>
      <c r="DP65" s="491"/>
      <c r="DQ65" s="491"/>
      <c r="DR65" s="491"/>
      <c r="DS65" s="491"/>
      <c r="DT65" s="491"/>
      <c r="DU65" s="491"/>
      <c r="DV65" s="491"/>
      <c r="DW65" s="491"/>
      <c r="DX65" s="491"/>
      <c r="DY65" s="491"/>
      <c r="DZ65" s="491"/>
      <c r="EA65" s="491"/>
      <c r="EB65" s="491"/>
      <c r="EC65" s="491"/>
      <c r="ED65" s="491"/>
      <c r="EE65" s="491"/>
      <c r="EF65" s="491"/>
      <c r="EG65" s="578"/>
      <c r="EH65" s="491"/>
      <c r="EI65" s="1456" t="s">
        <v>5084</v>
      </c>
      <c r="EJ65" s="1457"/>
      <c r="EK65" s="1457"/>
      <c r="EL65" s="1457"/>
      <c r="EM65" s="1457"/>
      <c r="EN65" s="1457"/>
      <c r="EO65" s="1457"/>
      <c r="EP65" s="1457"/>
      <c r="EQ65" s="1457"/>
      <c r="ER65" s="1458"/>
      <c r="ES65" s="491"/>
      <c r="ET65" s="1456" t="s">
        <v>5085</v>
      </c>
      <c r="EU65" s="1457"/>
      <c r="EV65" s="1457"/>
      <c r="EW65" s="1457"/>
      <c r="EX65" s="1457"/>
      <c r="EY65" s="1457"/>
      <c r="EZ65" s="1457"/>
      <c r="FA65" s="1457"/>
      <c r="FB65" s="1457"/>
      <c r="FC65" s="1458"/>
      <c r="FD65" s="491"/>
      <c r="FE65" s="1519" t="s">
        <v>5086</v>
      </c>
      <c r="FF65" s="1519"/>
      <c r="FG65" s="1519"/>
      <c r="FH65" s="1519"/>
      <c r="FI65" s="1519"/>
      <c r="FJ65" s="1519"/>
      <c r="FK65" s="1519"/>
      <c r="FL65" s="1519"/>
      <c r="FM65" s="1519"/>
      <c r="FN65" s="1519"/>
      <c r="FO65" s="491"/>
      <c r="FP65" s="1456" t="s">
        <v>5087</v>
      </c>
      <c r="FQ65" s="1457"/>
      <c r="FR65" s="1457"/>
      <c r="FS65" s="1457"/>
      <c r="FT65" s="1457"/>
      <c r="FU65" s="1457"/>
      <c r="FV65" s="1457"/>
      <c r="FW65" s="1457"/>
      <c r="FX65" s="1457"/>
      <c r="FY65" s="1458"/>
      <c r="FZ65" s="491"/>
      <c r="GA65" s="1456" t="s">
        <v>5088</v>
      </c>
      <c r="GB65" s="1457"/>
      <c r="GC65" s="1457"/>
      <c r="GD65" s="1457"/>
      <c r="GE65" s="1457"/>
      <c r="GF65" s="1457"/>
      <c r="GG65" s="1457"/>
      <c r="GH65" s="1457"/>
      <c r="GI65" s="1457"/>
      <c r="GJ65" s="1458"/>
      <c r="GK65" s="564"/>
      <c r="GL65" s="491"/>
      <c r="GM65" s="491"/>
      <c r="GN65" s="491"/>
      <c r="GO65" s="526"/>
      <c r="GP65" s="491"/>
      <c r="GQ65" s="491"/>
      <c r="GR65" s="491"/>
      <c r="GS65" s="491"/>
      <c r="GT65" s="491"/>
      <c r="GU65" s="491"/>
      <c r="GV65" s="491"/>
      <c r="GW65" s="491"/>
      <c r="GX65" s="491"/>
      <c r="GY65" s="491"/>
      <c r="GZ65" s="491"/>
      <c r="HA65" s="491"/>
      <c r="HB65" s="491"/>
      <c r="HC65" s="491"/>
      <c r="HD65" s="491"/>
      <c r="HE65" s="491"/>
      <c r="HF65" s="491"/>
      <c r="HG65" s="491"/>
      <c r="HH65" s="491"/>
      <c r="HI65" s="491"/>
      <c r="HJ65" s="491"/>
      <c r="HK65" s="491"/>
      <c r="HL65" s="491"/>
      <c r="HM65" s="491"/>
      <c r="HN65" s="491"/>
      <c r="HO65" s="491"/>
      <c r="HP65" s="491"/>
      <c r="HQ65" s="491"/>
      <c r="HR65" s="491"/>
      <c r="HS65" s="491"/>
      <c r="HT65" s="491"/>
      <c r="HU65" s="500"/>
      <c r="HV65" s="500"/>
      <c r="HW65" s="500"/>
      <c r="HX65" s="500"/>
      <c r="HY65" s="500"/>
      <c r="HZ65" s="500"/>
      <c r="IA65" s="500"/>
      <c r="IB65" s="491"/>
      <c r="IC65" s="491"/>
      <c r="ID65" s="491"/>
      <c r="IE65" s="491"/>
      <c r="IF65" s="491"/>
      <c r="IG65" s="491"/>
      <c r="IH65" s="491"/>
      <c r="II65" s="491"/>
      <c r="IJ65" s="491"/>
      <c r="IK65" s="491"/>
      <c r="IL65" s="491"/>
      <c r="IM65" s="491"/>
      <c r="IN65" s="491"/>
      <c r="IO65" s="578"/>
      <c r="IP65" s="1447" t="s">
        <v>5089</v>
      </c>
      <c r="IQ65" s="1448"/>
      <c r="IR65" s="1448"/>
      <c r="IS65" s="1448"/>
      <c r="IT65" s="1448"/>
      <c r="IU65" s="1448"/>
      <c r="IV65" s="1448"/>
      <c r="IW65" s="1448"/>
      <c r="IX65" s="1448"/>
      <c r="IY65" s="1449"/>
      <c r="IZ65" s="491"/>
      <c r="JA65" s="564"/>
      <c r="JB65" s="491"/>
      <c r="JC65" s="491"/>
      <c r="JD65" s="491"/>
      <c r="JE65" s="491"/>
      <c r="JF65" s="491"/>
      <c r="JG65" s="491"/>
      <c r="JH65" s="491"/>
      <c r="JI65" s="491"/>
      <c r="JJ65" s="491"/>
      <c r="JK65" s="491"/>
      <c r="JL65" s="491"/>
      <c r="JM65" s="491"/>
      <c r="JN65" s="491"/>
      <c r="JO65" s="491"/>
      <c r="JP65" s="491"/>
      <c r="JQ65" s="491"/>
      <c r="JR65" s="491"/>
      <c r="JS65" s="491"/>
      <c r="JT65" s="491"/>
      <c r="JU65" s="491"/>
      <c r="JV65" s="491"/>
      <c r="JW65" s="491"/>
      <c r="JX65" s="491"/>
      <c r="JY65" s="491"/>
      <c r="JZ65" s="491"/>
      <c r="KA65" s="491"/>
      <c r="KB65" s="526"/>
      <c r="KC65" s="491"/>
      <c r="KD65" s="578"/>
      <c r="KE65" s="513">
        <v>1</v>
      </c>
      <c r="KF65" s="1456" t="s">
        <v>171</v>
      </c>
      <c r="KG65" s="1457"/>
      <c r="KH65" s="1457"/>
      <c r="KI65" s="1457"/>
      <c r="KJ65" s="1457"/>
      <c r="KK65" s="1457"/>
      <c r="KL65" s="1457"/>
      <c r="KM65" s="1457"/>
      <c r="KN65" s="1458"/>
      <c r="KO65" s="564"/>
      <c r="KP65" s="491"/>
      <c r="KQ65" s="491"/>
      <c r="KR65" s="491"/>
      <c r="KS65" s="491"/>
      <c r="KT65" s="491"/>
      <c r="KU65" s="564"/>
      <c r="KV65" s="491"/>
      <c r="KW65" s="491"/>
      <c r="KX65" s="491"/>
      <c r="KY65" s="491"/>
      <c r="KZ65" s="578"/>
      <c r="LA65" s="491"/>
      <c r="LB65" s="491"/>
      <c r="LC65" s="491"/>
      <c r="LD65" s="491"/>
      <c r="LE65" s="491"/>
      <c r="LF65" s="491"/>
      <c r="LG65" s="491"/>
      <c r="LH65" s="491"/>
      <c r="LI65" s="491"/>
      <c r="LJ65" s="491"/>
      <c r="LK65" s="491"/>
      <c r="LL65" s="1450" t="s">
        <v>5090</v>
      </c>
      <c r="LM65" s="1451"/>
      <c r="LN65" s="1451"/>
      <c r="LO65" s="1451"/>
      <c r="LP65" s="1451"/>
      <c r="LQ65" s="1451"/>
      <c r="LR65" s="1451"/>
      <c r="LS65" s="1451"/>
      <c r="LT65" s="1451"/>
      <c r="LU65" s="1452"/>
      <c r="LV65" s="491"/>
      <c r="LW65" s="491"/>
      <c r="LX65" s="491"/>
      <c r="LY65" s="491"/>
      <c r="LZ65" s="491"/>
      <c r="MA65" s="491"/>
      <c r="MB65" s="491"/>
      <c r="MC65" s="491"/>
      <c r="MD65" s="491"/>
      <c r="ME65" s="491"/>
      <c r="MF65" s="491"/>
      <c r="MG65" s="564"/>
      <c r="MH65" s="491"/>
      <c r="MI65" s="491"/>
      <c r="MJ65" s="491"/>
      <c r="MK65" s="491"/>
      <c r="ML65" s="491"/>
      <c r="MM65" s="491"/>
      <c r="MN65" s="578"/>
      <c r="MO65" s="491"/>
      <c r="MP65" s="491"/>
      <c r="MQ65" s="491"/>
      <c r="MR65" s="491"/>
      <c r="MS65" s="491"/>
      <c r="MT65" s="491"/>
      <c r="MU65" s="491"/>
      <c r="MV65" s="491"/>
      <c r="MW65" s="491"/>
      <c r="MX65" s="491"/>
      <c r="MY65" s="491"/>
      <c r="MZ65" s="491"/>
      <c r="NA65" s="491"/>
      <c r="NB65" s="491"/>
      <c r="NC65" s="491"/>
      <c r="ND65" s="491"/>
      <c r="NE65" s="491"/>
      <c r="NF65" s="491"/>
      <c r="NG65" s="578"/>
      <c r="NH65" s="1447" t="s">
        <v>3986</v>
      </c>
      <c r="NI65" s="1448"/>
      <c r="NJ65" s="1448"/>
      <c r="NK65" s="1448"/>
      <c r="NL65" s="1448"/>
      <c r="NM65" s="1448"/>
      <c r="NN65" s="1448"/>
      <c r="NO65" s="1448"/>
      <c r="NP65" s="1448"/>
      <c r="NQ65" s="1449"/>
      <c r="NR65" s="564"/>
      <c r="NS65" s="564"/>
      <c r="NT65" s="491"/>
      <c r="NU65" s="491"/>
      <c r="NV65" s="491"/>
      <c r="NW65" s="491"/>
      <c r="NX65" s="491"/>
      <c r="PW65" s="482"/>
      <c r="QA65" s="491"/>
      <c r="QB65" s="491"/>
      <c r="QC65" s="491"/>
      <c r="QD65" s="491"/>
      <c r="QE65" s="491"/>
      <c r="QF65" s="491"/>
      <c r="QG65" s="491"/>
      <c r="QH65" s="491"/>
      <c r="QI65" s="491"/>
      <c r="QJ65" s="491"/>
      <c r="QK65" s="491"/>
      <c r="QL65" s="491"/>
      <c r="QM65" s="491"/>
      <c r="QN65" s="491"/>
      <c r="QO65" s="491"/>
      <c r="QP65" s="491"/>
      <c r="QQ65" s="491"/>
      <c r="QR65" s="491"/>
      <c r="QS65" s="491"/>
      <c r="QT65" s="491"/>
      <c r="QU65" s="491"/>
      <c r="QV65" s="491"/>
      <c r="QW65" s="491"/>
      <c r="QX65" s="491"/>
      <c r="QY65" s="491"/>
      <c r="QZ65" s="491"/>
      <c r="RA65" s="491"/>
      <c r="RB65" s="491"/>
    </row>
    <row r="66" spans="11:470" ht="12.75" customHeight="1" x14ac:dyDescent="0.35">
      <c r="K66" s="482"/>
      <c r="AR66" s="541"/>
      <c r="AU66" s="491"/>
      <c r="AV66" s="491"/>
      <c r="AW66" s="491"/>
      <c r="AX66" s="491"/>
      <c r="AY66" s="627"/>
      <c r="AZ66" s="628"/>
      <c r="BA66" s="628"/>
      <c r="BB66" s="628"/>
      <c r="BC66" s="628"/>
      <c r="BD66" s="628"/>
      <c r="BE66" s="628"/>
      <c r="BF66" s="628"/>
      <c r="BG66" s="628"/>
      <c r="BH66" s="628"/>
      <c r="BI66" s="628"/>
      <c r="BJ66" s="628"/>
      <c r="BK66" s="628"/>
      <c r="BL66" s="629"/>
      <c r="BM66" s="491"/>
      <c r="BN66" s="491"/>
      <c r="BO66" s="491"/>
      <c r="BP66" s="578"/>
      <c r="BQ66" s="1447" t="s">
        <v>5091</v>
      </c>
      <c r="BR66" s="1448"/>
      <c r="BS66" s="1448"/>
      <c r="BT66" s="1448"/>
      <c r="BU66" s="1448"/>
      <c r="BV66" s="1448"/>
      <c r="BW66" s="1448"/>
      <c r="BX66" s="1448"/>
      <c r="BY66" s="1448"/>
      <c r="BZ66" s="1449"/>
      <c r="CA66" s="491"/>
      <c r="CB66" s="611"/>
      <c r="CC66" s="1447" t="s">
        <v>1071</v>
      </c>
      <c r="CD66" s="1448"/>
      <c r="CE66" s="1448"/>
      <c r="CF66" s="1448"/>
      <c r="CG66" s="1448"/>
      <c r="CH66" s="1448"/>
      <c r="CI66" s="1448"/>
      <c r="CJ66" s="1448"/>
      <c r="CK66" s="1448"/>
      <c r="CL66" s="1449"/>
      <c r="CM66" s="564"/>
      <c r="CN66" s="511"/>
      <c r="CO66" s="511"/>
      <c r="CP66" s="491"/>
      <c r="CQ66" s="578"/>
      <c r="CR66" s="1447" t="s">
        <v>5092</v>
      </c>
      <c r="CS66" s="1448"/>
      <c r="CT66" s="1448"/>
      <c r="CU66" s="1448"/>
      <c r="CV66" s="1448"/>
      <c r="CW66" s="1448"/>
      <c r="CX66" s="1448"/>
      <c r="CY66" s="1448"/>
      <c r="CZ66" s="1448"/>
      <c r="DA66" s="1449"/>
      <c r="DB66" s="491"/>
      <c r="DC66" s="611"/>
      <c r="DD66" s="1450" t="s">
        <v>5093</v>
      </c>
      <c r="DE66" s="1451"/>
      <c r="DF66" s="1451"/>
      <c r="DG66" s="1451"/>
      <c r="DH66" s="1451"/>
      <c r="DI66" s="1451"/>
      <c r="DJ66" s="1451"/>
      <c r="DK66" s="1451"/>
      <c r="DL66" s="1451"/>
      <c r="DM66" s="1452"/>
      <c r="DN66" s="564"/>
      <c r="DO66" s="491"/>
      <c r="DP66" s="491"/>
      <c r="DQ66" s="491"/>
      <c r="DR66" s="491"/>
      <c r="DS66" s="491"/>
      <c r="DT66" s="491"/>
      <c r="DU66" s="491"/>
      <c r="DV66" s="491"/>
      <c r="DW66" s="491"/>
      <c r="DX66" s="491"/>
      <c r="DY66" s="491"/>
      <c r="DZ66" s="491"/>
      <c r="EA66" s="491"/>
      <c r="EB66" s="491"/>
      <c r="EC66" s="491"/>
      <c r="ED66" s="491"/>
      <c r="EE66" s="491"/>
      <c r="EF66" s="491"/>
      <c r="EG66" s="578"/>
      <c r="EH66" s="491"/>
      <c r="EI66" s="513">
        <v>1</v>
      </c>
      <c r="EJ66" s="1456" t="s">
        <v>82</v>
      </c>
      <c r="EK66" s="1457"/>
      <c r="EL66" s="1457"/>
      <c r="EM66" s="1457"/>
      <c r="EN66" s="1457"/>
      <c r="EO66" s="1457"/>
      <c r="EP66" s="1457"/>
      <c r="EQ66" s="1457"/>
      <c r="ER66" s="1458"/>
      <c r="ES66" s="491"/>
      <c r="ET66" s="513">
        <v>1</v>
      </c>
      <c r="EU66" s="1456" t="s">
        <v>5094</v>
      </c>
      <c r="EV66" s="1457"/>
      <c r="EW66" s="1457"/>
      <c r="EX66" s="1457"/>
      <c r="EY66" s="1457"/>
      <c r="EZ66" s="1457"/>
      <c r="FA66" s="1457"/>
      <c r="FB66" s="1457"/>
      <c r="FC66" s="1458"/>
      <c r="FD66" s="491"/>
      <c r="FE66" s="639">
        <v>1</v>
      </c>
      <c r="FF66" s="1519" t="s">
        <v>82</v>
      </c>
      <c r="FG66" s="1519"/>
      <c r="FH66" s="1519"/>
      <c r="FI66" s="1519"/>
      <c r="FJ66" s="1519"/>
      <c r="FK66" s="1519"/>
      <c r="FL66" s="1519"/>
      <c r="FM66" s="1519"/>
      <c r="FN66" s="1519"/>
      <c r="FO66" s="491"/>
      <c r="FP66" s="640">
        <v>1</v>
      </c>
      <c r="FQ66" s="1456" t="s">
        <v>5095</v>
      </c>
      <c r="FR66" s="1457"/>
      <c r="FS66" s="1457"/>
      <c r="FT66" s="1457"/>
      <c r="FU66" s="1457"/>
      <c r="FV66" s="1457"/>
      <c r="FW66" s="1457"/>
      <c r="FX66" s="1457"/>
      <c r="FY66" s="1458"/>
      <c r="FZ66" s="491"/>
      <c r="GA66" s="512">
        <v>0.5</v>
      </c>
      <c r="GB66" s="1456" t="s">
        <v>5094</v>
      </c>
      <c r="GC66" s="1457"/>
      <c r="GD66" s="1457"/>
      <c r="GE66" s="1457"/>
      <c r="GF66" s="1457"/>
      <c r="GG66" s="1457"/>
      <c r="GH66" s="1457"/>
      <c r="GI66" s="1457"/>
      <c r="GJ66" s="1458"/>
      <c r="GK66" s="564"/>
      <c r="GL66" s="491"/>
      <c r="GM66" s="491"/>
      <c r="GN66" s="491"/>
      <c r="GO66" s="526"/>
      <c r="GP66" s="491"/>
      <c r="GQ66" s="491"/>
      <c r="GR66" s="491"/>
      <c r="GS66" s="491"/>
      <c r="GT66" s="491"/>
      <c r="GU66" s="491"/>
      <c r="GV66" s="491"/>
      <c r="GW66" s="491"/>
      <c r="GX66" s="491"/>
      <c r="GY66" s="491"/>
      <c r="GZ66" s="491"/>
      <c r="HA66" s="491"/>
      <c r="HB66" s="491"/>
      <c r="HC66" s="491"/>
      <c r="HD66" s="491"/>
      <c r="HE66" s="491"/>
      <c r="HF66" s="491"/>
      <c r="HG66" s="491"/>
      <c r="HH66" s="491"/>
      <c r="HI66" s="491"/>
      <c r="HJ66" s="491"/>
      <c r="HK66" s="491"/>
      <c r="HL66" s="491"/>
      <c r="HM66" s="491"/>
      <c r="HN66" s="491"/>
      <c r="HO66" s="491"/>
      <c r="HP66" s="491"/>
      <c r="HQ66" s="491"/>
      <c r="HR66" s="491"/>
      <c r="HS66" s="491"/>
      <c r="HT66" s="491"/>
      <c r="HU66" s="491"/>
      <c r="HV66" s="491"/>
      <c r="HW66" s="491"/>
      <c r="HX66" s="491"/>
      <c r="HY66" s="491"/>
      <c r="HZ66" s="491"/>
      <c r="IA66" s="491"/>
      <c r="IB66" s="491"/>
      <c r="IC66" s="491"/>
      <c r="ID66" s="491"/>
      <c r="IE66" s="491"/>
      <c r="IF66" s="491"/>
      <c r="IG66" s="491"/>
      <c r="IH66" s="491"/>
      <c r="II66" s="491"/>
      <c r="IJ66" s="491"/>
      <c r="IK66" s="491"/>
      <c r="IL66" s="491"/>
      <c r="IM66" s="491"/>
      <c r="IN66" s="491"/>
      <c r="IO66" s="578"/>
      <c r="IP66" s="513">
        <v>1</v>
      </c>
      <c r="IQ66" s="1456" t="s">
        <v>5096</v>
      </c>
      <c r="IR66" s="1457"/>
      <c r="IS66" s="1457"/>
      <c r="IT66" s="1457"/>
      <c r="IU66" s="1457"/>
      <c r="IV66" s="1457"/>
      <c r="IW66" s="1457"/>
      <c r="IX66" s="1457"/>
      <c r="IY66" s="1458"/>
      <c r="IZ66" s="491"/>
      <c r="JA66" s="564"/>
      <c r="JB66" s="491"/>
      <c r="JC66" s="491"/>
      <c r="JD66" s="491"/>
      <c r="JE66" s="491"/>
      <c r="JF66" s="491"/>
      <c r="JG66" s="491"/>
      <c r="JH66" s="491"/>
      <c r="JI66" s="491"/>
      <c r="JJ66" s="491"/>
      <c r="JK66" s="491"/>
      <c r="JL66" s="491"/>
      <c r="JM66" s="491"/>
      <c r="JN66" s="491"/>
      <c r="JO66" s="491"/>
      <c r="JP66" s="491"/>
      <c r="JQ66" s="491"/>
      <c r="JR66" s="491"/>
      <c r="JS66" s="491"/>
      <c r="JT66" s="491"/>
      <c r="JU66" s="491"/>
      <c r="JV66" s="491"/>
      <c r="JW66" s="491"/>
      <c r="JX66" s="491"/>
      <c r="JY66" s="491"/>
      <c r="JZ66" s="491"/>
      <c r="KA66" s="491"/>
      <c r="KB66" s="526"/>
      <c r="KC66" s="491"/>
      <c r="KD66" s="578"/>
      <c r="KE66" s="1523" t="s">
        <v>2004</v>
      </c>
      <c r="KF66" s="1523"/>
      <c r="KG66" s="1523"/>
      <c r="KH66" s="1523"/>
      <c r="KI66" s="1523"/>
      <c r="KJ66" s="1523"/>
      <c r="KK66" s="1523"/>
      <c r="KL66" s="1523"/>
      <c r="KM66" s="1523"/>
      <c r="KN66" s="1523"/>
      <c r="KO66" s="564"/>
      <c r="KP66" s="491"/>
      <c r="KQ66" s="491"/>
      <c r="KR66" s="491"/>
      <c r="KS66" s="491"/>
      <c r="KT66" s="491"/>
      <c r="KU66" s="564"/>
      <c r="KV66" s="491"/>
      <c r="KW66" s="491"/>
      <c r="KX66" s="491"/>
      <c r="KY66" s="491"/>
      <c r="KZ66" s="578"/>
      <c r="LA66" s="491"/>
      <c r="LB66" s="491"/>
      <c r="LC66" s="491"/>
      <c r="LD66" s="491"/>
      <c r="LE66" s="491"/>
      <c r="LF66" s="491"/>
      <c r="LG66" s="491"/>
      <c r="LH66" s="491"/>
      <c r="LI66" s="491"/>
      <c r="LJ66" s="491"/>
      <c r="LK66" s="491"/>
      <c r="LL66" s="513">
        <v>1</v>
      </c>
      <c r="LM66" s="1456" t="s">
        <v>5063</v>
      </c>
      <c r="LN66" s="1457"/>
      <c r="LO66" s="1457"/>
      <c r="LP66" s="1457"/>
      <c r="LQ66" s="1457"/>
      <c r="LR66" s="1457"/>
      <c r="LS66" s="1457"/>
      <c r="LT66" s="1457"/>
      <c r="LU66" s="1458"/>
      <c r="LV66" s="491"/>
      <c r="LW66" s="491"/>
      <c r="LX66" s="491"/>
      <c r="LY66" s="491"/>
      <c r="LZ66" s="491"/>
      <c r="MA66" s="491"/>
      <c r="MB66" s="491"/>
      <c r="MC66" s="491"/>
      <c r="MD66" s="491"/>
      <c r="ME66" s="491"/>
      <c r="MF66" s="491"/>
      <c r="MG66" s="564"/>
      <c r="MH66" s="491"/>
      <c r="MI66" s="491"/>
      <c r="MJ66" s="491"/>
      <c r="MK66" s="491"/>
      <c r="ML66" s="491"/>
      <c r="MM66" s="491"/>
      <c r="MN66" s="578"/>
      <c r="MO66" s="491"/>
      <c r="MP66" s="491"/>
      <c r="MQ66" s="491"/>
      <c r="MR66" s="491"/>
      <c r="MS66" s="491"/>
      <c r="MT66" s="491"/>
      <c r="MU66" s="491"/>
      <c r="MV66" s="491"/>
      <c r="MW66" s="491"/>
      <c r="MX66" s="491"/>
      <c r="MY66" s="491"/>
      <c r="MZ66" s="491"/>
      <c r="NA66" s="491"/>
      <c r="NB66" s="491"/>
      <c r="NC66" s="491"/>
      <c r="ND66" s="491"/>
      <c r="NE66" s="491"/>
      <c r="NF66" s="491"/>
      <c r="NG66" s="578"/>
      <c r="NH66" s="513">
        <v>1</v>
      </c>
      <c r="NI66" s="1456" t="s">
        <v>5097</v>
      </c>
      <c r="NJ66" s="1457"/>
      <c r="NK66" s="1457"/>
      <c r="NL66" s="1457"/>
      <c r="NM66" s="1457"/>
      <c r="NN66" s="1457"/>
      <c r="NO66" s="1457"/>
      <c r="NP66" s="1457"/>
      <c r="NQ66" s="1458"/>
      <c r="NR66" s="564"/>
      <c r="NS66" s="564"/>
      <c r="NT66" s="491"/>
      <c r="NU66" s="491"/>
      <c r="NV66" s="491"/>
      <c r="NW66" s="491"/>
      <c r="NX66" s="491"/>
      <c r="PW66" s="482"/>
      <c r="QA66" s="491"/>
      <c r="QB66" s="491"/>
      <c r="QC66" s="491"/>
      <c r="QD66" s="491"/>
      <c r="QE66" s="491"/>
      <c r="QF66" s="491"/>
      <c r="QG66" s="491"/>
      <c r="QH66" s="491"/>
      <c r="QI66" s="491"/>
      <c r="QJ66" s="491"/>
      <c r="QK66" s="491"/>
      <c r="QL66" s="491"/>
      <c r="QM66" s="491"/>
      <c r="QN66" s="491"/>
      <c r="QO66" s="491"/>
      <c r="QP66" s="491"/>
      <c r="QQ66" s="491"/>
      <c r="QR66" s="491"/>
      <c r="QS66" s="491"/>
      <c r="QT66" s="491"/>
      <c r="QU66" s="491"/>
      <c r="QV66" s="491"/>
      <c r="QW66" s="491"/>
      <c r="QX66" s="491"/>
      <c r="QY66" s="491"/>
      <c r="QZ66" s="491"/>
      <c r="RA66" s="491"/>
      <c r="RB66" s="491"/>
    </row>
    <row r="67" spans="11:470" ht="12.75" customHeight="1" x14ac:dyDescent="0.35">
      <c r="K67" s="482"/>
      <c r="AR67" s="541"/>
      <c r="AU67" s="491"/>
      <c r="AV67" s="491"/>
      <c r="AW67" s="491"/>
      <c r="AX67" s="491"/>
      <c r="AY67" s="491"/>
      <c r="AZ67" s="491"/>
      <c r="BA67" s="491"/>
      <c r="BB67" s="500"/>
      <c r="BC67" s="500"/>
      <c r="BD67" s="500"/>
      <c r="BE67" s="500"/>
      <c r="BF67" s="500"/>
      <c r="BG67" s="500"/>
      <c r="BH67" s="500"/>
      <c r="BI67" s="491"/>
      <c r="BJ67" s="491"/>
      <c r="BK67" s="491"/>
      <c r="BL67" s="491"/>
      <c r="BM67" s="491"/>
      <c r="BN67" s="491"/>
      <c r="BO67" s="491"/>
      <c r="BP67" s="578"/>
      <c r="BQ67" s="513">
        <v>1</v>
      </c>
      <c r="BR67" s="1456" t="s">
        <v>4737</v>
      </c>
      <c r="BS67" s="1457"/>
      <c r="BT67" s="1457"/>
      <c r="BU67" s="1457"/>
      <c r="BV67" s="1457"/>
      <c r="BW67" s="1457"/>
      <c r="BX67" s="1457"/>
      <c r="BY67" s="1457"/>
      <c r="BZ67" s="1458"/>
      <c r="CA67" s="491"/>
      <c r="CB67" s="611"/>
      <c r="CC67" s="513">
        <v>1</v>
      </c>
      <c r="CD67" s="1456" t="s">
        <v>4737</v>
      </c>
      <c r="CE67" s="1457"/>
      <c r="CF67" s="1457"/>
      <c r="CG67" s="1457"/>
      <c r="CH67" s="1457"/>
      <c r="CI67" s="1457"/>
      <c r="CJ67" s="1457"/>
      <c r="CK67" s="1457"/>
      <c r="CL67" s="1458"/>
      <c r="CM67" s="564"/>
      <c r="CN67" s="511"/>
      <c r="CO67" s="511"/>
      <c r="CP67" s="491"/>
      <c r="CQ67" s="578"/>
      <c r="CR67" s="513">
        <v>1</v>
      </c>
      <c r="CS67" s="1456" t="s">
        <v>5007</v>
      </c>
      <c r="CT67" s="1457"/>
      <c r="CU67" s="1457"/>
      <c r="CV67" s="1457"/>
      <c r="CW67" s="1457"/>
      <c r="CX67" s="1457"/>
      <c r="CY67" s="1457"/>
      <c r="CZ67" s="1457"/>
      <c r="DA67" s="1458"/>
      <c r="DB67" s="491"/>
      <c r="DC67" s="611"/>
      <c r="DD67" s="513">
        <v>1</v>
      </c>
      <c r="DE67" s="1456" t="s">
        <v>5007</v>
      </c>
      <c r="DF67" s="1457"/>
      <c r="DG67" s="1457"/>
      <c r="DH67" s="1457"/>
      <c r="DI67" s="1457"/>
      <c r="DJ67" s="1457"/>
      <c r="DK67" s="1457"/>
      <c r="DL67" s="1457"/>
      <c r="DM67" s="1458"/>
      <c r="DN67" s="564"/>
      <c r="DO67" s="491"/>
      <c r="DP67" s="491"/>
      <c r="DQ67" s="491"/>
      <c r="DR67" s="491"/>
      <c r="DS67" s="491"/>
      <c r="DT67" s="491"/>
      <c r="DU67" s="491"/>
      <c r="DV67" s="491"/>
      <c r="DW67" s="491"/>
      <c r="DX67" s="491"/>
      <c r="DY67" s="491"/>
      <c r="DZ67" s="491"/>
      <c r="EA67" s="491"/>
      <c r="EB67" s="491"/>
      <c r="EC67" s="491"/>
      <c r="ED67" s="491"/>
      <c r="EE67" s="491"/>
      <c r="EF67" s="491"/>
      <c r="EG67" s="578"/>
      <c r="EH67" s="491"/>
      <c r="EI67" s="1447" t="s">
        <v>5098</v>
      </c>
      <c r="EJ67" s="1448"/>
      <c r="EK67" s="1448"/>
      <c r="EL67" s="1448"/>
      <c r="EM67" s="1448"/>
      <c r="EN67" s="1448"/>
      <c r="EO67" s="1448"/>
      <c r="EP67" s="1448"/>
      <c r="EQ67" s="1448"/>
      <c r="ER67" s="1449"/>
      <c r="ES67" s="491"/>
      <c r="ET67" s="1524" t="s">
        <v>5099</v>
      </c>
      <c r="EU67" s="1525"/>
      <c r="EV67" s="1525"/>
      <c r="EW67" s="1525"/>
      <c r="EX67" s="1525"/>
      <c r="EY67" s="1525"/>
      <c r="EZ67" s="1525"/>
      <c r="FA67" s="1525"/>
      <c r="FB67" s="1525"/>
      <c r="FC67" s="1526"/>
      <c r="FD67" s="491"/>
      <c r="FE67" s="1521" t="s">
        <v>2693</v>
      </c>
      <c r="FF67" s="1521"/>
      <c r="FG67" s="1521"/>
      <c r="FH67" s="1521"/>
      <c r="FI67" s="1521"/>
      <c r="FJ67" s="1521"/>
      <c r="FK67" s="1521"/>
      <c r="FL67" s="1521"/>
      <c r="FM67" s="1521"/>
      <c r="FN67" s="1521"/>
      <c r="FO67" s="491"/>
      <c r="FP67" s="1522" t="s">
        <v>1934</v>
      </c>
      <c r="FQ67" s="1516"/>
      <c r="FR67" s="1516"/>
      <c r="FS67" s="1516"/>
      <c r="FT67" s="1516"/>
      <c r="FU67" s="1516"/>
      <c r="FV67" s="1516"/>
      <c r="FW67" s="1516"/>
      <c r="FX67" s="1516"/>
      <c r="FY67" s="1517"/>
      <c r="FZ67" s="491"/>
      <c r="GA67" s="1447" t="s">
        <v>5100</v>
      </c>
      <c r="GB67" s="1448"/>
      <c r="GC67" s="1448"/>
      <c r="GD67" s="1448"/>
      <c r="GE67" s="1448"/>
      <c r="GF67" s="1448"/>
      <c r="GG67" s="1448"/>
      <c r="GH67" s="1448"/>
      <c r="GI67" s="1448"/>
      <c r="GJ67" s="1449"/>
      <c r="GK67" s="564"/>
      <c r="GL67" s="491"/>
      <c r="GM67" s="491"/>
      <c r="GN67" s="491"/>
      <c r="GO67" s="526"/>
      <c r="GP67" s="491"/>
      <c r="GQ67" s="491"/>
      <c r="GR67" s="491"/>
      <c r="GS67" s="491"/>
      <c r="GT67" s="491"/>
      <c r="GU67" s="491"/>
      <c r="GV67" s="491"/>
      <c r="GW67" s="491"/>
      <c r="GX67" s="491"/>
      <c r="GY67" s="491"/>
      <c r="GZ67" s="491"/>
      <c r="HA67" s="491"/>
      <c r="HB67" s="491"/>
      <c r="HC67" s="491"/>
      <c r="HD67" s="491"/>
      <c r="HE67" s="491"/>
      <c r="HF67" s="491"/>
      <c r="HG67" s="491"/>
      <c r="HH67" s="491"/>
      <c r="HI67" s="491"/>
      <c r="HJ67" s="491"/>
      <c r="HK67" s="491"/>
      <c r="HL67" s="491"/>
      <c r="HM67" s="491"/>
      <c r="HN67" s="491"/>
      <c r="HO67" s="491"/>
      <c r="HP67" s="491"/>
      <c r="HQ67" s="491"/>
      <c r="HR67" s="491"/>
      <c r="HS67" s="491"/>
      <c r="HT67" s="491"/>
      <c r="HU67" s="491"/>
      <c r="HV67" s="491"/>
      <c r="HW67" s="491"/>
      <c r="HX67" s="491"/>
      <c r="HY67" s="491"/>
      <c r="HZ67" s="491"/>
      <c r="IA67" s="491"/>
      <c r="IB67" s="491"/>
      <c r="IC67" s="491"/>
      <c r="ID67" s="491"/>
      <c r="IE67" s="491"/>
      <c r="IF67" s="491"/>
      <c r="IG67" s="491"/>
      <c r="IH67" s="491"/>
      <c r="II67" s="491"/>
      <c r="IJ67" s="491"/>
      <c r="IK67" s="491"/>
      <c r="IL67" s="491"/>
      <c r="IM67" s="491"/>
      <c r="IN67" s="491"/>
      <c r="IO67" s="578"/>
      <c r="IP67" s="1522" t="s">
        <v>4706</v>
      </c>
      <c r="IQ67" s="1504"/>
      <c r="IR67" s="1504"/>
      <c r="IS67" s="1504"/>
      <c r="IT67" s="1504"/>
      <c r="IU67" s="1504"/>
      <c r="IV67" s="1504"/>
      <c r="IW67" s="1504"/>
      <c r="IX67" s="1504"/>
      <c r="IY67" s="1505"/>
      <c r="IZ67" s="491"/>
      <c r="JA67" s="564"/>
      <c r="JB67" s="491"/>
      <c r="JC67" s="491"/>
      <c r="JD67" s="491"/>
      <c r="JE67" s="491"/>
      <c r="JF67" s="491"/>
      <c r="JG67" s="491"/>
      <c r="JH67" s="491"/>
      <c r="JI67" s="491"/>
      <c r="JJ67" s="491"/>
      <c r="JK67" s="491"/>
      <c r="JL67" s="491"/>
      <c r="JM67" s="491"/>
      <c r="JN67" s="491"/>
      <c r="JO67" s="491"/>
      <c r="JP67" s="491"/>
      <c r="JQ67" s="491"/>
      <c r="JR67" s="491"/>
      <c r="JS67" s="491"/>
      <c r="JT67" s="491"/>
      <c r="JU67" s="491"/>
      <c r="JV67" s="491"/>
      <c r="JW67" s="491"/>
      <c r="JX67" s="491"/>
      <c r="JY67" s="491"/>
      <c r="JZ67" s="491"/>
      <c r="KA67" s="491"/>
      <c r="KB67" s="526"/>
      <c r="KC67" s="491"/>
      <c r="KD67" s="578"/>
      <c r="KE67" s="513">
        <v>1</v>
      </c>
      <c r="KF67" s="1456" t="s">
        <v>171</v>
      </c>
      <c r="KG67" s="1457"/>
      <c r="KH67" s="1457"/>
      <c r="KI67" s="1457"/>
      <c r="KJ67" s="1457"/>
      <c r="KK67" s="1457"/>
      <c r="KL67" s="1457"/>
      <c r="KM67" s="1457"/>
      <c r="KN67" s="1458"/>
      <c r="KO67" s="564"/>
      <c r="KP67" s="491"/>
      <c r="KQ67" s="491"/>
      <c r="KR67" s="491"/>
      <c r="KS67" s="491"/>
      <c r="KT67" s="491"/>
      <c r="KU67" s="564"/>
      <c r="KV67" s="491"/>
      <c r="KW67" s="491"/>
      <c r="KX67" s="491"/>
      <c r="KY67" s="491"/>
      <c r="KZ67" s="578"/>
      <c r="LA67" s="491"/>
      <c r="LB67" s="491"/>
      <c r="LC67" s="491"/>
      <c r="LD67" s="491"/>
      <c r="LE67" s="491"/>
      <c r="LF67" s="491"/>
      <c r="LG67" s="491"/>
      <c r="LH67" s="491"/>
      <c r="LI67" s="491"/>
      <c r="LJ67" s="641"/>
      <c r="LK67" s="491"/>
      <c r="LL67" s="1447" t="s">
        <v>5101</v>
      </c>
      <c r="LM67" s="1448"/>
      <c r="LN67" s="1448"/>
      <c r="LO67" s="1448"/>
      <c r="LP67" s="1448"/>
      <c r="LQ67" s="1448"/>
      <c r="LR67" s="1448"/>
      <c r="LS67" s="1448"/>
      <c r="LT67" s="1448"/>
      <c r="LU67" s="1449"/>
      <c r="LV67" s="491"/>
      <c r="LW67" s="491"/>
      <c r="LX67" s="491"/>
      <c r="LY67" s="491"/>
      <c r="LZ67" s="491"/>
      <c r="MA67" s="491"/>
      <c r="MB67" s="491"/>
      <c r="MC67" s="491"/>
      <c r="MD67" s="491"/>
      <c r="ME67" s="491"/>
      <c r="MF67" s="491"/>
      <c r="MG67" s="564"/>
      <c r="MH67" s="491"/>
      <c r="MI67" s="491"/>
      <c r="MJ67" s="491"/>
      <c r="MK67" s="491"/>
      <c r="ML67" s="491"/>
      <c r="MM67" s="491"/>
      <c r="MN67" s="578"/>
      <c r="MO67" s="491"/>
      <c r="MP67" s="491"/>
      <c r="MQ67" s="491"/>
      <c r="MR67" s="491"/>
      <c r="MS67" s="491"/>
      <c r="MT67" s="491"/>
      <c r="MU67" s="491"/>
      <c r="MV67" s="491"/>
      <c r="MW67" s="491"/>
      <c r="MX67" s="491"/>
      <c r="MY67" s="491"/>
      <c r="MZ67" s="491"/>
      <c r="NA67" s="491"/>
      <c r="NB67" s="491"/>
      <c r="NC67" s="491"/>
      <c r="ND67" s="491"/>
      <c r="NE67" s="491"/>
      <c r="NF67" s="491"/>
      <c r="NG67" s="578"/>
      <c r="NH67" s="1447" t="s">
        <v>5102</v>
      </c>
      <c r="NI67" s="1448"/>
      <c r="NJ67" s="1448"/>
      <c r="NK67" s="1448"/>
      <c r="NL67" s="1448"/>
      <c r="NM67" s="1448"/>
      <c r="NN67" s="1448"/>
      <c r="NO67" s="1448"/>
      <c r="NP67" s="1448"/>
      <c r="NQ67" s="1449"/>
      <c r="NR67" s="564"/>
      <c r="NS67" s="564"/>
      <c r="NT67" s="491"/>
      <c r="NU67" s="491"/>
      <c r="NV67" s="491"/>
      <c r="NW67" s="491"/>
      <c r="NX67" s="491"/>
      <c r="PW67" s="482"/>
      <c r="QA67" s="491"/>
      <c r="QB67" s="491"/>
      <c r="QC67" s="491"/>
      <c r="QD67" s="491"/>
      <c r="QE67" s="491"/>
      <c r="QF67" s="491"/>
      <c r="QG67" s="491"/>
      <c r="QH67" s="491"/>
      <c r="QI67" s="491"/>
      <c r="QJ67" s="491"/>
      <c r="QK67" s="491"/>
      <c r="QL67" s="491"/>
      <c r="QM67" s="491"/>
      <c r="QN67" s="491"/>
      <c r="QO67" s="491"/>
      <c r="QP67" s="491"/>
      <c r="QQ67" s="491"/>
      <c r="QR67" s="491"/>
      <c r="QS67" s="491"/>
      <c r="QT67" s="491"/>
      <c r="QU67" s="491"/>
      <c r="QV67" s="491"/>
      <c r="QW67" s="491"/>
      <c r="QX67" s="491"/>
      <c r="QY67" s="491"/>
      <c r="QZ67" s="491"/>
      <c r="RA67" s="491"/>
      <c r="RB67" s="491"/>
    </row>
    <row r="68" spans="11:470" ht="12.75" customHeight="1" x14ac:dyDescent="0.35">
      <c r="K68" s="482"/>
      <c r="AR68" s="541"/>
      <c r="AU68" s="491"/>
      <c r="AV68" s="491"/>
      <c r="AW68" s="491"/>
      <c r="AX68" s="491"/>
      <c r="AY68" s="491"/>
      <c r="AZ68" s="491"/>
      <c r="BA68" s="491"/>
      <c r="BB68" s="488"/>
      <c r="BC68" s="491"/>
      <c r="BD68" s="491"/>
      <c r="BE68" s="491"/>
      <c r="BF68" s="491"/>
      <c r="BG68" s="491"/>
      <c r="BH68" s="491"/>
      <c r="BI68" s="491"/>
      <c r="BJ68" s="491"/>
      <c r="BK68" s="491"/>
      <c r="BL68" s="491"/>
      <c r="BM68" s="491"/>
      <c r="BN68" s="491"/>
      <c r="BO68" s="491"/>
      <c r="BP68" s="578"/>
      <c r="BQ68" s="1447" t="s">
        <v>5103</v>
      </c>
      <c r="BR68" s="1448"/>
      <c r="BS68" s="1448"/>
      <c r="BT68" s="1448"/>
      <c r="BU68" s="1448"/>
      <c r="BV68" s="1448"/>
      <c r="BW68" s="1448"/>
      <c r="BX68" s="1448"/>
      <c r="BY68" s="1448"/>
      <c r="BZ68" s="1449"/>
      <c r="CA68" s="491"/>
      <c r="CB68" s="611"/>
      <c r="CC68" s="1447" t="s">
        <v>5104</v>
      </c>
      <c r="CD68" s="1448"/>
      <c r="CE68" s="1448"/>
      <c r="CF68" s="1448"/>
      <c r="CG68" s="1448"/>
      <c r="CH68" s="1448"/>
      <c r="CI68" s="1448"/>
      <c r="CJ68" s="1448"/>
      <c r="CK68" s="1448"/>
      <c r="CL68" s="1449"/>
      <c r="CM68" s="564"/>
      <c r="CN68" s="501"/>
      <c r="CO68" s="501"/>
      <c r="CP68" s="491"/>
      <c r="CQ68" s="578"/>
      <c r="CR68" s="1447" t="s">
        <v>2111</v>
      </c>
      <c r="CS68" s="1448"/>
      <c r="CT68" s="1448"/>
      <c r="CU68" s="1448"/>
      <c r="CV68" s="1448"/>
      <c r="CW68" s="1448"/>
      <c r="CX68" s="1448"/>
      <c r="CY68" s="1448"/>
      <c r="CZ68" s="1448"/>
      <c r="DA68" s="1449"/>
      <c r="DB68" s="491"/>
      <c r="DC68" s="611"/>
      <c r="DD68" s="1447" t="s">
        <v>5105</v>
      </c>
      <c r="DE68" s="1448"/>
      <c r="DF68" s="1448"/>
      <c r="DG68" s="1448"/>
      <c r="DH68" s="1448"/>
      <c r="DI68" s="1448"/>
      <c r="DJ68" s="1448"/>
      <c r="DK68" s="1448"/>
      <c r="DL68" s="1448"/>
      <c r="DM68" s="1449"/>
      <c r="DN68" s="564"/>
      <c r="DO68" s="491"/>
      <c r="DP68" s="491"/>
      <c r="DQ68" s="491"/>
      <c r="DR68" s="491"/>
      <c r="DS68" s="491"/>
      <c r="DT68" s="491"/>
      <c r="DU68" s="491"/>
      <c r="DV68" s="491"/>
      <c r="DW68" s="491"/>
      <c r="DX68" s="491"/>
      <c r="DY68" s="491"/>
      <c r="DZ68" s="491"/>
      <c r="EA68" s="491"/>
      <c r="EB68" s="491"/>
      <c r="EC68" s="491"/>
      <c r="ED68" s="491"/>
      <c r="EE68" s="491"/>
      <c r="EF68" s="491"/>
      <c r="EG68" s="578"/>
      <c r="EH68" s="491"/>
      <c r="EI68" s="513">
        <v>1</v>
      </c>
      <c r="EJ68" s="1456" t="s">
        <v>82</v>
      </c>
      <c r="EK68" s="1457"/>
      <c r="EL68" s="1457"/>
      <c r="EM68" s="1457"/>
      <c r="EN68" s="1457"/>
      <c r="EO68" s="1457"/>
      <c r="EP68" s="1457"/>
      <c r="EQ68" s="1457"/>
      <c r="ER68" s="1458"/>
      <c r="ES68" s="491"/>
      <c r="ET68" s="513">
        <v>1</v>
      </c>
      <c r="EU68" s="1456" t="s">
        <v>5094</v>
      </c>
      <c r="EV68" s="1457"/>
      <c r="EW68" s="1457"/>
      <c r="EX68" s="1457"/>
      <c r="EY68" s="1457"/>
      <c r="EZ68" s="1457"/>
      <c r="FA68" s="1457"/>
      <c r="FB68" s="1457"/>
      <c r="FC68" s="1458"/>
      <c r="FD68" s="491"/>
      <c r="FE68" s="507"/>
      <c r="FF68" s="1520"/>
      <c r="FG68" s="1520"/>
      <c r="FH68" s="1520"/>
      <c r="FI68" s="1520"/>
      <c r="FJ68" s="1520"/>
      <c r="FK68" s="1520"/>
      <c r="FL68" s="1520"/>
      <c r="FM68" s="1520"/>
      <c r="FN68" s="1520"/>
      <c r="FO68" s="491"/>
      <c r="FP68" s="513">
        <v>1</v>
      </c>
      <c r="FQ68" s="1456" t="s">
        <v>5106</v>
      </c>
      <c r="FR68" s="1457"/>
      <c r="FS68" s="1457"/>
      <c r="FT68" s="1457"/>
      <c r="FU68" s="1457"/>
      <c r="FV68" s="1457"/>
      <c r="FW68" s="1457"/>
      <c r="FX68" s="1457"/>
      <c r="FY68" s="1458"/>
      <c r="FZ68" s="491"/>
      <c r="GA68" s="513">
        <v>1</v>
      </c>
      <c r="GB68" s="1456" t="s">
        <v>5094</v>
      </c>
      <c r="GC68" s="1457"/>
      <c r="GD68" s="1457"/>
      <c r="GE68" s="1457"/>
      <c r="GF68" s="1457"/>
      <c r="GG68" s="1457"/>
      <c r="GH68" s="1457"/>
      <c r="GI68" s="1457"/>
      <c r="GJ68" s="1458"/>
      <c r="GK68" s="564"/>
      <c r="GL68" s="491"/>
      <c r="GM68" s="491"/>
      <c r="GN68" s="491"/>
      <c r="GO68" s="526"/>
      <c r="GP68" s="491"/>
      <c r="GQ68" s="491"/>
      <c r="GR68" s="491"/>
      <c r="GS68" s="491"/>
      <c r="GT68" s="491"/>
      <c r="GU68" s="491"/>
      <c r="GV68" s="491"/>
      <c r="GW68" s="491"/>
      <c r="GX68" s="491"/>
      <c r="GY68" s="491"/>
      <c r="GZ68" s="491"/>
      <c r="HA68" s="491"/>
      <c r="HB68" s="491"/>
      <c r="HC68" s="491"/>
      <c r="HD68" s="491"/>
      <c r="HE68" s="491"/>
      <c r="HF68" s="491"/>
      <c r="HG68" s="491"/>
      <c r="HH68" s="491"/>
      <c r="HI68" s="491"/>
      <c r="HJ68" s="491"/>
      <c r="HK68" s="491"/>
      <c r="HL68" s="491"/>
      <c r="HM68" s="491"/>
      <c r="HN68" s="491"/>
      <c r="HO68" s="491"/>
      <c r="HP68" s="491"/>
      <c r="HQ68" s="491"/>
      <c r="HR68" s="491"/>
      <c r="HS68" s="491"/>
      <c r="HT68" s="491"/>
      <c r="HU68" s="491"/>
      <c r="HV68" s="491"/>
      <c r="HW68" s="491"/>
      <c r="HX68" s="491"/>
      <c r="HY68" s="491"/>
      <c r="HZ68" s="491"/>
      <c r="IA68" s="491"/>
      <c r="IB68" s="491"/>
      <c r="IC68" s="491"/>
      <c r="ID68" s="491"/>
      <c r="IE68" s="491"/>
      <c r="IF68" s="491"/>
      <c r="IG68" s="491"/>
      <c r="IH68" s="491"/>
      <c r="II68" s="491"/>
      <c r="IJ68" s="491"/>
      <c r="IK68" s="491"/>
      <c r="IL68" s="491"/>
      <c r="IM68" s="491"/>
      <c r="IN68" s="491"/>
      <c r="IO68" s="627"/>
      <c r="IP68" s="628"/>
      <c r="IQ68" s="628"/>
      <c r="IR68" s="628"/>
      <c r="IS68" s="628"/>
      <c r="IT68" s="628"/>
      <c r="IU68" s="628"/>
      <c r="IV68" s="628"/>
      <c r="IW68" s="628"/>
      <c r="IX68" s="628"/>
      <c r="IY68" s="628"/>
      <c r="IZ68" s="628"/>
      <c r="JA68" s="629"/>
      <c r="JB68" s="491"/>
      <c r="JC68" s="491"/>
      <c r="JD68" s="491"/>
      <c r="JE68" s="491"/>
      <c r="JF68" s="491"/>
      <c r="JG68" s="491"/>
      <c r="JH68" s="491"/>
      <c r="JI68" s="491"/>
      <c r="JJ68" s="491"/>
      <c r="JK68" s="491"/>
      <c r="JL68" s="491"/>
      <c r="JM68" s="491"/>
      <c r="JN68" s="491"/>
      <c r="JO68" s="491"/>
      <c r="JP68" s="491"/>
      <c r="JQ68" s="491"/>
      <c r="JR68" s="491"/>
      <c r="JS68" s="491"/>
      <c r="JT68" s="491"/>
      <c r="JU68" s="491"/>
      <c r="JV68" s="491"/>
      <c r="JW68" s="491"/>
      <c r="JX68" s="491"/>
      <c r="JY68" s="491"/>
      <c r="JZ68" s="491"/>
      <c r="KA68" s="491"/>
      <c r="KB68" s="526"/>
      <c r="KC68" s="491"/>
      <c r="KD68" s="578"/>
      <c r="KE68" s="1472" t="s">
        <v>5107</v>
      </c>
      <c r="KF68" s="1472"/>
      <c r="KG68" s="1472"/>
      <c r="KH68" s="1472"/>
      <c r="KI68" s="1472"/>
      <c r="KJ68" s="1472"/>
      <c r="KK68" s="1472"/>
      <c r="KL68" s="1472"/>
      <c r="KM68" s="1472"/>
      <c r="KN68" s="1472"/>
      <c r="KO68" s="564"/>
      <c r="KP68" s="491"/>
      <c r="KQ68" s="491"/>
      <c r="KR68" s="491"/>
      <c r="KS68" s="498"/>
      <c r="KT68" s="491"/>
      <c r="KU68" s="564"/>
      <c r="KV68" s="491"/>
      <c r="KW68" s="491"/>
      <c r="KX68" s="491"/>
      <c r="KY68" s="491"/>
      <c r="KZ68" s="578"/>
      <c r="LA68" s="491"/>
      <c r="LB68" s="491"/>
      <c r="LC68" s="491"/>
      <c r="LD68" s="491"/>
      <c r="LE68" s="491"/>
      <c r="LF68" s="491"/>
      <c r="LG68" s="491"/>
      <c r="LH68" s="491"/>
      <c r="LI68" s="491"/>
      <c r="LJ68" s="491"/>
      <c r="LK68" s="491"/>
      <c r="LL68" s="513">
        <v>1</v>
      </c>
      <c r="LM68" s="1456" t="s">
        <v>5063</v>
      </c>
      <c r="LN68" s="1457"/>
      <c r="LO68" s="1457"/>
      <c r="LP68" s="1457"/>
      <c r="LQ68" s="1457"/>
      <c r="LR68" s="1457"/>
      <c r="LS68" s="1457"/>
      <c r="LT68" s="1457"/>
      <c r="LU68" s="1458"/>
      <c r="LV68" s="491"/>
      <c r="LW68" s="491"/>
      <c r="LX68" s="491"/>
      <c r="LY68" s="491"/>
      <c r="LZ68" s="491"/>
      <c r="MA68" s="491"/>
      <c r="MB68" s="491"/>
      <c r="MC68" s="491"/>
      <c r="MD68" s="491"/>
      <c r="ME68" s="491"/>
      <c r="MF68" s="491"/>
      <c r="MG68" s="564"/>
      <c r="MH68" s="491"/>
      <c r="MI68" s="491"/>
      <c r="MJ68" s="491"/>
      <c r="MK68" s="491"/>
      <c r="ML68" s="491"/>
      <c r="MM68" s="491"/>
      <c r="MN68" s="578"/>
      <c r="MO68" s="491"/>
      <c r="MP68" s="491"/>
      <c r="MQ68" s="491"/>
      <c r="MR68" s="491"/>
      <c r="MS68" s="491"/>
      <c r="MT68" s="491"/>
      <c r="MU68" s="491"/>
      <c r="MV68" s="491"/>
      <c r="MW68" s="491"/>
      <c r="MX68" s="491"/>
      <c r="MY68" s="491"/>
      <c r="MZ68" s="491"/>
      <c r="NA68" s="491"/>
      <c r="NB68" s="491"/>
      <c r="NC68" s="491"/>
      <c r="ND68" s="491"/>
      <c r="NE68" s="491"/>
      <c r="NF68" s="491"/>
      <c r="NG68" s="578"/>
      <c r="NH68" s="513">
        <v>1</v>
      </c>
      <c r="NI68" s="1456" t="s">
        <v>5097</v>
      </c>
      <c r="NJ68" s="1457"/>
      <c r="NK68" s="1457"/>
      <c r="NL68" s="1457"/>
      <c r="NM68" s="1457"/>
      <c r="NN68" s="1457"/>
      <c r="NO68" s="1457"/>
      <c r="NP68" s="1457"/>
      <c r="NQ68" s="1458"/>
      <c r="NR68" s="564"/>
      <c r="NS68" s="564"/>
      <c r="NT68" s="491"/>
      <c r="NU68" s="491"/>
      <c r="NV68" s="491"/>
      <c r="NW68" s="491"/>
      <c r="NX68" s="491"/>
      <c r="PW68" s="482"/>
      <c r="QA68" s="491"/>
      <c r="QB68" s="491"/>
      <c r="QC68" s="491"/>
      <c r="QD68" s="491"/>
      <c r="QE68" s="491"/>
      <c r="QF68" s="491"/>
      <c r="QG68" s="491"/>
      <c r="QH68" s="491"/>
      <c r="QI68" s="491"/>
      <c r="QJ68" s="491"/>
      <c r="QK68" s="491"/>
      <c r="QL68" s="491"/>
      <c r="QM68" s="491"/>
      <c r="QN68" s="491"/>
      <c r="QO68" s="491"/>
      <c r="QP68" s="491"/>
      <c r="QQ68" s="491"/>
      <c r="QR68" s="491"/>
      <c r="QS68" s="491"/>
      <c r="QT68" s="491"/>
      <c r="QU68" s="491"/>
      <c r="QV68" s="491"/>
      <c r="QW68" s="491"/>
      <c r="QX68" s="491"/>
      <c r="QY68" s="491"/>
      <c r="QZ68" s="491"/>
      <c r="RA68" s="491"/>
      <c r="RB68" s="491"/>
    </row>
    <row r="69" spans="11:470" ht="12.75" customHeight="1" x14ac:dyDescent="0.35">
      <c r="K69" s="482"/>
      <c r="AR69" s="541"/>
      <c r="AU69" s="491"/>
      <c r="AV69" s="491"/>
      <c r="AW69" s="491"/>
      <c r="AX69" s="491"/>
      <c r="AY69" s="491"/>
      <c r="AZ69" s="491"/>
      <c r="BA69" s="491"/>
      <c r="BB69" s="491"/>
      <c r="BC69" s="491"/>
      <c r="BD69" s="491"/>
      <c r="BE69" s="491"/>
      <c r="BF69" s="491"/>
      <c r="BG69" s="491"/>
      <c r="BH69" s="491"/>
      <c r="BI69" s="491"/>
      <c r="BJ69" s="491"/>
      <c r="BK69" s="491"/>
      <c r="BL69" s="491"/>
      <c r="BM69" s="491"/>
      <c r="BN69" s="491"/>
      <c r="BO69" s="491"/>
      <c r="BP69" s="578"/>
      <c r="BQ69" s="513">
        <v>1</v>
      </c>
      <c r="BR69" s="1456" t="s">
        <v>4737</v>
      </c>
      <c r="BS69" s="1457"/>
      <c r="BT69" s="1457"/>
      <c r="BU69" s="1457"/>
      <c r="BV69" s="1457"/>
      <c r="BW69" s="1457"/>
      <c r="BX69" s="1457"/>
      <c r="BY69" s="1457"/>
      <c r="BZ69" s="1458"/>
      <c r="CA69" s="491"/>
      <c r="CB69" s="611"/>
      <c r="CC69" s="513">
        <v>1</v>
      </c>
      <c r="CD69" s="1456" t="s">
        <v>4737</v>
      </c>
      <c r="CE69" s="1457"/>
      <c r="CF69" s="1457"/>
      <c r="CG69" s="1457"/>
      <c r="CH69" s="1457"/>
      <c r="CI69" s="1457"/>
      <c r="CJ69" s="1457"/>
      <c r="CK69" s="1457"/>
      <c r="CL69" s="1458"/>
      <c r="CM69" s="564"/>
      <c r="CN69" s="498"/>
      <c r="CO69" s="498"/>
      <c r="CP69" s="491"/>
      <c r="CQ69" s="578"/>
      <c r="CR69" s="616"/>
      <c r="CS69" s="642"/>
      <c r="CT69" s="642"/>
      <c r="CU69" s="642"/>
      <c r="CV69" s="642"/>
      <c r="CW69" s="642"/>
      <c r="CX69" s="642"/>
      <c r="CY69" s="642"/>
      <c r="CZ69" s="642"/>
      <c r="DA69" s="642"/>
      <c r="DB69" s="491"/>
      <c r="DC69" s="611"/>
      <c r="DD69" s="616"/>
      <c r="DE69" s="642"/>
      <c r="DF69" s="642"/>
      <c r="DG69" s="642"/>
      <c r="DH69" s="642"/>
      <c r="DI69" s="642"/>
      <c r="DJ69" s="642"/>
      <c r="DK69" s="642"/>
      <c r="DL69" s="642"/>
      <c r="DM69" s="642"/>
      <c r="DN69" s="564"/>
      <c r="DO69" s="491"/>
      <c r="DP69" s="491"/>
      <c r="DQ69" s="491"/>
      <c r="DR69" s="491"/>
      <c r="DS69" s="491"/>
      <c r="DT69" s="491"/>
      <c r="DU69" s="491"/>
      <c r="DV69" s="491"/>
      <c r="DW69" s="491"/>
      <c r="DX69" s="491"/>
      <c r="DY69" s="491"/>
      <c r="DZ69" s="491"/>
      <c r="EA69" s="491"/>
      <c r="EB69" s="491"/>
      <c r="EC69" s="491"/>
      <c r="ED69" s="491"/>
      <c r="EE69" s="491"/>
      <c r="EF69" s="491"/>
      <c r="EG69" s="578"/>
      <c r="EH69" s="491"/>
      <c r="EI69" s="1528" t="s">
        <v>3217</v>
      </c>
      <c r="EJ69" s="1516"/>
      <c r="EK69" s="1516"/>
      <c r="EL69" s="1516"/>
      <c r="EM69" s="1516"/>
      <c r="EN69" s="1516"/>
      <c r="EO69" s="1516"/>
      <c r="EP69" s="1516"/>
      <c r="EQ69" s="1516"/>
      <c r="ER69" s="1517"/>
      <c r="ES69" s="491"/>
      <c r="ET69" s="1524" t="s">
        <v>2377</v>
      </c>
      <c r="EU69" s="1525"/>
      <c r="EV69" s="1525"/>
      <c r="EW69" s="1525"/>
      <c r="EX69" s="1525"/>
      <c r="EY69" s="1525"/>
      <c r="EZ69" s="1525"/>
      <c r="FA69" s="1525"/>
      <c r="FB69" s="1525"/>
      <c r="FC69" s="1526"/>
      <c r="FD69" s="491"/>
      <c r="FE69" s="1529"/>
      <c r="FF69" s="1529"/>
      <c r="FG69" s="1529"/>
      <c r="FH69" s="1529"/>
      <c r="FI69" s="1529"/>
      <c r="FJ69" s="1529"/>
      <c r="FK69" s="1529"/>
      <c r="FL69" s="1529"/>
      <c r="FM69" s="1529"/>
      <c r="FN69" s="1529"/>
      <c r="FO69" s="491"/>
      <c r="FP69" s="1528" t="s">
        <v>2536</v>
      </c>
      <c r="FQ69" s="1516"/>
      <c r="FR69" s="1516"/>
      <c r="FS69" s="1516"/>
      <c r="FT69" s="1516"/>
      <c r="FU69" s="1516"/>
      <c r="FV69" s="1516"/>
      <c r="FW69" s="1516"/>
      <c r="FX69" s="1516"/>
      <c r="FY69" s="1517"/>
      <c r="FZ69" s="491"/>
      <c r="GA69" s="1524" t="s">
        <v>5108</v>
      </c>
      <c r="GB69" s="1525"/>
      <c r="GC69" s="1525"/>
      <c r="GD69" s="1525"/>
      <c r="GE69" s="1525"/>
      <c r="GF69" s="1525"/>
      <c r="GG69" s="1525"/>
      <c r="GH69" s="1525"/>
      <c r="GI69" s="1525"/>
      <c r="GJ69" s="1526"/>
      <c r="GK69" s="564"/>
      <c r="GL69" s="491"/>
      <c r="GM69" s="491"/>
      <c r="GN69" s="491"/>
      <c r="GO69" s="526"/>
      <c r="GP69" s="491"/>
      <c r="GQ69" s="491"/>
      <c r="GR69" s="491"/>
      <c r="GS69" s="491"/>
      <c r="GT69" s="491"/>
      <c r="GU69" s="491"/>
      <c r="GV69" s="491"/>
      <c r="GW69" s="491"/>
      <c r="GX69" s="491"/>
      <c r="GY69" s="491"/>
      <c r="GZ69" s="491"/>
      <c r="HA69" s="491"/>
      <c r="HB69" s="491"/>
      <c r="HC69" s="491"/>
      <c r="HD69" s="491"/>
      <c r="HE69" s="491"/>
      <c r="HF69" s="491"/>
      <c r="HG69" s="491"/>
      <c r="HH69" s="491"/>
      <c r="HI69" s="491"/>
      <c r="HJ69" s="491"/>
      <c r="HK69" s="491"/>
      <c r="HL69" s="491"/>
      <c r="HM69" s="491"/>
      <c r="HN69" s="491"/>
      <c r="HO69" s="491"/>
      <c r="HP69" s="491"/>
      <c r="HQ69" s="491"/>
      <c r="HR69" s="491"/>
      <c r="HS69" s="491"/>
      <c r="HT69" s="491"/>
      <c r="HU69" s="491"/>
      <c r="HV69" s="491"/>
      <c r="HW69" s="491"/>
      <c r="HX69" s="491"/>
      <c r="HY69" s="491"/>
      <c r="HZ69" s="491"/>
      <c r="IA69" s="491"/>
      <c r="IB69" s="491"/>
      <c r="IC69" s="491"/>
      <c r="ID69" s="491"/>
      <c r="IE69" s="491"/>
      <c r="IF69" s="491"/>
      <c r="IG69" s="491"/>
      <c r="IH69" s="491"/>
      <c r="II69" s="491"/>
      <c r="IJ69" s="491"/>
      <c r="IK69" s="491"/>
      <c r="IL69" s="491"/>
      <c r="IM69" s="491"/>
      <c r="IN69" s="491"/>
      <c r="IO69" s="491"/>
      <c r="IP69" s="491"/>
      <c r="IQ69" s="500"/>
      <c r="IR69" s="500"/>
      <c r="IS69" s="500"/>
      <c r="IT69" s="500"/>
      <c r="IU69" s="500"/>
      <c r="IV69" s="500"/>
      <c r="IW69" s="500"/>
      <c r="IX69" s="500"/>
      <c r="IY69" s="491"/>
      <c r="IZ69" s="491"/>
      <c r="JA69" s="491"/>
      <c r="JB69" s="491"/>
      <c r="JC69" s="491"/>
      <c r="JD69" s="491"/>
      <c r="JE69" s="491"/>
      <c r="JF69" s="491"/>
      <c r="JG69" s="491"/>
      <c r="JH69" s="491"/>
      <c r="JI69" s="491"/>
      <c r="JJ69" s="491"/>
      <c r="JK69" s="491"/>
      <c r="JL69" s="491"/>
      <c r="JM69" s="491"/>
      <c r="JN69" s="491"/>
      <c r="JO69" s="491"/>
      <c r="JP69" s="491"/>
      <c r="JQ69" s="491"/>
      <c r="JR69" s="491"/>
      <c r="JS69" s="491"/>
      <c r="JT69" s="491"/>
      <c r="JU69" s="491"/>
      <c r="JV69" s="491"/>
      <c r="JW69" s="491"/>
      <c r="JX69" s="491"/>
      <c r="JY69" s="491"/>
      <c r="JZ69" s="491"/>
      <c r="KA69" s="491"/>
      <c r="KB69" s="526"/>
      <c r="KC69" s="491"/>
      <c r="KD69" s="627"/>
      <c r="KE69" s="628"/>
      <c r="KF69" s="628"/>
      <c r="KG69" s="628"/>
      <c r="KH69" s="628"/>
      <c r="KI69" s="628"/>
      <c r="KJ69" s="628"/>
      <c r="KK69" s="628"/>
      <c r="KL69" s="628"/>
      <c r="KM69" s="644"/>
      <c r="KN69" s="628"/>
      <c r="KO69" s="629"/>
      <c r="KP69" s="491"/>
      <c r="KQ69" s="491"/>
      <c r="KR69" s="491"/>
      <c r="KS69" s="491"/>
      <c r="KT69" s="491"/>
      <c r="KU69" s="564"/>
      <c r="KV69" s="491"/>
      <c r="KW69" s="491"/>
      <c r="KX69" s="491"/>
      <c r="KY69" s="491"/>
      <c r="KZ69" s="578"/>
      <c r="LA69" s="491"/>
      <c r="LB69" s="491"/>
      <c r="LC69" s="491"/>
      <c r="LD69" s="491"/>
      <c r="LE69" s="491"/>
      <c r="LF69" s="491"/>
      <c r="LG69" s="491"/>
      <c r="LH69" s="491"/>
      <c r="LI69" s="491"/>
      <c r="LJ69" s="491"/>
      <c r="LK69" s="491"/>
      <c r="LL69" s="1447" t="s">
        <v>5109</v>
      </c>
      <c r="LM69" s="1448"/>
      <c r="LN69" s="1448"/>
      <c r="LO69" s="1448"/>
      <c r="LP69" s="1448"/>
      <c r="LQ69" s="1448"/>
      <c r="LR69" s="1448"/>
      <c r="LS69" s="1448"/>
      <c r="LT69" s="1448"/>
      <c r="LU69" s="1449"/>
      <c r="LV69" s="491"/>
      <c r="LW69" s="491"/>
      <c r="LX69" s="491"/>
      <c r="LY69" s="491"/>
      <c r="LZ69" s="491"/>
      <c r="MA69" s="491"/>
      <c r="MB69" s="491"/>
      <c r="MC69" s="491"/>
      <c r="MD69" s="491"/>
      <c r="ME69" s="491"/>
      <c r="MF69" s="491"/>
      <c r="MG69" s="564"/>
      <c r="MH69" s="491"/>
      <c r="MI69" s="491"/>
      <c r="MJ69" s="491"/>
      <c r="MK69" s="491"/>
      <c r="ML69" s="491"/>
      <c r="MM69" s="491"/>
      <c r="MN69" s="578"/>
      <c r="MO69" s="491"/>
      <c r="MP69" s="491"/>
      <c r="MQ69" s="491"/>
      <c r="MR69" s="491"/>
      <c r="MS69" s="491"/>
      <c r="MT69" s="491"/>
      <c r="MU69" s="491"/>
      <c r="MV69" s="491"/>
      <c r="MW69" s="491"/>
      <c r="MX69" s="491"/>
      <c r="MY69" s="491"/>
      <c r="MZ69" s="491"/>
      <c r="NA69" s="491"/>
      <c r="NB69" s="491"/>
      <c r="NC69" s="491"/>
      <c r="ND69" s="491"/>
      <c r="NE69" s="491"/>
      <c r="NF69" s="491"/>
      <c r="NG69" s="578"/>
      <c r="NH69" s="1447" t="s">
        <v>5110</v>
      </c>
      <c r="NI69" s="1448"/>
      <c r="NJ69" s="1448"/>
      <c r="NK69" s="1448"/>
      <c r="NL69" s="1448"/>
      <c r="NM69" s="1448"/>
      <c r="NN69" s="1448"/>
      <c r="NO69" s="1448"/>
      <c r="NP69" s="1448"/>
      <c r="NQ69" s="1449"/>
      <c r="NR69" s="564"/>
      <c r="NS69" s="564"/>
      <c r="NT69" s="491"/>
      <c r="NU69" s="491"/>
      <c r="NV69" s="491"/>
      <c r="NW69" s="491"/>
      <c r="NX69" s="491"/>
      <c r="PW69" s="482"/>
      <c r="QA69" s="491"/>
      <c r="QB69" s="491"/>
      <c r="QC69" s="491"/>
      <c r="QD69" s="491"/>
      <c r="QE69" s="491"/>
      <c r="QF69" s="491"/>
      <c r="QG69" s="491"/>
      <c r="QH69" s="491"/>
      <c r="QI69" s="491"/>
      <c r="QJ69" s="491"/>
      <c r="QK69" s="491"/>
      <c r="QL69" s="491"/>
      <c r="QM69" s="491"/>
      <c r="QN69" s="491"/>
      <c r="QO69" s="491"/>
      <c r="QP69" s="491"/>
      <c r="QQ69" s="491"/>
      <c r="QR69" s="491"/>
      <c r="QS69" s="491"/>
      <c r="QT69" s="491"/>
      <c r="QU69" s="491"/>
      <c r="QV69" s="491"/>
      <c r="QW69" s="491"/>
      <c r="QX69" s="491"/>
      <c r="QY69" s="491"/>
      <c r="QZ69" s="491"/>
      <c r="RA69" s="491"/>
      <c r="RB69" s="491"/>
    </row>
    <row r="70" spans="11:470" ht="12.75" customHeight="1" x14ac:dyDescent="0.35">
      <c r="K70" s="482"/>
      <c r="AR70" s="541"/>
      <c r="AU70" s="491"/>
      <c r="AV70" s="491"/>
      <c r="AW70" s="491"/>
      <c r="AX70" s="491"/>
      <c r="AY70" s="491"/>
      <c r="AZ70" s="491"/>
      <c r="BA70" s="491"/>
      <c r="BB70" s="491"/>
      <c r="BC70" s="491"/>
      <c r="BD70" s="491"/>
      <c r="BE70" s="491"/>
      <c r="BF70" s="491"/>
      <c r="BG70" s="491"/>
      <c r="BH70" s="491"/>
      <c r="BI70" s="491"/>
      <c r="BJ70" s="491"/>
      <c r="BK70" s="491"/>
      <c r="BL70" s="491"/>
      <c r="BM70" s="491"/>
      <c r="BN70" s="491"/>
      <c r="BO70" s="491"/>
      <c r="BP70" s="578"/>
      <c r="BQ70" s="1450" t="s">
        <v>5111</v>
      </c>
      <c r="BR70" s="1451"/>
      <c r="BS70" s="1451"/>
      <c r="BT70" s="1451"/>
      <c r="BU70" s="1451"/>
      <c r="BV70" s="1451"/>
      <c r="BW70" s="1451"/>
      <c r="BX70" s="1451"/>
      <c r="BY70" s="1451"/>
      <c r="BZ70" s="1452"/>
      <c r="CA70" s="491"/>
      <c r="CB70" s="611"/>
      <c r="CC70" s="1450" t="s">
        <v>3577</v>
      </c>
      <c r="CD70" s="1451"/>
      <c r="CE70" s="1451"/>
      <c r="CF70" s="1451"/>
      <c r="CG70" s="1451"/>
      <c r="CH70" s="1451"/>
      <c r="CI70" s="1451"/>
      <c r="CJ70" s="1451"/>
      <c r="CK70" s="1451"/>
      <c r="CL70" s="1452"/>
      <c r="CM70" s="564"/>
      <c r="CN70" s="501"/>
      <c r="CO70" s="501"/>
      <c r="CP70" s="491"/>
      <c r="CQ70" s="578"/>
      <c r="CR70" s="491"/>
      <c r="CS70" s="491"/>
      <c r="CT70" s="491"/>
      <c r="CU70" s="491"/>
      <c r="CV70" s="506"/>
      <c r="CW70" s="607"/>
      <c r="CX70" s="576"/>
      <c r="CY70" s="576"/>
      <c r="CZ70" s="576"/>
      <c r="DA70" s="576"/>
      <c r="DB70" s="576"/>
      <c r="DC70" s="576"/>
      <c r="DD70" s="576"/>
      <c r="DE70" s="576"/>
      <c r="DF70" s="576"/>
      <c r="DG70" s="576"/>
      <c r="DH70" s="645"/>
      <c r="DI70" s="491"/>
      <c r="DJ70" s="491"/>
      <c r="DK70" s="491"/>
      <c r="DL70" s="491"/>
      <c r="DM70" s="491"/>
      <c r="DN70" s="564"/>
      <c r="DO70" s="491"/>
      <c r="DP70" s="491"/>
      <c r="DQ70" s="491"/>
      <c r="DR70" s="491"/>
      <c r="DS70" s="491"/>
      <c r="DT70" s="491"/>
      <c r="DU70" s="491"/>
      <c r="DV70" s="491"/>
      <c r="DW70" s="491"/>
      <c r="DX70" s="491"/>
      <c r="DY70" s="491"/>
      <c r="DZ70" s="491"/>
      <c r="EA70" s="491"/>
      <c r="EB70" s="491"/>
      <c r="EC70" s="491"/>
      <c r="ED70" s="491"/>
      <c r="EE70" s="491"/>
      <c r="EF70" s="491"/>
      <c r="EG70" s="578"/>
      <c r="EH70" s="491"/>
      <c r="EI70" s="513">
        <v>1</v>
      </c>
      <c r="EJ70" s="1456" t="s">
        <v>82</v>
      </c>
      <c r="EK70" s="1457"/>
      <c r="EL70" s="1457"/>
      <c r="EM70" s="1457"/>
      <c r="EN70" s="1457"/>
      <c r="EO70" s="1457"/>
      <c r="EP70" s="1457"/>
      <c r="EQ70" s="1457"/>
      <c r="ER70" s="1458"/>
      <c r="ES70" s="491"/>
      <c r="ET70" s="513">
        <v>1</v>
      </c>
      <c r="EU70" s="1456" t="s">
        <v>82</v>
      </c>
      <c r="EV70" s="1457"/>
      <c r="EW70" s="1457"/>
      <c r="EX70" s="1457"/>
      <c r="EY70" s="1457"/>
      <c r="EZ70" s="1457"/>
      <c r="FA70" s="1457"/>
      <c r="FB70" s="1457"/>
      <c r="FC70" s="1458"/>
      <c r="FD70" s="491"/>
      <c r="FE70" s="646"/>
      <c r="FF70" s="1527"/>
      <c r="FG70" s="1527"/>
      <c r="FH70" s="1527"/>
      <c r="FI70" s="1527"/>
      <c r="FJ70" s="1527"/>
      <c r="FK70" s="1527"/>
      <c r="FL70" s="1527"/>
      <c r="FM70" s="1527"/>
      <c r="FN70" s="1527"/>
      <c r="FO70" s="491"/>
      <c r="FP70" s="513">
        <v>1</v>
      </c>
      <c r="FQ70" s="1456" t="s">
        <v>82</v>
      </c>
      <c r="FR70" s="1457"/>
      <c r="FS70" s="1457"/>
      <c r="FT70" s="1457"/>
      <c r="FU70" s="1457"/>
      <c r="FV70" s="1457"/>
      <c r="FW70" s="1457"/>
      <c r="FX70" s="1457"/>
      <c r="FY70" s="1458"/>
      <c r="FZ70" s="491"/>
      <c r="GA70" s="518">
        <v>0.5</v>
      </c>
      <c r="GB70" s="1456" t="s">
        <v>5112</v>
      </c>
      <c r="GC70" s="1457"/>
      <c r="GD70" s="1457"/>
      <c r="GE70" s="1457"/>
      <c r="GF70" s="1457"/>
      <c r="GG70" s="1457"/>
      <c r="GH70" s="1457"/>
      <c r="GI70" s="1457"/>
      <c r="GJ70" s="1458"/>
      <c r="GK70" s="564"/>
      <c r="GL70" s="491"/>
      <c r="GM70" s="491"/>
      <c r="GN70" s="491"/>
      <c r="GO70" s="526"/>
      <c r="GP70" s="491"/>
      <c r="GQ70" s="491"/>
      <c r="GR70" s="491"/>
      <c r="GS70" s="491"/>
      <c r="GT70" s="491"/>
      <c r="GU70" s="491"/>
      <c r="GV70" s="491"/>
      <c r="GW70" s="491"/>
      <c r="GX70" s="491"/>
      <c r="GY70" s="491"/>
      <c r="GZ70" s="491"/>
      <c r="HA70" s="491"/>
      <c r="HB70" s="491"/>
      <c r="HC70" s="491"/>
      <c r="HD70" s="491"/>
      <c r="HE70" s="491"/>
      <c r="HF70" s="491"/>
      <c r="HG70" s="491"/>
      <c r="HH70" s="491"/>
      <c r="HI70" s="491"/>
      <c r="HJ70" s="491"/>
      <c r="HK70" s="491"/>
      <c r="HL70" s="491"/>
      <c r="HM70" s="491"/>
      <c r="HN70" s="491"/>
      <c r="HO70" s="491"/>
      <c r="HP70" s="491"/>
      <c r="HQ70" s="491"/>
      <c r="HR70" s="491"/>
      <c r="HS70" s="491"/>
      <c r="HT70" s="491"/>
      <c r="HU70" s="491"/>
      <c r="HV70" s="491"/>
      <c r="HW70" s="491"/>
      <c r="HX70" s="491"/>
      <c r="HY70" s="491"/>
      <c r="HZ70" s="491"/>
      <c r="IA70" s="491"/>
      <c r="IB70" s="491"/>
      <c r="IC70" s="491"/>
      <c r="ID70" s="491"/>
      <c r="IE70" s="491"/>
      <c r="IF70" s="491"/>
      <c r="IG70" s="491"/>
      <c r="IH70" s="491"/>
      <c r="II70" s="491"/>
      <c r="IJ70" s="491"/>
      <c r="IK70" s="491"/>
      <c r="IL70" s="491"/>
      <c r="IM70" s="491"/>
      <c r="IN70" s="491"/>
      <c r="IO70" s="491"/>
      <c r="IP70" s="491"/>
      <c r="IQ70" s="491"/>
      <c r="IR70" s="491"/>
      <c r="IS70" s="491"/>
      <c r="IT70" s="491"/>
      <c r="IU70" s="491"/>
      <c r="IV70" s="491"/>
      <c r="IW70" s="491"/>
      <c r="IX70" s="491"/>
      <c r="IY70" s="491"/>
      <c r="IZ70" s="491"/>
      <c r="JA70" s="491"/>
      <c r="JB70" s="491"/>
      <c r="JC70" s="491"/>
      <c r="JD70" s="491"/>
      <c r="JE70" s="491"/>
      <c r="JF70" s="491"/>
      <c r="JG70" s="491"/>
      <c r="JH70" s="491"/>
      <c r="JI70" s="491"/>
      <c r="JJ70" s="491"/>
      <c r="JK70" s="491"/>
      <c r="JL70" s="491"/>
      <c r="JM70" s="491"/>
      <c r="JN70" s="491"/>
      <c r="JO70" s="491"/>
      <c r="JP70" s="491"/>
      <c r="JQ70" s="491"/>
      <c r="JR70" s="491"/>
      <c r="JS70" s="491"/>
      <c r="JT70" s="491"/>
      <c r="JU70" s="491"/>
      <c r="JV70" s="491"/>
      <c r="JW70" s="491"/>
      <c r="JX70" s="491"/>
      <c r="JY70" s="491"/>
      <c r="JZ70" s="491"/>
      <c r="KA70" s="491"/>
      <c r="KB70" s="526"/>
      <c r="KC70" s="491"/>
      <c r="KD70" s="491"/>
      <c r="KE70" s="491"/>
      <c r="KF70" s="491"/>
      <c r="KG70" s="500"/>
      <c r="KH70" s="500"/>
      <c r="KI70" s="500"/>
      <c r="KJ70" s="500"/>
      <c r="KK70" s="500"/>
      <c r="KL70" s="500"/>
      <c r="KM70" s="500"/>
      <c r="KN70" s="500"/>
      <c r="KO70" s="491"/>
      <c r="KP70" s="491"/>
      <c r="KQ70" s="491"/>
      <c r="KR70" s="491"/>
      <c r="KS70" s="491"/>
      <c r="KT70" s="491"/>
      <c r="KU70" s="564"/>
      <c r="KV70" s="491"/>
      <c r="KW70" s="491"/>
      <c r="KX70" s="491"/>
      <c r="KY70" s="491"/>
      <c r="KZ70" s="578"/>
      <c r="LA70" s="491"/>
      <c r="LB70" s="491"/>
      <c r="LC70" s="491"/>
      <c r="LD70" s="491"/>
      <c r="LE70" s="491"/>
      <c r="LF70" s="491"/>
      <c r="LG70" s="491"/>
      <c r="LH70" s="491"/>
      <c r="LI70" s="491"/>
      <c r="LJ70" s="491"/>
      <c r="LK70" s="491"/>
      <c r="LL70" s="513">
        <v>1</v>
      </c>
      <c r="LM70" s="1456" t="s">
        <v>5063</v>
      </c>
      <c r="LN70" s="1457"/>
      <c r="LO70" s="1457"/>
      <c r="LP70" s="1457"/>
      <c r="LQ70" s="1457"/>
      <c r="LR70" s="1457"/>
      <c r="LS70" s="1457"/>
      <c r="LT70" s="1457"/>
      <c r="LU70" s="1458"/>
      <c r="LV70" s="491"/>
      <c r="LW70" s="491"/>
      <c r="LX70" s="491"/>
      <c r="LY70" s="491"/>
      <c r="LZ70" s="491"/>
      <c r="MA70" s="491"/>
      <c r="MB70" s="491"/>
      <c r="MC70" s="491"/>
      <c r="MD70" s="491"/>
      <c r="ME70" s="491"/>
      <c r="MF70" s="491"/>
      <c r="MG70" s="564"/>
      <c r="MH70" s="491"/>
      <c r="MI70" s="491"/>
      <c r="MJ70" s="491"/>
      <c r="MK70" s="491"/>
      <c r="ML70" s="491"/>
      <c r="MM70" s="491"/>
      <c r="MN70" s="578"/>
      <c r="MO70" s="491"/>
      <c r="MP70" s="491"/>
      <c r="MQ70" s="491"/>
      <c r="MR70" s="491"/>
      <c r="MS70" s="491"/>
      <c r="MT70" s="491"/>
      <c r="MU70" s="491"/>
      <c r="MV70" s="491"/>
      <c r="MW70" s="491"/>
      <c r="MX70" s="491"/>
      <c r="MY70" s="491"/>
      <c r="MZ70" s="491"/>
      <c r="NA70" s="491"/>
      <c r="NB70" s="491"/>
      <c r="NC70" s="491"/>
      <c r="ND70" s="491"/>
      <c r="NE70" s="491"/>
      <c r="NF70" s="491"/>
      <c r="NG70" s="578"/>
      <c r="NH70" s="513">
        <v>1</v>
      </c>
      <c r="NI70" s="1456" t="s">
        <v>91</v>
      </c>
      <c r="NJ70" s="1457"/>
      <c r="NK70" s="1457"/>
      <c r="NL70" s="1457"/>
      <c r="NM70" s="1457"/>
      <c r="NN70" s="1457"/>
      <c r="NO70" s="1457"/>
      <c r="NP70" s="1457"/>
      <c r="NQ70" s="1458"/>
      <c r="NR70" s="564"/>
      <c r="NS70" s="564"/>
      <c r="NT70" s="491"/>
      <c r="NU70" s="491"/>
      <c r="NV70" s="491"/>
      <c r="NW70" s="491"/>
      <c r="NX70" s="491"/>
      <c r="PW70" s="482"/>
      <c r="QA70" s="491"/>
      <c r="QB70" s="491"/>
      <c r="QC70" s="491"/>
      <c r="QD70" s="491"/>
      <c r="QE70" s="491"/>
      <c r="QF70" s="491"/>
      <c r="QG70" s="491"/>
      <c r="QH70" s="491"/>
      <c r="QI70" s="491"/>
      <c r="QJ70" s="491"/>
      <c r="QK70" s="491"/>
      <c r="QL70" s="491"/>
      <c r="QM70" s="491"/>
      <c r="QN70" s="491"/>
      <c r="QO70" s="491"/>
      <c r="QP70" s="491"/>
      <c r="QQ70" s="491"/>
      <c r="QR70" s="491"/>
      <c r="QS70" s="491"/>
      <c r="QT70" s="491"/>
      <c r="QU70" s="491"/>
      <c r="QV70" s="491"/>
      <c r="QW70" s="491"/>
      <c r="QX70" s="491"/>
      <c r="QY70" s="491"/>
      <c r="QZ70" s="491"/>
      <c r="RA70" s="491"/>
      <c r="RB70" s="491"/>
    </row>
    <row r="71" spans="11:470" ht="12.75" customHeight="1" x14ac:dyDescent="0.35">
      <c r="K71" s="482"/>
      <c r="AR71" s="541"/>
      <c r="AU71" s="491"/>
      <c r="AV71" s="491"/>
      <c r="AW71" s="491"/>
      <c r="AX71" s="491"/>
      <c r="AY71" s="491"/>
      <c r="AZ71" s="491"/>
      <c r="BA71" s="491"/>
      <c r="BB71" s="491"/>
      <c r="BC71" s="491"/>
      <c r="BD71" s="491"/>
      <c r="BE71" s="491"/>
      <c r="BF71" s="491"/>
      <c r="BG71" s="491"/>
      <c r="BH71" s="491"/>
      <c r="BI71" s="491"/>
      <c r="BJ71" s="491"/>
      <c r="BK71" s="491"/>
      <c r="BL71" s="491"/>
      <c r="BM71" s="491"/>
      <c r="BN71" s="491"/>
      <c r="BO71" s="491"/>
      <c r="BP71" s="578"/>
      <c r="BQ71" s="513">
        <v>1</v>
      </c>
      <c r="BR71" s="1456" t="s">
        <v>5007</v>
      </c>
      <c r="BS71" s="1457"/>
      <c r="BT71" s="1457"/>
      <c r="BU71" s="1457"/>
      <c r="BV71" s="1457"/>
      <c r="BW71" s="1457"/>
      <c r="BX71" s="1457"/>
      <c r="BY71" s="1457"/>
      <c r="BZ71" s="1458"/>
      <c r="CA71" s="491"/>
      <c r="CB71" s="611"/>
      <c r="CC71" s="513">
        <v>1</v>
      </c>
      <c r="CD71" s="1456" t="s">
        <v>5007</v>
      </c>
      <c r="CE71" s="1457"/>
      <c r="CF71" s="1457"/>
      <c r="CG71" s="1457"/>
      <c r="CH71" s="1457"/>
      <c r="CI71" s="1457"/>
      <c r="CJ71" s="1457"/>
      <c r="CK71" s="1457"/>
      <c r="CL71" s="1458"/>
      <c r="CM71" s="564"/>
      <c r="CN71" s="491"/>
      <c r="CO71" s="491"/>
      <c r="CP71" s="491"/>
      <c r="CQ71" s="578"/>
      <c r="CR71" s="1456" t="s">
        <v>5113</v>
      </c>
      <c r="CS71" s="1457"/>
      <c r="CT71" s="1457"/>
      <c r="CU71" s="1457"/>
      <c r="CV71" s="1457"/>
      <c r="CW71" s="1457"/>
      <c r="CX71" s="1457"/>
      <c r="CY71" s="1457"/>
      <c r="CZ71" s="1457"/>
      <c r="DA71" s="1458"/>
      <c r="DB71" s="491"/>
      <c r="DC71" s="491"/>
      <c r="DD71" s="1456" t="s">
        <v>5114</v>
      </c>
      <c r="DE71" s="1457"/>
      <c r="DF71" s="1457"/>
      <c r="DG71" s="1457"/>
      <c r="DH71" s="1457"/>
      <c r="DI71" s="1457"/>
      <c r="DJ71" s="1457"/>
      <c r="DK71" s="1457"/>
      <c r="DL71" s="1457"/>
      <c r="DM71" s="1458"/>
      <c r="DN71" s="564"/>
      <c r="DO71" s="491"/>
      <c r="DP71" s="491"/>
      <c r="DQ71" s="491"/>
      <c r="DR71" s="491"/>
      <c r="DS71" s="491"/>
      <c r="DT71" s="491"/>
      <c r="DU71" s="491"/>
      <c r="DV71" s="491"/>
      <c r="DW71" s="491"/>
      <c r="DX71" s="491"/>
      <c r="DY71" s="491"/>
      <c r="DZ71" s="491"/>
      <c r="EA71" s="491"/>
      <c r="EB71" s="491"/>
      <c r="EC71" s="491"/>
      <c r="ED71" s="491"/>
      <c r="EE71" s="491"/>
      <c r="EF71" s="491"/>
      <c r="EG71" s="578"/>
      <c r="EH71" s="491"/>
      <c r="EI71" s="1524" t="s">
        <v>5115</v>
      </c>
      <c r="EJ71" s="1525"/>
      <c r="EK71" s="1525"/>
      <c r="EL71" s="1525"/>
      <c r="EM71" s="1525"/>
      <c r="EN71" s="1525"/>
      <c r="EO71" s="1525"/>
      <c r="EP71" s="1525"/>
      <c r="EQ71" s="1525"/>
      <c r="ER71" s="1526"/>
      <c r="ES71" s="491"/>
      <c r="ET71" s="1503" t="s">
        <v>3840</v>
      </c>
      <c r="EU71" s="1504"/>
      <c r="EV71" s="1504"/>
      <c r="EW71" s="1504"/>
      <c r="EX71" s="1504"/>
      <c r="EY71" s="1504"/>
      <c r="EZ71" s="1504"/>
      <c r="FA71" s="1504"/>
      <c r="FB71" s="1504"/>
      <c r="FC71" s="1505"/>
      <c r="FD71" s="491"/>
      <c r="FE71" s="1533"/>
      <c r="FF71" s="1534"/>
      <c r="FG71" s="1534"/>
      <c r="FH71" s="1534"/>
      <c r="FI71" s="1534"/>
      <c r="FJ71" s="1534"/>
      <c r="FK71" s="1534"/>
      <c r="FL71" s="1534"/>
      <c r="FM71" s="1534"/>
      <c r="FN71" s="1534"/>
      <c r="FO71" s="491"/>
      <c r="FP71" s="1485" t="s">
        <v>3980</v>
      </c>
      <c r="FQ71" s="1486"/>
      <c r="FR71" s="1486"/>
      <c r="FS71" s="1486"/>
      <c r="FT71" s="1486"/>
      <c r="FU71" s="1486"/>
      <c r="FV71" s="1486"/>
      <c r="FW71" s="1486"/>
      <c r="FX71" s="1486"/>
      <c r="FY71" s="1535"/>
      <c r="FZ71" s="491"/>
      <c r="GA71" s="1447" t="s">
        <v>5116</v>
      </c>
      <c r="GB71" s="1448"/>
      <c r="GC71" s="1448"/>
      <c r="GD71" s="1448"/>
      <c r="GE71" s="1448"/>
      <c r="GF71" s="1448"/>
      <c r="GG71" s="1448"/>
      <c r="GH71" s="1448"/>
      <c r="GI71" s="1448"/>
      <c r="GJ71" s="1449"/>
      <c r="GK71" s="564"/>
      <c r="GL71" s="511"/>
      <c r="GM71" s="491"/>
      <c r="GN71" s="491"/>
      <c r="GO71" s="526"/>
      <c r="GP71" s="491"/>
      <c r="GQ71" s="491"/>
      <c r="GR71" s="491"/>
      <c r="GS71" s="491"/>
      <c r="GT71" s="491"/>
      <c r="GU71" s="491"/>
      <c r="GV71" s="491"/>
      <c r="GW71" s="491"/>
      <c r="GX71" s="491"/>
      <c r="GY71" s="491"/>
      <c r="GZ71" s="491"/>
      <c r="HA71" s="491"/>
      <c r="HB71" s="491"/>
      <c r="HC71" s="491"/>
      <c r="HD71" s="491"/>
      <c r="HE71" s="491"/>
      <c r="HF71" s="491"/>
      <c r="HG71" s="491"/>
      <c r="HH71" s="491"/>
      <c r="HI71" s="491"/>
      <c r="HJ71" s="491"/>
      <c r="HK71" s="491"/>
      <c r="HL71" s="491"/>
      <c r="HM71" s="491"/>
      <c r="HN71" s="491"/>
      <c r="HO71" s="491"/>
      <c r="HP71" s="491"/>
      <c r="HQ71" s="491"/>
      <c r="HR71" s="491"/>
      <c r="HS71" s="491"/>
      <c r="HT71" s="491"/>
      <c r="HU71" s="491"/>
      <c r="HV71" s="491"/>
      <c r="HW71" s="491"/>
      <c r="HX71" s="491"/>
      <c r="HY71" s="491"/>
      <c r="HZ71" s="491"/>
      <c r="IA71" s="491"/>
      <c r="IB71" s="491"/>
      <c r="IC71" s="491"/>
      <c r="ID71" s="491"/>
      <c r="IE71" s="491"/>
      <c r="IF71" s="491"/>
      <c r="IG71" s="491"/>
      <c r="IH71" s="491"/>
      <c r="II71" s="491"/>
      <c r="IJ71" s="491"/>
      <c r="IK71" s="491"/>
      <c r="IL71" s="491"/>
      <c r="IM71" s="491"/>
      <c r="IN71" s="491"/>
      <c r="IO71" s="491"/>
      <c r="IP71" s="491"/>
      <c r="IQ71" s="491"/>
      <c r="IR71" s="491"/>
      <c r="IS71" s="491"/>
      <c r="IT71" s="491"/>
      <c r="IU71" s="491"/>
      <c r="IV71" s="491"/>
      <c r="IW71" s="491"/>
      <c r="IX71" s="491"/>
      <c r="IY71" s="491"/>
      <c r="IZ71" s="491"/>
      <c r="JA71" s="491"/>
      <c r="JB71" s="491"/>
      <c r="JC71" s="491"/>
      <c r="JD71" s="491"/>
      <c r="JE71" s="491"/>
      <c r="JF71" s="491"/>
      <c r="JG71" s="491"/>
      <c r="JH71" s="491"/>
      <c r="JI71" s="491"/>
      <c r="JJ71" s="491"/>
      <c r="JK71" s="491"/>
      <c r="JL71" s="491"/>
      <c r="JM71" s="491"/>
      <c r="JN71" s="491"/>
      <c r="JO71" s="491"/>
      <c r="JP71" s="491"/>
      <c r="JQ71" s="491"/>
      <c r="JR71" s="491"/>
      <c r="JS71" s="491"/>
      <c r="JT71" s="491"/>
      <c r="JU71" s="491"/>
      <c r="JV71" s="491"/>
      <c r="JW71" s="491"/>
      <c r="JX71" s="491"/>
      <c r="JY71" s="491"/>
      <c r="JZ71" s="491"/>
      <c r="KA71" s="491"/>
      <c r="KB71" s="526"/>
      <c r="KC71" s="491"/>
      <c r="KD71" s="491"/>
      <c r="KE71" s="491"/>
      <c r="KF71" s="491"/>
      <c r="KG71" s="491"/>
      <c r="KH71" s="491"/>
      <c r="KI71" s="491"/>
      <c r="KJ71" s="491"/>
      <c r="KK71" s="491"/>
      <c r="KL71" s="491"/>
      <c r="KM71" s="491"/>
      <c r="KN71" s="491"/>
      <c r="KO71" s="491"/>
      <c r="KP71" s="491"/>
      <c r="KQ71" s="491"/>
      <c r="KR71" s="491"/>
      <c r="KS71" s="491"/>
      <c r="KT71" s="491"/>
      <c r="KU71" s="564"/>
      <c r="KV71" s="491"/>
      <c r="KW71" s="491"/>
      <c r="KX71" s="491"/>
      <c r="KY71" s="491"/>
      <c r="KZ71" s="578"/>
      <c r="LA71" s="491"/>
      <c r="LB71" s="491"/>
      <c r="LC71" s="491"/>
      <c r="LD71" s="491"/>
      <c r="LE71" s="491"/>
      <c r="LF71" s="491"/>
      <c r="LG71" s="491"/>
      <c r="LH71" s="491"/>
      <c r="LI71" s="491"/>
      <c r="LJ71" s="491"/>
      <c r="LK71" s="491"/>
      <c r="LL71" s="1450" t="s">
        <v>5117</v>
      </c>
      <c r="LM71" s="1451"/>
      <c r="LN71" s="1451"/>
      <c r="LO71" s="1451"/>
      <c r="LP71" s="1451"/>
      <c r="LQ71" s="1451"/>
      <c r="LR71" s="1451"/>
      <c r="LS71" s="1451"/>
      <c r="LT71" s="1451"/>
      <c r="LU71" s="1452"/>
      <c r="LV71" s="491"/>
      <c r="LW71" s="491"/>
      <c r="LX71" s="491"/>
      <c r="LY71" s="491"/>
      <c r="LZ71" s="491"/>
      <c r="MA71" s="491"/>
      <c r="MB71" s="491"/>
      <c r="MC71" s="491"/>
      <c r="MD71" s="491"/>
      <c r="ME71" s="491"/>
      <c r="MF71" s="491"/>
      <c r="MG71" s="564"/>
      <c r="MH71" s="491"/>
      <c r="MI71" s="491"/>
      <c r="MJ71" s="491"/>
      <c r="MK71" s="491"/>
      <c r="ML71" s="491"/>
      <c r="MM71" s="491"/>
      <c r="MN71" s="578"/>
      <c r="MO71" s="491"/>
      <c r="MP71" s="491"/>
      <c r="MQ71" s="491"/>
      <c r="MR71" s="491"/>
      <c r="MS71" s="491"/>
      <c r="MT71" s="491"/>
      <c r="MU71" s="491"/>
      <c r="MV71" s="491"/>
      <c r="MW71" s="491"/>
      <c r="MX71" s="491"/>
      <c r="MY71" s="491"/>
      <c r="MZ71" s="491"/>
      <c r="NA71" s="491"/>
      <c r="NB71" s="491"/>
      <c r="NC71" s="491"/>
      <c r="ND71" s="491"/>
      <c r="NE71" s="491"/>
      <c r="NF71" s="547"/>
      <c r="NG71" s="491"/>
      <c r="NH71" s="1503" t="s">
        <v>5118</v>
      </c>
      <c r="NI71" s="1504"/>
      <c r="NJ71" s="1504"/>
      <c r="NK71" s="1504"/>
      <c r="NL71" s="1504"/>
      <c r="NM71" s="1504"/>
      <c r="NN71" s="1504"/>
      <c r="NO71" s="1504"/>
      <c r="NP71" s="1504"/>
      <c r="NQ71" s="1505"/>
      <c r="NR71" s="547"/>
      <c r="NS71" s="564"/>
      <c r="NT71" s="491"/>
      <c r="NU71" s="491"/>
      <c r="NV71" s="491"/>
      <c r="NW71" s="491"/>
      <c r="NX71" s="491"/>
      <c r="PW71" s="482"/>
    </row>
    <row r="72" spans="11:470" ht="12.75" customHeight="1" x14ac:dyDescent="0.35">
      <c r="K72" s="482"/>
      <c r="AR72" s="541"/>
      <c r="AU72" s="491"/>
      <c r="AV72" s="491"/>
      <c r="AW72" s="491"/>
      <c r="AX72" s="491"/>
      <c r="AY72" s="491"/>
      <c r="AZ72" s="491"/>
      <c r="BA72" s="491"/>
      <c r="BB72" s="491"/>
      <c r="BC72" s="491"/>
      <c r="BD72" s="491"/>
      <c r="BE72" s="491"/>
      <c r="BF72" s="491"/>
      <c r="BG72" s="491"/>
      <c r="BH72" s="491"/>
      <c r="BI72" s="491"/>
      <c r="BJ72" s="491"/>
      <c r="BK72" s="491"/>
      <c r="BL72" s="491"/>
      <c r="BM72" s="491"/>
      <c r="BN72" s="491"/>
      <c r="BO72" s="491"/>
      <c r="BP72" s="578"/>
      <c r="BQ72" s="1530" t="s">
        <v>5119</v>
      </c>
      <c r="BR72" s="1531"/>
      <c r="BS72" s="1531"/>
      <c r="BT72" s="1531"/>
      <c r="BU72" s="1531"/>
      <c r="BV72" s="1531"/>
      <c r="BW72" s="1531"/>
      <c r="BX72" s="1531"/>
      <c r="BY72" s="1531"/>
      <c r="BZ72" s="1532"/>
      <c r="CA72" s="491"/>
      <c r="CB72" s="611"/>
      <c r="CC72" s="1530" t="s">
        <v>5120</v>
      </c>
      <c r="CD72" s="1531"/>
      <c r="CE72" s="1531"/>
      <c r="CF72" s="1531"/>
      <c r="CG72" s="1531"/>
      <c r="CH72" s="1531"/>
      <c r="CI72" s="1531"/>
      <c r="CJ72" s="1531"/>
      <c r="CK72" s="1531"/>
      <c r="CL72" s="1532"/>
      <c r="CM72" s="564"/>
      <c r="CN72" s="501"/>
      <c r="CO72" s="501"/>
      <c r="CP72" s="491"/>
      <c r="CQ72" s="578"/>
      <c r="CR72" s="513">
        <v>1</v>
      </c>
      <c r="CS72" s="1456" t="s">
        <v>5081</v>
      </c>
      <c r="CT72" s="1457"/>
      <c r="CU72" s="1457"/>
      <c r="CV72" s="1457"/>
      <c r="CW72" s="1457"/>
      <c r="CX72" s="1457"/>
      <c r="CY72" s="1457"/>
      <c r="CZ72" s="1457"/>
      <c r="DA72" s="1458"/>
      <c r="DB72" s="491"/>
      <c r="DC72" s="519"/>
      <c r="DD72" s="513">
        <v>1</v>
      </c>
      <c r="DE72" s="1456" t="s">
        <v>5081</v>
      </c>
      <c r="DF72" s="1457"/>
      <c r="DG72" s="1457"/>
      <c r="DH72" s="1457"/>
      <c r="DI72" s="1457"/>
      <c r="DJ72" s="1457"/>
      <c r="DK72" s="1457"/>
      <c r="DL72" s="1457"/>
      <c r="DM72" s="1458"/>
      <c r="DN72" s="564"/>
      <c r="DO72" s="491"/>
      <c r="DP72" s="491"/>
      <c r="DQ72" s="491"/>
      <c r="DR72" s="491"/>
      <c r="DS72" s="491"/>
      <c r="DT72" s="491"/>
      <c r="DU72" s="491"/>
      <c r="DV72" s="491"/>
      <c r="DW72" s="491"/>
      <c r="DX72" s="491"/>
      <c r="DY72" s="491"/>
      <c r="DZ72" s="491"/>
      <c r="EA72" s="491"/>
      <c r="EB72" s="491"/>
      <c r="EC72" s="491"/>
      <c r="ED72" s="491"/>
      <c r="EE72" s="491"/>
      <c r="EF72" s="491"/>
      <c r="EG72" s="578"/>
      <c r="EH72" s="491"/>
      <c r="EI72" s="513">
        <v>1</v>
      </c>
      <c r="EJ72" s="1456" t="s">
        <v>82</v>
      </c>
      <c r="EK72" s="1457"/>
      <c r="EL72" s="1457"/>
      <c r="EM72" s="1457"/>
      <c r="EN72" s="1457"/>
      <c r="EO72" s="1457"/>
      <c r="EP72" s="1457"/>
      <c r="EQ72" s="1457"/>
      <c r="ER72" s="1458"/>
      <c r="ES72" s="491"/>
      <c r="ET72" s="648">
        <v>1</v>
      </c>
      <c r="EU72" s="1488" t="s">
        <v>82</v>
      </c>
      <c r="EV72" s="1489"/>
      <c r="EW72" s="1489"/>
      <c r="EX72" s="1489"/>
      <c r="EY72" s="1489"/>
      <c r="EZ72" s="1489"/>
      <c r="FA72" s="1489"/>
      <c r="FB72" s="1489"/>
      <c r="FC72" s="1490"/>
      <c r="FD72" s="491"/>
      <c r="FE72" s="491"/>
      <c r="FF72" s="491"/>
      <c r="FG72" s="491"/>
      <c r="FH72" s="491"/>
      <c r="FI72" s="491"/>
      <c r="FJ72" s="491"/>
      <c r="FK72" s="491"/>
      <c r="FL72" s="491"/>
      <c r="FM72" s="491"/>
      <c r="FN72" s="491"/>
      <c r="FO72" s="491"/>
      <c r="FP72" s="513">
        <v>1</v>
      </c>
      <c r="FQ72" s="1456" t="s">
        <v>5121</v>
      </c>
      <c r="FR72" s="1457"/>
      <c r="FS72" s="1457"/>
      <c r="FT72" s="1457"/>
      <c r="FU72" s="1457"/>
      <c r="FV72" s="1457"/>
      <c r="FW72" s="1457"/>
      <c r="FX72" s="1457"/>
      <c r="FY72" s="1458"/>
      <c r="FZ72" s="491"/>
      <c r="GA72" s="491"/>
      <c r="GB72" s="500"/>
      <c r="GC72" s="500"/>
      <c r="GD72" s="500"/>
      <c r="GE72" s="500"/>
      <c r="GF72" s="500"/>
      <c r="GG72" s="500"/>
      <c r="GH72" s="500"/>
      <c r="GI72" s="500"/>
      <c r="GJ72" s="491"/>
      <c r="GK72" s="564"/>
      <c r="GL72" s="491"/>
      <c r="GM72" s="511"/>
      <c r="GN72" s="511"/>
      <c r="GO72" s="526"/>
      <c r="GP72" s="491"/>
      <c r="GQ72" s="491"/>
      <c r="GR72" s="491"/>
      <c r="GS72" s="491"/>
      <c r="GT72" s="491"/>
      <c r="GU72" s="491"/>
      <c r="GV72" s="491"/>
      <c r="GW72" s="491"/>
      <c r="GX72" s="491"/>
      <c r="GY72" s="491"/>
      <c r="GZ72" s="491"/>
      <c r="HA72" s="491"/>
      <c r="HB72" s="491"/>
      <c r="HC72" s="491"/>
      <c r="HD72" s="491"/>
      <c r="HE72" s="491"/>
      <c r="HF72" s="491"/>
      <c r="HG72" s="491"/>
      <c r="HH72" s="491"/>
      <c r="HI72" s="491"/>
      <c r="HJ72" s="491"/>
      <c r="HK72" s="491"/>
      <c r="HL72" s="491"/>
      <c r="HM72" s="491"/>
      <c r="HN72" s="491"/>
      <c r="HO72" s="491"/>
      <c r="HP72" s="491"/>
      <c r="HQ72" s="491"/>
      <c r="HR72" s="491"/>
      <c r="HS72" s="491"/>
      <c r="HT72" s="491"/>
      <c r="HU72" s="491"/>
      <c r="HV72" s="491"/>
      <c r="HW72" s="491"/>
      <c r="HX72" s="491"/>
      <c r="HY72" s="491"/>
      <c r="HZ72" s="491"/>
      <c r="IA72" s="491"/>
      <c r="IB72" s="491"/>
      <c r="IC72" s="491"/>
      <c r="ID72" s="491"/>
      <c r="IE72" s="491"/>
      <c r="IF72" s="491"/>
      <c r="IG72" s="491"/>
      <c r="IH72" s="491"/>
      <c r="II72" s="491"/>
      <c r="IJ72" s="491"/>
      <c r="IK72" s="491"/>
      <c r="IL72" s="491"/>
      <c r="IM72" s="491"/>
      <c r="IN72" s="491"/>
      <c r="IO72" s="491"/>
      <c r="IP72" s="491"/>
      <c r="IQ72" s="491"/>
      <c r="IR72" s="491"/>
      <c r="IS72" s="491"/>
      <c r="IT72" s="491"/>
      <c r="IU72" s="491"/>
      <c r="IV72" s="491"/>
      <c r="IW72" s="491"/>
      <c r="IX72" s="491"/>
      <c r="IY72" s="491"/>
      <c r="IZ72" s="491"/>
      <c r="JA72" s="491"/>
      <c r="JB72" s="491"/>
      <c r="JC72" s="491"/>
      <c r="JD72" s="491"/>
      <c r="JE72" s="491"/>
      <c r="JF72" s="491"/>
      <c r="JG72" s="491"/>
      <c r="JH72" s="491"/>
      <c r="JI72" s="491"/>
      <c r="JJ72" s="491"/>
      <c r="JK72" s="491"/>
      <c r="JL72" s="491"/>
      <c r="JM72" s="491"/>
      <c r="JN72" s="491"/>
      <c r="JO72" s="491"/>
      <c r="JP72" s="491"/>
      <c r="JQ72" s="491"/>
      <c r="JR72" s="491"/>
      <c r="JS72" s="491"/>
      <c r="JT72" s="491"/>
      <c r="JU72" s="491"/>
      <c r="JV72" s="491"/>
      <c r="JW72" s="491"/>
      <c r="JX72" s="491"/>
      <c r="JY72" s="491"/>
      <c r="JZ72" s="491"/>
      <c r="KA72" s="491"/>
      <c r="KB72" s="526"/>
      <c r="KC72" s="491"/>
      <c r="KD72" s="491"/>
      <c r="KE72" s="491"/>
      <c r="KF72" s="491"/>
      <c r="KG72" s="491"/>
      <c r="KH72" s="491"/>
      <c r="KI72" s="491"/>
      <c r="KJ72" s="491"/>
      <c r="KK72" s="491"/>
      <c r="KL72" s="491"/>
      <c r="KM72" s="491"/>
      <c r="KN72" s="491"/>
      <c r="KO72" s="491"/>
      <c r="KP72" s="491"/>
      <c r="KQ72" s="491"/>
      <c r="KR72" s="491"/>
      <c r="KS72" s="491"/>
      <c r="KT72" s="491"/>
      <c r="KU72" s="564"/>
      <c r="KV72" s="491"/>
      <c r="KW72" s="491"/>
      <c r="KX72" s="491"/>
      <c r="KY72" s="491"/>
      <c r="KZ72" s="578"/>
      <c r="LA72" s="491"/>
      <c r="LB72" s="491"/>
      <c r="LC72" s="491"/>
      <c r="LD72" s="491"/>
      <c r="LE72" s="491"/>
      <c r="LF72" s="491"/>
      <c r="LG72" s="491"/>
      <c r="LH72" s="491"/>
      <c r="LI72" s="491"/>
      <c r="LJ72" s="491"/>
      <c r="LK72" s="491"/>
      <c r="LL72" s="491"/>
      <c r="LM72" s="500"/>
      <c r="LN72" s="500"/>
      <c r="LO72" s="500"/>
      <c r="LP72" s="500"/>
      <c r="LQ72" s="500"/>
      <c r="LR72" s="500"/>
      <c r="LS72" s="500"/>
      <c r="LT72" s="500"/>
      <c r="LU72" s="491"/>
      <c r="LV72" s="491"/>
      <c r="LW72" s="491"/>
      <c r="LX72" s="491"/>
      <c r="LY72" s="491"/>
      <c r="LZ72" s="491"/>
      <c r="MA72" s="491"/>
      <c r="MB72" s="491"/>
      <c r="MC72" s="491"/>
      <c r="MD72" s="491"/>
      <c r="ME72" s="491"/>
      <c r="MF72" s="491"/>
      <c r="MG72" s="564"/>
      <c r="MH72" s="491"/>
      <c r="MI72" s="491"/>
      <c r="MJ72" s="491"/>
      <c r="MK72" s="491"/>
      <c r="ML72" s="491"/>
      <c r="MM72" s="491"/>
      <c r="MN72" s="578"/>
      <c r="MO72" s="491"/>
      <c r="MP72" s="491"/>
      <c r="MQ72" s="491"/>
      <c r="MR72" s="491"/>
      <c r="MS72" s="491"/>
      <c r="MT72" s="491"/>
      <c r="MU72" s="491"/>
      <c r="MV72" s="491"/>
      <c r="MW72" s="491"/>
      <c r="MX72" s="491"/>
      <c r="MY72" s="491"/>
      <c r="MZ72" s="491"/>
      <c r="NA72" s="491"/>
      <c r="NB72" s="491"/>
      <c r="NC72" s="491"/>
      <c r="ND72" s="491"/>
      <c r="NE72" s="491"/>
      <c r="NF72" s="547"/>
      <c r="NG72" s="491"/>
      <c r="NH72" s="513">
        <v>1</v>
      </c>
      <c r="NI72" s="1456" t="s">
        <v>5097</v>
      </c>
      <c r="NJ72" s="1457"/>
      <c r="NK72" s="1457"/>
      <c r="NL72" s="1457"/>
      <c r="NM72" s="1457"/>
      <c r="NN72" s="1457"/>
      <c r="NO72" s="1457"/>
      <c r="NP72" s="1457"/>
      <c r="NQ72" s="1458"/>
      <c r="NR72" s="649"/>
      <c r="NS72" s="564"/>
      <c r="NT72" s="491"/>
      <c r="NU72" s="491"/>
      <c r="NV72" s="491"/>
      <c r="NW72" s="491"/>
      <c r="NX72" s="491"/>
      <c r="PW72" s="482"/>
    </row>
    <row r="73" spans="11:470" ht="12.75" customHeight="1" x14ac:dyDescent="0.2">
      <c r="K73" s="482"/>
      <c r="AR73" s="541"/>
      <c r="AU73" s="491"/>
      <c r="AV73" s="491"/>
      <c r="AW73" s="491"/>
      <c r="AX73" s="491"/>
      <c r="AY73" s="491"/>
      <c r="AZ73" s="491"/>
      <c r="BA73" s="491"/>
      <c r="BB73" s="491"/>
      <c r="BC73" s="491"/>
      <c r="BD73" s="491"/>
      <c r="BE73" s="491"/>
      <c r="BF73" s="491"/>
      <c r="BG73" s="491"/>
      <c r="BH73" s="491"/>
      <c r="BI73" s="491"/>
      <c r="BJ73" s="491"/>
      <c r="BK73" s="491"/>
      <c r="BL73" s="491"/>
      <c r="BM73" s="491"/>
      <c r="BN73" s="491"/>
      <c r="BO73" s="491"/>
      <c r="BP73" s="578"/>
      <c r="BQ73" s="639">
        <v>1</v>
      </c>
      <c r="BR73" s="1519" t="s">
        <v>5122</v>
      </c>
      <c r="BS73" s="1519"/>
      <c r="BT73" s="1519"/>
      <c r="BU73" s="1519"/>
      <c r="BV73" s="1519"/>
      <c r="BW73" s="1519"/>
      <c r="BX73" s="1519"/>
      <c r="BY73" s="1519"/>
      <c r="BZ73" s="1519"/>
      <c r="CA73" s="491"/>
      <c r="CB73" s="611"/>
      <c r="CC73" s="639">
        <v>1</v>
      </c>
      <c r="CD73" s="1519" t="s">
        <v>5122</v>
      </c>
      <c r="CE73" s="1519"/>
      <c r="CF73" s="1519"/>
      <c r="CG73" s="1519"/>
      <c r="CH73" s="1519"/>
      <c r="CI73" s="1519"/>
      <c r="CJ73" s="1519"/>
      <c r="CK73" s="1519"/>
      <c r="CL73" s="1519"/>
      <c r="CM73" s="564"/>
      <c r="CN73" s="498"/>
      <c r="CO73" s="498"/>
      <c r="CP73" s="491"/>
      <c r="CQ73" s="578"/>
      <c r="CR73" s="1450" t="s">
        <v>5123</v>
      </c>
      <c r="CS73" s="1451"/>
      <c r="CT73" s="1451"/>
      <c r="CU73" s="1451"/>
      <c r="CV73" s="1451"/>
      <c r="CW73" s="1451"/>
      <c r="CX73" s="1451"/>
      <c r="CY73" s="1451"/>
      <c r="CZ73" s="1451"/>
      <c r="DA73" s="1452"/>
      <c r="DB73" s="491"/>
      <c r="DC73" s="519"/>
      <c r="DD73" s="1447" t="s">
        <v>5124</v>
      </c>
      <c r="DE73" s="1448"/>
      <c r="DF73" s="1448"/>
      <c r="DG73" s="1448"/>
      <c r="DH73" s="1448"/>
      <c r="DI73" s="1448"/>
      <c r="DJ73" s="1448"/>
      <c r="DK73" s="1448"/>
      <c r="DL73" s="1448"/>
      <c r="DM73" s="1449"/>
      <c r="DN73" s="564"/>
      <c r="DO73" s="491"/>
      <c r="DP73" s="491"/>
      <c r="DQ73" s="491"/>
      <c r="DR73" s="491"/>
      <c r="DS73" s="491"/>
      <c r="DT73" s="491"/>
      <c r="DU73" s="491"/>
      <c r="DV73" s="491"/>
      <c r="DW73" s="491"/>
      <c r="DX73" s="491"/>
      <c r="DY73" s="491"/>
      <c r="DZ73" s="491"/>
      <c r="EA73" s="491"/>
      <c r="EB73" s="491"/>
      <c r="EC73" s="491"/>
      <c r="ED73" s="491"/>
      <c r="EE73" s="491"/>
      <c r="EF73" s="491"/>
      <c r="EG73" s="578"/>
      <c r="EH73" s="491"/>
      <c r="EI73" s="1447" t="s">
        <v>5125</v>
      </c>
      <c r="EJ73" s="1448"/>
      <c r="EK73" s="1448"/>
      <c r="EL73" s="1448"/>
      <c r="EM73" s="1448"/>
      <c r="EN73" s="1448"/>
      <c r="EO73" s="1448"/>
      <c r="EP73" s="1448"/>
      <c r="EQ73" s="1448"/>
      <c r="ER73" s="1542"/>
      <c r="ES73" s="491"/>
      <c r="ET73" s="1543" t="s">
        <v>3787</v>
      </c>
      <c r="EU73" s="1544"/>
      <c r="EV73" s="1544"/>
      <c r="EW73" s="1544"/>
      <c r="EX73" s="1544"/>
      <c r="EY73" s="1544"/>
      <c r="EZ73" s="1544"/>
      <c r="FA73" s="1544"/>
      <c r="FB73" s="1544"/>
      <c r="FC73" s="1545"/>
      <c r="FD73" s="491"/>
      <c r="FE73" s="491"/>
      <c r="FF73" s="491"/>
      <c r="FG73" s="491"/>
      <c r="FH73" s="491"/>
      <c r="FI73" s="491"/>
      <c r="FJ73" s="491"/>
      <c r="FK73" s="491"/>
      <c r="FL73" s="491"/>
      <c r="FM73" s="491"/>
      <c r="FN73" s="491"/>
      <c r="FO73" s="491"/>
      <c r="FP73" s="1537" t="s">
        <v>5126</v>
      </c>
      <c r="FQ73" s="1538"/>
      <c r="FR73" s="1538"/>
      <c r="FS73" s="1538"/>
      <c r="FT73" s="1538"/>
      <c r="FU73" s="1538"/>
      <c r="FV73" s="1538"/>
      <c r="FW73" s="1538"/>
      <c r="FX73" s="1538"/>
      <c r="FY73" s="1539"/>
      <c r="FZ73" s="491"/>
      <c r="GA73" s="491"/>
      <c r="GB73" s="491"/>
      <c r="GC73" s="491"/>
      <c r="GD73" s="491"/>
      <c r="GE73" s="491"/>
      <c r="GF73" s="491"/>
      <c r="GG73" s="491"/>
      <c r="GH73" s="491"/>
      <c r="GI73" s="491"/>
      <c r="GJ73" s="491"/>
      <c r="GK73" s="564"/>
      <c r="GL73" s="491"/>
      <c r="GM73" s="511"/>
      <c r="GN73" s="511"/>
      <c r="GO73" s="526"/>
      <c r="GP73" s="491"/>
      <c r="GQ73" s="491"/>
      <c r="GR73" s="491"/>
      <c r="GS73" s="491"/>
      <c r="GT73" s="491"/>
      <c r="GU73" s="491"/>
      <c r="GV73" s="491"/>
      <c r="GW73" s="491"/>
      <c r="GX73" s="491"/>
      <c r="GY73" s="491"/>
      <c r="GZ73" s="491"/>
      <c r="HA73" s="491"/>
      <c r="HB73" s="491"/>
      <c r="HC73" s="491"/>
      <c r="HD73" s="491"/>
      <c r="HE73" s="491"/>
      <c r="HF73" s="491"/>
      <c r="HG73" s="491"/>
      <c r="HH73" s="491"/>
      <c r="HI73" s="491"/>
      <c r="HJ73" s="491"/>
      <c r="HK73" s="491"/>
      <c r="HL73" s="491"/>
      <c r="HM73" s="491"/>
      <c r="HN73" s="491"/>
      <c r="HO73" s="491"/>
      <c r="HP73" s="491"/>
      <c r="HQ73" s="491"/>
      <c r="HR73" s="491"/>
      <c r="HS73" s="491"/>
      <c r="HT73" s="491"/>
      <c r="HU73" s="491"/>
      <c r="HV73" s="491"/>
      <c r="HW73" s="491"/>
      <c r="HX73" s="491"/>
      <c r="HY73" s="491"/>
      <c r="HZ73" s="491"/>
      <c r="IA73" s="491"/>
      <c r="IB73" s="491"/>
      <c r="IC73" s="491"/>
      <c r="ID73" s="491"/>
      <c r="IE73" s="491"/>
      <c r="IF73" s="491"/>
      <c r="IG73" s="491"/>
      <c r="IH73" s="491"/>
      <c r="II73" s="491"/>
      <c r="IJ73" s="491"/>
      <c r="IK73" s="491"/>
      <c r="IL73" s="491"/>
      <c r="IM73" s="491"/>
      <c r="IN73" s="491"/>
      <c r="IO73" s="491"/>
      <c r="IP73" s="491"/>
      <c r="IQ73" s="491"/>
      <c r="IR73" s="491"/>
      <c r="IS73" s="491"/>
      <c r="IT73" s="491"/>
      <c r="IU73" s="491"/>
      <c r="IV73" s="491"/>
      <c r="IW73" s="491"/>
      <c r="IX73" s="491"/>
      <c r="IY73" s="491"/>
      <c r="IZ73" s="491"/>
      <c r="JA73" s="491"/>
      <c r="JB73" s="491"/>
      <c r="JC73" s="491"/>
      <c r="JD73" s="491"/>
      <c r="JE73" s="491"/>
      <c r="JF73" s="491"/>
      <c r="JG73" s="491"/>
      <c r="JH73" s="491"/>
      <c r="JI73" s="491"/>
      <c r="JJ73" s="491"/>
      <c r="JK73" s="491"/>
      <c r="JL73" s="491"/>
      <c r="JM73" s="491"/>
      <c r="JN73" s="491"/>
      <c r="JO73" s="491"/>
      <c r="JP73" s="491"/>
      <c r="JQ73" s="491"/>
      <c r="JR73" s="491"/>
      <c r="JS73" s="491"/>
      <c r="JT73" s="491"/>
      <c r="JU73" s="491"/>
      <c r="JV73" s="491"/>
      <c r="JW73" s="491"/>
      <c r="JX73" s="491"/>
      <c r="JY73" s="491"/>
      <c r="JZ73" s="491"/>
      <c r="KA73" s="491"/>
      <c r="KB73" s="526"/>
      <c r="KC73" s="491"/>
      <c r="KD73" s="491"/>
      <c r="KE73" s="491"/>
      <c r="KF73" s="491"/>
      <c r="KG73" s="491"/>
      <c r="KH73" s="491"/>
      <c r="KI73" s="491"/>
      <c r="KJ73" s="491"/>
      <c r="KK73" s="491"/>
      <c r="KL73" s="491"/>
      <c r="KM73" s="491"/>
      <c r="KN73" s="491"/>
      <c r="KO73" s="491"/>
      <c r="KP73" s="491"/>
      <c r="KQ73" s="491"/>
      <c r="KR73" s="491"/>
      <c r="KS73" s="491"/>
      <c r="KT73" s="491"/>
      <c r="KU73" s="564"/>
      <c r="KV73" s="491"/>
      <c r="KW73" s="491"/>
      <c r="KX73" s="491"/>
      <c r="KY73" s="491"/>
      <c r="KZ73" s="578"/>
      <c r="LA73" s="491"/>
      <c r="LB73" s="491"/>
      <c r="LC73" s="491"/>
      <c r="LD73" s="491"/>
      <c r="LE73" s="491"/>
      <c r="LF73" s="491"/>
      <c r="LG73" s="491"/>
      <c r="LH73" s="491"/>
      <c r="LI73" s="491"/>
      <c r="LJ73" s="491"/>
      <c r="LK73" s="491"/>
      <c r="LL73" s="491"/>
      <c r="LM73" s="491"/>
      <c r="LN73" s="491"/>
      <c r="LO73" s="491"/>
      <c r="LP73" s="491"/>
      <c r="LQ73" s="491"/>
      <c r="LR73" s="491"/>
      <c r="LS73" s="491"/>
      <c r="LT73" s="491"/>
      <c r="LU73" s="491"/>
      <c r="LV73" s="491"/>
      <c r="LW73" s="491"/>
      <c r="LX73" s="491"/>
      <c r="LY73" s="491"/>
      <c r="LZ73" s="491"/>
      <c r="MA73" s="491"/>
      <c r="MB73" s="491"/>
      <c r="MC73" s="491"/>
      <c r="MD73" s="491"/>
      <c r="ME73" s="491"/>
      <c r="MF73" s="491"/>
      <c r="MG73" s="564"/>
      <c r="MH73" s="491"/>
      <c r="MI73" s="491"/>
      <c r="MJ73" s="491"/>
      <c r="MK73" s="491"/>
      <c r="ML73" s="491"/>
      <c r="MM73" s="491"/>
      <c r="MN73" s="578"/>
      <c r="MO73" s="491"/>
      <c r="MP73" s="491"/>
      <c r="MQ73" s="491"/>
      <c r="MR73" s="491"/>
      <c r="MS73" s="491"/>
      <c r="MT73" s="491"/>
      <c r="MU73" s="491"/>
      <c r="MV73" s="491"/>
      <c r="MW73" s="491"/>
      <c r="MX73" s="491"/>
      <c r="MY73" s="491"/>
      <c r="MZ73" s="491"/>
      <c r="NA73" s="491"/>
      <c r="NB73" s="491"/>
      <c r="NC73" s="491"/>
      <c r="ND73" s="491"/>
      <c r="NE73" s="491"/>
      <c r="NF73" s="547"/>
      <c r="NG73" s="491"/>
      <c r="NH73" s="1485" t="s">
        <v>2515</v>
      </c>
      <c r="NI73" s="1486"/>
      <c r="NJ73" s="1486"/>
      <c r="NK73" s="1486"/>
      <c r="NL73" s="1486"/>
      <c r="NM73" s="1486"/>
      <c r="NN73" s="1486"/>
      <c r="NO73" s="1486"/>
      <c r="NP73" s="1486"/>
      <c r="NQ73" s="1487"/>
      <c r="NR73" s="650"/>
      <c r="NS73" s="564"/>
      <c r="NT73" s="491"/>
      <c r="NU73" s="491"/>
      <c r="NV73" s="491"/>
      <c r="NW73" s="491"/>
      <c r="NX73" s="491"/>
      <c r="PW73" s="482"/>
    </row>
    <row r="74" spans="11:470" ht="12.75" customHeight="1" x14ac:dyDescent="0.35">
      <c r="K74" s="482"/>
      <c r="AR74" s="541"/>
      <c r="AU74" s="491"/>
      <c r="AV74" s="491"/>
      <c r="AW74" s="491"/>
      <c r="AX74" s="491"/>
      <c r="AY74" s="491"/>
      <c r="AZ74" s="491"/>
      <c r="BA74" s="491"/>
      <c r="BB74" s="491"/>
      <c r="BC74" s="491"/>
      <c r="BD74" s="491"/>
      <c r="BE74" s="491"/>
      <c r="BF74" s="491"/>
      <c r="BG74" s="491"/>
      <c r="BH74" s="491"/>
      <c r="BI74" s="491"/>
      <c r="BJ74" s="491"/>
      <c r="BK74" s="491"/>
      <c r="BL74" s="491"/>
      <c r="BM74" s="491"/>
      <c r="BN74" s="491"/>
      <c r="BO74" s="491"/>
      <c r="BP74" s="578"/>
      <c r="BQ74" s="1540" t="s">
        <v>4637</v>
      </c>
      <c r="BR74" s="1540"/>
      <c r="BS74" s="1540"/>
      <c r="BT74" s="1540"/>
      <c r="BU74" s="1540"/>
      <c r="BV74" s="1540"/>
      <c r="BW74" s="1540"/>
      <c r="BX74" s="1540"/>
      <c r="BY74" s="1540"/>
      <c r="BZ74" s="1540"/>
      <c r="CA74" s="491"/>
      <c r="CB74" s="611"/>
      <c r="CC74" s="1541" t="s">
        <v>5127</v>
      </c>
      <c r="CD74" s="1541"/>
      <c r="CE74" s="1541"/>
      <c r="CF74" s="1541"/>
      <c r="CG74" s="1541"/>
      <c r="CH74" s="1541"/>
      <c r="CI74" s="1541"/>
      <c r="CJ74" s="1541"/>
      <c r="CK74" s="1541"/>
      <c r="CL74" s="1541"/>
      <c r="CM74" s="564"/>
      <c r="CN74" s="501"/>
      <c r="CO74" s="501"/>
      <c r="CP74" s="491"/>
      <c r="CQ74" s="578"/>
      <c r="CR74" s="513">
        <v>1</v>
      </c>
      <c r="CS74" s="1456" t="s">
        <v>4737</v>
      </c>
      <c r="CT74" s="1457"/>
      <c r="CU74" s="1457"/>
      <c r="CV74" s="1457"/>
      <c r="CW74" s="1457"/>
      <c r="CX74" s="1457"/>
      <c r="CY74" s="1457"/>
      <c r="CZ74" s="1457"/>
      <c r="DA74" s="1458"/>
      <c r="DB74" s="491"/>
      <c r="DC74" s="519"/>
      <c r="DD74" s="513">
        <v>1</v>
      </c>
      <c r="DE74" s="1456" t="s">
        <v>4737</v>
      </c>
      <c r="DF74" s="1457"/>
      <c r="DG74" s="1457"/>
      <c r="DH74" s="1457"/>
      <c r="DI74" s="1457"/>
      <c r="DJ74" s="1457"/>
      <c r="DK74" s="1457"/>
      <c r="DL74" s="1457"/>
      <c r="DM74" s="1458"/>
      <c r="DN74" s="564"/>
      <c r="DO74" s="491"/>
      <c r="DP74" s="491"/>
      <c r="DQ74" s="491"/>
      <c r="DR74" s="491"/>
      <c r="DS74" s="491"/>
      <c r="DT74" s="491"/>
      <c r="DU74" s="491"/>
      <c r="DV74" s="491"/>
      <c r="DW74" s="491"/>
      <c r="DX74" s="491"/>
      <c r="DY74" s="491"/>
      <c r="DZ74" s="491"/>
      <c r="EA74" s="491"/>
      <c r="EB74" s="491"/>
      <c r="EC74" s="491"/>
      <c r="ED74" s="491"/>
      <c r="EE74" s="491"/>
      <c r="EF74" s="491"/>
      <c r="EG74" s="578"/>
      <c r="EH74" s="491"/>
      <c r="EI74" s="491"/>
      <c r="EJ74" s="491"/>
      <c r="EK74" s="491"/>
      <c r="EL74" s="491"/>
      <c r="EM74" s="491"/>
      <c r="EN74" s="491"/>
      <c r="EO74" s="491"/>
      <c r="EP74" s="491"/>
      <c r="EQ74" s="635"/>
      <c r="ER74" s="635"/>
      <c r="ES74" s="635"/>
      <c r="ET74" s="635"/>
      <c r="EU74" s="635"/>
      <c r="EV74" s="635"/>
      <c r="EW74" s="635"/>
      <c r="EX74" s="635"/>
      <c r="EY74" s="491"/>
      <c r="EZ74" s="491"/>
      <c r="FA74" s="491"/>
      <c r="FB74" s="491"/>
      <c r="FC74" s="491"/>
      <c r="FD74" s="491"/>
      <c r="FE74" s="491"/>
      <c r="FF74" s="491"/>
      <c r="FG74" s="491"/>
      <c r="FH74" s="491"/>
      <c r="FI74" s="491"/>
      <c r="FJ74" s="491"/>
      <c r="FK74" s="491"/>
      <c r="FL74" s="491"/>
      <c r="FM74" s="491"/>
      <c r="FN74" s="491"/>
      <c r="FO74" s="491"/>
      <c r="FP74" s="491"/>
      <c r="FQ74" s="491"/>
      <c r="FR74" s="491"/>
      <c r="FS74" s="491"/>
      <c r="FT74" s="491"/>
      <c r="FU74" s="491"/>
      <c r="FV74" s="491"/>
      <c r="FW74" s="491"/>
      <c r="FX74" s="491"/>
      <c r="FY74" s="491"/>
      <c r="FZ74" s="491"/>
      <c r="GA74" s="491"/>
      <c r="GB74" s="511"/>
      <c r="GC74" s="511"/>
      <c r="GD74" s="511"/>
      <c r="GE74" s="511"/>
      <c r="GF74" s="511"/>
      <c r="GG74" s="511"/>
      <c r="GH74" s="511"/>
      <c r="GI74" s="511"/>
      <c r="GJ74" s="491"/>
      <c r="GK74" s="564"/>
      <c r="GL74" s="511"/>
      <c r="GM74" s="511"/>
      <c r="GN74" s="511"/>
      <c r="GO74" s="526"/>
      <c r="GP74" s="491"/>
      <c r="GQ74" s="491"/>
      <c r="GR74" s="491"/>
      <c r="GS74" s="491"/>
      <c r="GT74" s="491"/>
      <c r="GU74" s="491"/>
      <c r="GV74" s="491"/>
      <c r="GW74" s="491"/>
      <c r="GX74" s="491"/>
      <c r="GY74" s="491"/>
      <c r="GZ74" s="491"/>
      <c r="HA74" s="491"/>
      <c r="HB74" s="491"/>
      <c r="HC74" s="491"/>
      <c r="HD74" s="491"/>
      <c r="HE74" s="491"/>
      <c r="HF74" s="491"/>
      <c r="HG74" s="491"/>
      <c r="HH74" s="491"/>
      <c r="HI74" s="491"/>
      <c r="HJ74" s="491"/>
      <c r="HK74" s="491"/>
      <c r="HL74" s="491"/>
      <c r="HM74" s="491"/>
      <c r="HN74" s="491"/>
      <c r="HO74" s="491"/>
      <c r="HP74" s="491"/>
      <c r="HQ74" s="491"/>
      <c r="HR74" s="491"/>
      <c r="HS74" s="491"/>
      <c r="HT74" s="491"/>
      <c r="HU74" s="491"/>
      <c r="HV74" s="491"/>
      <c r="HW74" s="491"/>
      <c r="HX74" s="491"/>
      <c r="HY74" s="491"/>
      <c r="HZ74" s="491"/>
      <c r="IA74" s="491"/>
      <c r="IB74" s="491"/>
      <c r="IC74" s="491"/>
      <c r="ID74" s="491"/>
      <c r="IE74" s="491"/>
      <c r="IF74" s="491"/>
      <c r="IG74" s="491"/>
      <c r="IH74" s="491"/>
      <c r="II74" s="491"/>
      <c r="IJ74" s="491"/>
      <c r="IK74" s="491"/>
      <c r="IL74" s="491"/>
      <c r="IM74" s="491"/>
      <c r="IN74" s="491"/>
      <c r="IO74" s="491"/>
      <c r="IP74" s="491"/>
      <c r="IQ74" s="491"/>
      <c r="IR74" s="491"/>
      <c r="IS74" s="491"/>
      <c r="IT74" s="491"/>
      <c r="IU74" s="491"/>
      <c r="IV74" s="491"/>
      <c r="IW74" s="491"/>
      <c r="IX74" s="491"/>
      <c r="IY74" s="491"/>
      <c r="IZ74" s="491"/>
      <c r="JA74" s="491"/>
      <c r="JB74" s="491"/>
      <c r="JC74" s="491"/>
      <c r="JD74" s="491"/>
      <c r="JE74" s="491"/>
      <c r="JF74" s="491"/>
      <c r="JG74" s="491"/>
      <c r="JH74" s="491"/>
      <c r="JI74" s="491"/>
      <c r="JJ74" s="491"/>
      <c r="JK74" s="491"/>
      <c r="JL74" s="491"/>
      <c r="JM74" s="491"/>
      <c r="JN74" s="491"/>
      <c r="JO74" s="491"/>
      <c r="JP74" s="491"/>
      <c r="JQ74" s="491"/>
      <c r="JR74" s="491"/>
      <c r="JS74" s="491"/>
      <c r="JT74" s="491"/>
      <c r="JU74" s="491"/>
      <c r="JV74" s="491"/>
      <c r="JW74" s="491"/>
      <c r="JX74" s="491"/>
      <c r="JY74" s="491"/>
      <c r="JZ74" s="491"/>
      <c r="KA74" s="491"/>
      <c r="KB74" s="526"/>
      <c r="KC74" s="491"/>
      <c r="KD74" s="491"/>
      <c r="KE74" s="491"/>
      <c r="KF74" s="491"/>
      <c r="KG74" s="491"/>
      <c r="KH74" s="491"/>
      <c r="KI74" s="491"/>
      <c r="KJ74" s="491"/>
      <c r="KK74" s="491"/>
      <c r="KL74" s="491"/>
      <c r="KM74" s="491"/>
      <c r="KN74" s="491"/>
      <c r="KO74" s="491"/>
      <c r="KP74" s="491"/>
      <c r="KQ74" s="491"/>
      <c r="KR74" s="491"/>
      <c r="KS74" s="491"/>
      <c r="KT74" s="491"/>
      <c r="KU74" s="564"/>
      <c r="KV74" s="491"/>
      <c r="KW74" s="491"/>
      <c r="KX74" s="491"/>
      <c r="KY74" s="564"/>
      <c r="KZ74" s="627"/>
      <c r="LA74" s="628"/>
      <c r="LB74" s="628"/>
      <c r="LC74" s="628"/>
      <c r="LD74" s="628"/>
      <c r="LE74" s="628"/>
      <c r="LF74" s="628"/>
      <c r="LG74" s="628"/>
      <c r="LH74" s="628"/>
      <c r="LI74" s="628"/>
      <c r="LJ74" s="628"/>
      <c r="LK74" s="628"/>
      <c r="LL74" s="628"/>
      <c r="LM74" s="628"/>
      <c r="LN74" s="628"/>
      <c r="LO74" s="628"/>
      <c r="LP74" s="628"/>
      <c r="LQ74" s="628"/>
      <c r="LR74" s="628"/>
      <c r="LS74" s="628"/>
      <c r="LT74" s="628"/>
      <c r="LU74" s="628"/>
      <c r="LV74" s="628"/>
      <c r="LW74" s="628"/>
      <c r="LX74" s="628"/>
      <c r="LY74" s="628"/>
      <c r="LZ74" s="628"/>
      <c r="MA74" s="628"/>
      <c r="MB74" s="628"/>
      <c r="MC74" s="628"/>
      <c r="MD74" s="628"/>
      <c r="ME74" s="628"/>
      <c r="MF74" s="628"/>
      <c r="MG74" s="629"/>
      <c r="MH74" s="491"/>
      <c r="MI74" s="491"/>
      <c r="MJ74" s="491"/>
      <c r="MK74" s="491"/>
      <c r="ML74" s="491"/>
      <c r="MM74" s="491"/>
      <c r="MN74" s="578"/>
      <c r="MO74" s="491"/>
      <c r="MP74" s="491"/>
      <c r="MQ74" s="491"/>
      <c r="MR74" s="491"/>
      <c r="MS74" s="491"/>
      <c r="MT74" s="491"/>
      <c r="MU74" s="491"/>
      <c r="MV74" s="491"/>
      <c r="MW74" s="491"/>
      <c r="MX74" s="491"/>
      <c r="MY74" s="491"/>
      <c r="MZ74" s="491"/>
      <c r="NA74" s="491"/>
      <c r="NB74" s="491"/>
      <c r="NC74" s="491"/>
      <c r="ND74" s="491"/>
      <c r="NE74" s="491"/>
      <c r="NF74" s="547"/>
      <c r="NG74" s="491"/>
      <c r="NR74" s="547"/>
      <c r="NS74" s="564"/>
      <c r="NT74" s="491"/>
      <c r="NU74" s="491"/>
      <c r="NV74" s="491"/>
      <c r="NW74" s="491"/>
      <c r="NX74" s="491"/>
      <c r="PW74" s="482"/>
    </row>
    <row r="75" spans="11:470" ht="12.75" customHeight="1" x14ac:dyDescent="0.35">
      <c r="K75" s="482"/>
      <c r="AR75" s="541"/>
      <c r="AU75" s="491"/>
      <c r="AV75" s="491"/>
      <c r="AW75" s="491"/>
      <c r="AX75" s="491"/>
      <c r="AY75" s="491"/>
      <c r="AZ75" s="491"/>
      <c r="BA75" s="491"/>
      <c r="BB75" s="491"/>
      <c r="BC75" s="491"/>
      <c r="BD75" s="491"/>
      <c r="BE75" s="491"/>
      <c r="BF75" s="491"/>
      <c r="BG75" s="491"/>
      <c r="BH75" s="491"/>
      <c r="BI75" s="491"/>
      <c r="BJ75" s="491"/>
      <c r="BK75" s="491"/>
      <c r="BL75" s="491"/>
      <c r="BM75" s="491"/>
      <c r="BN75" s="491"/>
      <c r="BO75" s="491"/>
      <c r="BP75" s="578"/>
      <c r="BQ75" s="507"/>
      <c r="BR75" s="1520"/>
      <c r="BS75" s="1520"/>
      <c r="BT75" s="1520"/>
      <c r="BU75" s="1520"/>
      <c r="BV75" s="1520"/>
      <c r="BW75" s="1520"/>
      <c r="BX75" s="1520"/>
      <c r="BY75" s="1520"/>
      <c r="BZ75" s="1520"/>
      <c r="CA75" s="491"/>
      <c r="CB75" s="611"/>
      <c r="CC75" s="507"/>
      <c r="CD75" s="1520"/>
      <c r="CE75" s="1520"/>
      <c r="CF75" s="1520"/>
      <c r="CG75" s="1520"/>
      <c r="CH75" s="1520"/>
      <c r="CI75" s="1520"/>
      <c r="CJ75" s="1520"/>
      <c r="CK75" s="1520"/>
      <c r="CL75" s="1520"/>
      <c r="CM75" s="491"/>
      <c r="CN75" s="578"/>
      <c r="CO75" s="498"/>
      <c r="CP75" s="491"/>
      <c r="CQ75" s="578"/>
      <c r="CR75" s="1447" t="s">
        <v>5128</v>
      </c>
      <c r="CS75" s="1448"/>
      <c r="CT75" s="1448"/>
      <c r="CU75" s="1448"/>
      <c r="CV75" s="1448"/>
      <c r="CW75" s="1448"/>
      <c r="CX75" s="1448"/>
      <c r="CY75" s="1448"/>
      <c r="CZ75" s="1448"/>
      <c r="DA75" s="1449"/>
      <c r="DB75" s="491"/>
      <c r="DC75" s="519"/>
      <c r="DD75" s="1450" t="s">
        <v>5129</v>
      </c>
      <c r="DE75" s="1451"/>
      <c r="DF75" s="1451"/>
      <c r="DG75" s="1451"/>
      <c r="DH75" s="1451"/>
      <c r="DI75" s="1451"/>
      <c r="DJ75" s="1451"/>
      <c r="DK75" s="1451"/>
      <c r="DL75" s="1451"/>
      <c r="DM75" s="1452"/>
      <c r="DN75" s="564"/>
      <c r="DO75" s="491"/>
      <c r="DP75" s="491"/>
      <c r="DQ75" s="491"/>
      <c r="DR75" s="491"/>
      <c r="DS75" s="491"/>
      <c r="DT75" s="491"/>
      <c r="DU75" s="491"/>
      <c r="DV75" s="491"/>
      <c r="DW75" s="491"/>
      <c r="DX75" s="491"/>
      <c r="DY75" s="491"/>
      <c r="DZ75" s="491"/>
      <c r="EA75" s="491"/>
      <c r="EB75" s="491"/>
      <c r="EC75" s="491"/>
      <c r="ED75" s="491"/>
      <c r="EE75" s="491"/>
      <c r="EF75" s="491"/>
      <c r="EG75" s="578"/>
      <c r="EH75" s="491"/>
      <c r="EI75" s="491"/>
      <c r="EJ75" s="491"/>
      <c r="EK75" s="491"/>
      <c r="EL75" s="491"/>
      <c r="EM75" s="491"/>
      <c r="EN75" s="491"/>
      <c r="EO75" s="491"/>
      <c r="EP75" s="491"/>
      <c r="EQ75" s="491"/>
      <c r="ER75" s="491"/>
      <c r="ES75" s="491"/>
      <c r="ET75" s="491"/>
      <c r="EU75" s="491"/>
      <c r="EV75" s="491"/>
      <c r="EW75" s="491"/>
      <c r="EX75" s="491"/>
      <c r="EY75" s="491"/>
      <c r="EZ75" s="491"/>
      <c r="FA75" s="491"/>
      <c r="FB75" s="491"/>
      <c r="FC75" s="491"/>
      <c r="FD75" s="491"/>
      <c r="FE75" s="491"/>
      <c r="FF75" s="491"/>
      <c r="FG75" s="491"/>
      <c r="FH75" s="491"/>
      <c r="FI75" s="491"/>
      <c r="FJ75" s="491"/>
      <c r="FK75" s="491"/>
      <c r="FL75" s="491"/>
      <c r="FM75" s="491"/>
      <c r="FN75" s="491"/>
      <c r="FO75" s="491"/>
      <c r="FP75" s="491"/>
      <c r="FQ75" s="491"/>
      <c r="FR75" s="491"/>
      <c r="FS75" s="491"/>
      <c r="FT75" s="491"/>
      <c r="FU75" s="491"/>
      <c r="FV75" s="491"/>
      <c r="FW75" s="491"/>
      <c r="FX75" s="491"/>
      <c r="FY75" s="491"/>
      <c r="FZ75" s="491"/>
      <c r="GA75" s="491"/>
      <c r="GB75" s="511"/>
      <c r="GC75" s="511"/>
      <c r="GD75" s="511"/>
      <c r="GE75" s="511"/>
      <c r="GF75" s="511"/>
      <c r="GG75" s="511"/>
      <c r="GH75" s="511"/>
      <c r="GI75" s="511"/>
      <c r="GJ75" s="491"/>
      <c r="GK75" s="564"/>
      <c r="GL75" s="511"/>
      <c r="GM75" s="511"/>
      <c r="GN75" s="511"/>
      <c r="GO75" s="526"/>
      <c r="GP75" s="491"/>
      <c r="GQ75" s="491"/>
      <c r="GR75" s="491"/>
      <c r="GS75" s="491"/>
      <c r="GT75" s="491"/>
      <c r="GU75" s="491"/>
      <c r="GV75" s="491"/>
      <c r="GW75" s="491"/>
      <c r="GX75" s="491"/>
      <c r="GY75" s="491"/>
      <c r="GZ75" s="491"/>
      <c r="HA75" s="491"/>
      <c r="HB75" s="491"/>
      <c r="HC75" s="491"/>
      <c r="HD75" s="491"/>
      <c r="HE75" s="491"/>
      <c r="HF75" s="491"/>
      <c r="HG75" s="491"/>
      <c r="HH75" s="491"/>
      <c r="HI75" s="491"/>
      <c r="HJ75" s="491"/>
      <c r="HK75" s="491"/>
      <c r="HL75" s="491"/>
      <c r="HM75" s="491"/>
      <c r="HN75" s="491"/>
      <c r="HO75" s="491"/>
      <c r="HP75" s="491"/>
      <c r="HQ75" s="491"/>
      <c r="HR75" s="491"/>
      <c r="HS75" s="491"/>
      <c r="HT75" s="491"/>
      <c r="HU75" s="491"/>
      <c r="HV75" s="491"/>
      <c r="HW75" s="491"/>
      <c r="HX75" s="491"/>
      <c r="HY75" s="491"/>
      <c r="HZ75" s="491"/>
      <c r="IA75" s="491"/>
      <c r="IB75" s="491"/>
      <c r="IC75" s="491"/>
      <c r="ID75" s="491"/>
      <c r="IE75" s="491"/>
      <c r="IF75" s="491"/>
      <c r="IG75" s="491"/>
      <c r="IH75" s="491"/>
      <c r="II75" s="491"/>
      <c r="IJ75" s="491"/>
      <c r="IK75" s="491"/>
      <c r="IL75" s="491"/>
      <c r="IM75" s="491"/>
      <c r="IN75" s="491"/>
      <c r="IO75" s="491"/>
      <c r="IP75" s="491"/>
      <c r="IQ75" s="491"/>
      <c r="IR75" s="491"/>
      <c r="IS75" s="491"/>
      <c r="IT75" s="491"/>
      <c r="IU75" s="491"/>
      <c r="IV75" s="491"/>
      <c r="IW75" s="491"/>
      <c r="IX75" s="491"/>
      <c r="IY75" s="491"/>
      <c r="IZ75" s="491"/>
      <c r="JA75" s="491"/>
      <c r="JB75" s="491"/>
      <c r="JC75" s="491"/>
      <c r="JD75" s="491"/>
      <c r="JE75" s="491"/>
      <c r="JF75" s="491"/>
      <c r="JG75" s="491"/>
      <c r="JH75" s="491"/>
      <c r="JI75" s="491"/>
      <c r="JJ75" s="491"/>
      <c r="JK75" s="491"/>
      <c r="JL75" s="491"/>
      <c r="JM75" s="491"/>
      <c r="JN75" s="491"/>
      <c r="JO75" s="491"/>
      <c r="JP75" s="491"/>
      <c r="JQ75" s="491"/>
      <c r="JR75" s="491"/>
      <c r="JS75" s="491"/>
      <c r="JT75" s="491"/>
      <c r="JU75" s="491"/>
      <c r="JV75" s="491"/>
      <c r="JW75" s="491"/>
      <c r="JX75" s="491"/>
      <c r="JY75" s="491"/>
      <c r="JZ75" s="491"/>
      <c r="KA75" s="491"/>
      <c r="KB75" s="526"/>
      <c r="KC75" s="491"/>
      <c r="KD75" s="491"/>
      <c r="KE75" s="491"/>
      <c r="KF75" s="491"/>
      <c r="KG75" s="491"/>
      <c r="KH75" s="491"/>
      <c r="KI75" s="491"/>
      <c r="KJ75" s="491"/>
      <c r="KK75" s="491"/>
      <c r="KL75" s="491"/>
      <c r="KM75" s="491"/>
      <c r="KN75" s="491"/>
      <c r="KO75" s="491"/>
      <c r="KP75" s="491"/>
      <c r="KQ75" s="491"/>
      <c r="KR75" s="491"/>
      <c r="KS75" s="491"/>
      <c r="KT75" s="491"/>
      <c r="KU75" s="564"/>
      <c r="KV75" s="491"/>
      <c r="KW75" s="491"/>
      <c r="KX75" s="491"/>
      <c r="KY75" s="491"/>
      <c r="KZ75" s="491"/>
      <c r="LA75" s="491"/>
      <c r="LB75" s="491"/>
      <c r="LC75" s="491"/>
      <c r="LD75" s="491"/>
      <c r="LE75" s="491"/>
      <c r="LF75" s="491"/>
      <c r="LG75" s="491"/>
      <c r="LH75" s="491"/>
      <c r="LI75" s="491"/>
      <c r="LJ75" s="491"/>
      <c r="LK75" s="491"/>
      <c r="LL75" s="491"/>
      <c r="LM75" s="491"/>
      <c r="LN75" s="491"/>
      <c r="LO75" s="491"/>
      <c r="LP75" s="491"/>
      <c r="LQ75" s="491"/>
      <c r="LR75" s="491"/>
      <c r="LS75" s="491"/>
      <c r="LT75" s="491"/>
      <c r="LU75" s="491"/>
      <c r="LV75" s="491"/>
      <c r="LW75" s="491"/>
      <c r="LX75" s="491"/>
      <c r="LY75" s="491"/>
      <c r="LZ75" s="491"/>
      <c r="MA75" s="491"/>
      <c r="MB75" s="491"/>
      <c r="MC75" s="491"/>
      <c r="MD75" s="491"/>
      <c r="ME75" s="491"/>
      <c r="MF75" s="491"/>
      <c r="MG75" s="491"/>
      <c r="MH75" s="491"/>
      <c r="MI75" s="491"/>
      <c r="MJ75" s="491"/>
      <c r="MK75" s="491"/>
      <c r="ML75" s="491"/>
      <c r="MM75" s="491"/>
      <c r="MN75" s="578"/>
      <c r="MO75" s="491"/>
      <c r="MP75" s="491"/>
      <c r="MQ75" s="491"/>
      <c r="MR75" s="491"/>
      <c r="MS75" s="491"/>
      <c r="MT75" s="491"/>
      <c r="MU75" s="491"/>
      <c r="MV75" s="491"/>
      <c r="MW75" s="491"/>
      <c r="MX75" s="491"/>
      <c r="MY75" s="491"/>
      <c r="MZ75" s="491"/>
      <c r="NA75" s="491"/>
      <c r="NB75" s="491"/>
      <c r="NC75" s="491"/>
      <c r="ND75" s="491"/>
      <c r="NE75" s="491"/>
      <c r="NF75" s="547"/>
      <c r="NG75" s="491"/>
      <c r="NR75" s="547"/>
      <c r="NS75" s="564"/>
      <c r="NT75" s="491"/>
      <c r="NU75" s="491"/>
      <c r="NV75" s="491"/>
      <c r="NW75" s="491"/>
      <c r="NX75" s="491"/>
      <c r="PW75" s="482"/>
    </row>
    <row r="76" spans="11:470" ht="12.75" customHeight="1" x14ac:dyDescent="0.35">
      <c r="K76" s="482"/>
      <c r="AR76" s="541"/>
      <c r="AU76" s="491"/>
      <c r="AV76" s="491"/>
      <c r="AW76" s="491"/>
      <c r="AX76" s="491"/>
      <c r="AY76" s="491"/>
      <c r="AZ76" s="491"/>
      <c r="BA76" s="491"/>
      <c r="BB76" s="491"/>
      <c r="BC76" s="491"/>
      <c r="BD76" s="491"/>
      <c r="BE76" s="491"/>
      <c r="BF76" s="491"/>
      <c r="BG76" s="491"/>
      <c r="BH76" s="491"/>
      <c r="BI76" s="491"/>
      <c r="BJ76" s="491"/>
      <c r="BK76" s="491"/>
      <c r="BL76" s="491"/>
      <c r="BM76" s="491"/>
      <c r="BN76" s="491"/>
      <c r="BO76" s="491"/>
      <c r="BP76" s="578"/>
      <c r="BQ76" s="1536"/>
      <c r="BR76" s="1536"/>
      <c r="BS76" s="1536"/>
      <c r="BT76" s="1536"/>
      <c r="BU76" s="1536"/>
      <c r="BV76" s="1536"/>
      <c r="BW76" s="1536"/>
      <c r="BX76" s="1536"/>
      <c r="BY76" s="1536"/>
      <c r="BZ76" s="1536"/>
      <c r="CA76" s="491"/>
      <c r="CB76" s="611"/>
      <c r="CC76" s="1536"/>
      <c r="CD76" s="1536"/>
      <c r="CE76" s="1536"/>
      <c r="CF76" s="1536"/>
      <c r="CG76" s="1536"/>
      <c r="CH76" s="1536"/>
      <c r="CI76" s="1536"/>
      <c r="CJ76" s="1536"/>
      <c r="CK76" s="1536"/>
      <c r="CL76" s="1536"/>
      <c r="CM76" s="491"/>
      <c r="CN76" s="578"/>
      <c r="CO76" s="501"/>
      <c r="CP76" s="491"/>
      <c r="CQ76" s="578"/>
      <c r="CR76" s="513">
        <v>1</v>
      </c>
      <c r="CS76" s="1456" t="s">
        <v>5007</v>
      </c>
      <c r="CT76" s="1457"/>
      <c r="CU76" s="1457"/>
      <c r="CV76" s="1457"/>
      <c r="CW76" s="1457"/>
      <c r="CX76" s="1457"/>
      <c r="CY76" s="1457"/>
      <c r="CZ76" s="1457"/>
      <c r="DA76" s="1458"/>
      <c r="DB76" s="491"/>
      <c r="DC76" s="519"/>
      <c r="DD76" s="513">
        <v>1</v>
      </c>
      <c r="DE76" s="1456" t="s">
        <v>5007</v>
      </c>
      <c r="DF76" s="1457"/>
      <c r="DG76" s="1457"/>
      <c r="DH76" s="1457"/>
      <c r="DI76" s="1457"/>
      <c r="DJ76" s="1457"/>
      <c r="DK76" s="1457"/>
      <c r="DL76" s="1457"/>
      <c r="DM76" s="1458"/>
      <c r="DN76" s="564"/>
      <c r="DO76" s="491"/>
      <c r="DP76" s="491"/>
      <c r="DQ76" s="491"/>
      <c r="DR76" s="491"/>
      <c r="DS76" s="491"/>
      <c r="DT76" s="491"/>
      <c r="DU76" s="491"/>
      <c r="DV76" s="491"/>
      <c r="DW76" s="491"/>
      <c r="DX76" s="491"/>
      <c r="DY76" s="491"/>
      <c r="DZ76" s="491"/>
      <c r="EA76" s="491"/>
      <c r="EB76" s="491"/>
      <c r="EC76" s="491"/>
      <c r="ED76" s="491"/>
      <c r="EE76" s="491"/>
      <c r="EF76" s="564"/>
      <c r="EG76" s="627"/>
      <c r="EH76" s="628"/>
      <c r="EI76" s="628"/>
      <c r="EJ76" s="628"/>
      <c r="EK76" s="628"/>
      <c r="EL76" s="628"/>
      <c r="EM76" s="628"/>
      <c r="EN76" s="628"/>
      <c r="EO76" s="628"/>
      <c r="EP76" s="628"/>
      <c r="EQ76" s="628"/>
      <c r="ER76" s="628"/>
      <c r="ES76" s="628"/>
      <c r="ET76" s="628"/>
      <c r="EU76" s="628"/>
      <c r="EV76" s="628"/>
      <c r="EW76" s="628"/>
      <c r="EX76" s="628"/>
      <c r="EY76" s="628"/>
      <c r="EZ76" s="628"/>
      <c r="FA76" s="628"/>
      <c r="FB76" s="628"/>
      <c r="FC76" s="628"/>
      <c r="FD76" s="628"/>
      <c r="FE76" s="628"/>
      <c r="FF76" s="628"/>
      <c r="FG76" s="628"/>
      <c r="FH76" s="628"/>
      <c r="FI76" s="628"/>
      <c r="FJ76" s="628"/>
      <c r="FK76" s="628"/>
      <c r="FL76" s="628"/>
      <c r="FM76" s="628"/>
      <c r="FN76" s="628"/>
      <c r="FO76" s="628"/>
      <c r="FP76" s="628"/>
      <c r="FQ76" s="628"/>
      <c r="FR76" s="628"/>
      <c r="FS76" s="628"/>
      <c r="FT76" s="628"/>
      <c r="FU76" s="628"/>
      <c r="FV76" s="628"/>
      <c r="FW76" s="651"/>
      <c r="FX76" s="651"/>
      <c r="FY76" s="628"/>
      <c r="FZ76" s="644"/>
      <c r="GA76" s="644"/>
      <c r="GB76" s="644"/>
      <c r="GC76" s="644"/>
      <c r="GD76" s="644"/>
      <c r="GE76" s="644"/>
      <c r="GF76" s="644"/>
      <c r="GG76" s="644"/>
      <c r="GH76" s="644"/>
      <c r="GI76" s="644"/>
      <c r="GJ76" s="628"/>
      <c r="GK76" s="629"/>
      <c r="GL76" s="511"/>
      <c r="GM76" s="511"/>
      <c r="GN76" s="511"/>
      <c r="GO76" s="526"/>
      <c r="GP76" s="491"/>
      <c r="GQ76" s="491"/>
      <c r="GR76" s="491"/>
      <c r="GS76" s="491"/>
      <c r="GT76" s="491"/>
      <c r="GU76" s="491"/>
      <c r="GV76" s="491"/>
      <c r="GW76" s="491"/>
      <c r="GX76" s="491"/>
      <c r="GY76" s="491"/>
      <c r="GZ76" s="491"/>
      <c r="HA76" s="491"/>
      <c r="HB76" s="491"/>
      <c r="HC76" s="491"/>
      <c r="HD76" s="491"/>
      <c r="HE76" s="491"/>
      <c r="HF76" s="491"/>
      <c r="HG76" s="491"/>
      <c r="HH76" s="491"/>
      <c r="HI76" s="491"/>
      <c r="HJ76" s="491"/>
      <c r="HK76" s="491"/>
      <c r="HL76" s="491"/>
      <c r="HM76" s="491"/>
      <c r="HN76" s="491"/>
      <c r="HO76" s="491"/>
      <c r="HP76" s="491"/>
      <c r="HQ76" s="491"/>
      <c r="HR76" s="491"/>
      <c r="HS76" s="491"/>
      <c r="HT76" s="491"/>
      <c r="HU76" s="491"/>
      <c r="HV76" s="491"/>
      <c r="HW76" s="491"/>
      <c r="HX76" s="491"/>
      <c r="HY76" s="491"/>
      <c r="HZ76" s="491"/>
      <c r="IA76" s="491"/>
      <c r="IB76" s="491"/>
      <c r="IC76" s="491"/>
      <c r="ID76" s="491"/>
      <c r="IE76" s="491"/>
      <c r="IF76" s="491"/>
      <c r="IG76" s="491"/>
      <c r="IH76" s="491"/>
      <c r="II76" s="491"/>
      <c r="IJ76" s="491"/>
      <c r="IK76" s="491"/>
      <c r="IL76" s="491"/>
      <c r="IM76" s="491"/>
      <c r="IN76" s="491"/>
      <c r="IO76" s="491"/>
      <c r="IP76" s="491"/>
      <c r="IQ76" s="491"/>
      <c r="IR76" s="491"/>
      <c r="IS76" s="491"/>
      <c r="IT76" s="491"/>
      <c r="IU76" s="491"/>
      <c r="IV76" s="491"/>
      <c r="IW76" s="491"/>
      <c r="IX76" s="491"/>
      <c r="IY76" s="491"/>
      <c r="IZ76" s="491"/>
      <c r="JA76" s="491"/>
      <c r="JB76" s="491"/>
      <c r="JC76" s="491"/>
      <c r="JD76" s="491"/>
      <c r="JE76" s="491"/>
      <c r="JF76" s="491"/>
      <c r="JG76" s="491"/>
      <c r="JH76" s="491"/>
      <c r="JI76" s="491"/>
      <c r="JJ76" s="491"/>
      <c r="JK76" s="491"/>
      <c r="JL76" s="491"/>
      <c r="JM76" s="491"/>
      <c r="JN76" s="491"/>
      <c r="JO76" s="491"/>
      <c r="JP76" s="491"/>
      <c r="JQ76" s="491"/>
      <c r="JR76" s="491"/>
      <c r="JS76" s="491"/>
      <c r="JT76" s="491"/>
      <c r="JU76" s="491"/>
      <c r="JV76" s="491"/>
      <c r="JW76" s="491"/>
      <c r="JX76" s="491"/>
      <c r="JY76" s="491"/>
      <c r="JZ76" s="491"/>
      <c r="KA76" s="491"/>
      <c r="KB76" s="526"/>
      <c r="KC76" s="491"/>
      <c r="KD76" s="491"/>
      <c r="KE76" s="491"/>
      <c r="KF76" s="491"/>
      <c r="KG76" s="491"/>
      <c r="KH76" s="491"/>
      <c r="KI76" s="491"/>
      <c r="KJ76" s="491"/>
      <c r="KK76" s="491"/>
      <c r="KL76" s="491"/>
      <c r="KM76" s="491"/>
      <c r="KN76" s="491"/>
      <c r="KO76" s="491"/>
      <c r="KP76" s="491"/>
      <c r="KQ76" s="491"/>
      <c r="KR76" s="491"/>
      <c r="KS76" s="491"/>
      <c r="KT76" s="491"/>
      <c r="KU76" s="564"/>
      <c r="KV76" s="491"/>
      <c r="KW76" s="491"/>
      <c r="KX76" s="491"/>
      <c r="KY76" s="491"/>
      <c r="KZ76" s="491"/>
      <c r="LA76" s="491"/>
      <c r="LB76" s="491"/>
      <c r="LC76" s="491"/>
      <c r="LD76" s="491"/>
      <c r="LE76" s="491"/>
      <c r="LF76" s="491"/>
      <c r="LG76" s="491"/>
      <c r="LH76" s="491"/>
      <c r="LI76" s="491"/>
      <c r="LJ76" s="491"/>
      <c r="LK76" s="491"/>
      <c r="LL76" s="491"/>
      <c r="LM76" s="491"/>
      <c r="LN76" s="491"/>
      <c r="LO76" s="491"/>
      <c r="LP76" s="491"/>
      <c r="LQ76" s="491"/>
      <c r="LR76" s="491"/>
      <c r="LS76" s="491"/>
      <c r="LT76" s="491"/>
      <c r="LU76" s="491"/>
      <c r="LV76" s="491"/>
      <c r="LW76" s="491"/>
      <c r="LX76" s="491"/>
      <c r="LY76" s="491"/>
      <c r="LZ76" s="491"/>
      <c r="MA76" s="491"/>
      <c r="MB76" s="491"/>
      <c r="MC76" s="491"/>
      <c r="MD76" s="491"/>
      <c r="ME76" s="491"/>
      <c r="MF76" s="491"/>
      <c r="MG76" s="491"/>
      <c r="MH76" s="491"/>
      <c r="MI76" s="491"/>
      <c r="MJ76" s="491"/>
      <c r="MK76" s="491"/>
      <c r="ML76" s="491"/>
      <c r="MM76" s="491"/>
      <c r="MN76" s="578"/>
      <c r="MO76" s="491"/>
      <c r="MP76" s="491"/>
      <c r="MQ76" s="491"/>
      <c r="MR76" s="491"/>
      <c r="MS76" s="491"/>
      <c r="MT76" s="491"/>
      <c r="MU76" s="491"/>
      <c r="MV76" s="491"/>
      <c r="MW76" s="491"/>
      <c r="MX76" s="491"/>
      <c r="MY76" s="491"/>
      <c r="MZ76" s="491"/>
      <c r="NA76" s="491"/>
      <c r="NB76" s="491"/>
      <c r="NC76" s="491"/>
      <c r="ND76" s="491"/>
      <c r="NE76" s="491"/>
      <c r="NF76" s="547"/>
      <c r="NG76" s="628"/>
      <c r="NH76" s="628"/>
      <c r="NI76" s="628"/>
      <c r="NJ76" s="628"/>
      <c r="NK76" s="628"/>
      <c r="NL76" s="628"/>
      <c r="NM76" s="628"/>
      <c r="NN76" s="628"/>
      <c r="NO76" s="628"/>
      <c r="NP76" s="628"/>
      <c r="NQ76" s="628"/>
      <c r="NR76" s="652"/>
      <c r="NS76" s="564"/>
      <c r="NT76" s="491"/>
      <c r="NU76" s="491"/>
      <c r="NV76" s="491"/>
      <c r="NW76" s="491"/>
      <c r="NX76" s="491"/>
      <c r="PW76" s="482"/>
    </row>
    <row r="77" spans="11:470" ht="12.75" customHeight="1" x14ac:dyDescent="0.35">
      <c r="K77" s="482"/>
      <c r="AQ77" s="483"/>
      <c r="AR77" s="541"/>
      <c r="AU77" s="491"/>
      <c r="AV77" s="491"/>
      <c r="AW77" s="491"/>
      <c r="AX77" s="491"/>
      <c r="AY77" s="491"/>
      <c r="AZ77" s="491"/>
      <c r="BA77" s="491"/>
      <c r="BB77" s="491"/>
      <c r="BC77" s="491"/>
      <c r="BD77" s="491"/>
      <c r="BE77" s="491"/>
      <c r="BF77" s="491"/>
      <c r="BG77" s="491"/>
      <c r="BH77" s="491"/>
      <c r="BI77" s="491"/>
      <c r="BJ77" s="491"/>
      <c r="BK77" s="491"/>
      <c r="BL77" s="491"/>
      <c r="BM77" s="491"/>
      <c r="BN77" s="491"/>
      <c r="BO77" s="491"/>
      <c r="BP77" s="578"/>
      <c r="BQ77" s="491"/>
      <c r="BR77" s="491"/>
      <c r="BS77" s="491"/>
      <c r="BT77" s="491"/>
      <c r="BU77" s="491"/>
      <c r="BV77" s="491"/>
      <c r="BW77" s="491"/>
      <c r="BX77" s="491"/>
      <c r="BY77" s="491"/>
      <c r="BZ77" s="491"/>
      <c r="CA77" s="491"/>
      <c r="CB77" s="611"/>
      <c r="CC77" s="491"/>
      <c r="CD77" s="491"/>
      <c r="CE77" s="491"/>
      <c r="CF77" s="491"/>
      <c r="CG77" s="491"/>
      <c r="CH77" s="491"/>
      <c r="CI77" s="491"/>
      <c r="CJ77" s="491"/>
      <c r="CK77" s="491"/>
      <c r="CL77" s="491"/>
      <c r="CM77" s="564"/>
      <c r="CN77" s="491"/>
      <c r="CO77" s="498"/>
      <c r="CP77" s="491"/>
      <c r="CQ77" s="578"/>
      <c r="CR77" s="1447" t="s">
        <v>5130</v>
      </c>
      <c r="CS77" s="1448"/>
      <c r="CT77" s="1448"/>
      <c r="CU77" s="1448"/>
      <c r="CV77" s="1448"/>
      <c r="CW77" s="1448"/>
      <c r="CX77" s="1448"/>
      <c r="CY77" s="1448"/>
      <c r="CZ77" s="1448"/>
      <c r="DA77" s="1449"/>
      <c r="DB77" s="491"/>
      <c r="DC77" s="519"/>
      <c r="DD77" s="1447" t="s">
        <v>4143</v>
      </c>
      <c r="DE77" s="1448"/>
      <c r="DF77" s="1448"/>
      <c r="DG77" s="1448"/>
      <c r="DH77" s="1448"/>
      <c r="DI77" s="1448"/>
      <c r="DJ77" s="1448"/>
      <c r="DK77" s="1448"/>
      <c r="DL77" s="1448"/>
      <c r="DM77" s="1449"/>
      <c r="DN77" s="653"/>
      <c r="DO77" s="491"/>
      <c r="DP77" s="491"/>
      <c r="DQ77" s="491"/>
      <c r="DR77" s="491"/>
      <c r="DS77" s="491"/>
      <c r="DT77" s="491"/>
      <c r="DU77" s="491"/>
      <c r="DV77" s="491"/>
      <c r="DW77" s="491"/>
      <c r="DX77" s="491"/>
      <c r="DY77" s="491"/>
      <c r="DZ77" s="491"/>
      <c r="EA77" s="491"/>
      <c r="EB77" s="491"/>
      <c r="EC77" s="491"/>
      <c r="ED77" s="491"/>
      <c r="EE77" s="491"/>
      <c r="EF77" s="491"/>
      <c r="EG77" s="491"/>
      <c r="EH77" s="491"/>
      <c r="EI77" s="491"/>
      <c r="EJ77" s="491"/>
      <c r="EK77" s="491"/>
      <c r="EL77" s="491"/>
      <c r="EM77" s="491"/>
      <c r="EN77" s="491"/>
      <c r="EO77" s="491"/>
      <c r="EP77" s="491"/>
      <c r="EQ77" s="491"/>
      <c r="ER77" s="491"/>
      <c r="ES77" s="491"/>
      <c r="ET77" s="491"/>
      <c r="EU77" s="491"/>
      <c r="EV77" s="491"/>
      <c r="EW77" s="491"/>
      <c r="EX77" s="491"/>
      <c r="EY77" s="491"/>
      <c r="EZ77" s="491"/>
      <c r="FA77" s="491"/>
      <c r="FB77" s="491"/>
      <c r="FC77" s="491"/>
      <c r="FD77" s="491"/>
      <c r="FE77" s="491"/>
      <c r="FF77" s="491"/>
      <c r="FG77" s="491"/>
      <c r="FH77" s="491"/>
      <c r="FI77" s="491"/>
      <c r="FJ77" s="491"/>
      <c r="FK77" s="491"/>
      <c r="FL77" s="491"/>
      <c r="FM77" s="491"/>
      <c r="FN77" s="491"/>
      <c r="FO77" s="491"/>
      <c r="FP77" s="491"/>
      <c r="FQ77" s="491"/>
      <c r="FR77" s="491"/>
      <c r="FS77" s="491"/>
      <c r="FT77" s="491"/>
      <c r="FU77" s="491"/>
      <c r="FV77" s="491"/>
      <c r="FW77" s="492"/>
      <c r="FX77" s="492"/>
      <c r="FY77" s="491"/>
      <c r="FZ77" s="511"/>
      <c r="GA77" s="511"/>
      <c r="GB77" s="511"/>
      <c r="GC77" s="511"/>
      <c r="GD77" s="511"/>
      <c r="GE77" s="511"/>
      <c r="GF77" s="511"/>
      <c r="GG77" s="511"/>
      <c r="GH77" s="511"/>
      <c r="GI77" s="511"/>
      <c r="GJ77" s="491"/>
      <c r="GK77" s="491"/>
      <c r="GL77" s="511"/>
      <c r="GM77" s="511"/>
      <c r="GN77" s="511"/>
      <c r="GO77" s="526"/>
      <c r="GP77" s="491"/>
      <c r="GQ77" s="491"/>
      <c r="GR77" s="491"/>
      <c r="GS77" s="491"/>
      <c r="GT77" s="491"/>
      <c r="GU77" s="491"/>
      <c r="GV77" s="491"/>
      <c r="GW77" s="491"/>
      <c r="GX77" s="491"/>
      <c r="GY77" s="491"/>
      <c r="GZ77" s="491"/>
      <c r="HA77" s="491"/>
      <c r="HB77" s="491"/>
      <c r="HC77" s="491"/>
      <c r="HD77" s="491"/>
      <c r="HE77" s="491"/>
      <c r="HF77" s="491"/>
      <c r="HG77" s="491"/>
      <c r="HH77" s="491"/>
      <c r="HI77" s="491"/>
      <c r="HJ77" s="491"/>
      <c r="HK77" s="491"/>
      <c r="HL77" s="491"/>
      <c r="HM77" s="491"/>
      <c r="HN77" s="491"/>
      <c r="HO77" s="491"/>
      <c r="HP77" s="491"/>
      <c r="HQ77" s="491"/>
      <c r="HR77" s="491"/>
      <c r="HS77" s="491"/>
      <c r="HT77" s="491"/>
      <c r="HU77" s="491"/>
      <c r="HV77" s="491"/>
      <c r="HW77" s="491"/>
      <c r="HX77" s="491"/>
      <c r="HY77" s="491"/>
      <c r="HZ77" s="491"/>
      <c r="IA77" s="491"/>
      <c r="IB77" s="491"/>
      <c r="IC77" s="491"/>
      <c r="ID77" s="491"/>
      <c r="IE77" s="491"/>
      <c r="IF77" s="491"/>
      <c r="IG77" s="491"/>
      <c r="IH77" s="491"/>
      <c r="II77" s="491"/>
      <c r="IJ77" s="491"/>
      <c r="IK77" s="491"/>
      <c r="IL77" s="491"/>
      <c r="IM77" s="491"/>
      <c r="IN77" s="491"/>
      <c r="IO77" s="491"/>
      <c r="IP77" s="491"/>
      <c r="IQ77" s="491"/>
      <c r="IR77" s="491"/>
      <c r="IS77" s="491"/>
      <c r="IT77" s="491"/>
      <c r="IU77" s="491"/>
      <c r="IV77" s="491"/>
      <c r="IW77" s="491"/>
      <c r="IX77" s="491"/>
      <c r="IY77" s="491"/>
      <c r="IZ77" s="491"/>
      <c r="JA77" s="491"/>
      <c r="JB77" s="491"/>
      <c r="JC77" s="491"/>
      <c r="JD77" s="491"/>
      <c r="JE77" s="491"/>
      <c r="JF77" s="491"/>
      <c r="JG77" s="491"/>
      <c r="JH77" s="491"/>
      <c r="JI77" s="491"/>
      <c r="JJ77" s="491"/>
      <c r="JK77" s="491"/>
      <c r="JL77" s="491"/>
      <c r="JM77" s="491"/>
      <c r="JN77" s="491"/>
      <c r="JO77" s="491"/>
      <c r="JP77" s="491"/>
      <c r="JQ77" s="491"/>
      <c r="JR77" s="491"/>
      <c r="JS77" s="491"/>
      <c r="JT77" s="491"/>
      <c r="JU77" s="491"/>
      <c r="JV77" s="491"/>
      <c r="JW77" s="491"/>
      <c r="JX77" s="491"/>
      <c r="JY77" s="491"/>
      <c r="JZ77" s="491"/>
      <c r="KA77" s="491"/>
      <c r="KB77" s="526"/>
      <c r="KC77" s="491"/>
      <c r="KD77" s="491"/>
      <c r="KE77" s="491"/>
      <c r="KF77" s="491"/>
      <c r="KG77" s="491"/>
      <c r="KH77" s="491"/>
      <c r="KI77" s="491"/>
      <c r="KJ77" s="491"/>
      <c r="KK77" s="491"/>
      <c r="KL77" s="491"/>
      <c r="KM77" s="491"/>
      <c r="KN77" s="491"/>
      <c r="KO77" s="491"/>
      <c r="KP77" s="491"/>
      <c r="KQ77" s="491"/>
      <c r="KR77" s="491"/>
      <c r="KS77" s="491"/>
      <c r="KT77" s="491"/>
      <c r="KU77" s="564"/>
      <c r="KV77" s="491"/>
      <c r="KW77" s="491"/>
      <c r="KX77" s="491"/>
      <c r="KY77" s="491"/>
      <c r="KZ77" s="491"/>
      <c r="LA77" s="491"/>
      <c r="LB77" s="491"/>
      <c r="LC77" s="491"/>
      <c r="LD77" s="491"/>
      <c r="LE77" s="491"/>
      <c r="LF77" s="491"/>
      <c r="LG77" s="491"/>
      <c r="LH77" s="491"/>
      <c r="LI77" s="491"/>
      <c r="LJ77" s="491"/>
      <c r="LK77" s="491"/>
      <c r="LL77" s="491"/>
      <c r="LM77" s="491"/>
      <c r="LN77" s="491"/>
      <c r="LO77" s="491"/>
      <c r="LP77" s="491"/>
      <c r="LQ77" s="491"/>
      <c r="LR77" s="491"/>
      <c r="LS77" s="491"/>
      <c r="LT77" s="491"/>
      <c r="LU77" s="491"/>
      <c r="LV77" s="491"/>
      <c r="LW77" s="491"/>
      <c r="LX77" s="491"/>
      <c r="LY77" s="491"/>
      <c r="LZ77" s="491"/>
      <c r="MA77" s="491"/>
      <c r="MB77" s="491"/>
      <c r="MC77" s="491"/>
      <c r="MD77" s="491"/>
      <c r="ME77" s="491"/>
      <c r="MF77" s="491"/>
      <c r="MG77" s="491"/>
      <c r="MH77" s="491"/>
      <c r="MI77" s="491"/>
      <c r="MJ77" s="491"/>
      <c r="MK77" s="491"/>
      <c r="ML77" s="491"/>
      <c r="MM77" s="491"/>
      <c r="MN77" s="627"/>
      <c r="MO77" s="628"/>
      <c r="MP77" s="628"/>
      <c r="MQ77" s="628"/>
      <c r="MR77" s="628"/>
      <c r="MS77" s="628"/>
      <c r="MT77" s="628"/>
      <c r="MU77" s="628"/>
      <c r="MV77" s="628"/>
      <c r="MW77" s="628"/>
      <c r="MX77" s="654"/>
      <c r="MY77" s="654"/>
      <c r="MZ77" s="654"/>
      <c r="NA77" s="654"/>
      <c r="NB77" s="654"/>
      <c r="NC77" s="654"/>
      <c r="ND77" s="654"/>
      <c r="NE77" s="628"/>
      <c r="NF77" s="628"/>
      <c r="NG77" s="628"/>
      <c r="NH77" s="628"/>
      <c r="NI77" s="628"/>
      <c r="NJ77" s="628"/>
      <c r="NK77" s="628"/>
      <c r="NL77" s="628"/>
      <c r="NM77" s="628"/>
      <c r="NN77" s="628"/>
      <c r="NO77" s="628"/>
      <c r="NP77" s="628"/>
      <c r="NQ77" s="628"/>
      <c r="NR77" s="628"/>
      <c r="NS77" s="629"/>
      <c r="NT77" s="491"/>
      <c r="NU77" s="491"/>
      <c r="NV77" s="491"/>
      <c r="NW77" s="491"/>
      <c r="NX77" s="491"/>
      <c r="PW77" s="482"/>
    </row>
    <row r="78" spans="11:470" ht="12.75" customHeight="1" x14ac:dyDescent="0.35">
      <c r="K78" s="482"/>
      <c r="AQ78" s="478"/>
      <c r="AR78" s="541"/>
      <c r="AU78" s="491"/>
      <c r="AV78" s="491"/>
      <c r="AW78" s="491"/>
      <c r="AX78" s="491"/>
      <c r="AY78" s="491"/>
      <c r="AZ78" s="491"/>
      <c r="BA78" s="491"/>
      <c r="BB78" s="491"/>
      <c r="BC78" s="491"/>
      <c r="BD78" s="491"/>
      <c r="BE78" s="491"/>
      <c r="BF78" s="491"/>
      <c r="BG78" s="491"/>
      <c r="BH78" s="491"/>
      <c r="BI78" s="491"/>
      <c r="BJ78" s="491"/>
      <c r="BK78" s="491"/>
      <c r="BL78" s="491"/>
      <c r="BM78" s="491"/>
      <c r="BN78" s="491"/>
      <c r="BO78" s="491"/>
      <c r="BP78" s="578"/>
      <c r="BQ78" s="491"/>
      <c r="BR78" s="491"/>
      <c r="BS78" s="491"/>
      <c r="BT78" s="491"/>
      <c r="BU78" s="506"/>
      <c r="BV78" s="607"/>
      <c r="BW78" s="576"/>
      <c r="BX78" s="576"/>
      <c r="BY78" s="576"/>
      <c r="BZ78" s="576"/>
      <c r="CA78" s="576"/>
      <c r="CB78" s="607"/>
      <c r="CC78" s="576"/>
      <c r="CD78" s="576"/>
      <c r="CE78" s="576"/>
      <c r="CF78" s="576"/>
      <c r="CG78" s="645"/>
      <c r="CH78" s="491"/>
      <c r="CI78" s="491"/>
      <c r="CJ78" s="491"/>
      <c r="CK78" s="491"/>
      <c r="CL78" s="491"/>
      <c r="CM78" s="564"/>
      <c r="CN78" s="491"/>
      <c r="CO78" s="491"/>
      <c r="CP78" s="491"/>
      <c r="CQ78" s="627"/>
      <c r="CR78" s="628"/>
      <c r="CS78" s="628"/>
      <c r="CT78" s="628"/>
      <c r="CU78" s="628"/>
      <c r="CV78" s="628"/>
      <c r="CW78" s="628"/>
      <c r="CX78" s="628"/>
      <c r="CY78" s="628"/>
      <c r="CZ78" s="628"/>
      <c r="DA78" s="628"/>
      <c r="DB78" s="628"/>
      <c r="DC78" s="628"/>
      <c r="DD78" s="628"/>
      <c r="DE78" s="628"/>
      <c r="DF78" s="628"/>
      <c r="DG78" s="628"/>
      <c r="DH78" s="628"/>
      <c r="DI78" s="628"/>
      <c r="DJ78" s="628"/>
      <c r="DK78" s="628"/>
      <c r="DL78" s="628"/>
      <c r="DM78" s="628"/>
      <c r="DN78" s="629"/>
      <c r="DO78" s="491"/>
      <c r="DP78" s="491"/>
      <c r="DQ78" s="491"/>
      <c r="DR78" s="491"/>
      <c r="DS78" s="491"/>
      <c r="DT78" s="491"/>
      <c r="DU78" s="491"/>
      <c r="DV78" s="491"/>
      <c r="DW78" s="491"/>
      <c r="DX78" s="491"/>
      <c r="DY78" s="491"/>
      <c r="DZ78" s="491"/>
      <c r="EA78" s="491"/>
      <c r="EB78" s="491"/>
      <c r="EC78" s="491"/>
      <c r="ED78" s="491"/>
      <c r="EE78" s="491"/>
      <c r="EF78" s="491"/>
      <c r="EG78" s="491"/>
      <c r="EH78" s="491"/>
      <c r="EI78" s="491"/>
      <c r="EJ78" s="491"/>
      <c r="EK78" s="491"/>
      <c r="EL78" s="491"/>
      <c r="EM78" s="491"/>
      <c r="EN78" s="491"/>
      <c r="EO78" s="491"/>
      <c r="EP78" s="491"/>
      <c r="EQ78" s="491"/>
      <c r="ER78" s="491"/>
      <c r="ES78" s="491"/>
      <c r="ET78" s="491"/>
      <c r="EU78" s="491"/>
      <c r="EV78" s="491"/>
      <c r="EW78" s="491"/>
      <c r="EX78" s="491"/>
      <c r="EY78" s="491"/>
      <c r="EZ78" s="491"/>
      <c r="FA78" s="491"/>
      <c r="FB78" s="491"/>
      <c r="FC78" s="491"/>
      <c r="FD78" s="491"/>
      <c r="FE78" s="491"/>
      <c r="FF78" s="491"/>
      <c r="FG78" s="491"/>
      <c r="FH78" s="491"/>
      <c r="FI78" s="491"/>
      <c r="FJ78" s="491"/>
      <c r="FK78" s="491"/>
      <c r="FL78" s="491"/>
      <c r="FM78" s="491"/>
      <c r="FN78" s="491"/>
      <c r="FO78" s="491"/>
      <c r="FP78" s="491"/>
      <c r="FQ78" s="491"/>
      <c r="FR78" s="491"/>
      <c r="FS78" s="491"/>
      <c r="FT78" s="491"/>
      <c r="FU78" s="491"/>
      <c r="FV78" s="491"/>
      <c r="FW78" s="491"/>
      <c r="FX78" s="491"/>
      <c r="FY78" s="491"/>
      <c r="FZ78" s="491"/>
      <c r="GA78" s="491"/>
      <c r="GB78" s="491"/>
      <c r="GC78" s="491"/>
      <c r="GD78" s="491"/>
      <c r="GE78" s="491"/>
      <c r="GF78" s="491"/>
      <c r="GG78" s="491"/>
      <c r="GH78" s="491"/>
      <c r="GI78" s="491"/>
      <c r="GJ78" s="491"/>
      <c r="GK78" s="491"/>
      <c r="GL78" s="491"/>
      <c r="GM78" s="491"/>
      <c r="GN78" s="491"/>
      <c r="GO78" s="526"/>
      <c r="GP78" s="491"/>
      <c r="GQ78" s="491"/>
      <c r="GR78" s="491"/>
      <c r="GS78" s="491"/>
      <c r="GT78" s="491"/>
      <c r="GU78" s="491"/>
      <c r="GV78" s="491"/>
      <c r="GW78" s="491"/>
      <c r="GX78" s="491"/>
      <c r="GY78" s="491"/>
      <c r="GZ78" s="491"/>
      <c r="HA78" s="491"/>
      <c r="HB78" s="491"/>
      <c r="HC78" s="491"/>
      <c r="HD78" s="491"/>
      <c r="HE78" s="491"/>
      <c r="HF78" s="491"/>
      <c r="HG78" s="491"/>
      <c r="HH78" s="491"/>
      <c r="HI78" s="491"/>
      <c r="HJ78" s="491"/>
      <c r="HK78" s="491"/>
      <c r="HL78" s="491"/>
      <c r="HM78" s="491"/>
      <c r="HN78" s="491"/>
      <c r="HO78" s="491"/>
      <c r="HP78" s="491"/>
      <c r="HQ78" s="491"/>
      <c r="HR78" s="491"/>
      <c r="HS78" s="491"/>
      <c r="HT78" s="491"/>
      <c r="HU78" s="491"/>
      <c r="HV78" s="491"/>
      <c r="HW78" s="491"/>
      <c r="HX78" s="491"/>
      <c r="HY78" s="491"/>
      <c r="HZ78" s="491"/>
      <c r="IA78" s="491"/>
      <c r="IB78" s="491"/>
      <c r="IC78" s="491"/>
      <c r="ID78" s="491"/>
      <c r="IE78" s="491"/>
      <c r="IF78" s="491"/>
      <c r="IG78" s="491"/>
      <c r="IH78" s="491"/>
      <c r="II78" s="491"/>
      <c r="IJ78" s="491"/>
      <c r="IK78" s="491"/>
      <c r="IL78" s="491"/>
      <c r="IM78" s="491"/>
      <c r="IN78" s="491"/>
      <c r="IO78" s="491"/>
      <c r="IP78" s="491"/>
      <c r="IQ78" s="491"/>
      <c r="IR78" s="491"/>
      <c r="IS78" s="491"/>
      <c r="IT78" s="491"/>
      <c r="IU78" s="491"/>
      <c r="IV78" s="491"/>
      <c r="IW78" s="491"/>
      <c r="IX78" s="491"/>
      <c r="IY78" s="491"/>
      <c r="IZ78" s="491"/>
      <c r="JA78" s="491"/>
      <c r="JB78" s="491"/>
      <c r="JC78" s="491"/>
      <c r="JD78" s="491"/>
      <c r="JE78" s="491"/>
      <c r="JF78" s="491"/>
      <c r="JG78" s="491"/>
      <c r="JH78" s="491"/>
      <c r="JI78" s="491"/>
      <c r="JJ78" s="491"/>
      <c r="JK78" s="491"/>
      <c r="JL78" s="491"/>
      <c r="JM78" s="491"/>
      <c r="JN78" s="491"/>
      <c r="JO78" s="491"/>
      <c r="JP78" s="491"/>
      <c r="JQ78" s="491"/>
      <c r="JR78" s="491"/>
      <c r="JS78" s="491"/>
      <c r="JT78" s="491"/>
      <c r="JU78" s="491"/>
      <c r="JV78" s="491"/>
      <c r="JW78" s="491"/>
      <c r="JX78" s="491"/>
      <c r="JY78" s="491"/>
      <c r="JZ78" s="491"/>
      <c r="KA78" s="491"/>
      <c r="KB78" s="526"/>
      <c r="KC78" s="491"/>
      <c r="KD78" s="491"/>
      <c r="KE78" s="491"/>
      <c r="KF78" s="491"/>
      <c r="KG78" s="491"/>
      <c r="KH78" s="491"/>
      <c r="KI78" s="491"/>
      <c r="KJ78" s="491"/>
      <c r="KK78" s="491"/>
      <c r="KL78" s="491"/>
      <c r="KM78" s="491"/>
      <c r="KN78" s="491"/>
      <c r="KO78" s="491"/>
      <c r="KP78" s="491"/>
      <c r="KQ78" s="491"/>
      <c r="KR78" s="491"/>
      <c r="KS78" s="491"/>
      <c r="KT78" s="491"/>
      <c r="KU78" s="564"/>
      <c r="KV78" s="491"/>
      <c r="KW78" s="491"/>
      <c r="KX78" s="491"/>
      <c r="KY78" s="491"/>
      <c r="KZ78" s="491"/>
      <c r="LA78" s="491"/>
      <c r="LB78" s="491"/>
      <c r="LC78" s="491"/>
      <c r="LD78" s="491"/>
      <c r="LE78" s="491"/>
      <c r="LF78" s="491"/>
      <c r="LG78" s="491"/>
      <c r="LH78" s="491"/>
      <c r="LI78" s="491"/>
      <c r="LJ78" s="491"/>
      <c r="LK78" s="491"/>
      <c r="LL78" s="491"/>
      <c r="LM78" s="491"/>
      <c r="LN78" s="491"/>
      <c r="LO78" s="491"/>
      <c r="LP78" s="491"/>
      <c r="LQ78" s="491"/>
      <c r="LR78" s="491"/>
      <c r="LS78" s="491"/>
      <c r="LT78" s="491"/>
      <c r="LU78" s="491"/>
      <c r="LV78" s="491"/>
      <c r="LW78" s="491"/>
      <c r="LX78" s="491"/>
      <c r="LY78" s="491"/>
      <c r="LZ78" s="491"/>
      <c r="MA78" s="491"/>
      <c r="MB78" s="491"/>
      <c r="MC78" s="491"/>
      <c r="MD78" s="491"/>
      <c r="ME78" s="491"/>
      <c r="MF78" s="491"/>
      <c r="MG78" s="491"/>
      <c r="MH78" s="491"/>
      <c r="MI78" s="491"/>
      <c r="MJ78" s="491"/>
      <c r="MK78" s="491"/>
      <c r="ML78" s="491"/>
      <c r="MM78" s="491"/>
      <c r="MN78" s="491"/>
      <c r="MO78" s="491"/>
      <c r="MP78" s="491"/>
      <c r="MQ78" s="491"/>
      <c r="MR78" s="491"/>
      <c r="MS78" s="491"/>
      <c r="MT78" s="491"/>
      <c r="MU78" s="491"/>
      <c r="MV78" s="491"/>
      <c r="MW78" s="491"/>
      <c r="MX78" s="491"/>
      <c r="MY78" s="491"/>
      <c r="MZ78" s="491"/>
      <c r="NA78" s="491"/>
      <c r="NB78" s="491"/>
      <c r="NC78" s="491"/>
      <c r="ND78" s="491"/>
      <c r="NE78" s="491"/>
      <c r="NF78" s="491"/>
      <c r="NG78" s="491"/>
      <c r="NH78" s="491"/>
      <c r="NI78" s="491"/>
      <c r="NJ78" s="491"/>
      <c r="NK78" s="491"/>
      <c r="NL78" s="491"/>
      <c r="NM78" s="491"/>
      <c r="NN78" s="491"/>
      <c r="NO78" s="491"/>
      <c r="NP78" s="491"/>
      <c r="NQ78" s="491"/>
      <c r="NR78" s="491"/>
      <c r="NS78" s="491"/>
      <c r="NT78" s="491"/>
      <c r="NU78" s="491"/>
      <c r="NV78" s="491"/>
      <c r="NW78" s="491"/>
      <c r="NX78" s="491"/>
      <c r="PW78" s="482"/>
    </row>
    <row r="79" spans="11:470" ht="12.75" customHeight="1" x14ac:dyDescent="0.35">
      <c r="L79" s="655"/>
      <c r="AQ79" s="483"/>
      <c r="AR79" s="541"/>
      <c r="AU79" s="491"/>
      <c r="AV79" s="491"/>
      <c r="AW79" s="491"/>
      <c r="AX79" s="491"/>
      <c r="AY79" s="491"/>
      <c r="AZ79" s="491"/>
      <c r="BA79" s="491"/>
      <c r="BB79" s="491"/>
      <c r="BC79" s="491"/>
      <c r="BD79" s="491"/>
      <c r="BE79" s="491"/>
      <c r="BF79" s="491"/>
      <c r="BG79" s="491"/>
      <c r="BH79" s="491"/>
      <c r="BI79" s="491"/>
      <c r="BJ79" s="491"/>
      <c r="BK79" s="491"/>
      <c r="BL79" s="491"/>
      <c r="BM79" s="491"/>
      <c r="BN79" s="491"/>
      <c r="BO79" s="491"/>
      <c r="BP79" s="578"/>
      <c r="BQ79" s="1456" t="s">
        <v>5113</v>
      </c>
      <c r="BR79" s="1457"/>
      <c r="BS79" s="1457"/>
      <c r="BT79" s="1457"/>
      <c r="BU79" s="1457"/>
      <c r="BV79" s="1457"/>
      <c r="BW79" s="1457"/>
      <c r="BX79" s="1457"/>
      <c r="BY79" s="1457"/>
      <c r="BZ79" s="1458"/>
      <c r="CA79" s="491"/>
      <c r="CB79" s="611"/>
      <c r="CC79" s="1456" t="s">
        <v>5114</v>
      </c>
      <c r="CD79" s="1457"/>
      <c r="CE79" s="1457"/>
      <c r="CF79" s="1457"/>
      <c r="CG79" s="1457"/>
      <c r="CH79" s="1457"/>
      <c r="CI79" s="1457"/>
      <c r="CJ79" s="1457"/>
      <c r="CK79" s="1457"/>
      <c r="CL79" s="1458"/>
      <c r="CM79" s="564"/>
      <c r="CN79" s="491"/>
      <c r="CO79" s="491"/>
      <c r="CP79" s="491"/>
      <c r="CQ79" s="491"/>
      <c r="CR79" s="491"/>
      <c r="CS79" s="491"/>
      <c r="CT79" s="491"/>
      <c r="CU79" s="491"/>
      <c r="CV79" s="491"/>
      <c r="CW79" s="491"/>
      <c r="CX79" s="491"/>
      <c r="CY79" s="491"/>
      <c r="CZ79" s="491"/>
      <c r="DA79" s="491"/>
      <c r="DB79" s="491"/>
      <c r="DC79" s="491"/>
      <c r="DD79" s="491"/>
      <c r="DE79" s="491"/>
      <c r="DF79" s="491"/>
      <c r="DG79" s="491"/>
      <c r="DH79" s="491"/>
      <c r="DI79" s="491"/>
      <c r="DJ79" s="491"/>
      <c r="DK79" s="491"/>
      <c r="DL79" s="491"/>
      <c r="DM79" s="491"/>
      <c r="DN79" s="501"/>
      <c r="DO79" s="491"/>
      <c r="DP79" s="491"/>
      <c r="DQ79" s="491"/>
      <c r="DR79" s="491"/>
      <c r="DS79" s="491"/>
      <c r="DT79" s="491"/>
      <c r="DU79" s="491"/>
      <c r="DV79" s="491"/>
      <c r="DW79" s="491"/>
      <c r="DX79" s="491"/>
      <c r="DY79" s="491"/>
      <c r="DZ79" s="491"/>
      <c r="EA79" s="491"/>
      <c r="EB79" s="491"/>
      <c r="EC79" s="491"/>
      <c r="ED79" s="491"/>
      <c r="EE79" s="491"/>
      <c r="EF79" s="491"/>
      <c r="EG79" s="491"/>
      <c r="EH79" s="491"/>
      <c r="EI79" s="491"/>
      <c r="EJ79" s="491"/>
      <c r="EK79" s="491"/>
      <c r="EL79" s="491"/>
      <c r="EM79" s="491"/>
      <c r="EN79" s="491"/>
      <c r="EO79" s="491"/>
      <c r="EP79" s="491"/>
      <c r="EQ79" s="491"/>
      <c r="ER79" s="491"/>
      <c r="ES79" s="491"/>
      <c r="ET79" s="491"/>
      <c r="EU79" s="491"/>
      <c r="EV79" s="491"/>
      <c r="EW79" s="491"/>
      <c r="EX79" s="491"/>
      <c r="EY79" s="491"/>
      <c r="EZ79" s="491"/>
      <c r="FA79" s="491"/>
      <c r="FB79" s="491"/>
      <c r="FC79" s="491"/>
      <c r="FD79" s="491"/>
      <c r="FE79" s="491"/>
      <c r="FF79" s="491"/>
      <c r="FG79" s="491"/>
      <c r="FH79" s="491"/>
      <c r="FI79" s="491"/>
      <c r="FJ79" s="491"/>
      <c r="FK79" s="491"/>
      <c r="FL79" s="491"/>
      <c r="FM79" s="491"/>
      <c r="FN79" s="491"/>
      <c r="FO79" s="491"/>
      <c r="FP79" s="491"/>
      <c r="FQ79" s="491"/>
      <c r="FR79" s="491"/>
      <c r="FS79" s="491"/>
      <c r="FT79" s="491"/>
      <c r="FU79" s="491"/>
      <c r="FV79" s="491"/>
      <c r="FW79" s="491"/>
      <c r="FX79" s="491"/>
      <c r="FY79" s="491"/>
      <c r="FZ79" s="491"/>
      <c r="GA79" s="491"/>
      <c r="GB79" s="491"/>
      <c r="GC79" s="491"/>
      <c r="GD79" s="491"/>
      <c r="GE79" s="491"/>
      <c r="GF79" s="491"/>
      <c r="GG79" s="491"/>
      <c r="GH79" s="491"/>
      <c r="GI79" s="491"/>
      <c r="GJ79" s="491"/>
      <c r="GK79" s="491"/>
      <c r="GL79" s="491"/>
      <c r="GM79" s="491"/>
      <c r="GN79" s="491"/>
      <c r="GO79" s="526"/>
      <c r="GP79" s="491"/>
      <c r="GQ79" s="491"/>
      <c r="GR79" s="491"/>
      <c r="GS79" s="491"/>
      <c r="GT79" s="491"/>
      <c r="GU79" s="491"/>
      <c r="GV79" s="491"/>
      <c r="GW79" s="491"/>
      <c r="GX79" s="491"/>
      <c r="GY79" s="491"/>
      <c r="GZ79" s="491"/>
      <c r="HA79" s="491"/>
      <c r="HB79" s="491"/>
      <c r="HC79" s="491"/>
      <c r="HD79" s="491"/>
      <c r="HE79" s="491"/>
      <c r="HF79" s="491"/>
      <c r="HG79" s="491"/>
      <c r="HH79" s="491"/>
      <c r="HI79" s="491"/>
      <c r="HJ79" s="491"/>
      <c r="HK79" s="491"/>
      <c r="HL79" s="491"/>
      <c r="HM79" s="491"/>
      <c r="HN79" s="491"/>
      <c r="HO79" s="491"/>
      <c r="HP79" s="491"/>
      <c r="HQ79" s="491"/>
      <c r="HR79" s="491"/>
      <c r="HS79" s="491"/>
      <c r="HT79" s="491"/>
      <c r="HU79" s="491"/>
      <c r="HV79" s="491"/>
      <c r="HW79" s="491"/>
      <c r="HX79" s="491"/>
      <c r="HY79" s="491"/>
      <c r="HZ79" s="491"/>
      <c r="IA79" s="491"/>
      <c r="IB79" s="491"/>
      <c r="IC79" s="491"/>
      <c r="ID79" s="491"/>
      <c r="IE79" s="491"/>
      <c r="IF79" s="491"/>
      <c r="IG79" s="491"/>
      <c r="IH79" s="491"/>
      <c r="II79" s="491"/>
      <c r="IJ79" s="491"/>
      <c r="IK79" s="491"/>
      <c r="IL79" s="491"/>
      <c r="IM79" s="491"/>
      <c r="IN79" s="491"/>
      <c r="IO79" s="491"/>
      <c r="IP79" s="491"/>
      <c r="IQ79" s="491"/>
      <c r="IR79" s="491"/>
      <c r="IS79" s="491"/>
      <c r="IT79" s="491"/>
      <c r="IU79" s="491"/>
      <c r="IV79" s="491"/>
      <c r="IW79" s="491"/>
      <c r="IX79" s="491"/>
      <c r="IY79" s="491"/>
      <c r="IZ79" s="491"/>
      <c r="JA79" s="491"/>
      <c r="JB79" s="491"/>
      <c r="JC79" s="491"/>
      <c r="JD79" s="491"/>
      <c r="JE79" s="491"/>
      <c r="JF79" s="491"/>
      <c r="JG79" s="491"/>
      <c r="JH79" s="491"/>
      <c r="JI79" s="491"/>
      <c r="JJ79" s="491"/>
      <c r="JK79" s="491"/>
      <c r="JL79" s="491"/>
      <c r="JM79" s="491"/>
      <c r="JN79" s="491"/>
      <c r="JO79" s="491"/>
      <c r="JP79" s="491"/>
      <c r="JQ79" s="491"/>
      <c r="JR79" s="491"/>
      <c r="JS79" s="491"/>
      <c r="JT79" s="491"/>
      <c r="JU79" s="491"/>
      <c r="JV79" s="491"/>
      <c r="JW79" s="491"/>
      <c r="JX79" s="491"/>
      <c r="JY79" s="491"/>
      <c r="JZ79" s="491"/>
      <c r="KA79" s="491"/>
      <c r="KB79" s="526"/>
      <c r="KC79" s="491"/>
      <c r="KD79" s="491"/>
      <c r="KE79" s="491"/>
      <c r="KF79" s="491"/>
      <c r="KG79" s="491"/>
      <c r="KH79" s="491"/>
      <c r="KI79" s="491"/>
      <c r="KJ79" s="491"/>
      <c r="KK79" s="491"/>
      <c r="KL79" s="491"/>
      <c r="KM79" s="491"/>
      <c r="KN79" s="491"/>
      <c r="KO79" s="491"/>
      <c r="KP79" s="491"/>
      <c r="KQ79" s="491"/>
      <c r="KR79" s="491"/>
      <c r="KS79" s="491"/>
      <c r="KT79" s="491"/>
      <c r="KU79" s="564"/>
      <c r="KV79" s="491"/>
      <c r="KW79" s="491"/>
      <c r="KX79" s="491"/>
      <c r="KY79" s="491"/>
      <c r="KZ79" s="491"/>
      <c r="LA79" s="491"/>
      <c r="LB79" s="491"/>
      <c r="LC79" s="491"/>
      <c r="LD79" s="491"/>
      <c r="LE79" s="491"/>
      <c r="LF79" s="491"/>
      <c r="LG79" s="491"/>
      <c r="LH79" s="491"/>
      <c r="LI79" s="491"/>
      <c r="LJ79" s="491"/>
      <c r="LK79" s="491"/>
      <c r="LL79" s="491"/>
      <c r="LM79" s="491"/>
      <c r="LN79" s="491"/>
      <c r="LO79" s="491"/>
      <c r="LP79" s="491"/>
      <c r="LQ79" s="491"/>
      <c r="LR79" s="491"/>
      <c r="LS79" s="491"/>
      <c r="LT79" s="491"/>
      <c r="LU79" s="491"/>
      <c r="LV79" s="491"/>
      <c r="LW79" s="491"/>
      <c r="LX79" s="491"/>
      <c r="LY79" s="491"/>
      <c r="LZ79" s="491"/>
      <c r="MA79" s="491"/>
      <c r="MB79" s="491"/>
      <c r="MC79" s="491"/>
      <c r="MD79" s="491"/>
      <c r="ME79" s="491"/>
      <c r="MF79" s="491"/>
      <c r="MG79" s="491"/>
      <c r="MH79" s="491"/>
      <c r="MI79" s="491"/>
      <c r="MJ79" s="491"/>
      <c r="MK79" s="491"/>
      <c r="ML79" s="491"/>
      <c r="MM79" s="491"/>
      <c r="MN79" s="491"/>
      <c r="MO79" s="491"/>
      <c r="MP79" s="491"/>
      <c r="MQ79" s="491"/>
      <c r="MR79" s="491"/>
      <c r="MS79" s="491"/>
      <c r="MT79" s="491"/>
      <c r="MU79" s="491"/>
      <c r="MV79" s="491"/>
      <c r="MW79" s="491"/>
      <c r="MX79" s="491"/>
      <c r="MY79" s="491"/>
      <c r="MZ79" s="491"/>
      <c r="NA79" s="491"/>
      <c r="NB79" s="491"/>
      <c r="NC79" s="491"/>
      <c r="ND79" s="491"/>
      <c r="NE79" s="491"/>
      <c r="NF79" s="491"/>
      <c r="NG79" s="491"/>
      <c r="NH79" s="491"/>
      <c r="NI79" s="491"/>
      <c r="NJ79" s="491"/>
      <c r="NK79" s="491"/>
      <c r="NL79" s="491"/>
      <c r="NM79" s="491"/>
      <c r="NN79" s="491"/>
      <c r="NO79" s="491"/>
      <c r="NP79" s="491"/>
      <c r="NQ79" s="491"/>
      <c r="NR79" s="491"/>
      <c r="NS79" s="491"/>
      <c r="NT79" s="491"/>
      <c r="NU79" s="491"/>
      <c r="NV79" s="491"/>
      <c r="NW79" s="491"/>
      <c r="NX79" s="491"/>
      <c r="PW79" s="482"/>
    </row>
    <row r="80" spans="11:470" ht="12.75" customHeight="1" x14ac:dyDescent="0.35">
      <c r="L80" s="655"/>
      <c r="AR80" s="541"/>
      <c r="AU80" s="491"/>
      <c r="AV80" s="491"/>
      <c r="AW80" s="491"/>
      <c r="AX80" s="491"/>
      <c r="AY80" s="491"/>
      <c r="AZ80" s="491"/>
      <c r="BA80" s="491"/>
      <c r="BB80" s="491"/>
      <c r="BC80" s="491"/>
      <c r="BD80" s="491"/>
      <c r="BE80" s="491"/>
      <c r="BF80" s="491"/>
      <c r="BG80" s="491"/>
      <c r="BH80" s="491"/>
      <c r="BI80" s="491"/>
      <c r="BJ80" s="491"/>
      <c r="BK80" s="491"/>
      <c r="BL80" s="491"/>
      <c r="BM80" s="491"/>
      <c r="BN80" s="491"/>
      <c r="BO80" s="491"/>
      <c r="BP80" s="578"/>
      <c r="BQ80" s="513">
        <v>1</v>
      </c>
      <c r="BR80" s="1456" t="s">
        <v>5081</v>
      </c>
      <c r="BS80" s="1457"/>
      <c r="BT80" s="1457"/>
      <c r="BU80" s="1457"/>
      <c r="BV80" s="1457"/>
      <c r="BW80" s="1457"/>
      <c r="BX80" s="1457"/>
      <c r="BY80" s="1457"/>
      <c r="BZ80" s="1458"/>
      <c r="CA80" s="491"/>
      <c r="CB80" s="611"/>
      <c r="CC80" s="513">
        <v>1</v>
      </c>
      <c r="CD80" s="1456" t="s">
        <v>5081</v>
      </c>
      <c r="CE80" s="1457"/>
      <c r="CF80" s="1457"/>
      <c r="CG80" s="1457"/>
      <c r="CH80" s="1457"/>
      <c r="CI80" s="1457"/>
      <c r="CJ80" s="1457"/>
      <c r="CK80" s="1457"/>
      <c r="CL80" s="1458"/>
      <c r="CM80" s="564"/>
      <c r="CN80" s="491"/>
      <c r="CO80" s="511"/>
      <c r="CP80" s="491"/>
      <c r="CQ80" s="491"/>
      <c r="CR80" s="491"/>
      <c r="CS80" s="491"/>
      <c r="CT80" s="491"/>
      <c r="CU80" s="491"/>
      <c r="CV80" s="491"/>
      <c r="CW80" s="491"/>
      <c r="CX80" s="491"/>
      <c r="CY80" s="491"/>
      <c r="CZ80" s="491"/>
      <c r="DA80" s="491"/>
      <c r="DB80" s="491"/>
      <c r="DC80" s="491"/>
      <c r="DD80" s="491"/>
      <c r="DE80" s="491"/>
      <c r="DF80" s="491"/>
      <c r="DG80" s="491"/>
      <c r="DH80" s="491"/>
      <c r="DI80" s="491"/>
      <c r="DJ80" s="491"/>
      <c r="DK80" s="491"/>
      <c r="DL80" s="491"/>
      <c r="DM80" s="491"/>
      <c r="DN80" s="491"/>
      <c r="DO80" s="491"/>
      <c r="DP80" s="491"/>
      <c r="DQ80" s="491"/>
      <c r="DR80" s="491"/>
      <c r="DS80" s="491"/>
      <c r="DT80" s="491"/>
      <c r="DU80" s="491"/>
      <c r="DV80" s="491"/>
      <c r="DW80" s="491"/>
      <c r="DX80" s="491"/>
      <c r="DY80" s="491"/>
      <c r="DZ80" s="491"/>
      <c r="EA80" s="491"/>
      <c r="EB80" s="491"/>
      <c r="EC80" s="491"/>
      <c r="ED80" s="491"/>
      <c r="EE80" s="491"/>
      <c r="EF80" s="491"/>
      <c r="EG80" s="491"/>
      <c r="EH80" s="491"/>
      <c r="EI80" s="491"/>
      <c r="EJ80" s="491"/>
      <c r="EK80" s="491"/>
      <c r="EL80" s="491"/>
      <c r="EM80" s="491"/>
      <c r="EN80" s="491"/>
      <c r="EO80" s="491"/>
      <c r="EP80" s="491"/>
      <c r="EQ80" s="491"/>
      <c r="ER80" s="491"/>
      <c r="ES80" s="491"/>
      <c r="ET80" s="491"/>
      <c r="EU80" s="491"/>
      <c r="EV80" s="491"/>
      <c r="EW80" s="491"/>
      <c r="EX80" s="491"/>
      <c r="EY80" s="491"/>
      <c r="EZ80" s="491"/>
      <c r="FA80" s="491"/>
      <c r="FB80" s="491"/>
      <c r="FC80" s="491"/>
      <c r="FD80" s="491"/>
      <c r="FE80" s="491"/>
      <c r="FF80" s="491"/>
      <c r="FG80" s="491"/>
      <c r="FH80" s="491"/>
      <c r="FI80" s="491"/>
      <c r="FJ80" s="491"/>
      <c r="FK80" s="491"/>
      <c r="FL80" s="491"/>
      <c r="FM80" s="491"/>
      <c r="FN80" s="491"/>
      <c r="FO80" s="491"/>
      <c r="FP80" s="491"/>
      <c r="FQ80" s="491"/>
      <c r="FR80" s="491"/>
      <c r="FS80" s="491"/>
      <c r="FT80" s="491"/>
      <c r="FU80" s="491"/>
      <c r="FV80" s="491"/>
      <c r="FW80" s="491"/>
      <c r="FX80" s="491"/>
      <c r="FY80" s="491"/>
      <c r="FZ80" s="491"/>
      <c r="GA80" s="491"/>
      <c r="GB80" s="491"/>
      <c r="GC80" s="491"/>
      <c r="GD80" s="491"/>
      <c r="GE80" s="491"/>
      <c r="GF80" s="491"/>
      <c r="GG80" s="491"/>
      <c r="GH80" s="491"/>
      <c r="GI80" s="491"/>
      <c r="GJ80" s="491"/>
      <c r="GK80" s="491"/>
      <c r="GL80" s="491"/>
      <c r="GM80" s="491"/>
      <c r="GN80" s="491"/>
      <c r="GO80" s="526"/>
      <c r="GP80" s="491"/>
      <c r="GQ80" s="491"/>
      <c r="GR80" s="491"/>
      <c r="GS80" s="491"/>
      <c r="GT80" s="491"/>
      <c r="GU80" s="491"/>
      <c r="GV80" s="491"/>
      <c r="GW80" s="491"/>
      <c r="GX80" s="491"/>
      <c r="GY80" s="491"/>
      <c r="GZ80" s="491"/>
      <c r="HA80" s="491"/>
      <c r="HB80" s="491"/>
      <c r="HC80" s="491"/>
      <c r="HD80" s="491"/>
      <c r="HE80" s="491"/>
      <c r="HF80" s="491"/>
      <c r="HG80" s="491"/>
      <c r="HH80" s="491"/>
      <c r="HI80" s="491"/>
      <c r="HJ80" s="491"/>
      <c r="HK80" s="491"/>
      <c r="HL80" s="491"/>
      <c r="HM80" s="491"/>
      <c r="HN80" s="491"/>
      <c r="HO80" s="491"/>
      <c r="HP80" s="491"/>
      <c r="HQ80" s="491"/>
      <c r="HR80" s="491"/>
      <c r="HS80" s="491"/>
      <c r="HT80" s="491"/>
      <c r="HU80" s="491"/>
      <c r="HV80" s="491"/>
      <c r="HW80" s="491"/>
      <c r="HX80" s="491"/>
      <c r="HY80" s="491"/>
      <c r="HZ80" s="491"/>
      <c r="IA80" s="491"/>
      <c r="IB80" s="491"/>
      <c r="IC80" s="491"/>
      <c r="ID80" s="491"/>
      <c r="IE80" s="491"/>
      <c r="IF80" s="491"/>
      <c r="IG80" s="491"/>
      <c r="IH80" s="491"/>
      <c r="II80" s="491"/>
      <c r="IJ80" s="491"/>
      <c r="IK80" s="491"/>
      <c r="IL80" s="491"/>
      <c r="IM80" s="491"/>
      <c r="IN80" s="491"/>
      <c r="IO80" s="491"/>
      <c r="IP80" s="491"/>
      <c r="IQ80" s="491"/>
      <c r="IR80" s="491"/>
      <c r="IS80" s="491"/>
      <c r="IT80" s="491"/>
      <c r="IU80" s="491"/>
      <c r="IV80" s="491"/>
      <c r="IW80" s="491"/>
      <c r="IX80" s="491"/>
      <c r="IY80" s="491"/>
      <c r="IZ80" s="491"/>
      <c r="JA80" s="491"/>
      <c r="JB80" s="491"/>
      <c r="JC80" s="491"/>
      <c r="JD80" s="491"/>
      <c r="JE80" s="491"/>
      <c r="JF80" s="491"/>
      <c r="JG80" s="491"/>
      <c r="JH80" s="491"/>
      <c r="JI80" s="491"/>
      <c r="JJ80" s="491"/>
      <c r="JK80" s="491"/>
      <c r="JL80" s="491"/>
      <c r="JM80" s="491"/>
      <c r="JN80" s="491"/>
      <c r="JO80" s="491"/>
      <c r="JP80" s="491"/>
      <c r="JQ80" s="491"/>
      <c r="JR80" s="491"/>
      <c r="JS80" s="491"/>
      <c r="JT80" s="491"/>
      <c r="JU80" s="491"/>
      <c r="JV80" s="491"/>
      <c r="JW80" s="491"/>
      <c r="JX80" s="491"/>
      <c r="JY80" s="491"/>
      <c r="JZ80" s="491"/>
      <c r="KA80" s="491"/>
      <c r="KB80" s="526"/>
      <c r="KC80" s="491"/>
      <c r="KD80" s="491"/>
      <c r="KE80" s="491"/>
      <c r="KF80" s="491"/>
      <c r="KG80" s="491"/>
      <c r="KH80" s="491"/>
      <c r="KI80" s="491"/>
      <c r="KJ80" s="491"/>
      <c r="KK80" s="491"/>
      <c r="KL80" s="491"/>
      <c r="KM80" s="491"/>
      <c r="KN80" s="491"/>
      <c r="KO80" s="491"/>
      <c r="KP80" s="491"/>
      <c r="KQ80" s="491"/>
      <c r="KR80" s="491"/>
      <c r="KS80" s="491"/>
      <c r="KT80" s="491"/>
      <c r="KU80" s="564"/>
      <c r="KV80" s="491"/>
      <c r="KW80" s="491"/>
      <c r="KX80" s="491"/>
      <c r="KY80" s="491"/>
      <c r="KZ80" s="491"/>
      <c r="LA80" s="491"/>
      <c r="LB80" s="491"/>
      <c r="LC80" s="491"/>
      <c r="LD80" s="491"/>
      <c r="LE80" s="491"/>
      <c r="LF80" s="491"/>
      <c r="LG80" s="491"/>
      <c r="LH80" s="491"/>
      <c r="LI80" s="491"/>
      <c r="LJ80" s="491"/>
      <c r="LK80" s="491"/>
      <c r="LL80" s="491"/>
      <c r="LM80" s="491"/>
      <c r="LN80" s="491"/>
      <c r="LO80" s="491"/>
      <c r="LP80" s="491"/>
      <c r="LQ80" s="491"/>
      <c r="LR80" s="491"/>
      <c r="LS80" s="491"/>
      <c r="LT80" s="491"/>
      <c r="LU80" s="491"/>
      <c r="LV80" s="491"/>
      <c r="LW80" s="491"/>
      <c r="LX80" s="491"/>
      <c r="LY80" s="491"/>
      <c r="LZ80" s="491"/>
      <c r="MA80" s="491"/>
      <c r="MB80" s="491"/>
      <c r="MC80" s="491"/>
      <c r="MD80" s="491"/>
      <c r="ME80" s="491"/>
      <c r="MF80" s="491"/>
      <c r="MG80" s="491"/>
      <c r="MH80" s="491"/>
      <c r="MI80" s="491"/>
      <c r="MJ80" s="491"/>
      <c r="MK80" s="491"/>
      <c r="ML80" s="491"/>
      <c r="MM80" s="491"/>
      <c r="MN80" s="491"/>
      <c r="MO80" s="491"/>
      <c r="MP80" s="491"/>
      <c r="MQ80" s="491"/>
      <c r="MR80" s="491"/>
      <c r="MS80" s="491"/>
      <c r="MT80" s="491"/>
      <c r="MU80" s="491"/>
      <c r="MV80" s="491"/>
      <c r="MW80" s="491"/>
      <c r="MX80" s="491"/>
      <c r="MY80" s="491"/>
      <c r="MZ80" s="491"/>
      <c r="NA80" s="491"/>
      <c r="NB80" s="491"/>
      <c r="NC80" s="491"/>
      <c r="ND80" s="491"/>
      <c r="NE80" s="491"/>
      <c r="NF80" s="491"/>
      <c r="NG80" s="491"/>
      <c r="NH80" s="491"/>
      <c r="NI80" s="491"/>
      <c r="NJ80" s="491"/>
      <c r="NK80" s="491"/>
      <c r="NL80" s="491"/>
      <c r="NM80" s="491"/>
      <c r="NN80" s="491"/>
      <c r="NO80" s="491"/>
      <c r="NP80" s="491"/>
      <c r="NQ80" s="491"/>
      <c r="NR80" s="491"/>
      <c r="NS80" s="491"/>
      <c r="NT80" s="491"/>
      <c r="NU80" s="491"/>
      <c r="NV80" s="491"/>
      <c r="NW80" s="491"/>
      <c r="NX80" s="491"/>
      <c r="PW80" s="482"/>
    </row>
    <row r="81" spans="12:439" ht="12.75" customHeight="1" x14ac:dyDescent="0.35">
      <c r="L81" s="655"/>
      <c r="AR81" s="541"/>
      <c r="AU81" s="491"/>
      <c r="AV81" s="491"/>
      <c r="AW81" s="491"/>
      <c r="AX81" s="491"/>
      <c r="AY81" s="491"/>
      <c r="AZ81" s="491"/>
      <c r="BA81" s="491"/>
      <c r="BB81" s="491"/>
      <c r="BC81" s="491"/>
      <c r="BD81" s="491"/>
      <c r="BE81" s="491"/>
      <c r="BF81" s="491"/>
      <c r="BG81" s="491"/>
      <c r="BH81" s="491"/>
      <c r="BI81" s="491"/>
      <c r="BJ81" s="491"/>
      <c r="BK81" s="491"/>
      <c r="BL81" s="491"/>
      <c r="BM81" s="491"/>
      <c r="BN81" s="491"/>
      <c r="BO81" s="491"/>
      <c r="BP81" s="578"/>
      <c r="BQ81" s="1522" t="s">
        <v>3658</v>
      </c>
      <c r="BR81" s="1516"/>
      <c r="BS81" s="1516"/>
      <c r="BT81" s="1516"/>
      <c r="BU81" s="1516"/>
      <c r="BV81" s="1516"/>
      <c r="BW81" s="1516"/>
      <c r="BX81" s="1516"/>
      <c r="BY81" s="1516"/>
      <c r="BZ81" s="1517"/>
      <c r="CA81" s="491"/>
      <c r="CB81" s="611"/>
      <c r="CC81" s="1447" t="s">
        <v>3076</v>
      </c>
      <c r="CD81" s="1448"/>
      <c r="CE81" s="1448"/>
      <c r="CF81" s="1448"/>
      <c r="CG81" s="1448"/>
      <c r="CH81" s="1448"/>
      <c r="CI81" s="1448"/>
      <c r="CJ81" s="1448"/>
      <c r="CK81" s="1448"/>
      <c r="CL81" s="1449"/>
      <c r="CM81" s="564"/>
      <c r="CN81" s="491"/>
      <c r="CO81" s="501"/>
      <c r="CP81" s="491"/>
      <c r="CQ81" s="491"/>
      <c r="CR81" s="491"/>
      <c r="CS81" s="491"/>
      <c r="CT81" s="491"/>
      <c r="CU81" s="491"/>
      <c r="CV81" s="491"/>
      <c r="CW81" s="491"/>
      <c r="CX81" s="491"/>
      <c r="CY81" s="491"/>
      <c r="CZ81" s="491"/>
      <c r="DA81" s="491"/>
      <c r="DB81" s="491"/>
      <c r="DC81" s="491"/>
      <c r="DD81" s="491"/>
      <c r="DE81" s="491"/>
      <c r="DF81" s="491"/>
      <c r="DG81" s="491"/>
      <c r="DH81" s="491"/>
      <c r="DI81" s="491"/>
      <c r="DJ81" s="491"/>
      <c r="DK81" s="491"/>
      <c r="DL81" s="491"/>
      <c r="DM81" s="491"/>
      <c r="DN81" s="491"/>
      <c r="DO81" s="491"/>
      <c r="DP81" s="491"/>
      <c r="DQ81" s="491"/>
      <c r="DR81" s="491"/>
      <c r="DS81" s="491"/>
      <c r="DT81" s="491"/>
      <c r="DU81" s="491"/>
      <c r="DV81" s="491"/>
      <c r="DW81" s="491"/>
      <c r="DX81" s="491"/>
      <c r="DY81" s="491"/>
      <c r="DZ81" s="491"/>
      <c r="EA81" s="491"/>
      <c r="EB81" s="491"/>
      <c r="EC81" s="491"/>
      <c r="ED81" s="491"/>
      <c r="EE81" s="491"/>
      <c r="EF81" s="491"/>
      <c r="EG81" s="491"/>
      <c r="EH81" s="491"/>
      <c r="EI81" s="491"/>
      <c r="EJ81" s="491"/>
      <c r="EK81" s="491"/>
      <c r="EL81" s="491"/>
      <c r="EM81" s="491"/>
      <c r="EN81" s="491"/>
      <c r="EO81" s="491"/>
      <c r="EP81" s="491"/>
      <c r="EQ81" s="491"/>
      <c r="ER81" s="491"/>
      <c r="ES81" s="491"/>
      <c r="ET81" s="491"/>
      <c r="EU81" s="491"/>
      <c r="EV81" s="491"/>
      <c r="EW81" s="491"/>
      <c r="EX81" s="491"/>
      <c r="EY81" s="491"/>
      <c r="EZ81" s="491"/>
      <c r="FA81" s="491"/>
      <c r="FB81" s="491"/>
      <c r="FC81" s="491"/>
      <c r="FD81" s="491"/>
      <c r="FE81" s="491"/>
      <c r="FF81" s="491"/>
      <c r="FG81" s="491"/>
      <c r="FH81" s="491"/>
      <c r="FI81" s="491"/>
      <c r="FJ81" s="491"/>
      <c r="FK81" s="491"/>
      <c r="FL81" s="491"/>
      <c r="FM81" s="491"/>
      <c r="FN81" s="491"/>
      <c r="FO81" s="491"/>
      <c r="FP81" s="491"/>
      <c r="FQ81" s="491"/>
      <c r="FR81" s="491"/>
      <c r="FS81" s="491"/>
      <c r="FT81" s="491"/>
      <c r="FU81" s="491"/>
      <c r="FV81" s="491"/>
      <c r="FW81" s="491"/>
      <c r="FX81" s="491"/>
      <c r="FY81" s="491"/>
      <c r="FZ81" s="491"/>
      <c r="GA81" s="491"/>
      <c r="GB81" s="491"/>
      <c r="GC81" s="491"/>
      <c r="GD81" s="491"/>
      <c r="GE81" s="491"/>
      <c r="GF81" s="491"/>
      <c r="GG81" s="491"/>
      <c r="GH81" s="491"/>
      <c r="GI81" s="491"/>
      <c r="GJ81" s="491"/>
      <c r="GK81" s="491"/>
      <c r="GL81" s="491"/>
      <c r="GM81" s="491"/>
      <c r="GN81" s="491"/>
      <c r="GO81" s="526"/>
      <c r="GP81" s="491"/>
      <c r="GQ81" s="491"/>
      <c r="GR81" s="491"/>
      <c r="GS81" s="491"/>
      <c r="GT81" s="491"/>
      <c r="GU81" s="491"/>
      <c r="GV81" s="491"/>
      <c r="GW81" s="491"/>
      <c r="GX81" s="491"/>
      <c r="GY81" s="491"/>
      <c r="GZ81" s="491"/>
      <c r="HA81" s="491"/>
      <c r="HB81" s="491"/>
      <c r="HC81" s="491"/>
      <c r="HD81" s="491"/>
      <c r="HE81" s="491"/>
      <c r="HF81" s="491"/>
      <c r="HG81" s="491"/>
      <c r="HH81" s="491"/>
      <c r="HI81" s="491"/>
      <c r="HJ81" s="491"/>
      <c r="HK81" s="491"/>
      <c r="HL81" s="491"/>
      <c r="HM81" s="491"/>
      <c r="HN81" s="491"/>
      <c r="HO81" s="491"/>
      <c r="HP81" s="491"/>
      <c r="HQ81" s="491"/>
      <c r="HR81" s="491"/>
      <c r="HS81" s="491"/>
      <c r="HT81" s="491"/>
      <c r="HU81" s="491"/>
      <c r="HV81" s="491"/>
      <c r="HW81" s="491"/>
      <c r="HX81" s="491"/>
      <c r="HY81" s="491"/>
      <c r="HZ81" s="491"/>
      <c r="IA81" s="491"/>
      <c r="IB81" s="491"/>
      <c r="IC81" s="491"/>
      <c r="ID81" s="491"/>
      <c r="IE81" s="491"/>
      <c r="IF81" s="491"/>
      <c r="IG81" s="491"/>
      <c r="IH81" s="491"/>
      <c r="II81" s="491"/>
      <c r="IJ81" s="491"/>
      <c r="IK81" s="491"/>
      <c r="IL81" s="491"/>
      <c r="IM81" s="491"/>
      <c r="IN81" s="491"/>
      <c r="IO81" s="491"/>
      <c r="IP81" s="491"/>
      <c r="IQ81" s="491"/>
      <c r="IR81" s="491"/>
      <c r="IS81" s="491"/>
      <c r="IT81" s="491"/>
      <c r="IU81" s="491"/>
      <c r="IV81" s="491"/>
      <c r="IW81" s="491"/>
      <c r="IX81" s="491"/>
      <c r="IY81" s="491"/>
      <c r="IZ81" s="491"/>
      <c r="JA81" s="491"/>
      <c r="JB81" s="491"/>
      <c r="JC81" s="491"/>
      <c r="JD81" s="491"/>
      <c r="JE81" s="491"/>
      <c r="JF81" s="491"/>
      <c r="JG81" s="491"/>
      <c r="JH81" s="491"/>
      <c r="JI81" s="491"/>
      <c r="JJ81" s="491"/>
      <c r="JK81" s="491"/>
      <c r="JL81" s="491"/>
      <c r="JM81" s="491"/>
      <c r="JN81" s="491"/>
      <c r="JO81" s="491"/>
      <c r="JP81" s="491"/>
      <c r="JQ81" s="491"/>
      <c r="JR81" s="491"/>
      <c r="JS81" s="491"/>
      <c r="JT81" s="491"/>
      <c r="JU81" s="491"/>
      <c r="JV81" s="491"/>
      <c r="JW81" s="491"/>
      <c r="JX81" s="491"/>
      <c r="JY81" s="491"/>
      <c r="JZ81" s="491"/>
      <c r="KA81" s="491"/>
      <c r="KB81" s="526"/>
      <c r="KC81" s="491"/>
      <c r="KD81" s="491"/>
      <c r="KE81" s="491"/>
      <c r="KF81" s="491"/>
      <c r="KG81" s="491"/>
      <c r="KH81" s="491"/>
      <c r="KI81" s="491"/>
      <c r="KJ81" s="491"/>
      <c r="KK81" s="491"/>
      <c r="KL81" s="491"/>
      <c r="KM81" s="491"/>
      <c r="KN81" s="491"/>
      <c r="KO81" s="491"/>
      <c r="KP81" s="491"/>
      <c r="KQ81" s="491"/>
      <c r="KR81" s="491"/>
      <c r="KS81" s="491"/>
      <c r="KT81" s="491"/>
      <c r="KU81" s="564"/>
      <c r="KV81" s="491"/>
      <c r="KW81" s="491"/>
      <c r="KX81" s="491"/>
      <c r="KY81" s="491"/>
      <c r="KZ81" s="491"/>
      <c r="LA81" s="491"/>
      <c r="LB81" s="491"/>
      <c r="LC81" s="491"/>
      <c r="LD81" s="491"/>
      <c r="LE81" s="491"/>
      <c r="LF81" s="491"/>
      <c r="LG81" s="491"/>
      <c r="LH81" s="491"/>
      <c r="LI81" s="491"/>
      <c r="LJ81" s="491"/>
      <c r="LK81" s="491"/>
      <c r="LL81" s="491"/>
      <c r="LM81" s="491"/>
      <c r="LN81" s="491"/>
      <c r="LO81" s="491"/>
      <c r="LP81" s="491"/>
      <c r="LQ81" s="491"/>
      <c r="LR81" s="491"/>
      <c r="LS81" s="491"/>
      <c r="LT81" s="491"/>
      <c r="LU81" s="491"/>
      <c r="LV81" s="491"/>
      <c r="LW81" s="491"/>
      <c r="LX81" s="491"/>
      <c r="LY81" s="491"/>
      <c r="LZ81" s="491"/>
      <c r="MA81" s="491"/>
      <c r="MB81" s="491"/>
      <c r="MC81" s="491"/>
      <c r="MD81" s="491"/>
      <c r="ME81" s="491"/>
      <c r="MF81" s="491"/>
      <c r="MG81" s="491"/>
      <c r="MH81" s="491"/>
      <c r="MI81" s="491"/>
      <c r="MJ81" s="491"/>
      <c r="MK81" s="491"/>
      <c r="ML81" s="491"/>
      <c r="MM81" s="491"/>
      <c r="MN81" s="491"/>
      <c r="MO81" s="491"/>
      <c r="MP81" s="491"/>
      <c r="MQ81" s="491"/>
      <c r="MR81" s="491"/>
      <c r="MS81" s="491"/>
      <c r="MT81" s="491"/>
      <c r="MU81" s="491"/>
      <c r="MV81" s="491"/>
      <c r="MW81" s="491"/>
      <c r="MX81" s="491"/>
      <c r="MY81" s="491"/>
      <c r="MZ81" s="491"/>
      <c r="NA81" s="491"/>
      <c r="NB81" s="491"/>
      <c r="NC81" s="491"/>
      <c r="ND81" s="491"/>
      <c r="NE81" s="491"/>
      <c r="NF81" s="491"/>
      <c r="NG81" s="491"/>
      <c r="NH81" s="491"/>
      <c r="NI81" s="491"/>
      <c r="NJ81" s="491"/>
      <c r="NK81" s="491"/>
      <c r="NL81" s="491"/>
      <c r="NM81" s="491"/>
      <c r="NN81" s="491"/>
      <c r="NO81" s="491"/>
      <c r="NP81" s="491"/>
      <c r="NQ81" s="491"/>
      <c r="NR81" s="491"/>
      <c r="NS81" s="491"/>
      <c r="NT81" s="491"/>
      <c r="NU81" s="491"/>
      <c r="NV81" s="491"/>
      <c r="NW81" s="491"/>
      <c r="NX81" s="491"/>
      <c r="PW81" s="482"/>
    </row>
    <row r="82" spans="12:439" ht="12.75" customHeight="1" x14ac:dyDescent="0.35">
      <c r="L82" s="655"/>
      <c r="AQ82" s="489"/>
      <c r="AR82" s="541"/>
      <c r="AU82" s="491"/>
      <c r="AV82" s="491"/>
      <c r="AW82" s="491"/>
      <c r="AX82" s="491"/>
      <c r="AY82" s="491"/>
      <c r="AZ82" s="491"/>
      <c r="BA82" s="491"/>
      <c r="BB82" s="491"/>
      <c r="BC82" s="491"/>
      <c r="BD82" s="491"/>
      <c r="BE82" s="491"/>
      <c r="BF82" s="491"/>
      <c r="BG82" s="491"/>
      <c r="BH82" s="491"/>
      <c r="BI82" s="491"/>
      <c r="BJ82" s="491"/>
      <c r="BK82" s="491"/>
      <c r="BL82" s="491"/>
      <c r="BM82" s="491"/>
      <c r="BN82" s="491"/>
      <c r="BO82" s="491"/>
      <c r="BP82" s="578"/>
      <c r="BQ82" s="513">
        <v>1</v>
      </c>
      <c r="BR82" s="1456" t="s">
        <v>4737</v>
      </c>
      <c r="BS82" s="1457"/>
      <c r="BT82" s="1457"/>
      <c r="BU82" s="1457"/>
      <c r="BV82" s="1457"/>
      <c r="BW82" s="1457"/>
      <c r="BX82" s="1457"/>
      <c r="BY82" s="1457"/>
      <c r="BZ82" s="1458"/>
      <c r="CA82" s="491"/>
      <c r="CB82" s="611"/>
      <c r="CC82" s="513">
        <v>1</v>
      </c>
      <c r="CD82" s="1456" t="s">
        <v>4737</v>
      </c>
      <c r="CE82" s="1457"/>
      <c r="CF82" s="1457"/>
      <c r="CG82" s="1457"/>
      <c r="CH82" s="1457"/>
      <c r="CI82" s="1457"/>
      <c r="CJ82" s="1457"/>
      <c r="CK82" s="1457"/>
      <c r="CL82" s="1458"/>
      <c r="CM82" s="564"/>
      <c r="CN82" s="491"/>
      <c r="CO82" s="498"/>
      <c r="CP82" s="491"/>
      <c r="CQ82" s="491"/>
      <c r="CR82" s="491"/>
      <c r="CS82" s="491"/>
      <c r="CT82" s="491"/>
      <c r="CU82" s="491"/>
      <c r="CV82" s="491"/>
      <c r="CW82" s="491"/>
      <c r="CX82" s="507"/>
      <c r="CY82" s="504"/>
      <c r="CZ82" s="504"/>
      <c r="DA82" s="500"/>
      <c r="DB82" s="500"/>
      <c r="DC82" s="500"/>
      <c r="DD82" s="500"/>
      <c r="DE82" s="501"/>
      <c r="DF82" s="501"/>
      <c r="DG82" s="501"/>
      <c r="DH82" s="491"/>
      <c r="DI82" s="491"/>
      <c r="DJ82" s="491"/>
      <c r="DK82" s="491"/>
      <c r="DL82" s="491"/>
      <c r="DM82" s="491"/>
      <c r="DN82" s="491"/>
      <c r="DO82" s="491"/>
      <c r="DP82" s="491"/>
      <c r="DQ82" s="491"/>
      <c r="DR82" s="491"/>
      <c r="DS82" s="491"/>
      <c r="DT82" s="491"/>
      <c r="DU82" s="491"/>
      <c r="DV82" s="491"/>
      <c r="DW82" s="491"/>
      <c r="DX82" s="491"/>
      <c r="DY82" s="491"/>
      <c r="DZ82" s="491"/>
      <c r="EA82" s="491"/>
      <c r="EB82" s="491"/>
      <c r="EC82" s="491"/>
      <c r="ED82" s="491"/>
      <c r="EE82" s="491"/>
      <c r="EF82" s="491"/>
      <c r="EG82" s="491"/>
      <c r="EH82" s="491"/>
      <c r="EI82" s="491"/>
      <c r="EJ82" s="491"/>
      <c r="EK82" s="491"/>
      <c r="EL82" s="491"/>
      <c r="EM82" s="491"/>
      <c r="EN82" s="491"/>
      <c r="EO82" s="491"/>
      <c r="EP82" s="491"/>
      <c r="EQ82" s="491"/>
      <c r="ER82" s="491"/>
      <c r="ES82" s="491"/>
      <c r="ET82" s="491"/>
      <c r="EU82" s="491"/>
      <c r="EV82" s="491"/>
      <c r="EW82" s="491"/>
      <c r="EX82" s="491"/>
      <c r="EY82" s="491"/>
      <c r="EZ82" s="491"/>
      <c r="FA82" s="491"/>
      <c r="FB82" s="491"/>
      <c r="FC82" s="491"/>
      <c r="FD82" s="491"/>
      <c r="FE82" s="491"/>
      <c r="FF82" s="491"/>
      <c r="FG82" s="491"/>
      <c r="FH82" s="491"/>
      <c r="FI82" s="491"/>
      <c r="FJ82" s="491"/>
      <c r="FK82" s="491"/>
      <c r="FL82" s="491"/>
      <c r="FM82" s="491"/>
      <c r="FN82" s="491"/>
      <c r="FO82" s="491"/>
      <c r="FP82" s="491"/>
      <c r="FQ82" s="491"/>
      <c r="FR82" s="491"/>
      <c r="FS82" s="491"/>
      <c r="FT82" s="491"/>
      <c r="FU82" s="491"/>
      <c r="FV82" s="491"/>
      <c r="FW82" s="491"/>
      <c r="FX82" s="491"/>
      <c r="FY82" s="491"/>
      <c r="FZ82" s="491"/>
      <c r="GA82" s="491"/>
      <c r="GB82" s="491"/>
      <c r="GC82" s="491"/>
      <c r="GD82" s="491"/>
      <c r="GE82" s="491"/>
      <c r="GF82" s="491"/>
      <c r="GG82" s="491"/>
      <c r="GH82" s="491"/>
      <c r="GI82" s="491"/>
      <c r="GJ82" s="491"/>
      <c r="GK82" s="491"/>
      <c r="GL82" s="491"/>
      <c r="GM82" s="491"/>
      <c r="GN82" s="491"/>
      <c r="GO82" s="526"/>
      <c r="GP82" s="491"/>
      <c r="GQ82" s="491"/>
      <c r="GR82" s="491"/>
      <c r="GS82" s="491"/>
      <c r="GT82" s="491"/>
      <c r="GU82" s="491"/>
      <c r="GV82" s="491"/>
      <c r="GW82" s="491"/>
      <c r="GX82" s="491"/>
      <c r="GY82" s="491"/>
      <c r="GZ82" s="491"/>
      <c r="HA82" s="491"/>
      <c r="HB82" s="491"/>
      <c r="HC82" s="491"/>
      <c r="HD82" s="491"/>
      <c r="HE82" s="491"/>
      <c r="HF82" s="491"/>
      <c r="HG82" s="491"/>
      <c r="HH82" s="491"/>
      <c r="HI82" s="491"/>
      <c r="HJ82" s="491"/>
      <c r="HK82" s="491"/>
      <c r="HL82" s="491"/>
      <c r="HM82" s="491"/>
      <c r="HN82" s="491"/>
      <c r="HO82" s="491"/>
      <c r="HP82" s="491"/>
      <c r="HQ82" s="491"/>
      <c r="HR82" s="491"/>
      <c r="HS82" s="491"/>
      <c r="HT82" s="491"/>
      <c r="HU82" s="491"/>
      <c r="HV82" s="491"/>
      <c r="HW82" s="491"/>
      <c r="HX82" s="491"/>
      <c r="HY82" s="491"/>
      <c r="HZ82" s="491"/>
      <c r="IA82" s="491"/>
      <c r="IB82" s="491"/>
      <c r="IC82" s="491"/>
      <c r="ID82" s="491"/>
      <c r="IE82" s="491"/>
      <c r="IF82" s="491"/>
      <c r="IG82" s="491"/>
      <c r="IH82" s="491"/>
      <c r="II82" s="491"/>
      <c r="IJ82" s="491"/>
      <c r="IK82" s="491"/>
      <c r="IL82" s="491"/>
      <c r="IM82" s="491"/>
      <c r="IN82" s="491"/>
      <c r="IO82" s="491"/>
      <c r="IP82" s="491"/>
      <c r="IQ82" s="491"/>
      <c r="IR82" s="491"/>
      <c r="IS82" s="491"/>
      <c r="IT82" s="491"/>
      <c r="IU82" s="491"/>
      <c r="IV82" s="491"/>
      <c r="IW82" s="491"/>
      <c r="IX82" s="491"/>
      <c r="IY82" s="491"/>
      <c r="IZ82" s="491"/>
      <c r="JA82" s="491"/>
      <c r="JB82" s="491"/>
      <c r="JC82" s="491"/>
      <c r="JD82" s="491"/>
      <c r="JE82" s="491"/>
      <c r="JF82" s="491"/>
      <c r="JG82" s="491"/>
      <c r="JH82" s="491"/>
      <c r="JI82" s="491"/>
      <c r="JJ82" s="491"/>
      <c r="JK82" s="491"/>
      <c r="JL82" s="491"/>
      <c r="JM82" s="491"/>
      <c r="JN82" s="491"/>
      <c r="JO82" s="491"/>
      <c r="JP82" s="491"/>
      <c r="JQ82" s="491"/>
      <c r="JR82" s="491"/>
      <c r="JS82" s="491"/>
      <c r="JT82" s="491"/>
      <c r="JU82" s="491"/>
      <c r="JV82" s="491"/>
      <c r="JW82" s="491"/>
      <c r="JX82" s="491"/>
      <c r="JY82" s="491"/>
      <c r="JZ82" s="491"/>
      <c r="KA82" s="491"/>
      <c r="KB82" s="526"/>
      <c r="KC82" s="491"/>
      <c r="KD82" s="491"/>
      <c r="KE82" s="491"/>
      <c r="KF82" s="491"/>
      <c r="KG82" s="491"/>
      <c r="KH82" s="491"/>
      <c r="KI82" s="491"/>
      <c r="KJ82" s="491"/>
      <c r="KK82" s="491"/>
      <c r="KL82" s="491"/>
      <c r="KM82" s="491"/>
      <c r="KN82" s="491"/>
      <c r="KO82" s="491"/>
      <c r="KP82" s="491"/>
      <c r="KQ82" s="491"/>
      <c r="KR82" s="491"/>
      <c r="KS82" s="491"/>
      <c r="KT82" s="491"/>
      <c r="KU82" s="564"/>
      <c r="KV82" s="491"/>
      <c r="KW82" s="491"/>
      <c r="KX82" s="491"/>
      <c r="KY82" s="491"/>
      <c r="KZ82" s="491"/>
      <c r="LA82" s="491"/>
      <c r="LB82" s="491"/>
      <c r="LC82" s="491"/>
      <c r="LD82" s="491"/>
      <c r="LE82" s="491"/>
      <c r="LF82" s="491"/>
      <c r="LG82" s="491"/>
      <c r="LH82" s="491"/>
      <c r="LI82" s="491"/>
      <c r="LJ82" s="491"/>
      <c r="LK82" s="491"/>
      <c r="LL82" s="491"/>
      <c r="LM82" s="491"/>
      <c r="LN82" s="491"/>
      <c r="LO82" s="491"/>
      <c r="LP82" s="491"/>
      <c r="LQ82" s="491"/>
      <c r="LR82" s="491"/>
      <c r="LS82" s="491"/>
      <c r="LT82" s="491"/>
      <c r="LU82" s="491"/>
      <c r="LV82" s="491"/>
      <c r="LW82" s="491"/>
      <c r="LX82" s="491"/>
      <c r="LY82" s="491"/>
      <c r="LZ82" s="491"/>
      <c r="MA82" s="491"/>
      <c r="MB82" s="491"/>
      <c r="MC82" s="491"/>
      <c r="MD82" s="491"/>
      <c r="ME82" s="491"/>
      <c r="MF82" s="491"/>
      <c r="MG82" s="491"/>
      <c r="MH82" s="491"/>
      <c r="MI82" s="491"/>
      <c r="MJ82" s="491"/>
      <c r="MK82" s="491"/>
      <c r="ML82" s="491"/>
      <c r="MM82" s="491"/>
      <c r="MN82" s="491"/>
      <c r="MO82" s="491"/>
      <c r="MP82" s="491"/>
      <c r="MQ82" s="491"/>
      <c r="MR82" s="491"/>
      <c r="MS82" s="491"/>
      <c r="MT82" s="491"/>
      <c r="MU82" s="491"/>
      <c r="MV82" s="491"/>
      <c r="MW82" s="491"/>
      <c r="MX82" s="491"/>
      <c r="MY82" s="491"/>
      <c r="MZ82" s="491"/>
      <c r="NA82" s="491"/>
      <c r="NB82" s="491"/>
      <c r="NC82" s="491"/>
      <c r="ND82" s="491"/>
      <c r="NE82" s="491"/>
      <c r="NF82" s="491"/>
      <c r="NG82" s="491"/>
      <c r="NH82" s="491"/>
      <c r="NI82" s="491"/>
      <c r="NJ82" s="491"/>
      <c r="NK82" s="491"/>
      <c r="NL82" s="491"/>
      <c r="NM82" s="491"/>
      <c r="NN82" s="491"/>
      <c r="NO82" s="491"/>
      <c r="NP82" s="491"/>
      <c r="NQ82" s="491"/>
      <c r="NR82" s="491"/>
      <c r="NS82" s="491"/>
      <c r="NT82" s="491"/>
      <c r="NU82" s="491"/>
      <c r="NV82" s="491"/>
      <c r="NW82" s="491"/>
      <c r="NX82" s="491"/>
      <c r="PW82" s="482"/>
    </row>
    <row r="83" spans="12:439" ht="12.75" customHeight="1" x14ac:dyDescent="0.35">
      <c r="L83" s="655"/>
      <c r="AQ83" s="478"/>
      <c r="AR83" s="541"/>
      <c r="AU83" s="491"/>
      <c r="AV83" s="491"/>
      <c r="AW83" s="491"/>
      <c r="AX83" s="491"/>
      <c r="AY83" s="491"/>
      <c r="AZ83" s="491"/>
      <c r="BA83" s="491"/>
      <c r="BB83" s="491"/>
      <c r="BC83" s="491"/>
      <c r="BD83" s="491"/>
      <c r="BE83" s="491"/>
      <c r="BF83" s="491"/>
      <c r="BG83" s="491"/>
      <c r="BH83" s="491"/>
      <c r="BI83" s="491"/>
      <c r="BJ83" s="491"/>
      <c r="BK83" s="491"/>
      <c r="BL83" s="491"/>
      <c r="BM83" s="491"/>
      <c r="BN83" s="491"/>
      <c r="BO83" s="491"/>
      <c r="BP83" s="578"/>
      <c r="BQ83" s="1447" t="s">
        <v>5131</v>
      </c>
      <c r="BR83" s="1448"/>
      <c r="BS83" s="1448"/>
      <c r="BT83" s="1448"/>
      <c r="BU83" s="1448"/>
      <c r="BV83" s="1448"/>
      <c r="BW83" s="1448"/>
      <c r="BX83" s="1448"/>
      <c r="BY83" s="1448"/>
      <c r="BZ83" s="1449"/>
      <c r="CA83" s="491"/>
      <c r="CB83" s="611"/>
      <c r="CC83" s="1447" t="s">
        <v>4279</v>
      </c>
      <c r="CD83" s="1448"/>
      <c r="CE83" s="1448"/>
      <c r="CF83" s="1448"/>
      <c r="CG83" s="1448"/>
      <c r="CH83" s="1448"/>
      <c r="CI83" s="1448"/>
      <c r="CJ83" s="1448"/>
      <c r="CK83" s="1448"/>
      <c r="CL83" s="1449"/>
      <c r="CM83" s="564"/>
      <c r="CN83" s="491"/>
      <c r="CO83" s="501"/>
      <c r="CP83" s="491"/>
      <c r="CQ83" s="491"/>
      <c r="CR83" s="491"/>
      <c r="CS83" s="491"/>
      <c r="CT83" s="491"/>
      <c r="CU83" s="491"/>
      <c r="CV83" s="491"/>
      <c r="CW83" s="491"/>
      <c r="CX83" s="491"/>
      <c r="CY83" s="491"/>
      <c r="CZ83" s="491"/>
      <c r="DA83" s="491"/>
      <c r="DB83" s="491"/>
      <c r="DC83" s="491"/>
      <c r="DD83" s="491"/>
      <c r="DE83" s="491"/>
      <c r="DF83" s="491"/>
      <c r="DG83" s="491"/>
      <c r="DH83" s="491"/>
      <c r="DI83" s="491"/>
      <c r="DJ83" s="491"/>
      <c r="DK83" s="491"/>
      <c r="DL83" s="491"/>
      <c r="DM83" s="491"/>
      <c r="DN83" s="491"/>
      <c r="DO83" s="491"/>
      <c r="DP83" s="491"/>
      <c r="DQ83" s="491"/>
      <c r="DR83" s="491"/>
      <c r="DS83" s="491"/>
      <c r="DT83" s="491"/>
      <c r="DU83" s="491"/>
      <c r="DV83" s="491"/>
      <c r="DW83" s="491"/>
      <c r="DX83" s="491"/>
      <c r="DY83" s="491"/>
      <c r="DZ83" s="491"/>
      <c r="EA83" s="491"/>
      <c r="EB83" s="491"/>
      <c r="EC83" s="491"/>
      <c r="ED83" s="491"/>
      <c r="EE83" s="491"/>
      <c r="EF83" s="491"/>
      <c r="EG83" s="491"/>
      <c r="EH83" s="491"/>
      <c r="EI83" s="491"/>
      <c r="EJ83" s="491"/>
      <c r="EK83" s="491"/>
      <c r="EL83" s="507"/>
      <c r="EM83" s="504"/>
      <c r="EN83" s="491"/>
      <c r="EO83" s="641"/>
      <c r="EP83" s="641"/>
      <c r="EQ83" s="641"/>
      <c r="ER83" s="491"/>
      <c r="ES83" s="491"/>
      <c r="ET83" s="491"/>
      <c r="EU83" s="491"/>
      <c r="EV83" s="491"/>
      <c r="EW83" s="491"/>
      <c r="EX83" s="507"/>
      <c r="EY83" s="1520"/>
      <c r="EZ83" s="1520"/>
      <c r="FA83" s="1520"/>
      <c r="FB83" s="1520"/>
      <c r="FC83" s="1520"/>
      <c r="FD83" s="1520"/>
      <c r="FE83" s="1520"/>
      <c r="FF83" s="1520"/>
      <c r="FG83" s="1520"/>
      <c r="FH83" s="491"/>
      <c r="FI83" s="491"/>
      <c r="FJ83" s="491"/>
      <c r="FK83" s="491"/>
      <c r="FL83" s="491"/>
      <c r="FM83" s="491"/>
      <c r="FN83" s="491"/>
      <c r="FO83" s="491"/>
      <c r="FP83" s="491"/>
      <c r="FQ83" s="491"/>
      <c r="FR83" s="491"/>
      <c r="FS83" s="491"/>
      <c r="FT83" s="491"/>
      <c r="FU83" s="491"/>
      <c r="FV83" s="491"/>
      <c r="FW83" s="491"/>
      <c r="FX83" s="491"/>
      <c r="FY83" s="491"/>
      <c r="FZ83" s="491"/>
      <c r="GA83" s="491"/>
      <c r="GB83" s="491"/>
      <c r="GC83" s="491"/>
      <c r="GD83" s="491"/>
      <c r="GE83" s="491"/>
      <c r="GF83" s="491"/>
      <c r="GG83" s="491"/>
      <c r="GH83" s="491"/>
      <c r="GI83" s="491"/>
      <c r="GJ83" s="491"/>
      <c r="GK83" s="491"/>
      <c r="GL83" s="491"/>
      <c r="GM83" s="491"/>
      <c r="GN83" s="491"/>
      <c r="GO83" s="526"/>
      <c r="GP83" s="491"/>
      <c r="GQ83" s="491"/>
      <c r="GR83" s="491"/>
      <c r="GS83" s="491"/>
      <c r="GT83" s="491"/>
      <c r="GU83" s="491"/>
      <c r="GV83" s="491"/>
      <c r="GW83" s="491"/>
      <c r="GX83" s="491"/>
      <c r="GY83" s="491"/>
      <c r="GZ83" s="491"/>
      <c r="HA83" s="491"/>
      <c r="HB83" s="491"/>
      <c r="HC83" s="491"/>
      <c r="HD83" s="491"/>
      <c r="HE83" s="491"/>
      <c r="HF83" s="491"/>
      <c r="HG83" s="491"/>
      <c r="HH83" s="491"/>
      <c r="HI83" s="491"/>
      <c r="HJ83" s="491"/>
      <c r="HK83" s="491"/>
      <c r="HL83" s="491"/>
      <c r="HM83" s="491"/>
      <c r="HN83" s="491"/>
      <c r="HO83" s="491"/>
      <c r="HP83" s="491"/>
      <c r="HQ83" s="491"/>
      <c r="HR83" s="491"/>
      <c r="HS83" s="491"/>
      <c r="HT83" s="491"/>
      <c r="HU83" s="491"/>
      <c r="HV83" s="491"/>
      <c r="HW83" s="491"/>
      <c r="HX83" s="491"/>
      <c r="HY83" s="491"/>
      <c r="HZ83" s="491"/>
      <c r="IA83" s="491"/>
      <c r="IB83" s="491"/>
      <c r="IC83" s="491"/>
      <c r="ID83" s="491"/>
      <c r="IE83" s="491"/>
      <c r="IF83" s="491"/>
      <c r="IG83" s="491"/>
      <c r="IH83" s="491"/>
      <c r="II83" s="491"/>
      <c r="IJ83" s="491"/>
      <c r="IK83" s="491"/>
      <c r="IL83" s="491"/>
      <c r="IM83" s="491"/>
      <c r="IN83" s="491"/>
      <c r="IO83" s="491"/>
      <c r="IP83" s="491"/>
      <c r="IQ83" s="491"/>
      <c r="IR83" s="491"/>
      <c r="IS83" s="491"/>
      <c r="IT83" s="491"/>
      <c r="IU83" s="491"/>
      <c r="IV83" s="491"/>
      <c r="IW83" s="491"/>
      <c r="IX83" s="491"/>
      <c r="IY83" s="491"/>
      <c r="IZ83" s="491"/>
      <c r="JA83" s="491"/>
      <c r="JB83" s="491"/>
      <c r="JC83" s="491"/>
      <c r="JD83" s="491"/>
      <c r="JE83" s="491"/>
      <c r="JF83" s="491"/>
      <c r="JG83" s="491"/>
      <c r="JH83" s="491"/>
      <c r="JI83" s="491"/>
      <c r="JJ83" s="491"/>
      <c r="JK83" s="491"/>
      <c r="JL83" s="491"/>
      <c r="JM83" s="491"/>
      <c r="JN83" s="491"/>
      <c r="JO83" s="491"/>
      <c r="JP83" s="491"/>
      <c r="JQ83" s="491"/>
      <c r="JR83" s="491"/>
      <c r="JS83" s="491"/>
      <c r="JT83" s="491"/>
      <c r="JU83" s="491"/>
      <c r="JV83" s="491"/>
      <c r="JW83" s="491"/>
      <c r="JX83" s="491"/>
      <c r="JY83" s="491"/>
      <c r="JZ83" s="491"/>
      <c r="KA83" s="491"/>
      <c r="KB83" s="526"/>
      <c r="KC83" s="491"/>
      <c r="KD83" s="491"/>
      <c r="KE83" s="491"/>
      <c r="KF83" s="491"/>
      <c r="KG83" s="491"/>
      <c r="KH83" s="491"/>
      <c r="KI83" s="491"/>
      <c r="KJ83" s="491"/>
      <c r="KK83" s="491"/>
      <c r="KL83" s="491"/>
      <c r="KM83" s="491"/>
      <c r="KN83" s="491"/>
      <c r="KO83" s="491"/>
      <c r="KP83" s="491"/>
      <c r="KQ83" s="491"/>
      <c r="KR83" s="491"/>
      <c r="KS83" s="491"/>
      <c r="KT83" s="491"/>
      <c r="KU83" s="564"/>
      <c r="KV83" s="491"/>
      <c r="KW83" s="491"/>
      <c r="KX83" s="491"/>
      <c r="KY83" s="491"/>
      <c r="KZ83" s="491"/>
      <c r="LA83" s="491"/>
      <c r="LB83" s="491"/>
      <c r="LC83" s="491"/>
      <c r="LD83" s="491"/>
      <c r="LE83" s="491"/>
      <c r="LF83" s="491"/>
      <c r="LG83" s="491"/>
      <c r="LH83" s="491"/>
      <c r="LI83" s="491"/>
      <c r="LJ83" s="491"/>
      <c r="LK83" s="491"/>
      <c r="LL83" s="491"/>
      <c r="LM83" s="491"/>
      <c r="LN83" s="491"/>
      <c r="LO83" s="491"/>
      <c r="LP83" s="491"/>
      <c r="LQ83" s="491"/>
      <c r="LR83" s="491"/>
      <c r="LS83" s="491"/>
      <c r="LT83" s="491"/>
      <c r="LU83" s="491"/>
      <c r="LV83" s="491"/>
      <c r="LW83" s="491"/>
      <c r="LX83" s="491"/>
      <c r="LY83" s="491"/>
      <c r="LZ83" s="491"/>
      <c r="MA83" s="491"/>
      <c r="MB83" s="491"/>
      <c r="MC83" s="491"/>
      <c r="MD83" s="491"/>
      <c r="ME83" s="491"/>
      <c r="MF83" s="491"/>
      <c r="MG83" s="491"/>
      <c r="MH83" s="491"/>
      <c r="MI83" s="491"/>
      <c r="MJ83" s="491"/>
      <c r="MK83" s="491"/>
      <c r="ML83" s="491"/>
      <c r="MM83" s="491"/>
      <c r="MN83" s="491"/>
      <c r="MO83" s="491"/>
      <c r="MP83" s="491"/>
      <c r="MQ83" s="491"/>
      <c r="MR83" s="491"/>
      <c r="MS83" s="491"/>
      <c r="MT83" s="491"/>
      <c r="MU83" s="491"/>
      <c r="MV83" s="491"/>
      <c r="MW83" s="491"/>
      <c r="MX83" s="491"/>
      <c r="MY83" s="491"/>
      <c r="MZ83" s="491"/>
      <c r="NA83" s="491"/>
      <c r="NB83" s="491"/>
      <c r="NC83" s="491"/>
      <c r="ND83" s="491"/>
      <c r="NE83" s="491"/>
      <c r="NF83" s="491"/>
      <c r="NG83" s="491"/>
      <c r="NH83" s="491"/>
      <c r="NI83" s="491"/>
      <c r="NJ83" s="491"/>
      <c r="NK83" s="491"/>
      <c r="NL83" s="491"/>
      <c r="NM83" s="491"/>
      <c r="NN83" s="491"/>
      <c r="NO83" s="491"/>
      <c r="NP83" s="491"/>
      <c r="NQ83" s="491"/>
      <c r="NR83" s="491"/>
      <c r="NS83" s="491"/>
      <c r="NT83" s="491"/>
      <c r="NU83" s="491"/>
      <c r="NV83" s="491"/>
      <c r="NW83" s="491"/>
      <c r="NX83" s="491"/>
      <c r="PW83" s="482"/>
    </row>
    <row r="84" spans="12:439" ht="12.75" customHeight="1" x14ac:dyDescent="0.35">
      <c r="L84" s="655"/>
      <c r="AQ84" s="483"/>
      <c r="AR84" s="541"/>
      <c r="AU84" s="491"/>
      <c r="AV84" s="491"/>
      <c r="AW84" s="491"/>
      <c r="AX84" s="491"/>
      <c r="AY84" s="491"/>
      <c r="AZ84" s="491"/>
      <c r="BA84" s="491"/>
      <c r="BB84" s="491"/>
      <c r="BC84" s="491"/>
      <c r="BD84" s="491"/>
      <c r="BE84" s="491"/>
      <c r="BF84" s="491"/>
      <c r="BG84" s="491"/>
      <c r="BH84" s="491"/>
      <c r="BI84" s="491"/>
      <c r="BJ84" s="491"/>
      <c r="BK84" s="491"/>
      <c r="BL84" s="491"/>
      <c r="BM84" s="491"/>
      <c r="BN84" s="491"/>
      <c r="BO84" s="491"/>
      <c r="BP84" s="578"/>
      <c r="BQ84" s="513">
        <v>1</v>
      </c>
      <c r="BR84" s="1456" t="s">
        <v>4737</v>
      </c>
      <c r="BS84" s="1457"/>
      <c r="BT84" s="1457"/>
      <c r="BU84" s="1457"/>
      <c r="BV84" s="1457"/>
      <c r="BW84" s="1457"/>
      <c r="BX84" s="1457"/>
      <c r="BY84" s="1457"/>
      <c r="BZ84" s="1458"/>
      <c r="CA84" s="491"/>
      <c r="CB84" s="611"/>
      <c r="CC84" s="513">
        <v>1</v>
      </c>
      <c r="CD84" s="1456" t="s">
        <v>4737</v>
      </c>
      <c r="CE84" s="1457"/>
      <c r="CF84" s="1457"/>
      <c r="CG84" s="1457"/>
      <c r="CH84" s="1457"/>
      <c r="CI84" s="1457"/>
      <c r="CJ84" s="1457"/>
      <c r="CK84" s="1457"/>
      <c r="CL84" s="1458"/>
      <c r="CM84" s="564"/>
      <c r="CN84" s="491"/>
      <c r="CO84" s="491"/>
      <c r="CP84" s="491"/>
      <c r="CQ84" s="491"/>
      <c r="CR84" s="491"/>
      <c r="CS84" s="491"/>
      <c r="CT84" s="491"/>
      <c r="CU84" s="491"/>
      <c r="CV84" s="491"/>
      <c r="CW84" s="491"/>
      <c r="CX84" s="491"/>
      <c r="CY84" s="491"/>
      <c r="CZ84" s="491"/>
      <c r="DA84" s="491"/>
      <c r="DB84" s="491"/>
      <c r="DC84" s="491"/>
      <c r="DD84" s="491"/>
      <c r="DE84" s="491"/>
      <c r="DF84" s="491"/>
      <c r="DG84" s="491"/>
      <c r="DH84" s="491"/>
      <c r="DI84" s="491"/>
      <c r="DJ84" s="491"/>
      <c r="DK84" s="491"/>
      <c r="DL84" s="491"/>
      <c r="DM84" s="491"/>
      <c r="DN84" s="491"/>
      <c r="DO84" s="491"/>
      <c r="DP84" s="491"/>
      <c r="DQ84" s="491"/>
      <c r="DR84" s="491"/>
      <c r="DS84" s="491"/>
      <c r="DT84" s="491"/>
      <c r="DU84" s="491"/>
      <c r="DV84" s="491"/>
      <c r="DW84" s="491"/>
      <c r="DX84" s="491"/>
      <c r="DY84" s="491"/>
      <c r="DZ84" s="491"/>
      <c r="EA84" s="491"/>
      <c r="EB84" s="491"/>
      <c r="EC84" s="491"/>
      <c r="ED84" s="491"/>
      <c r="EE84" s="491"/>
      <c r="EF84" s="491"/>
      <c r="EG84" s="491"/>
      <c r="EH84" s="491"/>
      <c r="EI84" s="491"/>
      <c r="EJ84" s="491"/>
      <c r="EK84" s="491"/>
      <c r="EL84" s="491"/>
      <c r="EM84" s="491"/>
      <c r="EN84" s="491"/>
      <c r="EO84" s="491"/>
      <c r="EP84" s="491"/>
      <c r="EQ84" s="491"/>
      <c r="ER84" s="491"/>
      <c r="ES84" s="491"/>
      <c r="ET84" s="491"/>
      <c r="EU84" s="491"/>
      <c r="EV84" s="491"/>
      <c r="EW84" s="491"/>
      <c r="EX84" s="1546"/>
      <c r="EY84" s="1546"/>
      <c r="EZ84" s="1546"/>
      <c r="FA84" s="1546"/>
      <c r="FB84" s="1546"/>
      <c r="FC84" s="1546"/>
      <c r="FD84" s="1546"/>
      <c r="FE84" s="1546"/>
      <c r="FF84" s="1546"/>
      <c r="FG84" s="1546"/>
      <c r="FH84" s="491"/>
      <c r="FI84" s="491"/>
      <c r="FJ84" s="491"/>
      <c r="FK84" s="491"/>
      <c r="FL84" s="491"/>
      <c r="FM84" s="491"/>
      <c r="FN84" s="491"/>
      <c r="FO84" s="491"/>
      <c r="FP84" s="491"/>
      <c r="FQ84" s="491"/>
      <c r="FR84" s="491"/>
      <c r="FS84" s="491"/>
      <c r="FT84" s="491"/>
      <c r="FU84" s="491"/>
      <c r="FV84" s="491"/>
      <c r="FW84" s="491"/>
      <c r="FX84" s="491"/>
      <c r="FY84" s="491"/>
      <c r="FZ84" s="491"/>
      <c r="GA84" s="491"/>
      <c r="GB84" s="491"/>
      <c r="GC84" s="491"/>
      <c r="GD84" s="491"/>
      <c r="GE84" s="491"/>
      <c r="GF84" s="491"/>
      <c r="GG84" s="491"/>
      <c r="GH84" s="491"/>
      <c r="GI84" s="491"/>
      <c r="GJ84" s="491"/>
      <c r="GK84" s="491"/>
      <c r="GL84" s="491"/>
      <c r="GM84" s="491"/>
      <c r="GN84" s="491"/>
      <c r="GO84" s="526"/>
      <c r="GP84" s="491"/>
      <c r="GQ84" s="491"/>
      <c r="GR84" s="491"/>
      <c r="GS84" s="491"/>
      <c r="GT84" s="491"/>
      <c r="GU84" s="491"/>
      <c r="GV84" s="491"/>
      <c r="GW84" s="491"/>
      <c r="GX84" s="491"/>
      <c r="GY84" s="491"/>
      <c r="GZ84" s="491"/>
      <c r="HA84" s="491"/>
      <c r="HB84" s="491"/>
      <c r="HC84" s="491"/>
      <c r="HD84" s="491"/>
      <c r="HE84" s="491"/>
      <c r="HF84" s="491"/>
      <c r="HG84" s="491"/>
      <c r="HH84" s="491"/>
      <c r="HI84" s="491"/>
      <c r="HJ84" s="491"/>
      <c r="HK84" s="491"/>
      <c r="HL84" s="491"/>
      <c r="HM84" s="491"/>
      <c r="HN84" s="491"/>
      <c r="HO84" s="491"/>
      <c r="HP84" s="491"/>
      <c r="HQ84" s="491"/>
      <c r="HR84" s="491"/>
      <c r="HS84" s="491"/>
      <c r="HT84" s="491"/>
      <c r="HU84" s="491"/>
      <c r="HV84" s="491"/>
      <c r="HW84" s="491"/>
      <c r="HX84" s="491"/>
      <c r="HY84" s="491"/>
      <c r="HZ84" s="491"/>
      <c r="IA84" s="491"/>
      <c r="IB84" s="491"/>
      <c r="IC84" s="491"/>
      <c r="ID84" s="491"/>
      <c r="IE84" s="491"/>
      <c r="IF84" s="491"/>
      <c r="IG84" s="491"/>
      <c r="IH84" s="491"/>
      <c r="II84" s="491"/>
      <c r="IJ84" s="491"/>
      <c r="IK84" s="491"/>
      <c r="IL84" s="491"/>
      <c r="IM84" s="491"/>
      <c r="IN84" s="491"/>
      <c r="IO84" s="491"/>
      <c r="IP84" s="491"/>
      <c r="IQ84" s="491"/>
      <c r="IR84" s="491"/>
      <c r="IS84" s="491"/>
      <c r="IT84" s="491"/>
      <c r="IU84" s="491"/>
      <c r="IV84" s="491"/>
      <c r="IW84" s="491"/>
      <c r="IX84" s="491"/>
      <c r="IY84" s="491"/>
      <c r="IZ84" s="491"/>
      <c r="JA84" s="491"/>
      <c r="JB84" s="491"/>
      <c r="JC84" s="491"/>
      <c r="JD84" s="491"/>
      <c r="JE84" s="491"/>
      <c r="JF84" s="491"/>
      <c r="JG84" s="491"/>
      <c r="JH84" s="491"/>
      <c r="JI84" s="491"/>
      <c r="JJ84" s="491"/>
      <c r="JK84" s="491"/>
      <c r="JL84" s="491"/>
      <c r="JM84" s="491"/>
      <c r="JN84" s="491"/>
      <c r="JO84" s="491"/>
      <c r="JP84" s="491"/>
      <c r="JQ84" s="491"/>
      <c r="JR84" s="491"/>
      <c r="JS84" s="491"/>
      <c r="JT84" s="491"/>
      <c r="JU84" s="491"/>
      <c r="JV84" s="491"/>
      <c r="JW84" s="491"/>
      <c r="JX84" s="491"/>
      <c r="JY84" s="491"/>
      <c r="JZ84" s="491"/>
      <c r="KA84" s="491"/>
      <c r="KB84" s="526"/>
      <c r="KC84" s="491"/>
      <c r="KD84" s="491"/>
      <c r="KE84" s="491"/>
      <c r="KF84" s="491"/>
      <c r="KG84" s="491"/>
      <c r="KH84" s="491"/>
      <c r="KI84" s="491"/>
      <c r="KJ84" s="491"/>
      <c r="KK84" s="491"/>
      <c r="KL84" s="491"/>
      <c r="KM84" s="491"/>
      <c r="KN84" s="491"/>
      <c r="KO84" s="491"/>
      <c r="KP84" s="491"/>
      <c r="KQ84" s="491"/>
      <c r="KR84" s="491"/>
      <c r="KS84" s="491"/>
      <c r="KT84" s="491"/>
      <c r="KU84" s="564"/>
      <c r="KV84" s="491"/>
      <c r="KW84" s="491"/>
      <c r="KX84" s="491"/>
      <c r="KY84" s="491"/>
      <c r="KZ84" s="491"/>
      <c r="LA84" s="491"/>
      <c r="LB84" s="491"/>
      <c r="LC84" s="491"/>
      <c r="LD84" s="491"/>
      <c r="LE84" s="491"/>
      <c r="LF84" s="491"/>
      <c r="LG84" s="491"/>
      <c r="LH84" s="491"/>
      <c r="LI84" s="491"/>
      <c r="LJ84" s="491"/>
      <c r="LK84" s="491"/>
      <c r="LL84" s="491"/>
      <c r="LM84" s="491"/>
      <c r="LN84" s="491"/>
      <c r="LO84" s="491"/>
      <c r="LP84" s="491"/>
      <c r="LQ84" s="491"/>
      <c r="LR84" s="491"/>
      <c r="LS84" s="491"/>
      <c r="LT84" s="491"/>
      <c r="LU84" s="491"/>
      <c r="LV84" s="491"/>
      <c r="LW84" s="491"/>
      <c r="LX84" s="491"/>
      <c r="LY84" s="491"/>
      <c r="LZ84" s="491"/>
      <c r="MA84" s="491"/>
      <c r="MB84" s="491"/>
      <c r="MC84" s="491"/>
      <c r="MD84" s="491"/>
      <c r="ME84" s="491"/>
      <c r="MF84" s="491"/>
      <c r="MG84" s="491"/>
      <c r="MH84" s="491"/>
      <c r="MI84" s="491"/>
      <c r="MJ84" s="491"/>
      <c r="MK84" s="491"/>
      <c r="ML84" s="491"/>
      <c r="MM84" s="491"/>
      <c r="MN84" s="491"/>
      <c r="MO84" s="491"/>
      <c r="MP84" s="491"/>
      <c r="MQ84" s="491"/>
      <c r="MR84" s="491"/>
      <c r="MS84" s="491"/>
      <c r="MT84" s="491"/>
      <c r="MU84" s="491"/>
      <c r="MV84" s="491"/>
      <c r="MW84" s="491"/>
      <c r="MX84" s="491"/>
      <c r="MY84" s="491"/>
      <c r="MZ84" s="491"/>
      <c r="NA84" s="491"/>
      <c r="NB84" s="491"/>
      <c r="NC84" s="491"/>
      <c r="ND84" s="491"/>
      <c r="NE84" s="491"/>
      <c r="NF84" s="491"/>
      <c r="NG84" s="491"/>
      <c r="NH84" s="491"/>
      <c r="NI84" s="491"/>
      <c r="NJ84" s="491"/>
      <c r="NK84" s="491"/>
      <c r="NL84" s="491"/>
      <c r="NM84" s="491"/>
      <c r="NN84" s="491"/>
      <c r="NO84" s="491"/>
      <c r="NP84" s="491"/>
      <c r="NQ84" s="491"/>
      <c r="NR84" s="491"/>
      <c r="NS84" s="491"/>
      <c r="NT84" s="491"/>
      <c r="NU84" s="491"/>
      <c r="NV84" s="491"/>
      <c r="NW84" s="491"/>
      <c r="NX84" s="491"/>
      <c r="PW84" s="482"/>
    </row>
    <row r="85" spans="12:439" ht="12.75" customHeight="1" x14ac:dyDescent="0.35">
      <c r="L85" s="655"/>
      <c r="AQ85" s="478"/>
      <c r="AR85" s="541"/>
      <c r="AU85" s="491"/>
      <c r="AV85" s="491"/>
      <c r="AW85" s="491"/>
      <c r="AX85" s="491"/>
      <c r="AY85" s="491"/>
      <c r="AZ85" s="491"/>
      <c r="BA85" s="491"/>
      <c r="BB85" s="491"/>
      <c r="BC85" s="491"/>
      <c r="BD85" s="491"/>
      <c r="BE85" s="491"/>
      <c r="BF85" s="491"/>
      <c r="BG85" s="491"/>
      <c r="BH85" s="491"/>
      <c r="BI85" s="491"/>
      <c r="BJ85" s="491"/>
      <c r="BK85" s="491"/>
      <c r="BL85" s="491"/>
      <c r="BM85" s="491"/>
      <c r="BN85" s="491"/>
      <c r="BO85" s="491"/>
      <c r="BP85" s="578"/>
      <c r="BQ85" s="1485" t="s">
        <v>3000</v>
      </c>
      <c r="BR85" s="1486"/>
      <c r="BS85" s="1486"/>
      <c r="BT85" s="1486"/>
      <c r="BU85" s="1486"/>
      <c r="BV85" s="1486"/>
      <c r="BW85" s="1486"/>
      <c r="BX85" s="1486"/>
      <c r="BY85" s="1486"/>
      <c r="BZ85" s="1487"/>
      <c r="CA85" s="491"/>
      <c r="CB85" s="611"/>
      <c r="CC85" s="1547" t="s">
        <v>3404</v>
      </c>
      <c r="CD85" s="1548"/>
      <c r="CE85" s="1548"/>
      <c r="CF85" s="1548"/>
      <c r="CG85" s="1548"/>
      <c r="CH85" s="1548"/>
      <c r="CI85" s="1548"/>
      <c r="CJ85" s="1548"/>
      <c r="CK85" s="1548"/>
      <c r="CL85" s="1549"/>
      <c r="CM85" s="564"/>
      <c r="CN85" s="491"/>
      <c r="CO85" s="501"/>
      <c r="CP85" s="491"/>
      <c r="CQ85" s="491"/>
      <c r="CR85" s="491"/>
      <c r="CS85" s="491"/>
      <c r="CT85" s="491"/>
      <c r="CU85" s="491"/>
      <c r="CV85" s="491"/>
      <c r="CW85" s="491"/>
      <c r="CX85" s="491"/>
      <c r="CY85" s="491"/>
      <c r="CZ85" s="491"/>
      <c r="DA85" s="491"/>
      <c r="DB85" s="491"/>
      <c r="DC85" s="491"/>
      <c r="DD85" s="491"/>
      <c r="DE85" s="491"/>
      <c r="DF85" s="491"/>
      <c r="DG85" s="491"/>
      <c r="DH85" s="491"/>
      <c r="DI85" s="491"/>
      <c r="DJ85" s="491"/>
      <c r="DK85" s="491"/>
      <c r="DL85" s="491"/>
      <c r="DM85" s="491"/>
      <c r="DN85" s="491"/>
      <c r="DO85" s="491"/>
      <c r="DP85" s="491"/>
      <c r="DQ85" s="491"/>
      <c r="DR85" s="491"/>
      <c r="DS85" s="491"/>
      <c r="DT85" s="491"/>
      <c r="DU85" s="491"/>
      <c r="DV85" s="491"/>
      <c r="DW85" s="491"/>
      <c r="DX85" s="491"/>
      <c r="DY85" s="491"/>
      <c r="DZ85" s="491"/>
      <c r="EA85" s="491"/>
      <c r="EB85" s="491"/>
      <c r="EC85" s="491"/>
      <c r="ED85" s="491"/>
      <c r="EE85" s="491"/>
      <c r="EF85" s="491"/>
      <c r="EG85" s="491"/>
      <c r="EH85" s="491"/>
      <c r="EI85" s="491"/>
      <c r="EJ85" s="491"/>
      <c r="EK85" s="491"/>
      <c r="EL85" s="491"/>
      <c r="EM85" s="491"/>
      <c r="EN85" s="491"/>
      <c r="EO85" s="491"/>
      <c r="EP85" s="491"/>
      <c r="EQ85" s="491"/>
      <c r="ER85" s="491"/>
      <c r="ES85" s="491"/>
      <c r="ET85" s="491"/>
      <c r="EU85" s="491"/>
      <c r="EV85" s="491"/>
      <c r="EW85" s="491"/>
      <c r="EX85" s="491"/>
      <c r="EY85" s="491"/>
      <c r="EZ85" s="491"/>
      <c r="FA85" s="491"/>
      <c r="FB85" s="491"/>
      <c r="FC85" s="491"/>
      <c r="FD85" s="491"/>
      <c r="FE85" s="491"/>
      <c r="FF85" s="491"/>
      <c r="FG85" s="491"/>
      <c r="FH85" s="491"/>
      <c r="FI85" s="491"/>
      <c r="FJ85" s="491"/>
      <c r="FK85" s="491"/>
      <c r="FL85" s="491"/>
      <c r="FM85" s="491"/>
      <c r="FN85" s="491"/>
      <c r="FO85" s="491"/>
      <c r="FP85" s="491"/>
      <c r="FQ85" s="491"/>
      <c r="FR85" s="491"/>
      <c r="FS85" s="491"/>
      <c r="FT85" s="491"/>
      <c r="FU85" s="491"/>
      <c r="FV85" s="491"/>
      <c r="FW85" s="491"/>
      <c r="FX85" s="491"/>
      <c r="FY85" s="491"/>
      <c r="FZ85" s="491"/>
      <c r="GA85" s="491"/>
      <c r="GB85" s="491"/>
      <c r="GC85" s="491"/>
      <c r="GD85" s="491"/>
      <c r="GE85" s="491"/>
      <c r="GF85" s="491"/>
      <c r="GG85" s="491"/>
      <c r="GH85" s="491"/>
      <c r="GI85" s="491"/>
      <c r="GJ85" s="491"/>
      <c r="GK85" s="491"/>
      <c r="GL85" s="491"/>
      <c r="GM85" s="491"/>
      <c r="GN85" s="491"/>
      <c r="GO85" s="526"/>
      <c r="GP85" s="491"/>
      <c r="GQ85" s="491"/>
      <c r="GR85" s="491"/>
      <c r="GS85" s="491"/>
      <c r="GT85" s="491"/>
      <c r="GU85" s="491"/>
      <c r="GV85" s="491"/>
      <c r="GW85" s="491"/>
      <c r="GX85" s="491"/>
      <c r="GY85" s="491"/>
      <c r="GZ85" s="491"/>
      <c r="HA85" s="491"/>
      <c r="HB85" s="491"/>
      <c r="HC85" s="491"/>
      <c r="HD85" s="491"/>
      <c r="HE85" s="491"/>
      <c r="HF85" s="491"/>
      <c r="HG85" s="491"/>
      <c r="HH85" s="491"/>
      <c r="HI85" s="491"/>
      <c r="HJ85" s="491"/>
      <c r="HK85" s="491"/>
      <c r="HL85" s="491"/>
      <c r="HM85" s="491"/>
      <c r="HN85" s="491"/>
      <c r="HO85" s="491"/>
      <c r="HP85" s="491"/>
      <c r="HQ85" s="491"/>
      <c r="HR85" s="491"/>
      <c r="HS85" s="491"/>
      <c r="HT85" s="491"/>
      <c r="HU85" s="491"/>
      <c r="HV85" s="491"/>
      <c r="HW85" s="491"/>
      <c r="HX85" s="491"/>
      <c r="HY85" s="491"/>
      <c r="HZ85" s="491"/>
      <c r="IA85" s="491"/>
      <c r="IB85" s="491"/>
      <c r="IC85" s="491"/>
      <c r="ID85" s="491"/>
      <c r="IE85" s="491"/>
      <c r="IF85" s="491"/>
      <c r="IG85" s="491"/>
      <c r="IH85" s="491"/>
      <c r="II85" s="491"/>
      <c r="IJ85" s="491"/>
      <c r="IK85" s="491"/>
      <c r="IL85" s="491"/>
      <c r="IM85" s="491"/>
      <c r="IN85" s="491"/>
      <c r="IO85" s="491"/>
      <c r="IP85" s="491"/>
      <c r="IQ85" s="491"/>
      <c r="IR85" s="491"/>
      <c r="IS85" s="491"/>
      <c r="IT85" s="491"/>
      <c r="IU85" s="491"/>
      <c r="IV85" s="491"/>
      <c r="IW85" s="491"/>
      <c r="IX85" s="491"/>
      <c r="IY85" s="491"/>
      <c r="IZ85" s="491"/>
      <c r="JA85" s="491"/>
      <c r="JB85" s="491"/>
      <c r="JC85" s="491"/>
      <c r="JD85" s="491"/>
      <c r="JE85" s="491"/>
      <c r="JF85" s="491"/>
      <c r="JG85" s="491"/>
      <c r="JH85" s="491"/>
      <c r="JI85" s="491"/>
      <c r="JJ85" s="491"/>
      <c r="JK85" s="491"/>
      <c r="JL85" s="491"/>
      <c r="JM85" s="491"/>
      <c r="JN85" s="491"/>
      <c r="JO85" s="491"/>
      <c r="JP85" s="491"/>
      <c r="JQ85" s="491"/>
      <c r="JR85" s="491"/>
      <c r="JS85" s="491"/>
      <c r="JT85" s="491"/>
      <c r="JU85" s="491"/>
      <c r="JV85" s="491"/>
      <c r="JW85" s="491"/>
      <c r="JX85" s="491"/>
      <c r="JY85" s="491"/>
      <c r="JZ85" s="491"/>
      <c r="KA85" s="491"/>
      <c r="KB85" s="526"/>
      <c r="KC85" s="491"/>
      <c r="KD85" s="491"/>
      <c r="KE85" s="491"/>
      <c r="KF85" s="491"/>
      <c r="KG85" s="491"/>
      <c r="KH85" s="491"/>
      <c r="KI85" s="491"/>
      <c r="KJ85" s="491"/>
      <c r="KK85" s="491"/>
      <c r="KL85" s="491"/>
      <c r="KM85" s="491"/>
      <c r="KN85" s="491"/>
      <c r="KO85" s="491"/>
      <c r="KP85" s="491"/>
      <c r="KQ85" s="491"/>
      <c r="KR85" s="491"/>
      <c r="KS85" s="491"/>
      <c r="KT85" s="491"/>
      <c r="KU85" s="564"/>
      <c r="KV85" s="491"/>
      <c r="KW85" s="491"/>
      <c r="KX85" s="491"/>
      <c r="KY85" s="491"/>
      <c r="KZ85" s="491"/>
      <c r="LA85" s="491"/>
      <c r="LB85" s="491"/>
      <c r="LC85" s="491"/>
      <c r="LD85" s="491"/>
      <c r="LE85" s="491"/>
      <c r="LF85" s="491"/>
      <c r="LG85" s="491"/>
      <c r="LH85" s="491"/>
      <c r="LI85" s="491"/>
      <c r="LJ85" s="491"/>
      <c r="LK85" s="491"/>
      <c r="LL85" s="491"/>
      <c r="LM85" s="491"/>
      <c r="LN85" s="491"/>
      <c r="LO85" s="491"/>
      <c r="LP85" s="491"/>
      <c r="LQ85" s="491"/>
      <c r="LR85" s="491"/>
      <c r="LS85" s="491"/>
      <c r="LT85" s="491"/>
      <c r="LU85" s="491"/>
      <c r="LV85" s="491"/>
      <c r="LW85" s="491"/>
      <c r="LX85" s="491"/>
      <c r="LY85" s="491"/>
      <c r="LZ85" s="491"/>
      <c r="MA85" s="491"/>
      <c r="MB85" s="491"/>
      <c r="MC85" s="491"/>
      <c r="MD85" s="491"/>
      <c r="ME85" s="491"/>
      <c r="MF85" s="491"/>
      <c r="MG85" s="491"/>
      <c r="MH85" s="491"/>
      <c r="MI85" s="491"/>
      <c r="MJ85" s="491"/>
      <c r="MK85" s="491"/>
      <c r="ML85" s="491"/>
      <c r="MM85" s="491"/>
      <c r="MN85" s="491"/>
      <c r="MO85" s="491"/>
      <c r="MP85" s="491"/>
      <c r="MQ85" s="491"/>
      <c r="MR85" s="491"/>
      <c r="MS85" s="491"/>
      <c r="MT85" s="491"/>
      <c r="MU85" s="491"/>
      <c r="MV85" s="491"/>
      <c r="MW85" s="491"/>
      <c r="MX85" s="491"/>
      <c r="MY85" s="491"/>
      <c r="MZ85" s="491"/>
      <c r="NA85" s="491"/>
      <c r="NB85" s="491"/>
      <c r="NC85" s="491"/>
      <c r="ND85" s="491"/>
      <c r="NE85" s="491"/>
      <c r="NF85" s="491"/>
      <c r="NG85" s="491"/>
      <c r="NH85" s="491"/>
      <c r="NI85" s="491"/>
      <c r="NJ85" s="491"/>
      <c r="NK85" s="491"/>
      <c r="NL85" s="491"/>
      <c r="NM85" s="491"/>
      <c r="NN85" s="491"/>
      <c r="NO85" s="491"/>
      <c r="NP85" s="491"/>
      <c r="NQ85" s="491"/>
      <c r="NR85" s="491"/>
      <c r="NS85" s="491"/>
      <c r="NT85" s="491"/>
      <c r="NU85" s="491"/>
      <c r="NV85" s="491"/>
      <c r="NW85" s="491"/>
      <c r="NX85" s="491"/>
      <c r="PW85" s="482"/>
    </row>
    <row r="86" spans="12:439" ht="12.75" customHeight="1" x14ac:dyDescent="0.35">
      <c r="L86" s="655"/>
      <c r="AR86" s="541"/>
      <c r="AU86" s="491"/>
      <c r="AV86" s="491"/>
      <c r="AW86" s="491"/>
      <c r="AX86" s="491"/>
      <c r="AY86" s="491"/>
      <c r="AZ86" s="491"/>
      <c r="BA86" s="491"/>
      <c r="BB86" s="491"/>
      <c r="BC86" s="491"/>
      <c r="BD86" s="491"/>
      <c r="BE86" s="491"/>
      <c r="BF86" s="491"/>
      <c r="BG86" s="491"/>
      <c r="BH86" s="491"/>
      <c r="BI86" s="491"/>
      <c r="BJ86" s="491"/>
      <c r="BK86" s="491"/>
      <c r="BL86" s="491"/>
      <c r="BM86" s="491"/>
      <c r="BN86" s="491"/>
      <c r="BO86" s="491"/>
      <c r="BP86" s="578"/>
      <c r="BQ86" s="513">
        <v>1</v>
      </c>
      <c r="BR86" s="1456" t="s">
        <v>5007</v>
      </c>
      <c r="BS86" s="1457"/>
      <c r="BT86" s="1457"/>
      <c r="BU86" s="1457"/>
      <c r="BV86" s="1457"/>
      <c r="BW86" s="1457"/>
      <c r="BX86" s="1457"/>
      <c r="BY86" s="1457"/>
      <c r="BZ86" s="1458"/>
      <c r="CA86" s="491"/>
      <c r="CB86" s="611"/>
      <c r="CC86" s="513">
        <v>1</v>
      </c>
      <c r="CD86" s="1456" t="s">
        <v>5007</v>
      </c>
      <c r="CE86" s="1457"/>
      <c r="CF86" s="1457"/>
      <c r="CG86" s="1457"/>
      <c r="CH86" s="1457"/>
      <c r="CI86" s="1457"/>
      <c r="CJ86" s="1457"/>
      <c r="CK86" s="1457"/>
      <c r="CL86" s="1458"/>
      <c r="CM86" s="564"/>
      <c r="CN86" s="491"/>
      <c r="CO86" s="501"/>
      <c r="CP86" s="491"/>
      <c r="CQ86" s="491"/>
      <c r="CR86" s="491"/>
      <c r="CS86" s="491"/>
      <c r="CT86" s="491"/>
      <c r="CU86" s="491"/>
      <c r="CV86" s="491"/>
      <c r="CW86" s="491"/>
      <c r="CX86" s="491"/>
      <c r="CY86" s="491"/>
      <c r="CZ86" s="491"/>
      <c r="DA86" s="491"/>
      <c r="DB86" s="491"/>
      <c r="DC86" s="491"/>
      <c r="DD86" s="491"/>
      <c r="DE86" s="491"/>
      <c r="DF86" s="491"/>
      <c r="DG86" s="491"/>
      <c r="DH86" s="491"/>
      <c r="DI86" s="491"/>
      <c r="DJ86" s="491"/>
      <c r="DK86" s="491"/>
      <c r="DL86" s="491"/>
      <c r="DM86" s="491"/>
      <c r="DN86" s="491"/>
      <c r="DO86" s="491"/>
      <c r="DP86" s="491"/>
      <c r="DQ86" s="491"/>
      <c r="DR86" s="491"/>
      <c r="DS86" s="491"/>
      <c r="DT86" s="491"/>
      <c r="DU86" s="491"/>
      <c r="DV86" s="491"/>
      <c r="DW86" s="491"/>
      <c r="DX86" s="491"/>
      <c r="DY86" s="491"/>
      <c r="DZ86" s="491"/>
      <c r="EA86" s="491"/>
      <c r="EB86" s="491"/>
      <c r="EC86" s="491"/>
      <c r="ED86" s="491"/>
      <c r="EE86" s="491"/>
      <c r="EF86" s="491"/>
      <c r="EG86" s="491"/>
      <c r="EH86" s="491"/>
      <c r="EI86" s="491"/>
      <c r="EJ86" s="491"/>
      <c r="EK86" s="491"/>
      <c r="EL86" s="491"/>
      <c r="EM86" s="491"/>
      <c r="EN86" s="491"/>
      <c r="EO86" s="491"/>
      <c r="EP86" s="491"/>
      <c r="EQ86" s="491"/>
      <c r="ER86" s="491"/>
      <c r="ES86" s="491"/>
      <c r="ET86" s="491"/>
      <c r="EU86" s="491"/>
      <c r="EV86" s="491"/>
      <c r="EW86" s="491"/>
      <c r="EX86" s="491"/>
      <c r="EY86" s="491"/>
      <c r="EZ86" s="491"/>
      <c r="FA86" s="491"/>
      <c r="FB86" s="491"/>
      <c r="FC86" s="491"/>
      <c r="FD86" s="491"/>
      <c r="FE86" s="491"/>
      <c r="FF86" s="491"/>
      <c r="FG86" s="491"/>
      <c r="FH86" s="491"/>
      <c r="FI86" s="491"/>
      <c r="FJ86" s="491"/>
      <c r="FK86" s="491"/>
      <c r="FL86" s="491"/>
      <c r="FM86" s="491"/>
      <c r="FN86" s="491"/>
      <c r="FO86" s="491"/>
      <c r="FP86" s="491"/>
      <c r="FQ86" s="491"/>
      <c r="FR86" s="491"/>
      <c r="FS86" s="491"/>
      <c r="FT86" s="491"/>
      <c r="FU86" s="491"/>
      <c r="FV86" s="491"/>
      <c r="FW86" s="491"/>
      <c r="FX86" s="491"/>
      <c r="FY86" s="491"/>
      <c r="FZ86" s="491"/>
      <c r="GA86" s="491"/>
      <c r="GB86" s="491"/>
      <c r="GC86" s="491"/>
      <c r="GD86" s="491"/>
      <c r="GE86" s="491"/>
      <c r="GF86" s="491"/>
      <c r="GG86" s="491"/>
      <c r="GH86" s="491"/>
      <c r="GI86" s="491"/>
      <c r="GJ86" s="491"/>
      <c r="GK86" s="491"/>
      <c r="GL86" s="491"/>
      <c r="GM86" s="491"/>
      <c r="GN86" s="491"/>
      <c r="GO86" s="526"/>
      <c r="GP86" s="491"/>
      <c r="GQ86" s="491"/>
      <c r="GR86" s="491"/>
      <c r="GS86" s="491"/>
      <c r="GT86" s="491"/>
      <c r="GU86" s="491"/>
      <c r="GV86" s="491"/>
      <c r="GW86" s="491"/>
      <c r="GX86" s="491"/>
      <c r="GY86" s="491"/>
      <c r="GZ86" s="491"/>
      <c r="HA86" s="491"/>
      <c r="HB86" s="491"/>
      <c r="HC86" s="491"/>
      <c r="HD86" s="491"/>
      <c r="HE86" s="491"/>
      <c r="HF86" s="491"/>
      <c r="HG86" s="491"/>
      <c r="HH86" s="491"/>
      <c r="HI86" s="491"/>
      <c r="HJ86" s="491"/>
      <c r="HK86" s="491"/>
      <c r="HL86" s="491"/>
      <c r="HM86" s="491"/>
      <c r="HN86" s="491"/>
      <c r="HO86" s="491"/>
      <c r="HP86" s="491"/>
      <c r="HQ86" s="491"/>
      <c r="HR86" s="491"/>
      <c r="HS86" s="491"/>
      <c r="HT86" s="491"/>
      <c r="HU86" s="491"/>
      <c r="HV86" s="491"/>
      <c r="HW86" s="491"/>
      <c r="HX86" s="491"/>
      <c r="HY86" s="491"/>
      <c r="HZ86" s="491"/>
      <c r="IA86" s="491"/>
      <c r="IB86" s="491"/>
      <c r="IC86" s="491"/>
      <c r="ID86" s="491"/>
      <c r="IE86" s="491"/>
      <c r="IF86" s="491"/>
      <c r="IG86" s="491"/>
      <c r="IH86" s="491"/>
      <c r="II86" s="491"/>
      <c r="IJ86" s="491"/>
      <c r="IK86" s="491"/>
      <c r="IL86" s="491"/>
      <c r="IM86" s="491"/>
      <c r="IN86" s="491"/>
      <c r="IO86" s="491"/>
      <c r="IP86" s="491"/>
      <c r="IQ86" s="491"/>
      <c r="IR86" s="491"/>
      <c r="IS86" s="491"/>
      <c r="IT86" s="491"/>
      <c r="IU86" s="491"/>
      <c r="IV86" s="491"/>
      <c r="IW86" s="491"/>
      <c r="IX86" s="491"/>
      <c r="IY86" s="491"/>
      <c r="IZ86" s="491"/>
      <c r="JA86" s="491"/>
      <c r="JB86" s="491"/>
      <c r="JC86" s="491"/>
      <c r="JD86" s="491"/>
      <c r="JE86" s="491"/>
      <c r="JF86" s="491"/>
      <c r="JG86" s="491"/>
      <c r="JH86" s="491"/>
      <c r="JI86" s="491"/>
      <c r="JJ86" s="491"/>
      <c r="JK86" s="491"/>
      <c r="JL86" s="491"/>
      <c r="JM86" s="491"/>
      <c r="JN86" s="491"/>
      <c r="JO86" s="491"/>
      <c r="JP86" s="491"/>
      <c r="JQ86" s="491"/>
      <c r="JR86" s="491"/>
      <c r="JS86" s="491"/>
      <c r="JT86" s="491"/>
      <c r="JU86" s="491"/>
      <c r="JV86" s="491"/>
      <c r="JW86" s="491"/>
      <c r="JX86" s="491"/>
      <c r="JY86" s="491"/>
      <c r="JZ86" s="491"/>
      <c r="KA86" s="491"/>
      <c r="KB86" s="526"/>
      <c r="KC86" s="491"/>
      <c r="KD86" s="491"/>
      <c r="KE86" s="491"/>
      <c r="KF86" s="491"/>
      <c r="KG86" s="491"/>
      <c r="KH86" s="491"/>
      <c r="KI86" s="491"/>
      <c r="KJ86" s="491"/>
      <c r="KK86" s="491"/>
      <c r="KL86" s="491"/>
      <c r="KM86" s="491"/>
      <c r="KN86" s="491"/>
      <c r="KO86" s="491"/>
      <c r="KP86" s="491"/>
      <c r="KQ86" s="491"/>
      <c r="KR86" s="491"/>
      <c r="KS86" s="491"/>
      <c r="KT86" s="491"/>
      <c r="KU86" s="564"/>
      <c r="KV86" s="491"/>
      <c r="KW86" s="491"/>
      <c r="KX86" s="491"/>
      <c r="KY86" s="491"/>
      <c r="KZ86" s="491"/>
      <c r="LA86" s="491"/>
      <c r="LB86" s="491"/>
      <c r="LC86" s="491"/>
      <c r="LD86" s="491"/>
      <c r="LE86" s="491"/>
      <c r="LF86" s="491"/>
      <c r="LG86" s="491"/>
      <c r="LH86" s="491"/>
      <c r="LI86" s="491"/>
      <c r="LJ86" s="491"/>
      <c r="LK86" s="491"/>
      <c r="LL86" s="491"/>
      <c r="LM86" s="491"/>
      <c r="LN86" s="491"/>
      <c r="LO86" s="491"/>
      <c r="LP86" s="491"/>
      <c r="LQ86" s="491"/>
      <c r="LR86" s="491"/>
      <c r="LS86" s="491"/>
      <c r="LT86" s="491"/>
      <c r="LU86" s="491"/>
      <c r="LV86" s="491"/>
      <c r="LW86" s="491"/>
      <c r="LX86" s="491"/>
      <c r="LY86" s="491"/>
      <c r="LZ86" s="491"/>
      <c r="MA86" s="491"/>
      <c r="MB86" s="491"/>
      <c r="MC86" s="491"/>
      <c r="MD86" s="491"/>
      <c r="ME86" s="491"/>
      <c r="MF86" s="491"/>
      <c r="MG86" s="491"/>
      <c r="MH86" s="491"/>
      <c r="MI86" s="491"/>
      <c r="MJ86" s="491"/>
      <c r="MK86" s="491"/>
      <c r="ML86" s="491"/>
      <c r="MM86" s="491"/>
      <c r="MN86" s="491"/>
      <c r="MO86" s="491"/>
      <c r="MP86" s="491"/>
      <c r="MQ86" s="491"/>
      <c r="MR86" s="491"/>
      <c r="MS86" s="491"/>
      <c r="MT86" s="491"/>
      <c r="MU86" s="491"/>
      <c r="MV86" s="491"/>
      <c r="MW86" s="491"/>
      <c r="MX86" s="491"/>
      <c r="MY86" s="491"/>
      <c r="MZ86" s="491"/>
      <c r="NA86" s="491"/>
      <c r="NB86" s="491"/>
      <c r="NC86" s="491"/>
      <c r="ND86" s="491"/>
      <c r="NE86" s="491"/>
      <c r="NF86" s="491"/>
      <c r="NG86" s="491"/>
      <c r="NH86" s="491"/>
      <c r="NI86" s="491"/>
      <c r="NJ86" s="491"/>
      <c r="NK86" s="491"/>
      <c r="NL86" s="491"/>
      <c r="NM86" s="491"/>
      <c r="NN86" s="491"/>
      <c r="NO86" s="491"/>
      <c r="NP86" s="491"/>
      <c r="NQ86" s="491"/>
      <c r="NR86" s="491"/>
      <c r="NS86" s="491"/>
      <c r="NT86" s="491"/>
      <c r="NU86" s="491"/>
      <c r="NV86" s="491"/>
      <c r="NW86" s="491"/>
      <c r="NX86" s="491"/>
      <c r="PW86" s="482"/>
    </row>
    <row r="87" spans="12:439" ht="12.75" customHeight="1" x14ac:dyDescent="0.35">
      <c r="L87" s="655"/>
      <c r="AQ87" s="478"/>
      <c r="AR87" s="541"/>
      <c r="AU87" s="491"/>
      <c r="AV87" s="491"/>
      <c r="AW87" s="491"/>
      <c r="AX87" s="491"/>
      <c r="AY87" s="491"/>
      <c r="AZ87" s="491"/>
      <c r="BA87" s="491"/>
      <c r="BB87" s="491"/>
      <c r="BC87" s="491"/>
      <c r="BD87" s="491"/>
      <c r="BE87" s="491"/>
      <c r="BF87" s="491"/>
      <c r="BG87" s="491"/>
      <c r="BH87" s="491"/>
      <c r="BI87" s="491"/>
      <c r="BJ87" s="491"/>
      <c r="BK87" s="491"/>
      <c r="BL87" s="491"/>
      <c r="BM87" s="491"/>
      <c r="BN87" s="491"/>
      <c r="BO87" s="491"/>
      <c r="BP87" s="578"/>
      <c r="BQ87" s="1447" t="s">
        <v>5132</v>
      </c>
      <c r="BR87" s="1448"/>
      <c r="BS87" s="1448"/>
      <c r="BT87" s="1448"/>
      <c r="BU87" s="1448"/>
      <c r="BV87" s="1448"/>
      <c r="BW87" s="1448"/>
      <c r="BX87" s="1448"/>
      <c r="BY87" s="1448"/>
      <c r="BZ87" s="1449"/>
      <c r="CA87" s="491"/>
      <c r="CB87" s="611"/>
      <c r="CC87" s="1522" t="s">
        <v>5133</v>
      </c>
      <c r="CD87" s="1516"/>
      <c r="CE87" s="1516"/>
      <c r="CF87" s="1516"/>
      <c r="CG87" s="1516"/>
      <c r="CH87" s="1516"/>
      <c r="CI87" s="1516"/>
      <c r="CJ87" s="1516"/>
      <c r="CK87" s="1516"/>
      <c r="CL87" s="1517"/>
      <c r="CM87" s="564"/>
      <c r="CN87" s="491"/>
      <c r="CO87" s="498"/>
      <c r="CP87" s="491"/>
      <c r="CQ87" s="491"/>
      <c r="CR87" s="491"/>
      <c r="CS87" s="491"/>
      <c r="CT87" s="491"/>
      <c r="CU87" s="491"/>
      <c r="CV87" s="491"/>
      <c r="CW87" s="491"/>
      <c r="CX87" s="491"/>
      <c r="CY87" s="491"/>
      <c r="CZ87" s="491"/>
      <c r="DA87" s="491"/>
      <c r="DB87" s="491"/>
      <c r="DC87" s="491"/>
      <c r="DD87" s="491"/>
      <c r="DE87" s="491"/>
      <c r="DF87" s="491"/>
      <c r="DG87" s="491"/>
      <c r="DH87" s="491"/>
      <c r="DI87" s="491"/>
      <c r="DJ87" s="491"/>
      <c r="DK87" s="491"/>
      <c r="DL87" s="491"/>
      <c r="DM87" s="491"/>
      <c r="DN87" s="491"/>
      <c r="DO87" s="491"/>
      <c r="DP87" s="491"/>
      <c r="DQ87" s="491"/>
      <c r="DR87" s="491"/>
      <c r="DS87" s="491"/>
      <c r="DT87" s="491"/>
      <c r="DU87" s="491"/>
      <c r="DV87" s="491"/>
      <c r="DW87" s="491"/>
      <c r="DX87" s="491"/>
      <c r="DY87" s="491"/>
      <c r="DZ87" s="491"/>
      <c r="EA87" s="491"/>
      <c r="EB87" s="491"/>
      <c r="EC87" s="491"/>
      <c r="ED87" s="491"/>
      <c r="EE87" s="491"/>
      <c r="EF87" s="491"/>
      <c r="EG87" s="491"/>
      <c r="EH87" s="491"/>
      <c r="EI87" s="491"/>
      <c r="EJ87" s="491"/>
      <c r="EK87" s="491"/>
      <c r="EL87" s="491"/>
      <c r="EM87" s="491"/>
      <c r="EN87" s="491"/>
      <c r="EO87" s="491"/>
      <c r="EP87" s="491"/>
      <c r="EQ87" s="491"/>
      <c r="ER87" s="491"/>
      <c r="ES87" s="491"/>
      <c r="ET87" s="491"/>
      <c r="EU87" s="491"/>
      <c r="EV87" s="491"/>
      <c r="EW87" s="491"/>
      <c r="EX87" s="491"/>
      <c r="EY87" s="491"/>
      <c r="EZ87" s="491"/>
      <c r="FA87" s="491"/>
      <c r="FB87" s="491"/>
      <c r="FC87" s="491"/>
      <c r="FD87" s="491"/>
      <c r="FE87" s="491"/>
      <c r="FF87" s="491"/>
      <c r="FG87" s="491"/>
      <c r="FH87" s="491"/>
      <c r="FI87" s="491"/>
      <c r="FJ87" s="491"/>
      <c r="FK87" s="491"/>
      <c r="FL87" s="491"/>
      <c r="FM87" s="491"/>
      <c r="FN87" s="491"/>
      <c r="FO87" s="491"/>
      <c r="FP87" s="491"/>
      <c r="FQ87" s="491"/>
      <c r="FR87" s="491"/>
      <c r="FS87" s="491"/>
      <c r="FT87" s="491"/>
      <c r="FU87" s="491"/>
      <c r="FV87" s="491"/>
      <c r="FW87" s="491"/>
      <c r="FX87" s="491"/>
      <c r="FY87" s="491"/>
      <c r="FZ87" s="491"/>
      <c r="GA87" s="491"/>
      <c r="GB87" s="491"/>
      <c r="GC87" s="491"/>
      <c r="GD87" s="491"/>
      <c r="GE87" s="491"/>
      <c r="GF87" s="491"/>
      <c r="GG87" s="491"/>
      <c r="GH87" s="491"/>
      <c r="GI87" s="491"/>
      <c r="GJ87" s="491"/>
      <c r="GK87" s="491"/>
      <c r="GL87" s="491"/>
      <c r="GM87" s="491"/>
      <c r="GN87" s="491"/>
      <c r="GO87" s="526"/>
      <c r="GP87" s="491"/>
      <c r="GQ87" s="491"/>
      <c r="GR87" s="491"/>
      <c r="GS87" s="491"/>
      <c r="GT87" s="491"/>
      <c r="GU87" s="491"/>
      <c r="GV87" s="491"/>
      <c r="GW87" s="491"/>
      <c r="GX87" s="491"/>
      <c r="GY87" s="491"/>
      <c r="GZ87" s="491"/>
      <c r="HA87" s="491"/>
      <c r="HB87" s="491"/>
      <c r="HC87" s="491"/>
      <c r="HD87" s="491"/>
      <c r="HE87" s="491"/>
      <c r="HF87" s="491"/>
      <c r="HG87" s="491"/>
      <c r="HH87" s="491"/>
      <c r="HI87" s="491"/>
      <c r="HJ87" s="491"/>
      <c r="HK87" s="491"/>
      <c r="HL87" s="491"/>
      <c r="HM87" s="491"/>
      <c r="HN87" s="491"/>
      <c r="HO87" s="491"/>
      <c r="HP87" s="491"/>
      <c r="HQ87" s="491"/>
      <c r="HR87" s="491"/>
      <c r="HS87" s="491"/>
      <c r="HT87" s="491"/>
      <c r="HU87" s="491"/>
      <c r="HV87" s="491"/>
      <c r="HW87" s="491"/>
      <c r="HX87" s="491"/>
      <c r="HY87" s="491"/>
      <c r="HZ87" s="491"/>
      <c r="IA87" s="491"/>
      <c r="IB87" s="491"/>
      <c r="IC87" s="491"/>
      <c r="ID87" s="491"/>
      <c r="IE87" s="491"/>
      <c r="IF87" s="491"/>
      <c r="IG87" s="491"/>
      <c r="IH87" s="491"/>
      <c r="II87" s="491"/>
      <c r="IJ87" s="491"/>
      <c r="IK87" s="491"/>
      <c r="IL87" s="491"/>
      <c r="IM87" s="491"/>
      <c r="IN87" s="491"/>
      <c r="IO87" s="491"/>
      <c r="IP87" s="491"/>
      <c r="IQ87" s="491"/>
      <c r="IR87" s="491"/>
      <c r="IS87" s="491"/>
      <c r="IT87" s="491"/>
      <c r="IU87" s="491"/>
      <c r="IV87" s="491"/>
      <c r="IW87" s="491"/>
      <c r="IX87" s="491"/>
      <c r="IY87" s="491"/>
      <c r="IZ87" s="491"/>
      <c r="JA87" s="491"/>
      <c r="JB87" s="491"/>
      <c r="JC87" s="491"/>
      <c r="JD87" s="491"/>
      <c r="JE87" s="491"/>
      <c r="JF87" s="491"/>
      <c r="JG87" s="491"/>
      <c r="JH87" s="491"/>
      <c r="JI87" s="491"/>
      <c r="JJ87" s="491"/>
      <c r="JK87" s="491"/>
      <c r="JL87" s="491"/>
      <c r="JM87" s="491"/>
      <c r="JN87" s="491"/>
      <c r="JO87" s="491"/>
      <c r="JP87" s="491"/>
      <c r="JQ87" s="491"/>
      <c r="JR87" s="491"/>
      <c r="JS87" s="491"/>
      <c r="JT87" s="491"/>
      <c r="JU87" s="491"/>
      <c r="JV87" s="491"/>
      <c r="JW87" s="491"/>
      <c r="JX87" s="491"/>
      <c r="JY87" s="491"/>
      <c r="JZ87" s="491"/>
      <c r="KA87" s="491"/>
      <c r="KB87" s="526"/>
      <c r="KC87" s="491"/>
      <c r="KD87" s="491"/>
      <c r="KE87" s="491"/>
      <c r="KF87" s="491"/>
      <c r="KG87" s="491"/>
      <c r="KH87" s="491"/>
      <c r="KI87" s="491"/>
      <c r="KJ87" s="491"/>
      <c r="KK87" s="491"/>
      <c r="KL87" s="491"/>
      <c r="KM87" s="491"/>
      <c r="KN87" s="491"/>
      <c r="KO87" s="491"/>
      <c r="KP87" s="491"/>
      <c r="KQ87" s="491"/>
      <c r="KR87" s="491"/>
      <c r="KS87" s="491"/>
      <c r="KT87" s="491"/>
      <c r="KU87" s="564"/>
      <c r="KV87" s="491"/>
      <c r="KW87" s="491"/>
      <c r="KX87" s="491"/>
      <c r="KY87" s="491"/>
      <c r="KZ87" s="491"/>
      <c r="LA87" s="491"/>
      <c r="LB87" s="491"/>
      <c r="LC87" s="491"/>
      <c r="LD87" s="491"/>
      <c r="LE87" s="491"/>
      <c r="LF87" s="491"/>
      <c r="LG87" s="491"/>
      <c r="LH87" s="491"/>
      <c r="LI87" s="491"/>
      <c r="LJ87" s="491"/>
      <c r="LK87" s="491"/>
      <c r="LL87" s="491"/>
      <c r="LM87" s="491"/>
      <c r="LN87" s="491"/>
      <c r="LO87" s="491"/>
      <c r="LP87" s="491"/>
      <c r="LQ87" s="491"/>
      <c r="LR87" s="491"/>
      <c r="LS87" s="491"/>
      <c r="LT87" s="491"/>
      <c r="LU87" s="491"/>
      <c r="LV87" s="491"/>
      <c r="LW87" s="491"/>
      <c r="LX87" s="491"/>
      <c r="LY87" s="491"/>
      <c r="LZ87" s="491"/>
      <c r="MA87" s="491"/>
      <c r="MB87" s="491"/>
      <c r="MC87" s="491"/>
      <c r="MD87" s="491"/>
      <c r="ME87" s="491"/>
      <c r="MF87" s="491"/>
      <c r="MG87" s="491"/>
      <c r="MH87" s="491"/>
      <c r="MI87" s="491"/>
      <c r="MJ87" s="491"/>
      <c r="MK87" s="491"/>
      <c r="ML87" s="491"/>
      <c r="MM87" s="491"/>
      <c r="MN87" s="491"/>
      <c r="MO87" s="491"/>
      <c r="MP87" s="491"/>
      <c r="MQ87" s="491"/>
      <c r="MR87" s="491"/>
      <c r="MS87" s="491"/>
      <c r="MT87" s="491"/>
      <c r="MU87" s="491"/>
      <c r="MV87" s="491"/>
      <c r="MW87" s="491"/>
      <c r="MX87" s="491"/>
      <c r="MY87" s="491"/>
      <c r="MZ87" s="491"/>
      <c r="NA87" s="491"/>
      <c r="NB87" s="491"/>
      <c r="NC87" s="491"/>
      <c r="ND87" s="491"/>
      <c r="NE87" s="491"/>
      <c r="NF87" s="491"/>
      <c r="NG87" s="491"/>
      <c r="NH87" s="491"/>
      <c r="NI87" s="491"/>
      <c r="NJ87" s="491"/>
      <c r="NK87" s="491"/>
      <c r="NL87" s="491"/>
      <c r="NM87" s="491"/>
      <c r="NN87" s="491"/>
      <c r="NO87" s="491"/>
      <c r="NP87" s="491"/>
      <c r="NQ87" s="491"/>
      <c r="NR87" s="491"/>
      <c r="NS87" s="491"/>
      <c r="NT87" s="491"/>
      <c r="NU87" s="491"/>
      <c r="NV87" s="491"/>
      <c r="NW87" s="491"/>
      <c r="NX87" s="491"/>
      <c r="PW87" s="482"/>
    </row>
    <row r="88" spans="12:439" ht="12.75" customHeight="1" x14ac:dyDescent="0.35">
      <c r="L88" s="655"/>
      <c r="AQ88" s="478"/>
      <c r="AR88" s="541"/>
      <c r="AU88" s="491"/>
      <c r="AV88" s="491"/>
      <c r="AW88" s="491"/>
      <c r="AX88" s="491"/>
      <c r="AY88" s="491"/>
      <c r="AZ88" s="491"/>
      <c r="BA88" s="491"/>
      <c r="BB88" s="491"/>
      <c r="BC88" s="491"/>
      <c r="BD88" s="491"/>
      <c r="BE88" s="491"/>
      <c r="BF88" s="491"/>
      <c r="BG88" s="491"/>
      <c r="BH88" s="491"/>
      <c r="BI88" s="491"/>
      <c r="BJ88" s="491"/>
      <c r="BK88" s="491"/>
      <c r="BL88" s="491"/>
      <c r="BM88" s="491"/>
      <c r="BN88" s="491"/>
      <c r="BO88" s="491"/>
      <c r="BP88" s="578"/>
      <c r="BQ88" s="513">
        <v>1</v>
      </c>
      <c r="BR88" s="1456" t="s">
        <v>5122</v>
      </c>
      <c r="BS88" s="1457"/>
      <c r="BT88" s="1457"/>
      <c r="BU88" s="1457"/>
      <c r="BV88" s="1457"/>
      <c r="BW88" s="1457"/>
      <c r="BX88" s="1457"/>
      <c r="BY88" s="1457"/>
      <c r="BZ88" s="1458"/>
      <c r="CA88" s="491"/>
      <c r="CB88" s="611"/>
      <c r="CC88" s="513">
        <v>1</v>
      </c>
      <c r="CD88" s="1456" t="s">
        <v>5122</v>
      </c>
      <c r="CE88" s="1457"/>
      <c r="CF88" s="1457"/>
      <c r="CG88" s="1457"/>
      <c r="CH88" s="1457"/>
      <c r="CI88" s="1457"/>
      <c r="CJ88" s="1457"/>
      <c r="CK88" s="1457"/>
      <c r="CL88" s="1458"/>
      <c r="CM88" s="564"/>
      <c r="CN88" s="491"/>
      <c r="CO88" s="501"/>
      <c r="CP88" s="491"/>
      <c r="CQ88" s="491"/>
      <c r="CR88" s="491"/>
      <c r="CS88" s="491"/>
      <c r="CT88" s="491"/>
      <c r="CU88" s="491"/>
      <c r="CV88" s="491"/>
      <c r="CW88" s="491"/>
      <c r="CX88" s="491"/>
      <c r="CY88" s="491"/>
      <c r="CZ88" s="491"/>
      <c r="DA88" s="491"/>
      <c r="DB88" s="491"/>
      <c r="DC88" s="491"/>
      <c r="DD88" s="491"/>
      <c r="DE88" s="491"/>
      <c r="DF88" s="491"/>
      <c r="DG88" s="491"/>
      <c r="DH88" s="491"/>
      <c r="DI88" s="491"/>
      <c r="DJ88" s="491"/>
      <c r="DK88" s="491"/>
      <c r="DL88" s="491"/>
      <c r="DM88" s="491"/>
      <c r="DN88" s="491"/>
      <c r="DO88" s="491"/>
      <c r="DP88" s="491"/>
      <c r="DQ88" s="491"/>
      <c r="DR88" s="491"/>
      <c r="DS88" s="491"/>
      <c r="DT88" s="491"/>
      <c r="DU88" s="491"/>
      <c r="DV88" s="491"/>
      <c r="DW88" s="491"/>
      <c r="DX88" s="491"/>
      <c r="DY88" s="491"/>
      <c r="DZ88" s="491"/>
      <c r="EA88" s="491"/>
      <c r="EB88" s="491"/>
      <c r="EC88" s="491"/>
      <c r="ED88" s="491"/>
      <c r="EE88" s="491"/>
      <c r="EF88" s="491"/>
      <c r="EG88" s="491"/>
      <c r="EH88" s="491"/>
      <c r="EI88" s="491"/>
      <c r="EJ88" s="491"/>
      <c r="EK88" s="491"/>
      <c r="EL88" s="491"/>
      <c r="EM88" s="491"/>
      <c r="EN88" s="491"/>
      <c r="EO88" s="491"/>
      <c r="EP88" s="491"/>
      <c r="EQ88" s="491"/>
      <c r="ER88" s="491"/>
      <c r="ES88" s="491"/>
      <c r="ET88" s="491"/>
      <c r="EU88" s="491"/>
      <c r="EV88" s="491"/>
      <c r="EW88" s="491"/>
      <c r="EX88" s="491"/>
      <c r="EY88" s="491"/>
      <c r="EZ88" s="491"/>
      <c r="FA88" s="491"/>
      <c r="FB88" s="491"/>
      <c r="FC88" s="491"/>
      <c r="FD88" s="491"/>
      <c r="FE88" s="491"/>
      <c r="FF88" s="491"/>
      <c r="FG88" s="491"/>
      <c r="FH88" s="491"/>
      <c r="FI88" s="491"/>
      <c r="FJ88" s="491"/>
      <c r="FK88" s="491"/>
      <c r="FL88" s="491"/>
      <c r="FM88" s="491"/>
      <c r="FN88" s="491"/>
      <c r="FO88" s="491"/>
      <c r="FP88" s="491"/>
      <c r="FQ88" s="491"/>
      <c r="FR88" s="491"/>
      <c r="FS88" s="491"/>
      <c r="FT88" s="491"/>
      <c r="FU88" s="491"/>
      <c r="FV88" s="491"/>
      <c r="FW88" s="491"/>
      <c r="FX88" s="491"/>
      <c r="FY88" s="491"/>
      <c r="FZ88" s="491"/>
      <c r="GA88" s="491"/>
      <c r="GB88" s="491"/>
      <c r="GC88" s="491"/>
      <c r="GD88" s="491"/>
      <c r="GE88" s="491"/>
      <c r="GF88" s="491"/>
      <c r="GG88" s="491"/>
      <c r="GH88" s="491"/>
      <c r="GI88" s="491"/>
      <c r="GJ88" s="491"/>
      <c r="GK88" s="491"/>
      <c r="GL88" s="491"/>
      <c r="GM88" s="491"/>
      <c r="GN88" s="491"/>
      <c r="GO88" s="526"/>
      <c r="GP88" s="491"/>
      <c r="GQ88" s="491"/>
      <c r="GR88" s="491"/>
      <c r="GS88" s="491"/>
      <c r="GT88" s="491"/>
      <c r="GU88" s="491"/>
      <c r="GV88" s="491"/>
      <c r="GW88" s="491"/>
      <c r="GX88" s="491"/>
      <c r="GY88" s="491"/>
      <c r="GZ88" s="491"/>
      <c r="HA88" s="491"/>
      <c r="HB88" s="491"/>
      <c r="HC88" s="491"/>
      <c r="HD88" s="491"/>
      <c r="HE88" s="491"/>
      <c r="HF88" s="491"/>
      <c r="HG88" s="491"/>
      <c r="HH88" s="491"/>
      <c r="HI88" s="491"/>
      <c r="HJ88" s="491"/>
      <c r="HK88" s="491"/>
      <c r="HL88" s="491"/>
      <c r="HM88" s="491"/>
      <c r="HN88" s="491"/>
      <c r="HO88" s="491"/>
      <c r="HP88" s="491"/>
      <c r="HQ88" s="491"/>
      <c r="HR88" s="491"/>
      <c r="HS88" s="491"/>
      <c r="HT88" s="491"/>
      <c r="HU88" s="491"/>
      <c r="HV88" s="491"/>
      <c r="HW88" s="491"/>
      <c r="HX88" s="491"/>
      <c r="HY88" s="491"/>
      <c r="HZ88" s="491"/>
      <c r="IA88" s="491"/>
      <c r="IB88" s="491"/>
      <c r="IC88" s="491"/>
      <c r="ID88" s="491"/>
      <c r="IE88" s="491"/>
      <c r="IF88" s="491"/>
      <c r="IG88" s="491"/>
      <c r="IH88" s="491"/>
      <c r="II88" s="491"/>
      <c r="IJ88" s="491"/>
      <c r="IK88" s="491"/>
      <c r="IL88" s="491"/>
      <c r="IM88" s="491"/>
      <c r="IN88" s="491"/>
      <c r="IO88" s="491"/>
      <c r="IP88" s="491"/>
      <c r="IQ88" s="491"/>
      <c r="IR88" s="491"/>
      <c r="IS88" s="491"/>
      <c r="IT88" s="491"/>
      <c r="IU88" s="491"/>
      <c r="IV88" s="491"/>
      <c r="IW88" s="491"/>
      <c r="IX88" s="491"/>
      <c r="IY88" s="491"/>
      <c r="IZ88" s="491"/>
      <c r="JA88" s="491"/>
      <c r="JB88" s="491"/>
      <c r="JC88" s="491"/>
      <c r="JD88" s="491"/>
      <c r="JE88" s="491"/>
      <c r="JF88" s="491"/>
      <c r="JG88" s="491"/>
      <c r="JH88" s="491"/>
      <c r="JI88" s="491"/>
      <c r="JJ88" s="491"/>
      <c r="JK88" s="491"/>
      <c r="JL88" s="491"/>
      <c r="JM88" s="491"/>
      <c r="JN88" s="491"/>
      <c r="JO88" s="491"/>
      <c r="JP88" s="491"/>
      <c r="JQ88" s="491"/>
      <c r="JR88" s="491"/>
      <c r="JS88" s="491"/>
      <c r="JT88" s="491"/>
      <c r="JU88" s="491"/>
      <c r="JV88" s="491"/>
      <c r="JW88" s="491"/>
      <c r="JX88" s="491"/>
      <c r="JY88" s="491"/>
      <c r="JZ88" s="491"/>
      <c r="KA88" s="491"/>
      <c r="KB88" s="526"/>
      <c r="KC88" s="491"/>
      <c r="KD88" s="491"/>
      <c r="KE88" s="491"/>
      <c r="KF88" s="491"/>
      <c r="KG88" s="491"/>
      <c r="KH88" s="491"/>
      <c r="KI88" s="491"/>
      <c r="KJ88" s="491"/>
      <c r="KK88" s="491"/>
      <c r="KL88" s="491"/>
      <c r="KM88" s="491"/>
      <c r="KN88" s="491"/>
      <c r="KO88" s="491"/>
      <c r="KP88" s="491"/>
      <c r="KQ88" s="491"/>
      <c r="KR88" s="491"/>
      <c r="KS88" s="491"/>
      <c r="KT88" s="491"/>
      <c r="KU88" s="564"/>
      <c r="KV88" s="491"/>
      <c r="KW88" s="491"/>
      <c r="KX88" s="491"/>
      <c r="KY88" s="491"/>
      <c r="KZ88" s="491"/>
      <c r="LA88" s="491"/>
      <c r="LB88" s="491"/>
      <c r="LC88" s="491"/>
      <c r="LD88" s="491"/>
      <c r="LE88" s="491"/>
      <c r="LF88" s="491"/>
      <c r="LG88" s="491"/>
      <c r="LH88" s="491"/>
      <c r="LI88" s="491"/>
      <c r="LJ88" s="491"/>
      <c r="LK88" s="491"/>
      <c r="LL88" s="491"/>
      <c r="LM88" s="491"/>
      <c r="LN88" s="491"/>
      <c r="LO88" s="491"/>
      <c r="LP88" s="491"/>
      <c r="LQ88" s="491"/>
      <c r="LR88" s="491"/>
      <c r="LS88" s="491"/>
      <c r="LT88" s="491"/>
      <c r="LU88" s="491"/>
      <c r="LV88" s="491"/>
      <c r="LW88" s="491"/>
      <c r="LX88" s="491"/>
      <c r="LY88" s="491"/>
      <c r="LZ88" s="491"/>
      <c r="MA88" s="491"/>
      <c r="MB88" s="491"/>
      <c r="MC88" s="491"/>
      <c r="MD88" s="491"/>
      <c r="ME88" s="491"/>
      <c r="MF88" s="491"/>
      <c r="MG88" s="491"/>
      <c r="MH88" s="491"/>
      <c r="MI88" s="491"/>
      <c r="MJ88" s="491"/>
      <c r="MK88" s="491"/>
      <c r="ML88" s="491"/>
      <c r="MM88" s="491"/>
      <c r="MN88" s="491"/>
      <c r="MO88" s="491"/>
      <c r="MP88" s="491"/>
      <c r="MQ88" s="491"/>
      <c r="MR88" s="491"/>
      <c r="MS88" s="491"/>
      <c r="MT88" s="491"/>
      <c r="MU88" s="491"/>
      <c r="MV88" s="491"/>
      <c r="MW88" s="491"/>
      <c r="MX88" s="491"/>
      <c r="MY88" s="491"/>
      <c r="MZ88" s="491"/>
      <c r="NA88" s="491"/>
      <c r="NB88" s="491"/>
      <c r="NC88" s="491"/>
      <c r="ND88" s="491"/>
      <c r="NE88" s="491"/>
      <c r="NF88" s="491"/>
      <c r="NG88" s="491"/>
      <c r="NH88" s="491"/>
      <c r="NI88" s="491"/>
      <c r="NJ88" s="491"/>
      <c r="NK88" s="491"/>
      <c r="NL88" s="491"/>
      <c r="NM88" s="491"/>
      <c r="NN88" s="491"/>
      <c r="NO88" s="491"/>
      <c r="NP88" s="491"/>
      <c r="NQ88" s="491"/>
      <c r="NR88" s="491"/>
      <c r="NS88" s="491"/>
      <c r="NT88" s="491"/>
      <c r="NU88" s="491"/>
      <c r="NV88" s="491"/>
      <c r="NW88" s="491"/>
      <c r="NX88" s="491"/>
      <c r="PW88" s="482"/>
    </row>
    <row r="89" spans="12:439" ht="12.75" customHeight="1" x14ac:dyDescent="0.35">
      <c r="L89" s="655"/>
      <c r="AQ89" s="483"/>
      <c r="AR89" s="541"/>
      <c r="AU89" s="491"/>
      <c r="AV89" s="491"/>
      <c r="AW89" s="491"/>
      <c r="AX89" s="491"/>
      <c r="AY89" s="491"/>
      <c r="AZ89" s="491"/>
      <c r="BA89" s="491"/>
      <c r="BB89" s="491"/>
      <c r="BC89" s="491"/>
      <c r="BD89" s="491"/>
      <c r="BE89" s="491"/>
      <c r="BF89" s="491"/>
      <c r="BG89" s="491"/>
      <c r="BH89" s="491"/>
      <c r="BI89" s="491"/>
      <c r="BJ89" s="491"/>
      <c r="BK89" s="491"/>
      <c r="BL89" s="491"/>
      <c r="BM89" s="491"/>
      <c r="BN89" s="491"/>
      <c r="BO89" s="491"/>
      <c r="BP89" s="578"/>
      <c r="BQ89" s="1450" t="s">
        <v>5134</v>
      </c>
      <c r="BR89" s="1451"/>
      <c r="BS89" s="1451"/>
      <c r="BT89" s="1451"/>
      <c r="BU89" s="1451"/>
      <c r="BV89" s="1451"/>
      <c r="BW89" s="1451"/>
      <c r="BX89" s="1451"/>
      <c r="BY89" s="1451"/>
      <c r="BZ89" s="1452"/>
      <c r="CA89" s="491"/>
      <c r="CB89" s="611"/>
      <c r="CC89" s="1485" t="s">
        <v>1575</v>
      </c>
      <c r="CD89" s="1486"/>
      <c r="CE89" s="1486"/>
      <c r="CF89" s="1486"/>
      <c r="CG89" s="1486"/>
      <c r="CH89" s="1486"/>
      <c r="CI89" s="1486"/>
      <c r="CJ89" s="1486"/>
      <c r="CK89" s="1486"/>
      <c r="CL89" s="1487"/>
      <c r="CM89" s="656"/>
      <c r="CN89" s="491"/>
      <c r="CO89" s="657"/>
      <c r="CP89" s="491"/>
      <c r="CQ89" s="491"/>
      <c r="CR89" s="491"/>
      <c r="CS89" s="491"/>
      <c r="CT89" s="491"/>
      <c r="CU89" s="491"/>
      <c r="CV89" s="491"/>
      <c r="CW89" s="491"/>
      <c r="CX89" s="491"/>
      <c r="CY89" s="491"/>
      <c r="CZ89" s="491"/>
      <c r="DA89" s="491"/>
      <c r="DB89" s="491"/>
      <c r="DC89" s="491"/>
      <c r="DD89" s="491"/>
      <c r="DE89" s="491"/>
      <c r="DF89" s="491"/>
      <c r="DG89" s="491"/>
      <c r="DH89" s="491"/>
      <c r="DI89" s="491"/>
      <c r="DJ89" s="491"/>
      <c r="DK89" s="491"/>
      <c r="DL89" s="491"/>
      <c r="DM89" s="491"/>
      <c r="DN89" s="491"/>
      <c r="DO89" s="491"/>
      <c r="DP89" s="491"/>
      <c r="DQ89" s="491"/>
      <c r="DR89" s="491"/>
      <c r="DS89" s="491"/>
      <c r="DT89" s="491"/>
      <c r="DU89" s="491"/>
      <c r="DV89" s="491"/>
      <c r="DW89" s="491"/>
      <c r="DX89" s="491"/>
      <c r="DY89" s="491"/>
      <c r="DZ89" s="491"/>
      <c r="EA89" s="491"/>
      <c r="EB89" s="491"/>
      <c r="EC89" s="491"/>
      <c r="ED89" s="491"/>
      <c r="EE89" s="491"/>
      <c r="EF89" s="491"/>
      <c r="EG89" s="491"/>
      <c r="EH89" s="491"/>
      <c r="EI89" s="491"/>
      <c r="EJ89" s="491"/>
      <c r="EK89" s="491"/>
      <c r="EL89" s="491"/>
      <c r="EM89" s="491"/>
      <c r="EN89" s="491"/>
      <c r="EO89" s="491"/>
      <c r="EP89" s="491"/>
      <c r="EQ89" s="491"/>
      <c r="ER89" s="491"/>
      <c r="ES89" s="491"/>
      <c r="ET89" s="491"/>
      <c r="EU89" s="491"/>
      <c r="EV89" s="491"/>
      <c r="EW89" s="491"/>
      <c r="EX89" s="491"/>
      <c r="EY89" s="491"/>
      <c r="EZ89" s="491"/>
      <c r="FA89" s="491"/>
      <c r="FB89" s="491"/>
      <c r="FC89" s="491"/>
      <c r="FD89" s="491"/>
      <c r="FE89" s="491"/>
      <c r="FF89" s="491"/>
      <c r="FG89" s="491"/>
      <c r="FH89" s="491"/>
      <c r="FI89" s="491"/>
      <c r="FJ89" s="491"/>
      <c r="FK89" s="491"/>
      <c r="FL89" s="491"/>
      <c r="FM89" s="491"/>
      <c r="FN89" s="491"/>
      <c r="FO89" s="491"/>
      <c r="FP89" s="491"/>
      <c r="FQ89" s="491"/>
      <c r="FR89" s="491"/>
      <c r="FS89" s="491"/>
      <c r="FT89" s="491"/>
      <c r="FU89" s="491"/>
      <c r="FV89" s="491"/>
      <c r="FW89" s="491"/>
      <c r="FX89" s="491"/>
      <c r="FY89" s="491"/>
      <c r="FZ89" s="491"/>
      <c r="GA89" s="491"/>
      <c r="GB89" s="491"/>
      <c r="GC89" s="491"/>
      <c r="GD89" s="491"/>
      <c r="GE89" s="491"/>
      <c r="GF89" s="491"/>
      <c r="GG89" s="491"/>
      <c r="GH89" s="491"/>
      <c r="GI89" s="491"/>
      <c r="GJ89" s="491"/>
      <c r="GK89" s="491"/>
      <c r="GL89" s="491"/>
      <c r="GM89" s="491"/>
      <c r="GN89" s="491"/>
      <c r="GO89" s="526"/>
      <c r="GP89" s="491"/>
      <c r="GQ89" s="491"/>
      <c r="GR89" s="491"/>
      <c r="GS89" s="491"/>
      <c r="GT89" s="491"/>
      <c r="GU89" s="491"/>
      <c r="GV89" s="491"/>
      <c r="GW89" s="491"/>
      <c r="GX89" s="491"/>
      <c r="GY89" s="491"/>
      <c r="GZ89" s="491"/>
      <c r="HA89" s="491"/>
      <c r="HB89" s="491"/>
      <c r="HC89" s="491"/>
      <c r="HD89" s="491"/>
      <c r="HE89" s="491"/>
      <c r="HF89" s="491"/>
      <c r="HG89" s="491"/>
      <c r="HH89" s="491"/>
      <c r="HI89" s="491"/>
      <c r="HJ89" s="491"/>
      <c r="HK89" s="491"/>
      <c r="HL89" s="491"/>
      <c r="HM89" s="491"/>
      <c r="HN89" s="491"/>
      <c r="HO89" s="491"/>
      <c r="HP89" s="491"/>
      <c r="HQ89" s="491"/>
      <c r="HR89" s="491"/>
      <c r="HS89" s="491"/>
      <c r="HT89" s="491"/>
      <c r="HU89" s="491"/>
      <c r="HV89" s="491"/>
      <c r="HW89" s="491"/>
      <c r="HX89" s="491"/>
      <c r="HY89" s="491"/>
      <c r="HZ89" s="491"/>
      <c r="IA89" s="491"/>
      <c r="IB89" s="491"/>
      <c r="IC89" s="491"/>
      <c r="ID89" s="491"/>
      <c r="IE89" s="491"/>
      <c r="IF89" s="491"/>
      <c r="IG89" s="491"/>
      <c r="IH89" s="491"/>
      <c r="II89" s="491"/>
      <c r="IJ89" s="491"/>
      <c r="IK89" s="491"/>
      <c r="IL89" s="491"/>
      <c r="IM89" s="491"/>
      <c r="IN89" s="491"/>
      <c r="IO89" s="491"/>
      <c r="IP89" s="491"/>
      <c r="IQ89" s="491"/>
      <c r="IR89" s="491"/>
      <c r="IS89" s="491"/>
      <c r="IT89" s="491"/>
      <c r="IU89" s="491"/>
      <c r="IV89" s="491"/>
      <c r="IW89" s="491"/>
      <c r="IX89" s="491"/>
      <c r="IY89" s="491"/>
      <c r="IZ89" s="491"/>
      <c r="JA89" s="491"/>
      <c r="JB89" s="491"/>
      <c r="JC89" s="491"/>
      <c r="JD89" s="491"/>
      <c r="JE89" s="491"/>
      <c r="JF89" s="491"/>
      <c r="JG89" s="491"/>
      <c r="JH89" s="491"/>
      <c r="JI89" s="491"/>
      <c r="JJ89" s="491"/>
      <c r="JK89" s="491"/>
      <c r="JL89" s="491"/>
      <c r="JM89" s="491"/>
      <c r="JN89" s="491"/>
      <c r="JO89" s="491"/>
      <c r="JP89" s="491"/>
      <c r="JQ89" s="491"/>
      <c r="JR89" s="491"/>
      <c r="JS89" s="491"/>
      <c r="JT89" s="491"/>
      <c r="JU89" s="491"/>
      <c r="JV89" s="491"/>
      <c r="JW89" s="491"/>
      <c r="JX89" s="491"/>
      <c r="JY89" s="491"/>
      <c r="JZ89" s="491"/>
      <c r="KA89" s="491"/>
      <c r="KB89" s="526"/>
      <c r="KC89" s="491"/>
      <c r="KD89" s="491"/>
      <c r="KE89" s="491"/>
      <c r="KF89" s="491"/>
      <c r="KG89" s="491"/>
      <c r="KH89" s="491"/>
      <c r="KI89" s="491"/>
      <c r="KJ89" s="491"/>
      <c r="KK89" s="491"/>
      <c r="KL89" s="491"/>
      <c r="KM89" s="491"/>
      <c r="KN89" s="491"/>
      <c r="KO89" s="491"/>
      <c r="KP89" s="491"/>
      <c r="KQ89" s="491"/>
      <c r="KR89" s="491"/>
      <c r="KS89" s="491"/>
      <c r="KT89" s="491"/>
      <c r="KU89" s="564"/>
      <c r="KV89" s="491"/>
      <c r="KW89" s="491"/>
      <c r="KX89" s="491"/>
      <c r="KY89" s="491"/>
      <c r="KZ89" s="491"/>
      <c r="LA89" s="491"/>
      <c r="LB89" s="491"/>
      <c r="LC89" s="491"/>
      <c r="LD89" s="491"/>
      <c r="LE89" s="491"/>
      <c r="LF89" s="491"/>
      <c r="LG89" s="491"/>
      <c r="LH89" s="491"/>
      <c r="LI89" s="491"/>
      <c r="LJ89" s="491"/>
      <c r="LK89" s="491"/>
      <c r="LL89" s="491"/>
      <c r="LM89" s="491"/>
      <c r="LN89" s="491"/>
      <c r="LO89" s="491"/>
      <c r="LP89" s="491"/>
      <c r="LQ89" s="491"/>
      <c r="LR89" s="491"/>
      <c r="LS89" s="491"/>
      <c r="LT89" s="491"/>
      <c r="LU89" s="491"/>
      <c r="LV89" s="491"/>
      <c r="LW89" s="491"/>
      <c r="LX89" s="491"/>
      <c r="LY89" s="491"/>
      <c r="LZ89" s="491"/>
      <c r="MA89" s="491"/>
      <c r="MB89" s="491"/>
      <c r="MC89" s="491"/>
      <c r="MD89" s="491"/>
      <c r="ME89" s="491"/>
      <c r="MF89" s="491"/>
      <c r="MG89" s="491"/>
      <c r="MH89" s="491"/>
      <c r="MI89" s="491"/>
      <c r="MJ89" s="491"/>
      <c r="MK89" s="491"/>
      <c r="ML89" s="491"/>
      <c r="MM89" s="491"/>
      <c r="MN89" s="491"/>
      <c r="MO89" s="491"/>
      <c r="MP89" s="491"/>
      <c r="MQ89" s="491"/>
      <c r="MR89" s="491"/>
      <c r="MS89" s="491"/>
      <c r="MT89" s="491"/>
      <c r="MU89" s="491"/>
      <c r="MV89" s="491"/>
      <c r="MW89" s="491"/>
      <c r="MX89" s="491"/>
      <c r="MY89" s="491"/>
      <c r="MZ89" s="491"/>
      <c r="NA89" s="491"/>
      <c r="NB89" s="491"/>
      <c r="NC89" s="491"/>
      <c r="ND89" s="491"/>
      <c r="NE89" s="491"/>
      <c r="NF89" s="491"/>
      <c r="NG89" s="491"/>
      <c r="NH89" s="491"/>
      <c r="NI89" s="491"/>
      <c r="NJ89" s="491"/>
      <c r="NK89" s="491"/>
      <c r="NL89" s="491"/>
      <c r="NM89" s="491"/>
      <c r="NN89" s="491"/>
      <c r="NO89" s="491"/>
      <c r="NP89" s="491"/>
      <c r="NQ89" s="491"/>
      <c r="NR89" s="491"/>
      <c r="NS89" s="491"/>
      <c r="NT89" s="491"/>
      <c r="NU89" s="491"/>
      <c r="NV89" s="491"/>
      <c r="NW89" s="491"/>
      <c r="NX89" s="491"/>
      <c r="PW89" s="482"/>
    </row>
    <row r="90" spans="12:439" ht="12.75" customHeight="1" x14ac:dyDescent="0.35">
      <c r="L90" s="655"/>
      <c r="AQ90" s="478"/>
      <c r="AR90" s="541"/>
      <c r="AU90" s="491"/>
      <c r="AV90" s="491"/>
      <c r="AW90" s="491"/>
      <c r="AX90" s="491"/>
      <c r="AY90" s="491"/>
      <c r="AZ90" s="491"/>
      <c r="BA90" s="491"/>
      <c r="BB90" s="491"/>
      <c r="BC90" s="491"/>
      <c r="BD90" s="491"/>
      <c r="BE90" s="491"/>
      <c r="BF90" s="491"/>
      <c r="BG90" s="491"/>
      <c r="BH90" s="491"/>
      <c r="BI90" s="491"/>
      <c r="BJ90" s="491"/>
      <c r="BK90" s="491"/>
      <c r="BL90" s="491"/>
      <c r="BM90" s="491"/>
      <c r="BN90" s="491"/>
      <c r="BO90" s="491"/>
      <c r="BP90" s="578"/>
      <c r="BQ90" s="491"/>
      <c r="BR90" s="491"/>
      <c r="BS90" s="491"/>
      <c r="BT90" s="491"/>
      <c r="BU90" s="491"/>
      <c r="BV90" s="491"/>
      <c r="BW90" s="491"/>
      <c r="BX90" s="491"/>
      <c r="BY90" s="491"/>
      <c r="BZ90" s="491"/>
      <c r="CA90" s="491"/>
      <c r="CB90" s="611"/>
      <c r="CC90" s="491"/>
      <c r="CD90" s="491"/>
      <c r="CE90" s="491"/>
      <c r="CF90" s="491"/>
      <c r="CG90" s="491"/>
      <c r="CH90" s="491"/>
      <c r="CI90" s="491"/>
      <c r="CJ90" s="491"/>
      <c r="CK90" s="491"/>
      <c r="CL90" s="491"/>
      <c r="CM90" s="658"/>
      <c r="CN90" s="491"/>
      <c r="CO90" s="491"/>
      <c r="CP90" s="491"/>
      <c r="CQ90" s="501"/>
      <c r="CR90" s="491"/>
      <c r="CS90" s="491"/>
      <c r="CT90" s="491"/>
      <c r="CU90" s="491"/>
      <c r="CV90" s="491"/>
      <c r="CW90" s="491"/>
      <c r="CX90" s="491"/>
      <c r="CY90" s="491"/>
      <c r="CZ90" s="491"/>
      <c r="DA90" s="491"/>
      <c r="DB90" s="491"/>
      <c r="DC90" s="491"/>
      <c r="DD90" s="491"/>
      <c r="DE90" s="491"/>
      <c r="DF90" s="491"/>
      <c r="DG90" s="491"/>
      <c r="DH90" s="491"/>
      <c r="DI90" s="491"/>
      <c r="DJ90" s="491"/>
      <c r="DK90" s="491"/>
      <c r="DL90" s="491"/>
      <c r="DM90" s="491"/>
      <c r="DN90" s="491"/>
      <c r="DO90" s="491"/>
      <c r="DP90" s="491"/>
      <c r="DQ90" s="491"/>
      <c r="DR90" s="491"/>
      <c r="DS90" s="491"/>
      <c r="DT90" s="491"/>
      <c r="DU90" s="491"/>
      <c r="DV90" s="491"/>
      <c r="DW90" s="491"/>
      <c r="DX90" s="491"/>
      <c r="DY90" s="491"/>
      <c r="DZ90" s="491"/>
      <c r="EA90" s="491"/>
      <c r="EB90" s="491"/>
      <c r="EC90" s="491"/>
      <c r="ED90" s="491"/>
      <c r="EE90" s="491"/>
      <c r="EF90" s="491"/>
      <c r="EG90" s="491"/>
      <c r="EH90" s="491"/>
      <c r="EI90" s="491"/>
      <c r="EJ90" s="491"/>
      <c r="EK90" s="491"/>
      <c r="EL90" s="491"/>
      <c r="EM90" s="491"/>
      <c r="EN90" s="491"/>
      <c r="EO90" s="491"/>
      <c r="EP90" s="491"/>
      <c r="EQ90" s="491"/>
      <c r="ER90" s="491"/>
      <c r="ES90" s="491"/>
      <c r="ET90" s="491"/>
      <c r="EU90" s="491"/>
      <c r="EV90" s="491"/>
      <c r="EW90" s="491"/>
      <c r="EX90" s="491"/>
      <c r="EY90" s="491"/>
      <c r="EZ90" s="491"/>
      <c r="FA90" s="491"/>
      <c r="FB90" s="491"/>
      <c r="FC90" s="491"/>
      <c r="FD90" s="491"/>
      <c r="FE90" s="491"/>
      <c r="FF90" s="491"/>
      <c r="FG90" s="491"/>
      <c r="FH90" s="491"/>
      <c r="FI90" s="491"/>
      <c r="FJ90" s="491"/>
      <c r="FK90" s="491"/>
      <c r="FL90" s="491"/>
      <c r="FM90" s="491"/>
      <c r="FN90" s="491"/>
      <c r="FO90" s="491"/>
      <c r="FP90" s="491"/>
      <c r="FQ90" s="491"/>
      <c r="FR90" s="491"/>
      <c r="FS90" s="491"/>
      <c r="FT90" s="491"/>
      <c r="FU90" s="491"/>
      <c r="FV90" s="491"/>
      <c r="FW90" s="491"/>
      <c r="FX90" s="491"/>
      <c r="FY90" s="491"/>
      <c r="FZ90" s="491"/>
      <c r="GA90" s="491"/>
      <c r="GB90" s="491"/>
      <c r="GC90" s="491"/>
      <c r="GD90" s="491"/>
      <c r="GE90" s="491"/>
      <c r="GF90" s="491"/>
      <c r="GG90" s="491"/>
      <c r="GH90" s="491"/>
      <c r="GI90" s="491"/>
      <c r="GJ90" s="491"/>
      <c r="GK90" s="491"/>
      <c r="GL90" s="491"/>
      <c r="GM90" s="491"/>
      <c r="GN90" s="491"/>
      <c r="GO90" s="526"/>
      <c r="GP90" s="491"/>
      <c r="GQ90" s="491"/>
      <c r="GR90" s="491"/>
      <c r="GS90" s="491"/>
      <c r="GT90" s="491"/>
      <c r="GU90" s="491"/>
      <c r="GV90" s="491"/>
      <c r="GW90" s="491"/>
      <c r="GX90" s="491"/>
      <c r="GY90" s="491"/>
      <c r="GZ90" s="491"/>
      <c r="HA90" s="491"/>
      <c r="HB90" s="491"/>
      <c r="HC90" s="491"/>
      <c r="HD90" s="491"/>
      <c r="HE90" s="491"/>
      <c r="HF90" s="491"/>
      <c r="HG90" s="491"/>
      <c r="HH90" s="491"/>
      <c r="HI90" s="491"/>
      <c r="HJ90" s="491"/>
      <c r="HK90" s="491"/>
      <c r="HL90" s="491"/>
      <c r="HM90" s="491"/>
      <c r="HN90" s="491"/>
      <c r="HO90" s="491"/>
      <c r="HP90" s="491"/>
      <c r="HQ90" s="491"/>
      <c r="HR90" s="491"/>
      <c r="HS90" s="491"/>
      <c r="HT90" s="491"/>
      <c r="HU90" s="491"/>
      <c r="HV90" s="491"/>
      <c r="HW90" s="491"/>
      <c r="HX90" s="491"/>
      <c r="HY90" s="491"/>
      <c r="HZ90" s="491"/>
      <c r="IA90" s="491"/>
      <c r="IB90" s="491"/>
      <c r="IC90" s="491"/>
      <c r="ID90" s="491"/>
      <c r="IE90" s="491"/>
      <c r="IF90" s="491"/>
      <c r="IG90" s="491"/>
      <c r="IH90" s="491"/>
      <c r="II90" s="491"/>
      <c r="IJ90" s="491"/>
      <c r="IK90" s="491"/>
      <c r="IL90" s="491"/>
      <c r="IM90" s="491"/>
      <c r="IN90" s="491"/>
      <c r="IO90" s="491"/>
      <c r="IP90" s="491"/>
      <c r="IQ90" s="491"/>
      <c r="IR90" s="491"/>
      <c r="IS90" s="491"/>
      <c r="IT90" s="491"/>
      <c r="IU90" s="491"/>
      <c r="IV90" s="491"/>
      <c r="IW90" s="491"/>
      <c r="IX90" s="491"/>
      <c r="IY90" s="491"/>
      <c r="IZ90" s="491"/>
      <c r="JA90" s="491"/>
      <c r="JB90" s="491"/>
      <c r="JC90" s="491"/>
      <c r="JD90" s="491"/>
      <c r="JE90" s="491"/>
      <c r="JF90" s="491"/>
      <c r="JG90" s="491"/>
      <c r="JH90" s="491"/>
      <c r="JI90" s="491"/>
      <c r="JJ90" s="491"/>
      <c r="JK90" s="491"/>
      <c r="JL90" s="491"/>
      <c r="JM90" s="491"/>
      <c r="JN90" s="491"/>
      <c r="JO90" s="491"/>
      <c r="JP90" s="491"/>
      <c r="JQ90" s="491"/>
      <c r="JR90" s="491"/>
      <c r="JS90" s="491"/>
      <c r="JT90" s="491"/>
      <c r="JU90" s="491"/>
      <c r="JV90" s="491"/>
      <c r="JW90" s="491"/>
      <c r="JX90" s="491"/>
      <c r="JY90" s="491"/>
      <c r="JZ90" s="491"/>
      <c r="KA90" s="491"/>
      <c r="KB90" s="526"/>
      <c r="KC90" s="491"/>
      <c r="KD90" s="491"/>
      <c r="KE90" s="491"/>
      <c r="KF90" s="491"/>
      <c r="KG90" s="491"/>
      <c r="KH90" s="491"/>
      <c r="KI90" s="491"/>
      <c r="KJ90" s="491"/>
      <c r="KK90" s="491"/>
      <c r="KL90" s="491"/>
      <c r="KM90" s="491"/>
      <c r="KN90" s="491"/>
      <c r="KO90" s="491"/>
      <c r="KP90" s="491"/>
      <c r="KQ90" s="491"/>
      <c r="KR90" s="491"/>
      <c r="KS90" s="491"/>
      <c r="KT90" s="491"/>
      <c r="KU90" s="564"/>
      <c r="KV90" s="491"/>
      <c r="KW90" s="491"/>
      <c r="KX90" s="491"/>
      <c r="KY90" s="491"/>
      <c r="KZ90" s="491"/>
      <c r="LA90" s="491"/>
      <c r="LB90" s="491"/>
      <c r="LC90" s="491"/>
      <c r="LD90" s="491"/>
      <c r="LE90" s="491"/>
      <c r="LF90" s="491"/>
      <c r="LG90" s="491"/>
      <c r="LH90" s="491"/>
      <c r="LI90" s="491"/>
      <c r="LJ90" s="491"/>
      <c r="LK90" s="491"/>
      <c r="LL90" s="491"/>
      <c r="LM90" s="491"/>
      <c r="LN90" s="491"/>
      <c r="LO90" s="491"/>
      <c r="LP90" s="491"/>
      <c r="LQ90" s="491"/>
      <c r="LR90" s="491"/>
      <c r="LS90" s="491"/>
      <c r="LT90" s="491"/>
      <c r="LU90" s="491"/>
      <c r="LV90" s="491"/>
      <c r="LW90" s="491"/>
      <c r="LX90" s="491"/>
      <c r="LY90" s="491"/>
      <c r="LZ90" s="491"/>
      <c r="MA90" s="491"/>
      <c r="MB90" s="491"/>
      <c r="MC90" s="491"/>
      <c r="MD90" s="491"/>
      <c r="ME90" s="491"/>
      <c r="MF90" s="491"/>
      <c r="MG90" s="491"/>
      <c r="MH90" s="491"/>
      <c r="MI90" s="491"/>
      <c r="MJ90" s="491"/>
      <c r="MK90" s="491"/>
      <c r="ML90" s="491"/>
      <c r="MM90" s="491"/>
      <c r="MN90" s="491"/>
      <c r="MO90" s="491"/>
      <c r="MP90" s="491"/>
      <c r="MQ90" s="491"/>
      <c r="MR90" s="491"/>
      <c r="MS90" s="491"/>
      <c r="MT90" s="491"/>
      <c r="MU90" s="491"/>
      <c r="MV90" s="491"/>
      <c r="MW90" s="491"/>
      <c r="MX90" s="491"/>
      <c r="MY90" s="491"/>
      <c r="MZ90" s="491"/>
      <c r="NA90" s="491"/>
      <c r="NB90" s="491"/>
      <c r="NC90" s="491"/>
      <c r="ND90" s="491"/>
      <c r="NE90" s="491"/>
      <c r="NF90" s="491"/>
      <c r="NG90" s="491"/>
      <c r="NH90" s="491"/>
      <c r="NI90" s="491"/>
      <c r="NJ90" s="491"/>
      <c r="NK90" s="491"/>
      <c r="NL90" s="491"/>
      <c r="NM90" s="491"/>
      <c r="NN90" s="491"/>
      <c r="NO90" s="491"/>
      <c r="NP90" s="491"/>
      <c r="NQ90" s="491"/>
      <c r="NR90" s="491"/>
      <c r="NS90" s="491"/>
      <c r="NT90" s="491"/>
      <c r="NU90" s="491"/>
      <c r="NV90" s="491"/>
      <c r="NW90" s="491"/>
      <c r="NX90" s="491"/>
      <c r="PW90" s="482"/>
    </row>
    <row r="91" spans="12:439" ht="12.75" customHeight="1" x14ac:dyDescent="0.35">
      <c r="L91" s="655"/>
      <c r="AR91" s="541"/>
      <c r="AU91" s="491"/>
      <c r="AV91" s="491"/>
      <c r="AW91" s="491"/>
      <c r="AX91" s="491"/>
      <c r="AY91" s="491"/>
      <c r="AZ91" s="491"/>
      <c r="BA91" s="491"/>
      <c r="BB91" s="491"/>
      <c r="BC91" s="491"/>
      <c r="BD91" s="491"/>
      <c r="BE91" s="491"/>
      <c r="BF91" s="491"/>
      <c r="BG91" s="491"/>
      <c r="BH91" s="491"/>
      <c r="BI91" s="491"/>
      <c r="BJ91" s="491"/>
      <c r="BK91" s="491"/>
      <c r="BL91" s="491"/>
      <c r="BM91" s="491"/>
      <c r="BN91" s="491"/>
      <c r="BO91" s="491"/>
      <c r="BP91" s="578"/>
      <c r="BQ91" s="513">
        <v>1</v>
      </c>
      <c r="BR91" s="1456" t="s">
        <v>5046</v>
      </c>
      <c r="BS91" s="1457"/>
      <c r="BT91" s="1457"/>
      <c r="BU91" s="1457"/>
      <c r="BV91" s="1457"/>
      <c r="BW91" s="1457"/>
      <c r="BX91" s="1457"/>
      <c r="BY91" s="1457"/>
      <c r="BZ91" s="1458"/>
      <c r="CA91" s="498"/>
      <c r="CB91" s="659"/>
      <c r="CC91" s="513">
        <v>1</v>
      </c>
      <c r="CD91" s="1456" t="s">
        <v>5046</v>
      </c>
      <c r="CE91" s="1457"/>
      <c r="CF91" s="1457"/>
      <c r="CG91" s="1457"/>
      <c r="CH91" s="1457"/>
      <c r="CI91" s="1457"/>
      <c r="CJ91" s="1457"/>
      <c r="CK91" s="1457"/>
      <c r="CL91" s="1458"/>
      <c r="CM91" s="656"/>
      <c r="CN91" s="491"/>
      <c r="CO91" s="491"/>
      <c r="CP91" s="491"/>
      <c r="CQ91" s="641"/>
      <c r="CR91" s="491"/>
      <c r="CS91" s="491"/>
      <c r="CT91" s="491"/>
      <c r="CU91" s="491"/>
      <c r="CV91" s="491"/>
      <c r="CW91" s="491"/>
      <c r="CX91" s="491"/>
      <c r="CY91" s="491"/>
      <c r="CZ91" s="491"/>
      <c r="DA91" s="491"/>
      <c r="DB91" s="491"/>
      <c r="DC91" s="491"/>
      <c r="DD91" s="491"/>
      <c r="DE91" s="491"/>
      <c r="DF91" s="491"/>
      <c r="DG91" s="491"/>
      <c r="DH91" s="491"/>
      <c r="DI91" s="491"/>
      <c r="DJ91" s="491"/>
      <c r="DK91" s="491"/>
      <c r="DL91" s="491"/>
      <c r="DM91" s="491"/>
      <c r="DN91" s="491"/>
      <c r="DO91" s="491"/>
      <c r="DP91" s="491"/>
      <c r="DQ91" s="491"/>
      <c r="DR91" s="491"/>
      <c r="DS91" s="491"/>
      <c r="DT91" s="491"/>
      <c r="DU91" s="491"/>
      <c r="DV91" s="491"/>
      <c r="DW91" s="491"/>
      <c r="DX91" s="491"/>
      <c r="DY91" s="491"/>
      <c r="DZ91" s="491"/>
      <c r="EA91" s="491"/>
      <c r="EB91" s="491"/>
      <c r="EC91" s="491"/>
      <c r="ED91" s="491"/>
      <c r="EE91" s="491"/>
      <c r="EF91" s="491"/>
      <c r="EG91" s="491"/>
      <c r="EH91" s="491"/>
      <c r="EI91" s="491"/>
      <c r="EJ91" s="491"/>
      <c r="EK91" s="491"/>
      <c r="EL91" s="491"/>
      <c r="EM91" s="491"/>
      <c r="EN91" s="491"/>
      <c r="EO91" s="491"/>
      <c r="EP91" s="491"/>
      <c r="EQ91" s="491"/>
      <c r="ER91" s="491"/>
      <c r="ES91" s="491"/>
      <c r="ET91" s="491"/>
      <c r="EU91" s="491"/>
      <c r="EV91" s="491"/>
      <c r="EW91" s="491"/>
      <c r="EX91" s="491"/>
      <c r="EY91" s="491"/>
      <c r="EZ91" s="491"/>
      <c r="FA91" s="491"/>
      <c r="FB91" s="491"/>
      <c r="FC91" s="491"/>
      <c r="FD91" s="491"/>
      <c r="FE91" s="491"/>
      <c r="FF91" s="491"/>
      <c r="FG91" s="491"/>
      <c r="FH91" s="491"/>
      <c r="FI91" s="491"/>
      <c r="FJ91" s="491"/>
      <c r="FK91" s="491"/>
      <c r="FL91" s="491"/>
      <c r="FM91" s="491"/>
      <c r="FN91" s="491"/>
      <c r="FO91" s="491"/>
      <c r="FP91" s="491"/>
      <c r="FQ91" s="491"/>
      <c r="FR91" s="491"/>
      <c r="FS91" s="491"/>
      <c r="FT91" s="491"/>
      <c r="FU91" s="491"/>
      <c r="FV91" s="491"/>
      <c r="FW91" s="491"/>
      <c r="FX91" s="491"/>
      <c r="FY91" s="491"/>
      <c r="FZ91" s="491"/>
      <c r="GA91" s="491"/>
      <c r="GB91" s="491"/>
      <c r="GC91" s="491"/>
      <c r="GD91" s="491"/>
      <c r="GE91" s="491"/>
      <c r="GF91" s="491"/>
      <c r="GG91" s="491"/>
      <c r="GH91" s="491"/>
      <c r="GI91" s="491"/>
      <c r="GJ91" s="491"/>
      <c r="GK91" s="491"/>
      <c r="GL91" s="491"/>
      <c r="GM91" s="491"/>
      <c r="GN91" s="491"/>
      <c r="GO91" s="526"/>
      <c r="GP91" s="491"/>
      <c r="GQ91" s="491"/>
      <c r="GR91" s="491"/>
      <c r="GS91" s="491"/>
      <c r="GT91" s="491"/>
      <c r="GU91" s="491"/>
      <c r="GV91" s="491"/>
      <c r="GW91" s="491"/>
      <c r="GX91" s="491"/>
      <c r="GY91" s="491"/>
      <c r="GZ91" s="491"/>
      <c r="HA91" s="491"/>
      <c r="HB91" s="491"/>
      <c r="HC91" s="491"/>
      <c r="HD91" s="491"/>
      <c r="HE91" s="491"/>
      <c r="HF91" s="491"/>
      <c r="HG91" s="491"/>
      <c r="HH91" s="491"/>
      <c r="HI91" s="491"/>
      <c r="HJ91" s="491"/>
      <c r="HK91" s="491"/>
      <c r="HL91" s="491"/>
      <c r="HM91" s="491"/>
      <c r="HN91" s="491"/>
      <c r="HO91" s="491"/>
      <c r="HP91" s="491"/>
      <c r="HQ91" s="491"/>
      <c r="HR91" s="491"/>
      <c r="HS91" s="491"/>
      <c r="HT91" s="491"/>
      <c r="HU91" s="491"/>
      <c r="HV91" s="491"/>
      <c r="HW91" s="491"/>
      <c r="HX91" s="491"/>
      <c r="HY91" s="491"/>
      <c r="HZ91" s="491"/>
      <c r="IA91" s="491"/>
      <c r="IB91" s="491"/>
      <c r="IC91" s="491"/>
      <c r="ID91" s="491"/>
      <c r="IE91" s="491"/>
      <c r="IF91" s="491"/>
      <c r="IG91" s="491"/>
      <c r="IH91" s="491"/>
      <c r="II91" s="491"/>
      <c r="IJ91" s="491"/>
      <c r="IK91" s="491"/>
      <c r="IL91" s="491"/>
      <c r="IM91" s="491"/>
      <c r="IN91" s="491"/>
      <c r="IO91" s="491"/>
      <c r="IP91" s="491"/>
      <c r="IQ91" s="491"/>
      <c r="IR91" s="491"/>
      <c r="IS91" s="491"/>
      <c r="IT91" s="491"/>
      <c r="IU91" s="491"/>
      <c r="IV91" s="491"/>
      <c r="IW91" s="491"/>
      <c r="IX91" s="491"/>
      <c r="IY91" s="491"/>
      <c r="IZ91" s="491"/>
      <c r="JA91" s="491"/>
      <c r="JB91" s="491"/>
      <c r="JC91" s="491"/>
      <c r="JD91" s="491"/>
      <c r="JE91" s="491"/>
      <c r="JF91" s="491"/>
      <c r="JG91" s="491"/>
      <c r="JH91" s="491"/>
      <c r="JI91" s="491"/>
      <c r="JJ91" s="491"/>
      <c r="JK91" s="491"/>
      <c r="JL91" s="491"/>
      <c r="JM91" s="491"/>
      <c r="JN91" s="491"/>
      <c r="JO91" s="491"/>
      <c r="JP91" s="491"/>
      <c r="JQ91" s="491"/>
      <c r="JR91" s="491"/>
      <c r="JS91" s="491"/>
      <c r="JT91" s="491"/>
      <c r="JU91" s="491"/>
      <c r="JV91" s="491"/>
      <c r="JW91" s="491"/>
      <c r="JX91" s="491"/>
      <c r="JY91" s="491"/>
      <c r="JZ91" s="491"/>
      <c r="KA91" s="491"/>
      <c r="KB91" s="526"/>
      <c r="KC91" s="491"/>
      <c r="KD91" s="491"/>
      <c r="KE91" s="491"/>
      <c r="KF91" s="491"/>
      <c r="KG91" s="491"/>
      <c r="KH91" s="491"/>
      <c r="KI91" s="491"/>
      <c r="KJ91" s="491"/>
      <c r="KK91" s="491"/>
      <c r="KL91" s="491"/>
      <c r="KM91" s="491"/>
      <c r="KN91" s="491"/>
      <c r="KO91" s="491"/>
      <c r="KP91" s="491"/>
      <c r="KQ91" s="491"/>
      <c r="KR91" s="491"/>
      <c r="KS91" s="491"/>
      <c r="KT91" s="491"/>
      <c r="KU91" s="564"/>
      <c r="KV91" s="491"/>
      <c r="KW91" s="491"/>
      <c r="KX91" s="491"/>
      <c r="KY91" s="491"/>
      <c r="KZ91" s="491"/>
      <c r="LA91" s="491"/>
      <c r="LB91" s="491"/>
      <c r="LC91" s="491"/>
      <c r="LD91" s="491"/>
      <c r="LE91" s="491"/>
      <c r="LF91" s="491"/>
      <c r="LG91" s="491"/>
      <c r="LH91" s="491"/>
      <c r="LI91" s="491"/>
      <c r="LJ91" s="491"/>
      <c r="LK91" s="491"/>
      <c r="LL91" s="491"/>
      <c r="LM91" s="491"/>
      <c r="LN91" s="491"/>
      <c r="LO91" s="491"/>
      <c r="LP91" s="491"/>
      <c r="LQ91" s="491"/>
      <c r="LR91" s="491"/>
      <c r="LS91" s="491"/>
      <c r="LT91" s="491"/>
      <c r="LU91" s="491"/>
      <c r="LV91" s="491"/>
      <c r="LW91" s="491"/>
      <c r="LX91" s="491"/>
      <c r="LY91" s="491"/>
      <c r="LZ91" s="491"/>
      <c r="MA91" s="491"/>
      <c r="MB91" s="491"/>
      <c r="MC91" s="491"/>
      <c r="MD91" s="491"/>
      <c r="ME91" s="491"/>
      <c r="MF91" s="491"/>
      <c r="MG91" s="491"/>
      <c r="MH91" s="491"/>
      <c r="MI91" s="491"/>
      <c r="MJ91" s="491"/>
      <c r="MK91" s="491"/>
      <c r="ML91" s="491"/>
      <c r="MM91" s="491"/>
      <c r="MN91" s="491"/>
      <c r="MO91" s="491"/>
      <c r="MP91" s="491"/>
      <c r="MQ91" s="491"/>
      <c r="MR91" s="491"/>
      <c r="MS91" s="491"/>
      <c r="MT91" s="491"/>
      <c r="MU91" s="491"/>
      <c r="MV91" s="491"/>
      <c r="MW91" s="491"/>
      <c r="MX91" s="491"/>
      <c r="MY91" s="491"/>
      <c r="MZ91" s="491"/>
      <c r="NA91" s="491"/>
      <c r="NB91" s="491"/>
      <c r="NC91" s="491"/>
      <c r="ND91" s="491"/>
      <c r="NE91" s="491"/>
      <c r="NF91" s="491"/>
      <c r="NG91" s="491"/>
      <c r="NH91" s="491"/>
      <c r="NI91" s="491"/>
      <c r="NJ91" s="491"/>
      <c r="NK91" s="491"/>
      <c r="NL91" s="491"/>
      <c r="NM91" s="491"/>
      <c r="NN91" s="491"/>
      <c r="NO91" s="491"/>
      <c r="NP91" s="491"/>
      <c r="NQ91" s="491"/>
      <c r="NR91" s="491"/>
      <c r="NS91" s="491"/>
      <c r="NT91" s="491"/>
      <c r="NU91" s="491"/>
      <c r="NV91" s="491"/>
      <c r="NW91" s="491"/>
      <c r="NX91" s="491"/>
      <c r="PW91" s="482"/>
    </row>
    <row r="92" spans="12:439" ht="12.75" customHeight="1" x14ac:dyDescent="0.35">
      <c r="L92" s="655"/>
      <c r="AR92" s="541"/>
      <c r="AU92" s="491"/>
      <c r="AV92" s="491"/>
      <c r="AW92" s="491"/>
      <c r="AX92" s="491"/>
      <c r="AY92" s="491"/>
      <c r="AZ92" s="491"/>
      <c r="BA92" s="491"/>
      <c r="BB92" s="491"/>
      <c r="BC92" s="491"/>
      <c r="BD92" s="491"/>
      <c r="BE92" s="491"/>
      <c r="BF92" s="491"/>
      <c r="BG92" s="491"/>
      <c r="BH92" s="491"/>
      <c r="BI92" s="491"/>
      <c r="BJ92" s="491"/>
      <c r="BK92" s="491"/>
      <c r="BL92" s="491"/>
      <c r="BM92" s="491"/>
      <c r="BN92" s="491"/>
      <c r="BO92" s="491"/>
      <c r="BP92" s="578"/>
      <c r="BQ92" s="1447" t="s">
        <v>4067</v>
      </c>
      <c r="BR92" s="1448"/>
      <c r="BS92" s="1448"/>
      <c r="BT92" s="1448"/>
      <c r="BU92" s="1448"/>
      <c r="BV92" s="1448"/>
      <c r="BW92" s="1448"/>
      <c r="BX92" s="1448"/>
      <c r="BY92" s="1448"/>
      <c r="BZ92" s="1449"/>
      <c r="CA92" s="660"/>
      <c r="CB92" s="608"/>
      <c r="CC92" s="1447" t="s">
        <v>2195</v>
      </c>
      <c r="CD92" s="1448"/>
      <c r="CE92" s="1448"/>
      <c r="CF92" s="1448"/>
      <c r="CG92" s="1448"/>
      <c r="CH92" s="1448"/>
      <c r="CI92" s="1448"/>
      <c r="CJ92" s="1448"/>
      <c r="CK92" s="1448"/>
      <c r="CL92" s="1449"/>
      <c r="CM92" s="661"/>
      <c r="CN92" s="491"/>
      <c r="CO92" s="491"/>
      <c r="CP92" s="491"/>
      <c r="CQ92" s="501"/>
      <c r="CR92" s="491"/>
      <c r="CS92" s="491"/>
      <c r="CT92" s="491"/>
      <c r="CU92" s="491"/>
      <c r="CV92" s="491"/>
      <c r="CW92" s="491"/>
      <c r="CX92" s="491"/>
      <c r="CY92" s="491"/>
      <c r="CZ92" s="491"/>
      <c r="DA92" s="491"/>
      <c r="DB92" s="491"/>
      <c r="DC92" s="491"/>
      <c r="DD92" s="491"/>
      <c r="DE92" s="491"/>
      <c r="DF92" s="491"/>
      <c r="DG92" s="491"/>
      <c r="DH92" s="491"/>
      <c r="DI92" s="491"/>
      <c r="DJ92" s="491"/>
      <c r="DK92" s="491"/>
      <c r="DL92" s="491"/>
      <c r="DM92" s="491"/>
      <c r="DN92" s="491"/>
      <c r="DO92" s="491"/>
      <c r="DP92" s="491"/>
      <c r="DQ92" s="491"/>
      <c r="DR92" s="491"/>
      <c r="DS92" s="491"/>
      <c r="DT92" s="491"/>
      <c r="DU92" s="491"/>
      <c r="DV92" s="491"/>
      <c r="DW92" s="491"/>
      <c r="DX92" s="491"/>
      <c r="DY92" s="491"/>
      <c r="DZ92" s="491"/>
      <c r="EA92" s="491"/>
      <c r="EB92" s="491"/>
      <c r="EC92" s="491"/>
      <c r="ED92" s="491"/>
      <c r="EE92" s="491"/>
      <c r="EF92" s="491"/>
      <c r="EG92" s="491"/>
      <c r="EH92" s="491"/>
      <c r="EI92" s="491"/>
      <c r="EJ92" s="491"/>
      <c r="EK92" s="491"/>
      <c r="EL92" s="491"/>
      <c r="EM92" s="491"/>
      <c r="EN92" s="491"/>
      <c r="EO92" s="491"/>
      <c r="EP92" s="491"/>
      <c r="EQ92" s="491"/>
      <c r="ER92" s="491"/>
      <c r="ES92" s="491"/>
      <c r="ET92" s="491"/>
      <c r="EU92" s="491"/>
      <c r="EV92" s="491"/>
      <c r="EW92" s="491"/>
      <c r="EX92" s="491"/>
      <c r="EY92" s="491"/>
      <c r="EZ92" s="491"/>
      <c r="FA92" s="491"/>
      <c r="FB92" s="491"/>
      <c r="FC92" s="491"/>
      <c r="FD92" s="491"/>
      <c r="FE92" s="491"/>
      <c r="FF92" s="491"/>
      <c r="FG92" s="491"/>
      <c r="FH92" s="491"/>
      <c r="FI92" s="491"/>
      <c r="FJ92" s="491"/>
      <c r="FK92" s="491"/>
      <c r="FL92" s="491"/>
      <c r="FM92" s="491"/>
      <c r="FN92" s="491"/>
      <c r="FO92" s="491"/>
      <c r="FP92" s="491"/>
      <c r="FQ92" s="491"/>
      <c r="FR92" s="491"/>
      <c r="FS92" s="491"/>
      <c r="FT92" s="491"/>
      <c r="FU92" s="491"/>
      <c r="FV92" s="491"/>
      <c r="FW92" s="491"/>
      <c r="FX92" s="491"/>
      <c r="FY92" s="491"/>
      <c r="FZ92" s="491"/>
      <c r="GA92" s="491"/>
      <c r="GB92" s="491"/>
      <c r="GC92" s="491"/>
      <c r="GD92" s="491"/>
      <c r="GE92" s="491"/>
      <c r="GF92" s="491"/>
      <c r="GG92" s="491"/>
      <c r="GH92" s="491"/>
      <c r="GI92" s="491"/>
      <c r="GJ92" s="491"/>
      <c r="GK92" s="491"/>
      <c r="GL92" s="491"/>
      <c r="GM92" s="491"/>
      <c r="GN92" s="491"/>
      <c r="GO92" s="526"/>
      <c r="GP92" s="491"/>
      <c r="GQ92" s="491"/>
      <c r="GR92" s="491"/>
      <c r="GS92" s="491"/>
      <c r="GT92" s="491"/>
      <c r="GU92" s="491"/>
      <c r="GV92" s="491"/>
      <c r="GW92" s="491"/>
      <c r="GX92" s="491"/>
      <c r="GY92" s="491"/>
      <c r="GZ92" s="491"/>
      <c r="HA92" s="491"/>
      <c r="HB92" s="491"/>
      <c r="HC92" s="491"/>
      <c r="HD92" s="491"/>
      <c r="HE92" s="491"/>
      <c r="HF92" s="491"/>
      <c r="HG92" s="491"/>
      <c r="HH92" s="491"/>
      <c r="HI92" s="491"/>
      <c r="HJ92" s="491"/>
      <c r="HK92" s="491"/>
      <c r="HL92" s="491"/>
      <c r="HM92" s="491"/>
      <c r="HN92" s="491"/>
      <c r="HO92" s="491"/>
      <c r="HP92" s="491"/>
      <c r="HQ92" s="491"/>
      <c r="HR92" s="491"/>
      <c r="HS92" s="491"/>
      <c r="HT92" s="491"/>
      <c r="HU92" s="491"/>
      <c r="HV92" s="491"/>
      <c r="HW92" s="491"/>
      <c r="HX92" s="491"/>
      <c r="HY92" s="491"/>
      <c r="HZ92" s="491"/>
      <c r="IA92" s="491"/>
      <c r="IB92" s="491"/>
      <c r="IC92" s="491"/>
      <c r="ID92" s="491"/>
      <c r="IE92" s="491"/>
      <c r="IF92" s="491"/>
      <c r="IG92" s="491"/>
      <c r="IH92" s="491"/>
      <c r="II92" s="491"/>
      <c r="IJ92" s="491"/>
      <c r="IK92" s="491"/>
      <c r="IL92" s="491"/>
      <c r="IM92" s="491"/>
      <c r="IN92" s="491"/>
      <c r="IO92" s="491"/>
      <c r="IP92" s="491"/>
      <c r="IQ92" s="491"/>
      <c r="IR92" s="491"/>
      <c r="IS92" s="491"/>
      <c r="IT92" s="491"/>
      <c r="IU92" s="491"/>
      <c r="IV92" s="491"/>
      <c r="IW92" s="491"/>
      <c r="IX92" s="491"/>
      <c r="IY92" s="491"/>
      <c r="IZ92" s="491"/>
      <c r="JA92" s="491"/>
      <c r="JB92" s="491"/>
      <c r="JC92" s="491"/>
      <c r="JD92" s="491"/>
      <c r="JE92" s="491"/>
      <c r="JF92" s="491"/>
      <c r="JG92" s="491"/>
      <c r="JH92" s="491"/>
      <c r="JI92" s="491"/>
      <c r="JJ92" s="491"/>
      <c r="JK92" s="491"/>
      <c r="JL92" s="491"/>
      <c r="JM92" s="491"/>
      <c r="JN92" s="491"/>
      <c r="JO92" s="491"/>
      <c r="JP92" s="491"/>
      <c r="JQ92" s="491"/>
      <c r="JR92" s="491"/>
      <c r="JS92" s="491"/>
      <c r="JT92" s="491"/>
      <c r="JU92" s="491"/>
      <c r="JV92" s="491"/>
      <c r="JW92" s="491"/>
      <c r="JX92" s="491"/>
      <c r="JY92" s="491"/>
      <c r="JZ92" s="491"/>
      <c r="KA92" s="491"/>
      <c r="KB92" s="526"/>
      <c r="KC92" s="491"/>
      <c r="KD92" s="491"/>
      <c r="KE92" s="491"/>
      <c r="KF92" s="491"/>
      <c r="KG92" s="491"/>
      <c r="KH92" s="491"/>
      <c r="KI92" s="491"/>
      <c r="KJ92" s="491"/>
      <c r="KK92" s="491"/>
      <c r="KL92" s="491"/>
      <c r="KM92" s="491"/>
      <c r="KN92" s="491"/>
      <c r="KO92" s="491"/>
      <c r="KP92" s="491"/>
      <c r="KQ92" s="491"/>
      <c r="KR92" s="491"/>
      <c r="KS92" s="491"/>
      <c r="KT92" s="491"/>
      <c r="KU92" s="564"/>
      <c r="KV92" s="491"/>
      <c r="KW92" s="491"/>
      <c r="KX92" s="491"/>
      <c r="KY92" s="491"/>
      <c r="KZ92" s="491"/>
      <c r="LA92" s="491"/>
      <c r="LB92" s="491"/>
      <c r="LC92" s="491"/>
      <c r="LD92" s="491"/>
      <c r="LE92" s="491"/>
      <c r="LF92" s="491"/>
      <c r="LG92" s="491"/>
      <c r="LH92" s="491"/>
      <c r="LI92" s="491"/>
      <c r="LJ92" s="491"/>
      <c r="LK92" s="491"/>
      <c r="LL92" s="491"/>
      <c r="LM92" s="491"/>
      <c r="LN92" s="491"/>
      <c r="LO92" s="491"/>
      <c r="LP92" s="491"/>
      <c r="LQ92" s="491"/>
      <c r="LR92" s="491"/>
      <c r="LS92" s="491"/>
      <c r="LT92" s="491"/>
      <c r="LU92" s="491"/>
      <c r="LV92" s="491"/>
      <c r="LW92" s="491"/>
      <c r="LX92" s="491"/>
      <c r="LY92" s="491"/>
      <c r="LZ92" s="491"/>
      <c r="MA92" s="491"/>
      <c r="MB92" s="491"/>
      <c r="MC92" s="491"/>
      <c r="MD92" s="491"/>
      <c r="ME92" s="491"/>
      <c r="MF92" s="491"/>
      <c r="MG92" s="491"/>
      <c r="MH92" s="491"/>
      <c r="MI92" s="491"/>
      <c r="MJ92" s="491"/>
      <c r="MK92" s="491"/>
      <c r="ML92" s="491"/>
      <c r="MM92" s="491"/>
      <c r="MN92" s="491"/>
      <c r="MO92" s="491"/>
      <c r="MP92" s="491"/>
      <c r="MQ92" s="491"/>
      <c r="MR92" s="491"/>
      <c r="MS92" s="491"/>
      <c r="MT92" s="491"/>
      <c r="MU92" s="491"/>
      <c r="MV92" s="491"/>
      <c r="MW92" s="491"/>
      <c r="MX92" s="491"/>
      <c r="MY92" s="491"/>
      <c r="MZ92" s="491"/>
      <c r="NA92" s="491"/>
      <c r="NB92" s="491"/>
      <c r="NC92" s="491"/>
      <c r="ND92" s="491"/>
      <c r="NE92" s="491"/>
      <c r="NF92" s="491"/>
      <c r="NG92" s="491"/>
      <c r="NH92" s="491"/>
      <c r="NI92" s="491"/>
      <c r="NJ92" s="491"/>
      <c r="NK92" s="491"/>
      <c r="NL92" s="491"/>
      <c r="NM92" s="491"/>
      <c r="NN92" s="491"/>
      <c r="NO92" s="491"/>
      <c r="NP92" s="491"/>
      <c r="NQ92" s="491"/>
      <c r="NR92" s="491"/>
      <c r="NS92" s="491"/>
      <c r="NT92" s="491"/>
      <c r="NU92" s="491"/>
      <c r="NV92" s="491"/>
      <c r="NW92" s="491"/>
      <c r="NX92" s="491"/>
      <c r="PW92" s="482"/>
    </row>
    <row r="93" spans="12:439" ht="12.75" customHeight="1" x14ac:dyDescent="0.35">
      <c r="L93" s="655"/>
      <c r="AR93" s="541"/>
      <c r="AU93" s="491"/>
      <c r="AV93" s="491"/>
      <c r="AW93" s="491"/>
      <c r="AX93" s="491"/>
      <c r="AY93" s="491"/>
      <c r="AZ93" s="491"/>
      <c r="BA93" s="491"/>
      <c r="BB93" s="491"/>
      <c r="BC93" s="491"/>
      <c r="BD93" s="491"/>
      <c r="BE93" s="491"/>
      <c r="BF93" s="491"/>
      <c r="BG93" s="491"/>
      <c r="BH93" s="491"/>
      <c r="BI93" s="491"/>
      <c r="BJ93" s="491"/>
      <c r="BK93" s="491"/>
      <c r="BL93" s="491"/>
      <c r="BM93" s="491"/>
      <c r="BN93" s="491"/>
      <c r="BO93" s="491"/>
      <c r="BP93" s="627"/>
      <c r="BQ93" s="628"/>
      <c r="BR93" s="628"/>
      <c r="BS93" s="628"/>
      <c r="BT93" s="628"/>
      <c r="BU93" s="628"/>
      <c r="BV93" s="628"/>
      <c r="BW93" s="628"/>
      <c r="BX93" s="628"/>
      <c r="BY93" s="628"/>
      <c r="BZ93" s="628"/>
      <c r="CA93" s="628"/>
      <c r="CB93" s="628"/>
      <c r="CC93" s="628"/>
      <c r="CD93" s="628"/>
      <c r="CE93" s="628"/>
      <c r="CF93" s="628"/>
      <c r="CG93" s="628"/>
      <c r="CH93" s="628"/>
      <c r="CI93" s="628"/>
      <c r="CJ93" s="628"/>
      <c r="CK93" s="628"/>
      <c r="CL93" s="628"/>
      <c r="CM93" s="629"/>
      <c r="CN93" s="491"/>
      <c r="CO93" s="491"/>
      <c r="CP93" s="491"/>
      <c r="CQ93" s="491"/>
      <c r="CR93" s="491"/>
      <c r="CS93" s="491"/>
      <c r="CT93" s="491"/>
      <c r="CU93" s="491"/>
      <c r="CV93" s="491"/>
      <c r="CW93" s="491"/>
      <c r="CX93" s="491"/>
      <c r="CY93" s="491"/>
      <c r="CZ93" s="491"/>
      <c r="DA93" s="491"/>
      <c r="DB93" s="491"/>
      <c r="DC93" s="491"/>
      <c r="DD93" s="491"/>
      <c r="DE93" s="491"/>
      <c r="DF93" s="491"/>
      <c r="DG93" s="491"/>
      <c r="DH93" s="491"/>
      <c r="DI93" s="491"/>
      <c r="DJ93" s="491"/>
      <c r="DK93" s="491"/>
      <c r="DL93" s="491"/>
      <c r="DM93" s="491"/>
      <c r="DN93" s="491"/>
      <c r="DO93" s="491"/>
      <c r="DP93" s="491"/>
      <c r="DQ93" s="491"/>
      <c r="DR93" s="491"/>
      <c r="DS93" s="491"/>
      <c r="DT93" s="491"/>
      <c r="DU93" s="491"/>
      <c r="DV93" s="491"/>
      <c r="DW93" s="491"/>
      <c r="DX93" s="491"/>
      <c r="DY93" s="491"/>
      <c r="DZ93" s="491"/>
      <c r="EA93" s="491"/>
      <c r="EB93" s="491"/>
      <c r="EC93" s="491"/>
      <c r="ED93" s="491"/>
      <c r="EE93" s="491"/>
      <c r="EF93" s="491"/>
      <c r="EG93" s="491"/>
      <c r="EH93" s="491"/>
      <c r="EI93" s="491"/>
      <c r="EJ93" s="491"/>
      <c r="EK93" s="491"/>
      <c r="EL93" s="491"/>
      <c r="EM93" s="491"/>
      <c r="EN93" s="491"/>
      <c r="EO93" s="491"/>
      <c r="EP93" s="491"/>
      <c r="EQ93" s="491"/>
      <c r="ER93" s="491"/>
      <c r="ES93" s="491"/>
      <c r="ET93" s="491"/>
      <c r="EU93" s="491"/>
      <c r="EV93" s="491"/>
      <c r="EW93" s="491"/>
      <c r="EX93" s="491"/>
      <c r="EY93" s="491"/>
      <c r="EZ93" s="491"/>
      <c r="FA93" s="491"/>
      <c r="FB93" s="491"/>
      <c r="FC93" s="491"/>
      <c r="FD93" s="491"/>
      <c r="FE93" s="491"/>
      <c r="FF93" s="491"/>
      <c r="FG93" s="491"/>
      <c r="FH93" s="491"/>
      <c r="FI93" s="491"/>
      <c r="FJ93" s="491"/>
      <c r="FK93" s="491"/>
      <c r="FL93" s="491"/>
      <c r="FM93" s="491"/>
      <c r="FN93" s="491"/>
      <c r="FO93" s="491"/>
      <c r="FP93" s="491"/>
      <c r="FQ93" s="491"/>
      <c r="FR93" s="491"/>
      <c r="FS93" s="491"/>
      <c r="FT93" s="491"/>
      <c r="FU93" s="491"/>
      <c r="FV93" s="491"/>
      <c r="FW93" s="491"/>
      <c r="FX93" s="491"/>
      <c r="FY93" s="491"/>
      <c r="FZ93" s="491"/>
      <c r="GA93" s="491"/>
      <c r="GB93" s="491"/>
      <c r="GC93" s="491"/>
      <c r="GD93" s="491"/>
      <c r="GE93" s="491"/>
      <c r="GF93" s="491"/>
      <c r="GG93" s="491"/>
      <c r="GH93" s="491"/>
      <c r="GI93" s="491"/>
      <c r="GJ93" s="491"/>
      <c r="GK93" s="491"/>
      <c r="GL93" s="491"/>
      <c r="GM93" s="491"/>
      <c r="GN93" s="491"/>
      <c r="GO93" s="526"/>
      <c r="GP93" s="491"/>
      <c r="GQ93" s="491"/>
      <c r="GR93" s="491"/>
      <c r="GS93" s="491"/>
      <c r="GT93" s="491"/>
      <c r="GU93" s="491"/>
      <c r="GV93" s="491"/>
      <c r="GW93" s="491"/>
      <c r="GX93" s="491"/>
      <c r="GY93" s="491"/>
      <c r="GZ93" s="491"/>
      <c r="HA93" s="491"/>
      <c r="HB93" s="491"/>
      <c r="HC93" s="491"/>
      <c r="HD93" s="491"/>
      <c r="HE93" s="491"/>
      <c r="HF93" s="491"/>
      <c r="HG93" s="491"/>
      <c r="HH93" s="491"/>
      <c r="HI93" s="491"/>
      <c r="HJ93" s="491"/>
      <c r="HK93" s="491"/>
      <c r="HL93" s="491"/>
      <c r="HM93" s="491"/>
      <c r="HN93" s="491"/>
      <c r="HO93" s="491"/>
      <c r="HP93" s="491"/>
      <c r="HQ93" s="491"/>
      <c r="HR93" s="491"/>
      <c r="HS93" s="491"/>
      <c r="HT93" s="491"/>
      <c r="HU93" s="491"/>
      <c r="HV93" s="491"/>
      <c r="HW93" s="491"/>
      <c r="HX93" s="491"/>
      <c r="HY93" s="491"/>
      <c r="HZ93" s="491"/>
      <c r="IA93" s="491"/>
      <c r="IB93" s="491"/>
      <c r="IC93" s="491"/>
      <c r="ID93" s="491"/>
      <c r="IE93" s="491"/>
      <c r="IF93" s="491"/>
      <c r="IG93" s="491"/>
      <c r="IH93" s="491"/>
      <c r="II93" s="491"/>
      <c r="IJ93" s="491"/>
      <c r="IK93" s="491"/>
      <c r="IL93" s="491"/>
      <c r="IM93" s="491"/>
      <c r="IN93" s="491"/>
      <c r="IO93" s="491"/>
      <c r="IP93" s="491"/>
      <c r="IQ93" s="491"/>
      <c r="IR93" s="491"/>
      <c r="IS93" s="491"/>
      <c r="IT93" s="491"/>
      <c r="IU93" s="491"/>
      <c r="IV93" s="491"/>
      <c r="IW93" s="491"/>
      <c r="IX93" s="491"/>
      <c r="IY93" s="491"/>
      <c r="IZ93" s="491"/>
      <c r="JA93" s="491"/>
      <c r="JB93" s="491"/>
      <c r="JC93" s="491"/>
      <c r="JD93" s="491"/>
      <c r="JE93" s="491"/>
      <c r="JF93" s="491"/>
      <c r="JG93" s="491"/>
      <c r="JH93" s="491"/>
      <c r="JI93" s="491"/>
      <c r="JJ93" s="491"/>
      <c r="JK93" s="491"/>
      <c r="JL93" s="491"/>
      <c r="JM93" s="491"/>
      <c r="JN93" s="491"/>
      <c r="JO93" s="491"/>
      <c r="JP93" s="491"/>
      <c r="JQ93" s="491"/>
      <c r="JR93" s="491"/>
      <c r="JS93" s="491"/>
      <c r="JT93" s="491"/>
      <c r="JU93" s="491"/>
      <c r="JV93" s="491"/>
      <c r="JW93" s="491"/>
      <c r="JX93" s="491"/>
      <c r="JY93" s="491"/>
      <c r="JZ93" s="491"/>
      <c r="KA93" s="491"/>
      <c r="KB93" s="526"/>
      <c r="KC93" s="491"/>
      <c r="KD93" s="491"/>
      <c r="KE93" s="491"/>
      <c r="KF93" s="491"/>
      <c r="KG93" s="491"/>
      <c r="KH93" s="491"/>
      <c r="KI93" s="491"/>
      <c r="KJ93" s="491"/>
      <c r="KK93" s="491"/>
      <c r="KL93" s="491"/>
      <c r="KM93" s="491"/>
      <c r="KN93" s="491"/>
      <c r="KO93" s="491"/>
      <c r="KP93" s="491"/>
      <c r="KQ93" s="491"/>
      <c r="KR93" s="491"/>
      <c r="KS93" s="491"/>
      <c r="KT93" s="491"/>
      <c r="KU93" s="564"/>
      <c r="KV93" s="491"/>
      <c r="KW93" s="491"/>
      <c r="KX93" s="491"/>
      <c r="KY93" s="491"/>
      <c r="KZ93" s="491"/>
      <c r="LA93" s="491"/>
      <c r="LB93" s="491"/>
      <c r="LC93" s="491"/>
      <c r="LD93" s="491"/>
      <c r="LE93" s="491"/>
      <c r="LF93" s="491"/>
      <c r="LG93" s="491"/>
      <c r="LH93" s="491"/>
      <c r="LI93" s="491"/>
      <c r="LJ93" s="491"/>
      <c r="LK93" s="491"/>
      <c r="LL93" s="491"/>
      <c r="LM93" s="491"/>
      <c r="LN93" s="491"/>
      <c r="LO93" s="491"/>
      <c r="LP93" s="491"/>
      <c r="LQ93" s="491"/>
      <c r="LR93" s="491"/>
      <c r="LS93" s="491"/>
      <c r="LT93" s="491"/>
      <c r="LU93" s="491"/>
      <c r="LV93" s="491"/>
      <c r="LW93" s="491"/>
      <c r="LX93" s="491"/>
      <c r="LY93" s="491"/>
      <c r="LZ93" s="491"/>
      <c r="MA93" s="491"/>
      <c r="MB93" s="491"/>
      <c r="MC93" s="491"/>
      <c r="MD93" s="491"/>
      <c r="ME93" s="491"/>
      <c r="MF93" s="491"/>
      <c r="MG93" s="491"/>
      <c r="MH93" s="491"/>
      <c r="MI93" s="491"/>
      <c r="MJ93" s="491"/>
      <c r="MK93" s="491"/>
      <c r="ML93" s="491"/>
      <c r="MM93" s="491"/>
      <c r="MN93" s="491"/>
      <c r="MO93" s="491"/>
      <c r="MP93" s="491"/>
      <c r="MQ93" s="491"/>
      <c r="MR93" s="491"/>
      <c r="MS93" s="491"/>
      <c r="MT93" s="491"/>
      <c r="MU93" s="491"/>
      <c r="MV93" s="491"/>
      <c r="MW93" s="491"/>
      <c r="MX93" s="491"/>
      <c r="MY93" s="491"/>
      <c r="MZ93" s="491"/>
      <c r="NA93" s="491"/>
      <c r="NB93" s="491"/>
      <c r="NC93" s="491"/>
      <c r="ND93" s="491"/>
      <c r="NE93" s="491"/>
      <c r="NF93" s="491"/>
      <c r="NG93" s="491"/>
      <c r="NH93" s="491"/>
      <c r="NI93" s="491"/>
      <c r="NJ93" s="491"/>
      <c r="NK93" s="491"/>
      <c r="NL93" s="491"/>
      <c r="NM93" s="491"/>
      <c r="NN93" s="491"/>
      <c r="NO93" s="491"/>
      <c r="NP93" s="491"/>
      <c r="NQ93" s="491"/>
      <c r="NR93" s="491"/>
      <c r="NS93" s="491"/>
      <c r="NT93" s="491"/>
      <c r="NU93" s="491"/>
      <c r="NV93" s="491"/>
      <c r="NW93" s="491"/>
      <c r="NX93" s="491"/>
      <c r="PW93" s="482"/>
    </row>
    <row r="94" spans="12:439" ht="12.75" customHeight="1" x14ac:dyDescent="0.35">
      <c r="L94" s="655"/>
      <c r="AR94" s="541"/>
      <c r="AU94" s="491"/>
      <c r="AV94" s="491"/>
      <c r="AW94" s="491"/>
      <c r="AX94" s="491"/>
      <c r="AY94" s="491"/>
      <c r="AZ94" s="491"/>
      <c r="BA94" s="491"/>
      <c r="BB94" s="491"/>
      <c r="BC94" s="491"/>
      <c r="BD94" s="491"/>
      <c r="BE94" s="491"/>
      <c r="BF94" s="491"/>
      <c r="BG94" s="491"/>
      <c r="BH94" s="491"/>
      <c r="BI94" s="491"/>
      <c r="BJ94" s="491"/>
      <c r="BK94" s="491"/>
      <c r="BL94" s="491"/>
      <c r="BM94" s="491"/>
      <c r="BN94" s="491"/>
      <c r="BO94" s="491"/>
      <c r="BP94" s="491"/>
      <c r="BQ94" s="491"/>
      <c r="BR94" s="491"/>
      <c r="BS94" s="491"/>
      <c r="BT94" s="491"/>
      <c r="BU94" s="662"/>
      <c r="BV94" s="500"/>
      <c r="BW94" s="500"/>
      <c r="BX94" s="500"/>
      <c r="BY94" s="500"/>
      <c r="BZ94" s="500"/>
      <c r="CA94" s="500"/>
      <c r="CB94" s="500"/>
      <c r="CC94" s="500"/>
      <c r="CD94" s="662"/>
      <c r="CE94" s="491"/>
      <c r="CF94" s="491"/>
      <c r="CG94" s="491"/>
      <c r="CH94" s="491"/>
      <c r="CI94" s="491"/>
      <c r="CJ94" s="491"/>
      <c r="CK94" s="491"/>
      <c r="CL94" s="491"/>
      <c r="CM94" s="491"/>
      <c r="CN94" s="491"/>
      <c r="CO94" s="491"/>
      <c r="CP94" s="491"/>
      <c r="CQ94" s="491"/>
      <c r="CR94" s="491"/>
      <c r="CS94" s="491"/>
      <c r="CT94" s="491"/>
      <c r="CU94" s="491"/>
      <c r="CV94" s="491"/>
      <c r="CW94" s="491"/>
      <c r="CX94" s="491"/>
      <c r="CY94" s="491"/>
      <c r="CZ94" s="491"/>
      <c r="DA94" s="491"/>
      <c r="DB94" s="491"/>
      <c r="DC94" s="491"/>
      <c r="DD94" s="491"/>
      <c r="DE94" s="491"/>
      <c r="DF94" s="491"/>
      <c r="DG94" s="491"/>
      <c r="DH94" s="491"/>
      <c r="DI94" s="491"/>
      <c r="DJ94" s="491"/>
      <c r="DK94" s="491"/>
      <c r="DL94" s="491"/>
      <c r="DM94" s="491"/>
      <c r="DN94" s="491"/>
      <c r="DO94" s="491"/>
      <c r="DP94" s="491"/>
      <c r="DQ94" s="491"/>
      <c r="DR94" s="491"/>
      <c r="DS94" s="491"/>
      <c r="DT94" s="491"/>
      <c r="DU94" s="491"/>
      <c r="DV94" s="491"/>
      <c r="DW94" s="491"/>
      <c r="DX94" s="491"/>
      <c r="DY94" s="491"/>
      <c r="DZ94" s="491"/>
      <c r="EA94" s="491"/>
      <c r="EB94" s="491"/>
      <c r="EC94" s="491"/>
      <c r="ED94" s="491"/>
      <c r="EE94" s="491"/>
      <c r="EF94" s="491"/>
      <c r="EG94" s="491"/>
      <c r="EH94" s="491"/>
      <c r="EI94" s="491"/>
      <c r="EJ94" s="491"/>
      <c r="EK94" s="491"/>
      <c r="EL94" s="491"/>
      <c r="EM94" s="491"/>
      <c r="EN94" s="491"/>
      <c r="EO94" s="491"/>
      <c r="EP94" s="491"/>
      <c r="EQ94" s="491"/>
      <c r="ER94" s="491"/>
      <c r="ES94" s="491"/>
      <c r="ET94" s="491"/>
      <c r="EU94" s="491"/>
      <c r="EV94" s="491"/>
      <c r="EW94" s="491"/>
      <c r="EX94" s="491"/>
      <c r="EY94" s="491"/>
      <c r="EZ94" s="491"/>
      <c r="FA94" s="491"/>
      <c r="FB94" s="491"/>
      <c r="FC94" s="491"/>
      <c r="FD94" s="491"/>
      <c r="FE94" s="491"/>
      <c r="FF94" s="491"/>
      <c r="FG94" s="491"/>
      <c r="FH94" s="491"/>
      <c r="FI94" s="491"/>
      <c r="FJ94" s="491"/>
      <c r="FK94" s="491"/>
      <c r="FL94" s="491"/>
      <c r="FM94" s="491"/>
      <c r="FN94" s="491"/>
      <c r="FO94" s="491"/>
      <c r="FP94" s="491"/>
      <c r="FQ94" s="491"/>
      <c r="FR94" s="491"/>
      <c r="FS94" s="491"/>
      <c r="FT94" s="491"/>
      <c r="FU94" s="491"/>
      <c r="FV94" s="491"/>
      <c r="FW94" s="491"/>
      <c r="FX94" s="491"/>
      <c r="FY94" s="491"/>
      <c r="FZ94" s="491"/>
      <c r="GA94" s="491"/>
      <c r="GB94" s="491"/>
      <c r="GC94" s="491"/>
      <c r="GD94" s="491"/>
      <c r="GE94" s="491"/>
      <c r="GF94" s="491"/>
      <c r="GG94" s="491"/>
      <c r="GH94" s="491"/>
      <c r="GI94" s="491"/>
      <c r="GJ94" s="491"/>
      <c r="GK94" s="491"/>
      <c r="GL94" s="491"/>
      <c r="GM94" s="491"/>
      <c r="GN94" s="491"/>
      <c r="GO94" s="526"/>
      <c r="GP94" s="491"/>
      <c r="GQ94" s="491"/>
      <c r="GR94" s="491"/>
      <c r="GS94" s="491"/>
      <c r="GT94" s="491"/>
      <c r="GU94" s="491"/>
      <c r="GV94" s="491"/>
      <c r="GW94" s="491"/>
      <c r="GX94" s="491"/>
      <c r="GY94" s="491"/>
      <c r="GZ94" s="491"/>
      <c r="HA94" s="491"/>
      <c r="HB94" s="491"/>
      <c r="HC94" s="491"/>
      <c r="HD94" s="491"/>
      <c r="HE94" s="491"/>
      <c r="HF94" s="491"/>
      <c r="HG94" s="491"/>
      <c r="HH94" s="491"/>
      <c r="HI94" s="491"/>
      <c r="HJ94" s="491"/>
      <c r="HK94" s="491"/>
      <c r="HL94" s="491"/>
      <c r="HM94" s="491"/>
      <c r="HN94" s="491"/>
      <c r="HO94" s="491"/>
      <c r="HP94" s="491"/>
      <c r="HQ94" s="491"/>
      <c r="HR94" s="491"/>
      <c r="HS94" s="491"/>
      <c r="HT94" s="491"/>
      <c r="HU94" s="491"/>
      <c r="HV94" s="491"/>
      <c r="HW94" s="491"/>
      <c r="HX94" s="491"/>
      <c r="HY94" s="491"/>
      <c r="HZ94" s="491"/>
      <c r="IA94" s="491"/>
      <c r="IB94" s="491"/>
      <c r="IC94" s="491"/>
      <c r="ID94" s="491"/>
      <c r="IE94" s="491"/>
      <c r="IF94" s="491"/>
      <c r="IG94" s="491"/>
      <c r="IH94" s="491"/>
      <c r="II94" s="491"/>
      <c r="IJ94" s="491"/>
      <c r="IK94" s="491"/>
      <c r="IL94" s="491"/>
      <c r="IM94" s="491"/>
      <c r="IN94" s="491"/>
      <c r="IO94" s="491"/>
      <c r="IP94" s="491"/>
      <c r="IQ94" s="491"/>
      <c r="IR94" s="491"/>
      <c r="IS94" s="491"/>
      <c r="IT94" s="491"/>
      <c r="IU94" s="491"/>
      <c r="IV94" s="491"/>
      <c r="IW94" s="491"/>
      <c r="IX94" s="491"/>
      <c r="IY94" s="491"/>
      <c r="IZ94" s="491"/>
      <c r="JA94" s="491"/>
      <c r="JB94" s="491"/>
      <c r="JC94" s="491"/>
      <c r="JD94" s="491"/>
      <c r="JE94" s="491"/>
      <c r="JF94" s="491"/>
      <c r="JG94" s="491"/>
      <c r="JH94" s="491"/>
      <c r="JI94" s="491"/>
      <c r="JJ94" s="491"/>
      <c r="JK94" s="491"/>
      <c r="JL94" s="491"/>
      <c r="JM94" s="491"/>
      <c r="JN94" s="491"/>
      <c r="JO94" s="491"/>
      <c r="JP94" s="491"/>
      <c r="JQ94" s="491"/>
      <c r="JR94" s="491"/>
      <c r="JS94" s="491"/>
      <c r="JT94" s="491"/>
      <c r="JU94" s="491"/>
      <c r="JV94" s="491"/>
      <c r="JW94" s="491"/>
      <c r="JX94" s="491"/>
      <c r="JY94" s="491"/>
      <c r="JZ94" s="491"/>
      <c r="KA94" s="491"/>
      <c r="KB94" s="526"/>
      <c r="KC94" s="491"/>
      <c r="KD94" s="491"/>
      <c r="KE94" s="491"/>
      <c r="KF94" s="491"/>
      <c r="KG94" s="491"/>
      <c r="KH94" s="491"/>
      <c r="KI94" s="491"/>
      <c r="KJ94" s="491"/>
      <c r="KK94" s="491"/>
      <c r="KL94" s="491"/>
      <c r="KM94" s="491"/>
      <c r="KN94" s="491"/>
      <c r="KO94" s="491"/>
      <c r="KP94" s="491"/>
      <c r="KQ94" s="491"/>
      <c r="KR94" s="491"/>
      <c r="KS94" s="491"/>
      <c r="KT94" s="491"/>
      <c r="KU94" s="564"/>
      <c r="KV94" s="491"/>
      <c r="KW94" s="491"/>
      <c r="KX94" s="491"/>
      <c r="KY94" s="491"/>
      <c r="KZ94" s="491"/>
      <c r="LA94" s="491"/>
      <c r="LB94" s="491"/>
      <c r="LC94" s="491"/>
      <c r="LD94" s="491"/>
      <c r="LE94" s="491"/>
      <c r="LF94" s="491"/>
      <c r="LG94" s="491"/>
      <c r="LH94" s="491"/>
      <c r="LI94" s="491"/>
      <c r="LJ94" s="491"/>
      <c r="LK94" s="491"/>
      <c r="LL94" s="491"/>
      <c r="LM94" s="491"/>
      <c r="LN94" s="491"/>
      <c r="LO94" s="491"/>
      <c r="LP94" s="491"/>
      <c r="LQ94" s="491"/>
      <c r="LR94" s="491"/>
      <c r="LS94" s="491"/>
      <c r="LT94" s="491"/>
      <c r="LU94" s="491"/>
      <c r="LV94" s="491"/>
      <c r="LW94" s="491"/>
      <c r="LX94" s="491"/>
      <c r="LY94" s="491"/>
      <c r="LZ94" s="491"/>
      <c r="MA94" s="491"/>
      <c r="MB94" s="491"/>
      <c r="MC94" s="491"/>
      <c r="MD94" s="491"/>
      <c r="ME94" s="491"/>
      <c r="MF94" s="491"/>
      <c r="MG94" s="491"/>
      <c r="MH94" s="491"/>
      <c r="MI94" s="491"/>
      <c r="MJ94" s="491"/>
      <c r="MK94" s="491"/>
      <c r="ML94" s="491"/>
      <c r="MM94" s="491"/>
      <c r="MN94" s="491"/>
      <c r="MO94" s="491"/>
      <c r="MP94" s="491"/>
      <c r="MQ94" s="491"/>
      <c r="MR94" s="491"/>
      <c r="MS94" s="491"/>
      <c r="MT94" s="491"/>
      <c r="MU94" s="491"/>
      <c r="MV94" s="491"/>
      <c r="MW94" s="491"/>
      <c r="MX94" s="491"/>
      <c r="MY94" s="491"/>
      <c r="MZ94" s="491"/>
      <c r="NA94" s="491"/>
      <c r="NB94" s="491"/>
      <c r="NC94" s="491"/>
      <c r="ND94" s="491"/>
      <c r="NE94" s="491"/>
      <c r="NF94" s="491"/>
      <c r="NG94" s="491"/>
      <c r="NH94" s="491"/>
      <c r="NI94" s="491"/>
      <c r="NJ94" s="491"/>
      <c r="NK94" s="491"/>
      <c r="NL94" s="491"/>
      <c r="NM94" s="491"/>
      <c r="NN94" s="491"/>
      <c r="NO94" s="491"/>
      <c r="NP94" s="491"/>
      <c r="NQ94" s="491"/>
      <c r="NR94" s="491"/>
      <c r="NS94" s="491"/>
      <c r="NT94" s="491"/>
      <c r="NU94" s="491"/>
      <c r="NV94" s="491"/>
      <c r="NW94" s="491"/>
      <c r="NX94" s="491"/>
      <c r="PW94" s="482"/>
    </row>
    <row r="95" spans="12:439" ht="12.75" customHeight="1" x14ac:dyDescent="0.35">
      <c r="L95" s="655"/>
      <c r="AR95" s="663"/>
      <c r="AS95" s="664"/>
      <c r="AT95" s="664"/>
      <c r="AU95" s="628"/>
      <c r="AV95" s="628"/>
      <c r="AW95" s="628"/>
      <c r="AX95" s="628"/>
      <c r="AY95" s="628"/>
      <c r="AZ95" s="628"/>
      <c r="BA95" s="628"/>
      <c r="BB95" s="628"/>
      <c r="BC95" s="628"/>
      <c r="BD95" s="628"/>
      <c r="BE95" s="628"/>
      <c r="BF95" s="628"/>
      <c r="BG95" s="628"/>
      <c r="BH95" s="628"/>
      <c r="BI95" s="628"/>
      <c r="BJ95" s="628"/>
      <c r="BK95" s="628"/>
      <c r="BL95" s="628"/>
      <c r="BM95" s="628"/>
      <c r="BN95" s="628"/>
      <c r="BO95" s="628"/>
      <c r="BP95" s="628"/>
      <c r="BQ95" s="628"/>
      <c r="BR95" s="628"/>
      <c r="BS95" s="628"/>
      <c r="BT95" s="628"/>
      <c r="BU95" s="628"/>
      <c r="BV95" s="628"/>
      <c r="BW95" s="628"/>
      <c r="BX95" s="628"/>
      <c r="BY95" s="628"/>
      <c r="BZ95" s="628"/>
      <c r="CA95" s="628"/>
      <c r="CB95" s="628"/>
      <c r="CC95" s="628"/>
      <c r="CD95" s="628"/>
      <c r="CE95" s="628"/>
      <c r="CF95" s="628"/>
      <c r="CG95" s="628"/>
      <c r="CH95" s="628"/>
      <c r="CI95" s="628"/>
      <c r="CJ95" s="628"/>
      <c r="CK95" s="628"/>
      <c r="CL95" s="628"/>
      <c r="CM95" s="628"/>
      <c r="CN95" s="628"/>
      <c r="CO95" s="628"/>
      <c r="CP95" s="628"/>
      <c r="CQ95" s="628"/>
      <c r="CR95" s="628"/>
      <c r="CS95" s="628"/>
      <c r="CT95" s="628"/>
      <c r="CU95" s="628"/>
      <c r="CV95" s="628"/>
      <c r="CW95" s="628"/>
      <c r="CX95" s="628"/>
      <c r="CY95" s="628"/>
      <c r="CZ95" s="628"/>
      <c r="DA95" s="628"/>
      <c r="DB95" s="628"/>
      <c r="DC95" s="628"/>
      <c r="DD95" s="628"/>
      <c r="DE95" s="628"/>
      <c r="DF95" s="628"/>
      <c r="DG95" s="628"/>
      <c r="DH95" s="628"/>
      <c r="DI95" s="628"/>
      <c r="DJ95" s="628"/>
      <c r="DK95" s="628"/>
      <c r="DL95" s="628"/>
      <c r="DM95" s="628"/>
      <c r="DN95" s="628"/>
      <c r="DO95" s="628"/>
      <c r="DP95" s="628"/>
      <c r="DQ95" s="628"/>
      <c r="DR95" s="628"/>
      <c r="DS95" s="628"/>
      <c r="DT95" s="628"/>
      <c r="DU95" s="628"/>
      <c r="DV95" s="628"/>
      <c r="DW95" s="628"/>
      <c r="DX95" s="628"/>
      <c r="DY95" s="628"/>
      <c r="DZ95" s="628"/>
      <c r="EA95" s="628"/>
      <c r="EB95" s="628"/>
      <c r="EC95" s="628"/>
      <c r="ED95" s="628"/>
      <c r="EE95" s="628"/>
      <c r="EF95" s="628"/>
      <c r="EG95" s="628"/>
      <c r="EH95" s="628"/>
      <c r="EI95" s="628"/>
      <c r="EJ95" s="628"/>
      <c r="EK95" s="628"/>
      <c r="EL95" s="628"/>
      <c r="EM95" s="628"/>
      <c r="EN95" s="628"/>
      <c r="EO95" s="628"/>
      <c r="EP95" s="628"/>
      <c r="EQ95" s="628"/>
      <c r="ER95" s="628"/>
      <c r="ES95" s="628"/>
      <c r="ET95" s="628"/>
      <c r="EU95" s="628"/>
      <c r="EV95" s="628"/>
      <c r="EW95" s="628"/>
      <c r="EX95" s="628"/>
      <c r="EY95" s="628"/>
      <c r="EZ95" s="628"/>
      <c r="FA95" s="628"/>
      <c r="FB95" s="628"/>
      <c r="FC95" s="628"/>
      <c r="FD95" s="628"/>
      <c r="FE95" s="628"/>
      <c r="FF95" s="628"/>
      <c r="FG95" s="628"/>
      <c r="FH95" s="628"/>
      <c r="FI95" s="628"/>
      <c r="FJ95" s="628"/>
      <c r="FK95" s="628"/>
      <c r="FL95" s="628"/>
      <c r="FM95" s="628"/>
      <c r="FN95" s="628"/>
      <c r="FO95" s="628"/>
      <c r="FP95" s="628"/>
      <c r="FQ95" s="628"/>
      <c r="FR95" s="628"/>
      <c r="FS95" s="628"/>
      <c r="FT95" s="628"/>
      <c r="FU95" s="628"/>
      <c r="FV95" s="628"/>
      <c r="FW95" s="628"/>
      <c r="FX95" s="628"/>
      <c r="FY95" s="628"/>
      <c r="FZ95" s="628"/>
      <c r="GA95" s="628"/>
      <c r="GB95" s="628"/>
      <c r="GC95" s="628"/>
      <c r="GD95" s="628"/>
      <c r="GE95" s="628"/>
      <c r="GF95" s="628"/>
      <c r="GG95" s="628"/>
      <c r="GH95" s="628"/>
      <c r="GI95" s="628"/>
      <c r="GJ95" s="628"/>
      <c r="GK95" s="628"/>
      <c r="GL95" s="628"/>
      <c r="GM95" s="628"/>
      <c r="GN95" s="628"/>
      <c r="GO95" s="665"/>
      <c r="GP95" s="628"/>
      <c r="GQ95" s="628"/>
      <c r="GR95" s="628"/>
      <c r="GS95" s="628"/>
      <c r="GT95" s="628"/>
      <c r="GU95" s="628"/>
      <c r="GV95" s="628"/>
      <c r="GW95" s="628"/>
      <c r="GX95" s="628"/>
      <c r="GY95" s="628"/>
      <c r="GZ95" s="628"/>
      <c r="HA95" s="628"/>
      <c r="HB95" s="628"/>
      <c r="HC95" s="628"/>
      <c r="HD95" s="628"/>
      <c r="HE95" s="628"/>
      <c r="HF95" s="628"/>
      <c r="HG95" s="628"/>
      <c r="HH95" s="628"/>
      <c r="HI95" s="628"/>
      <c r="HJ95" s="628"/>
      <c r="HK95" s="628"/>
      <c r="HL95" s="628"/>
      <c r="HM95" s="628"/>
      <c r="HN95" s="628"/>
      <c r="HO95" s="628"/>
      <c r="HP95" s="628"/>
      <c r="HQ95" s="628"/>
      <c r="HR95" s="628"/>
      <c r="HS95" s="628"/>
      <c r="HT95" s="628"/>
      <c r="HU95" s="628"/>
      <c r="HV95" s="628"/>
      <c r="HW95" s="628"/>
      <c r="HX95" s="628"/>
      <c r="HY95" s="628"/>
      <c r="HZ95" s="628"/>
      <c r="IA95" s="628"/>
      <c r="IB95" s="628"/>
      <c r="IC95" s="628"/>
      <c r="ID95" s="628"/>
      <c r="IE95" s="628"/>
      <c r="IF95" s="628"/>
      <c r="IG95" s="628"/>
      <c r="IH95" s="628"/>
      <c r="II95" s="628"/>
      <c r="IJ95" s="628"/>
      <c r="IK95" s="628"/>
      <c r="IL95" s="628"/>
      <c r="IM95" s="628"/>
      <c r="IN95" s="628"/>
      <c r="IO95" s="628"/>
      <c r="IP95" s="628"/>
      <c r="IQ95" s="628"/>
      <c r="IR95" s="628"/>
      <c r="IS95" s="628"/>
      <c r="IT95" s="628"/>
      <c r="IU95" s="628"/>
      <c r="IV95" s="628"/>
      <c r="IW95" s="628"/>
      <c r="IX95" s="628"/>
      <c r="IY95" s="628"/>
      <c r="IZ95" s="628"/>
      <c r="JA95" s="628"/>
      <c r="JB95" s="628"/>
      <c r="JC95" s="628"/>
      <c r="JD95" s="628"/>
      <c r="JE95" s="628"/>
      <c r="JF95" s="628"/>
      <c r="JG95" s="628"/>
      <c r="JH95" s="628"/>
      <c r="JI95" s="628"/>
      <c r="JJ95" s="628"/>
      <c r="JK95" s="628"/>
      <c r="JL95" s="628"/>
      <c r="JM95" s="628"/>
      <c r="JN95" s="628"/>
      <c r="JO95" s="628"/>
      <c r="JP95" s="628"/>
      <c r="JQ95" s="628"/>
      <c r="JR95" s="628"/>
      <c r="JS95" s="628"/>
      <c r="JT95" s="628"/>
      <c r="JU95" s="628"/>
      <c r="JV95" s="628"/>
      <c r="JW95" s="628"/>
      <c r="JX95" s="628"/>
      <c r="JY95" s="628"/>
      <c r="JZ95" s="628"/>
      <c r="KA95" s="628"/>
      <c r="KB95" s="665"/>
      <c r="KC95" s="628"/>
      <c r="KD95" s="628"/>
      <c r="KE95" s="628"/>
      <c r="KF95" s="628"/>
      <c r="KG95" s="628"/>
      <c r="KH95" s="628"/>
      <c r="KI95" s="628"/>
      <c r="KJ95" s="628"/>
      <c r="KK95" s="628"/>
      <c r="KL95" s="628"/>
      <c r="KM95" s="628"/>
      <c r="KN95" s="628"/>
      <c r="KO95" s="628"/>
      <c r="KP95" s="628"/>
      <c r="KQ95" s="628"/>
      <c r="KR95" s="628"/>
      <c r="KS95" s="628"/>
      <c r="KT95" s="628"/>
      <c r="KU95" s="629"/>
      <c r="KV95" s="491"/>
      <c r="KW95" s="491"/>
      <c r="KX95" s="491"/>
      <c r="KY95" s="491"/>
      <c r="KZ95" s="491"/>
      <c r="LA95" s="491"/>
      <c r="LB95" s="491"/>
      <c r="LC95" s="491"/>
      <c r="LD95" s="491"/>
      <c r="LE95" s="491"/>
      <c r="LF95" s="491"/>
      <c r="LG95" s="491"/>
      <c r="LH95" s="491"/>
      <c r="LI95" s="491"/>
      <c r="LJ95" s="491"/>
      <c r="LK95" s="491"/>
      <c r="LL95" s="491"/>
      <c r="LM95" s="491"/>
      <c r="LN95" s="491"/>
      <c r="LO95" s="491"/>
      <c r="LP95" s="491"/>
      <c r="LQ95" s="491"/>
      <c r="LR95" s="491"/>
      <c r="LS95" s="491"/>
      <c r="LT95" s="491"/>
      <c r="LU95" s="491"/>
      <c r="LV95" s="491"/>
      <c r="LW95" s="491"/>
      <c r="LX95" s="491"/>
      <c r="LY95" s="491"/>
      <c r="LZ95" s="491"/>
      <c r="MA95" s="491"/>
      <c r="MB95" s="491"/>
      <c r="MC95" s="491"/>
      <c r="MD95" s="491"/>
      <c r="ME95" s="491"/>
      <c r="MF95" s="491"/>
      <c r="MG95" s="491"/>
      <c r="MH95" s="491"/>
      <c r="MI95" s="491"/>
      <c r="MJ95" s="491"/>
      <c r="MK95" s="491"/>
      <c r="ML95" s="491"/>
      <c r="MM95" s="491"/>
      <c r="MN95" s="491"/>
      <c r="MO95" s="491"/>
      <c r="MP95" s="491"/>
      <c r="MQ95" s="491"/>
      <c r="MR95" s="491"/>
      <c r="MS95" s="491"/>
      <c r="MT95" s="491"/>
      <c r="MU95" s="491"/>
      <c r="MV95" s="491"/>
      <c r="MW95" s="491"/>
      <c r="MX95" s="491"/>
      <c r="MY95" s="491"/>
      <c r="MZ95" s="491"/>
      <c r="NA95" s="491"/>
      <c r="NB95" s="491"/>
      <c r="NC95" s="491"/>
      <c r="ND95" s="491"/>
      <c r="NE95" s="491"/>
      <c r="NF95" s="491"/>
      <c r="NG95" s="491"/>
      <c r="NH95" s="491"/>
      <c r="NI95" s="491"/>
      <c r="NJ95" s="491"/>
      <c r="NK95" s="491"/>
      <c r="NL95" s="491"/>
      <c r="NM95" s="491"/>
      <c r="NN95" s="491"/>
      <c r="NO95" s="491"/>
      <c r="NP95" s="491"/>
      <c r="NQ95" s="491"/>
      <c r="NR95" s="491"/>
      <c r="NS95" s="491"/>
      <c r="NT95" s="491"/>
      <c r="NU95" s="491"/>
      <c r="NV95" s="491"/>
      <c r="NW95" s="491"/>
      <c r="NX95" s="491"/>
      <c r="PW95" s="482"/>
    </row>
    <row r="96" spans="12:439" ht="12.75" customHeight="1" x14ac:dyDescent="0.35">
      <c r="L96" s="655"/>
      <c r="AU96" s="491"/>
      <c r="AV96" s="491"/>
      <c r="AW96" s="491"/>
      <c r="AX96" s="491"/>
      <c r="AY96" s="491"/>
      <c r="AZ96" s="491"/>
      <c r="BA96" s="491"/>
      <c r="BB96" s="491"/>
      <c r="BC96" s="491"/>
      <c r="BD96" s="491"/>
      <c r="BE96" s="491"/>
      <c r="BF96" s="491"/>
      <c r="BG96" s="491"/>
      <c r="BH96" s="491"/>
      <c r="BI96" s="491"/>
      <c r="BJ96" s="491"/>
      <c r="BK96" s="491"/>
      <c r="BL96" s="491"/>
      <c r="BM96" s="491"/>
      <c r="BN96" s="491"/>
      <c r="BO96" s="491"/>
      <c r="BP96" s="491"/>
      <c r="BQ96" s="491"/>
      <c r="BR96" s="491"/>
      <c r="BS96" s="491"/>
      <c r="BT96" s="491"/>
      <c r="BU96" s="491"/>
      <c r="BV96" s="491"/>
      <c r="BW96" s="491"/>
      <c r="BX96" s="491"/>
      <c r="BY96" s="491"/>
      <c r="BZ96" s="491"/>
      <c r="CA96" s="491"/>
      <c r="CB96" s="491"/>
      <c r="CC96" s="491"/>
      <c r="CD96" s="491"/>
      <c r="CE96" s="491"/>
      <c r="CF96" s="491"/>
      <c r="CG96" s="491"/>
      <c r="CH96" s="491"/>
      <c r="CI96" s="491"/>
      <c r="CJ96" s="491"/>
      <c r="CK96" s="491"/>
      <c r="CL96" s="491"/>
      <c r="CM96" s="491"/>
      <c r="CN96" s="491"/>
      <c r="CO96" s="491"/>
      <c r="CP96" s="491"/>
      <c r="CQ96" s="491"/>
      <c r="CR96" s="491"/>
      <c r="CS96" s="491"/>
      <c r="CT96" s="491"/>
      <c r="CU96" s="491"/>
      <c r="CV96" s="491"/>
      <c r="CW96" s="491"/>
      <c r="CX96" s="491"/>
      <c r="CY96" s="491"/>
      <c r="CZ96" s="491"/>
      <c r="DA96" s="491"/>
      <c r="DB96" s="491"/>
      <c r="DC96" s="491"/>
      <c r="DD96" s="491"/>
      <c r="DE96" s="491"/>
      <c r="DF96" s="491"/>
      <c r="DG96" s="491"/>
      <c r="DH96" s="491"/>
      <c r="DI96" s="491"/>
      <c r="DJ96" s="491"/>
      <c r="DK96" s="491"/>
      <c r="DL96" s="491"/>
      <c r="DM96" s="491"/>
      <c r="DN96" s="491"/>
      <c r="DO96" s="491"/>
      <c r="DP96" s="491"/>
      <c r="DQ96" s="491"/>
      <c r="DR96" s="491"/>
      <c r="DS96" s="491"/>
      <c r="DT96" s="491"/>
      <c r="DU96" s="491"/>
      <c r="DV96" s="491"/>
      <c r="DW96" s="491"/>
      <c r="DX96" s="491"/>
      <c r="DY96" s="491"/>
      <c r="DZ96" s="491"/>
      <c r="EA96" s="491"/>
      <c r="EB96" s="491"/>
      <c r="EC96" s="491"/>
      <c r="ED96" s="491"/>
      <c r="EE96" s="491"/>
      <c r="EF96" s="491"/>
      <c r="EG96" s="491"/>
      <c r="EH96" s="491"/>
      <c r="EI96" s="491"/>
      <c r="EJ96" s="491"/>
      <c r="EK96" s="491"/>
      <c r="EL96" s="491"/>
      <c r="EM96" s="491"/>
      <c r="EN96" s="491"/>
      <c r="EO96" s="491"/>
      <c r="EP96" s="491"/>
      <c r="EQ96" s="491"/>
      <c r="ER96" s="491"/>
      <c r="ES96" s="491"/>
      <c r="ET96" s="491"/>
      <c r="EU96" s="491"/>
      <c r="EV96" s="491"/>
      <c r="EW96" s="491"/>
      <c r="EX96" s="491"/>
      <c r="EY96" s="491"/>
      <c r="EZ96" s="491"/>
      <c r="FA96" s="491"/>
      <c r="FB96" s="491"/>
      <c r="FC96" s="491"/>
      <c r="FD96" s="491"/>
      <c r="FE96" s="491"/>
      <c r="FF96" s="491"/>
      <c r="FG96" s="491"/>
      <c r="FH96" s="491"/>
      <c r="FI96" s="491"/>
      <c r="FJ96" s="491"/>
      <c r="FK96" s="491"/>
      <c r="FL96" s="491"/>
      <c r="FM96" s="491"/>
      <c r="FN96" s="491"/>
      <c r="FO96" s="491"/>
      <c r="FP96" s="491"/>
      <c r="FQ96" s="491"/>
      <c r="FR96" s="491"/>
      <c r="FS96" s="491"/>
      <c r="FT96" s="491"/>
      <c r="FU96" s="491"/>
      <c r="FV96" s="491"/>
      <c r="FW96" s="491"/>
      <c r="FX96" s="491"/>
      <c r="FY96" s="491"/>
      <c r="FZ96" s="491"/>
      <c r="GA96" s="491"/>
      <c r="GB96" s="491"/>
      <c r="GC96" s="491"/>
      <c r="GD96" s="491"/>
      <c r="GE96" s="491"/>
      <c r="GF96" s="491"/>
      <c r="GG96" s="491"/>
      <c r="GH96" s="491"/>
      <c r="GI96" s="491"/>
      <c r="GJ96" s="491"/>
      <c r="GK96" s="491"/>
      <c r="GL96" s="491"/>
      <c r="GM96" s="491"/>
      <c r="GN96" s="491"/>
      <c r="GO96" s="526"/>
      <c r="GP96" s="491"/>
      <c r="GQ96" s="491"/>
      <c r="GR96" s="491"/>
      <c r="GS96" s="491"/>
      <c r="GT96" s="491"/>
      <c r="GU96" s="491"/>
      <c r="GV96" s="491"/>
      <c r="GW96" s="491"/>
      <c r="GX96" s="491"/>
      <c r="GY96" s="491"/>
      <c r="GZ96" s="491"/>
      <c r="HA96" s="491"/>
      <c r="HB96" s="491"/>
      <c r="HC96" s="491"/>
      <c r="HD96" s="491"/>
      <c r="HE96" s="491"/>
      <c r="HF96" s="491"/>
      <c r="HG96" s="491"/>
      <c r="HH96" s="491"/>
      <c r="HI96" s="491"/>
      <c r="HJ96" s="491"/>
      <c r="HK96" s="491"/>
      <c r="HL96" s="491"/>
      <c r="HM96" s="491"/>
      <c r="HN96" s="491"/>
      <c r="HO96" s="491"/>
      <c r="HP96" s="491"/>
      <c r="HQ96" s="491"/>
      <c r="HR96" s="491"/>
      <c r="HS96" s="491"/>
      <c r="HT96" s="491"/>
      <c r="HU96" s="491"/>
      <c r="HV96" s="491"/>
      <c r="HW96" s="491"/>
      <c r="HX96" s="491"/>
      <c r="HY96" s="491"/>
      <c r="HZ96" s="491"/>
      <c r="IA96" s="491"/>
      <c r="IB96" s="491"/>
      <c r="IC96" s="491"/>
      <c r="ID96" s="491"/>
      <c r="IE96" s="491"/>
      <c r="IF96" s="491"/>
      <c r="IG96" s="491"/>
      <c r="IH96" s="491"/>
      <c r="II96" s="491"/>
      <c r="IJ96" s="491"/>
      <c r="IK96" s="491"/>
      <c r="IL96" s="491"/>
      <c r="IM96" s="491"/>
      <c r="IN96" s="491"/>
      <c r="IO96" s="491"/>
      <c r="IP96" s="491"/>
      <c r="IQ96" s="491"/>
      <c r="IR96" s="491"/>
      <c r="IS96" s="491"/>
      <c r="IT96" s="491"/>
      <c r="IU96" s="491"/>
      <c r="IV96" s="491"/>
      <c r="IW96" s="491"/>
      <c r="IX96" s="491"/>
      <c r="IY96" s="491"/>
      <c r="IZ96" s="491"/>
      <c r="JA96" s="491"/>
      <c r="JB96" s="491"/>
      <c r="JC96" s="491"/>
      <c r="JD96" s="491"/>
      <c r="JE96" s="491"/>
      <c r="JF96" s="491"/>
      <c r="JG96" s="491"/>
      <c r="JH96" s="491"/>
      <c r="JI96" s="491"/>
      <c r="JJ96" s="491"/>
      <c r="JK96" s="491"/>
      <c r="JL96" s="491"/>
      <c r="JM96" s="491"/>
      <c r="JN96" s="491"/>
      <c r="JO96" s="491"/>
      <c r="JP96" s="491"/>
      <c r="JQ96" s="491"/>
      <c r="JR96" s="491"/>
      <c r="JS96" s="491"/>
      <c r="JT96" s="491"/>
      <c r="JU96" s="491"/>
      <c r="JV96" s="491"/>
      <c r="JW96" s="491"/>
      <c r="JX96" s="491"/>
      <c r="JY96" s="491"/>
      <c r="JZ96" s="491"/>
      <c r="KA96" s="491"/>
      <c r="KB96" s="526"/>
      <c r="KC96" s="491"/>
      <c r="KD96" s="491"/>
      <c r="KE96" s="491"/>
      <c r="KF96" s="491"/>
      <c r="KG96" s="491"/>
      <c r="KH96" s="491"/>
      <c r="KI96" s="491"/>
      <c r="KJ96" s="491"/>
      <c r="KK96" s="491"/>
      <c r="KL96" s="491"/>
      <c r="KM96" s="491"/>
      <c r="KN96" s="491"/>
      <c r="KO96" s="491"/>
      <c r="KP96" s="491"/>
      <c r="KQ96" s="491"/>
      <c r="KR96" s="491"/>
      <c r="KS96" s="491"/>
      <c r="KT96" s="491"/>
      <c r="KU96" s="491"/>
      <c r="KV96" s="491"/>
      <c r="KW96" s="491"/>
      <c r="KX96" s="491"/>
      <c r="KY96" s="491"/>
      <c r="KZ96" s="491"/>
      <c r="LA96" s="491"/>
      <c r="LB96" s="491"/>
      <c r="LC96" s="491"/>
      <c r="LD96" s="491"/>
      <c r="LE96" s="491"/>
      <c r="LF96" s="491"/>
      <c r="LG96" s="491"/>
      <c r="LH96" s="491"/>
      <c r="LI96" s="491"/>
      <c r="LJ96" s="491"/>
      <c r="LK96" s="491"/>
      <c r="LL96" s="491"/>
      <c r="LM96" s="491"/>
      <c r="LN96" s="491"/>
      <c r="LO96" s="491"/>
      <c r="LP96" s="491"/>
      <c r="LQ96" s="491"/>
      <c r="LR96" s="491"/>
      <c r="LS96" s="491"/>
      <c r="LT96" s="491"/>
      <c r="LU96" s="491"/>
      <c r="LV96" s="491"/>
      <c r="LW96" s="491"/>
      <c r="LX96" s="491"/>
      <c r="LY96" s="491"/>
      <c r="LZ96" s="491"/>
      <c r="MA96" s="491"/>
      <c r="MB96" s="491"/>
      <c r="MC96" s="491"/>
      <c r="MD96" s="491"/>
      <c r="ME96" s="491"/>
      <c r="MF96" s="491"/>
      <c r="MG96" s="491"/>
      <c r="MH96" s="491"/>
      <c r="MI96" s="491"/>
      <c r="MJ96" s="491"/>
      <c r="MK96" s="491"/>
      <c r="ML96" s="491"/>
      <c r="MM96" s="491"/>
      <c r="MN96" s="491"/>
      <c r="MO96" s="491"/>
      <c r="MP96" s="491"/>
      <c r="MQ96" s="491"/>
      <c r="MR96" s="491"/>
      <c r="MS96" s="491"/>
      <c r="MT96" s="491"/>
      <c r="MU96" s="491"/>
      <c r="MV96" s="491"/>
      <c r="MW96" s="491"/>
      <c r="MX96" s="491"/>
      <c r="MY96" s="491"/>
      <c r="MZ96" s="491"/>
      <c r="NA96" s="491"/>
      <c r="NB96" s="491"/>
      <c r="NC96" s="491"/>
      <c r="ND96" s="491"/>
      <c r="NE96" s="491"/>
      <c r="NF96" s="491"/>
      <c r="NG96" s="491"/>
      <c r="NH96" s="491"/>
      <c r="NI96" s="491"/>
      <c r="NJ96" s="491"/>
      <c r="NK96" s="491"/>
      <c r="NL96" s="491"/>
      <c r="NM96" s="491"/>
      <c r="NN96" s="491"/>
      <c r="NO96" s="491"/>
      <c r="NP96" s="491"/>
      <c r="NQ96" s="491"/>
      <c r="NR96" s="491"/>
      <c r="NS96" s="491"/>
      <c r="NT96" s="491"/>
      <c r="NU96" s="491"/>
      <c r="NV96" s="491"/>
      <c r="NW96" s="491"/>
      <c r="NX96" s="491"/>
      <c r="PW96" s="482"/>
    </row>
    <row r="97" spans="12:439" ht="12.75" customHeight="1" x14ac:dyDescent="0.35">
      <c r="L97" s="655"/>
      <c r="AU97" s="491"/>
      <c r="AV97" s="491"/>
      <c r="AW97" s="491"/>
      <c r="AX97" s="491"/>
      <c r="AY97" s="491"/>
      <c r="AZ97" s="491"/>
      <c r="BA97" s="491"/>
      <c r="BB97" s="491"/>
      <c r="BC97" s="491"/>
      <c r="BD97" s="491"/>
      <c r="BE97" s="491"/>
      <c r="BF97" s="491"/>
      <c r="BG97" s="491"/>
      <c r="BH97" s="491"/>
      <c r="BI97" s="491"/>
      <c r="BJ97" s="491"/>
      <c r="BK97" s="491"/>
      <c r="BL97" s="491"/>
      <c r="BM97" s="491"/>
      <c r="BN97" s="491"/>
      <c r="BO97" s="491"/>
      <c r="BP97" s="491"/>
      <c r="BQ97" s="491"/>
      <c r="BR97" s="491"/>
      <c r="BS97" s="491"/>
      <c r="BT97" s="491"/>
      <c r="BU97" s="491"/>
      <c r="BV97" s="491"/>
      <c r="BW97" s="491"/>
      <c r="BX97" s="491"/>
      <c r="BY97" s="491"/>
      <c r="BZ97" s="491"/>
      <c r="CA97" s="491"/>
      <c r="CB97" s="491"/>
      <c r="CC97" s="491"/>
      <c r="CD97" s="491"/>
      <c r="CE97" s="491"/>
      <c r="CF97" s="491"/>
      <c r="CG97" s="491"/>
      <c r="CH97" s="491"/>
      <c r="CI97" s="491"/>
      <c r="CJ97" s="491"/>
      <c r="CK97" s="491"/>
      <c r="CL97" s="491"/>
      <c r="CM97" s="491"/>
      <c r="CN97" s="491"/>
      <c r="CO97" s="491"/>
      <c r="CP97" s="491"/>
      <c r="CQ97" s="491"/>
      <c r="CR97" s="491"/>
      <c r="CS97" s="491"/>
      <c r="CT97" s="491"/>
      <c r="CU97" s="491"/>
      <c r="CV97" s="491"/>
      <c r="CW97" s="491"/>
      <c r="CX97" s="491"/>
      <c r="CY97" s="491"/>
      <c r="CZ97" s="491"/>
      <c r="DA97" s="491"/>
      <c r="DB97" s="491"/>
      <c r="DC97" s="491"/>
      <c r="DD97" s="491"/>
      <c r="DE97" s="491"/>
      <c r="DF97" s="491"/>
      <c r="DG97" s="491"/>
      <c r="DH97" s="491"/>
      <c r="DI97" s="491"/>
      <c r="DJ97" s="491"/>
      <c r="DK97" s="491"/>
      <c r="DL97" s="491"/>
      <c r="DM97" s="491"/>
      <c r="DN97" s="491"/>
      <c r="DO97" s="491"/>
      <c r="DP97" s="491"/>
      <c r="DQ97" s="491"/>
      <c r="DR97" s="491"/>
      <c r="DS97" s="491"/>
      <c r="DT97" s="491"/>
      <c r="DU97" s="491"/>
      <c r="DV97" s="491"/>
      <c r="DW97" s="491"/>
      <c r="DX97" s="491"/>
      <c r="DY97" s="491"/>
      <c r="DZ97" s="491"/>
      <c r="EA97" s="491"/>
      <c r="EB97" s="491"/>
      <c r="EC97" s="491"/>
      <c r="ED97" s="491"/>
      <c r="EE97" s="491"/>
      <c r="EF97" s="491"/>
      <c r="EG97" s="491"/>
      <c r="EH97" s="491"/>
      <c r="EI97" s="491"/>
      <c r="EJ97" s="491"/>
      <c r="EK97" s="491"/>
      <c r="EL97" s="491"/>
      <c r="EM97" s="491"/>
      <c r="EN97" s="491"/>
      <c r="EO97" s="491"/>
      <c r="EP97" s="491"/>
      <c r="EQ97" s="491"/>
      <c r="ER97" s="491"/>
      <c r="ES97" s="491"/>
      <c r="ET97" s="491"/>
      <c r="EU97" s="491"/>
      <c r="EV97" s="491"/>
      <c r="EW97" s="491"/>
      <c r="EX97" s="491"/>
      <c r="EY97" s="491"/>
      <c r="EZ97" s="491"/>
      <c r="FA97" s="491"/>
      <c r="FB97" s="491"/>
      <c r="FC97" s="491"/>
      <c r="FD97" s="491"/>
      <c r="FE97" s="491"/>
      <c r="FF97" s="491"/>
      <c r="FG97" s="491"/>
      <c r="FH97" s="491"/>
      <c r="FI97" s="491"/>
      <c r="FJ97" s="491"/>
      <c r="FK97" s="491"/>
      <c r="FL97" s="491"/>
      <c r="FM97" s="491"/>
      <c r="FN97" s="491"/>
      <c r="FO97" s="491"/>
      <c r="FP97" s="491"/>
      <c r="FQ97" s="491"/>
      <c r="FR97" s="491"/>
      <c r="FS97" s="491"/>
      <c r="FT97" s="491"/>
      <c r="FU97" s="491"/>
      <c r="FV97" s="491"/>
      <c r="FW97" s="491"/>
      <c r="FX97" s="491"/>
      <c r="FY97" s="491"/>
      <c r="FZ97" s="491"/>
      <c r="GA97" s="491"/>
      <c r="GB97" s="491"/>
      <c r="GC97" s="491"/>
      <c r="GD97" s="491"/>
      <c r="GE97" s="491"/>
      <c r="GF97" s="491"/>
      <c r="GG97" s="491"/>
      <c r="GH97" s="491"/>
      <c r="GI97" s="491"/>
      <c r="GJ97" s="491"/>
      <c r="GK97" s="491"/>
      <c r="GL97" s="491"/>
      <c r="GM97" s="491"/>
      <c r="GN97" s="491"/>
      <c r="GO97" s="526"/>
      <c r="GP97" s="491"/>
      <c r="GQ97" s="491"/>
      <c r="GR97" s="491"/>
      <c r="GS97" s="491"/>
      <c r="GT97" s="491"/>
      <c r="GU97" s="491"/>
      <c r="GV97" s="491"/>
      <c r="GW97" s="491"/>
      <c r="GX97" s="491"/>
      <c r="GY97" s="491"/>
      <c r="GZ97" s="491"/>
      <c r="HA97" s="491"/>
      <c r="HB97" s="491"/>
      <c r="HC97" s="491"/>
      <c r="HD97" s="491"/>
      <c r="HE97" s="491"/>
      <c r="HF97" s="491"/>
      <c r="HG97" s="491"/>
      <c r="HH97" s="491"/>
      <c r="HI97" s="491"/>
      <c r="HJ97" s="491"/>
      <c r="HK97" s="491"/>
      <c r="HL97" s="491"/>
      <c r="HM97" s="491"/>
      <c r="HN97" s="491"/>
      <c r="HO97" s="491"/>
      <c r="HP97" s="491"/>
      <c r="HQ97" s="491"/>
      <c r="HR97" s="491"/>
      <c r="HS97" s="491"/>
      <c r="HT97" s="491"/>
      <c r="HU97" s="491"/>
      <c r="HV97" s="491"/>
      <c r="HW97" s="491"/>
      <c r="HX97" s="491"/>
      <c r="HY97" s="491"/>
      <c r="HZ97" s="491"/>
      <c r="IA97" s="491"/>
      <c r="IB97" s="491"/>
      <c r="IC97" s="491"/>
      <c r="ID97" s="491"/>
      <c r="IE97" s="491"/>
      <c r="IF97" s="491"/>
      <c r="IG97" s="491"/>
      <c r="IH97" s="491"/>
      <c r="II97" s="491"/>
      <c r="IJ97" s="491"/>
      <c r="IK97" s="491"/>
      <c r="IL97" s="491"/>
      <c r="IM97" s="491"/>
      <c r="IN97" s="491"/>
      <c r="IO97" s="491"/>
      <c r="IP97" s="491"/>
      <c r="IQ97" s="491"/>
      <c r="IR97" s="491"/>
      <c r="IS97" s="491"/>
      <c r="IT97" s="491"/>
      <c r="IU97" s="491"/>
      <c r="IV97" s="491"/>
      <c r="IW97" s="491"/>
      <c r="IX97" s="491"/>
      <c r="IY97" s="491"/>
      <c r="IZ97" s="491"/>
      <c r="JA97" s="491"/>
      <c r="JB97" s="491"/>
      <c r="JC97" s="491"/>
      <c r="JD97" s="491"/>
      <c r="JE97" s="491"/>
      <c r="JF97" s="491"/>
      <c r="JG97" s="491"/>
      <c r="JH97" s="491"/>
      <c r="JI97" s="491"/>
      <c r="JJ97" s="491"/>
      <c r="JK97" s="491"/>
      <c r="JL97" s="491"/>
      <c r="JM97" s="491"/>
      <c r="JN97" s="491"/>
      <c r="JO97" s="491"/>
      <c r="JP97" s="491"/>
      <c r="JQ97" s="491"/>
      <c r="JR97" s="491"/>
      <c r="JS97" s="491"/>
      <c r="JT97" s="491"/>
      <c r="JU97" s="491"/>
      <c r="JV97" s="491"/>
      <c r="JW97" s="491"/>
      <c r="JX97" s="491"/>
      <c r="JY97" s="491"/>
      <c r="JZ97" s="491"/>
      <c r="KA97" s="491"/>
      <c r="KB97" s="526"/>
      <c r="KC97" s="491"/>
      <c r="KD97" s="491"/>
      <c r="KE97" s="491"/>
      <c r="KF97" s="491"/>
      <c r="KG97" s="491"/>
      <c r="KH97" s="491"/>
      <c r="KI97" s="491"/>
      <c r="KJ97" s="491"/>
      <c r="KK97" s="491"/>
      <c r="KL97" s="491"/>
      <c r="KM97" s="491"/>
      <c r="KN97" s="491"/>
      <c r="KO97" s="491"/>
      <c r="KP97" s="491"/>
      <c r="KQ97" s="491"/>
      <c r="KR97" s="491"/>
      <c r="KS97" s="491"/>
      <c r="KT97" s="491"/>
      <c r="KU97" s="491"/>
      <c r="KV97" s="491"/>
      <c r="KW97" s="491"/>
      <c r="KX97" s="491"/>
      <c r="KY97" s="491"/>
      <c r="KZ97" s="491"/>
      <c r="LA97" s="491"/>
      <c r="LB97" s="491"/>
      <c r="LC97" s="491"/>
      <c r="LD97" s="491"/>
      <c r="LE97" s="491"/>
      <c r="LF97" s="491"/>
      <c r="LG97" s="491"/>
      <c r="LH97" s="491"/>
      <c r="LI97" s="491"/>
      <c r="LJ97" s="491"/>
      <c r="LK97" s="491"/>
      <c r="LL97" s="491"/>
      <c r="LM97" s="491"/>
      <c r="LN97" s="491"/>
      <c r="LO97" s="491"/>
      <c r="LP97" s="491"/>
      <c r="LQ97" s="491"/>
      <c r="LR97" s="491"/>
      <c r="LS97" s="491"/>
      <c r="LT97" s="491"/>
      <c r="LU97" s="491"/>
      <c r="LV97" s="491"/>
      <c r="LW97" s="491"/>
      <c r="LX97" s="491"/>
      <c r="LY97" s="491"/>
      <c r="LZ97" s="491"/>
      <c r="MA97" s="491"/>
      <c r="MB97" s="491"/>
      <c r="MC97" s="491"/>
      <c r="MD97" s="491"/>
      <c r="ME97" s="491"/>
      <c r="MF97" s="491"/>
      <c r="MG97" s="491"/>
      <c r="MH97" s="491"/>
      <c r="MI97" s="491"/>
      <c r="MJ97" s="491"/>
      <c r="MK97" s="491"/>
      <c r="ML97" s="491"/>
      <c r="MM97" s="491"/>
      <c r="MN97" s="491"/>
      <c r="MO97" s="491"/>
      <c r="MP97" s="491"/>
      <c r="MQ97" s="491"/>
      <c r="MR97" s="491"/>
      <c r="MS97" s="491"/>
      <c r="MT97" s="491"/>
      <c r="MU97" s="491"/>
      <c r="MV97" s="491"/>
      <c r="MW97" s="491"/>
      <c r="MX97" s="491"/>
      <c r="MY97" s="491"/>
      <c r="MZ97" s="491"/>
      <c r="NA97" s="491"/>
      <c r="NB97" s="491"/>
      <c r="NC97" s="491"/>
      <c r="ND97" s="491"/>
      <c r="NE97" s="491"/>
      <c r="NF97" s="491"/>
      <c r="NG97" s="491"/>
      <c r="NH97" s="491"/>
      <c r="NI97" s="491"/>
      <c r="NJ97" s="491"/>
      <c r="NK97" s="491"/>
      <c r="NL97" s="491"/>
      <c r="NM97" s="491"/>
      <c r="NN97" s="491"/>
      <c r="NO97" s="491"/>
      <c r="NP97" s="491"/>
      <c r="NQ97" s="491"/>
      <c r="NR97" s="491"/>
      <c r="NS97" s="491"/>
      <c r="NT97" s="491"/>
      <c r="NU97" s="491"/>
      <c r="NV97" s="491"/>
      <c r="NW97" s="491"/>
      <c r="NX97" s="491"/>
      <c r="PW97" s="482"/>
    </row>
    <row r="98" spans="12:439" ht="12.75" customHeight="1" x14ac:dyDescent="0.35">
      <c r="L98" s="655"/>
      <c r="AU98" s="491"/>
      <c r="AV98" s="491"/>
      <c r="AW98" s="491"/>
      <c r="AX98" s="491"/>
      <c r="AY98" s="491"/>
      <c r="AZ98" s="491"/>
      <c r="BA98" s="491"/>
      <c r="BB98" s="491"/>
      <c r="BC98" s="491"/>
      <c r="BD98" s="491"/>
      <c r="BE98" s="491"/>
      <c r="BF98" s="491"/>
      <c r="BG98" s="491"/>
      <c r="BH98" s="491"/>
      <c r="BI98" s="491"/>
      <c r="BJ98" s="491"/>
      <c r="BK98" s="491"/>
      <c r="BL98" s="491"/>
      <c r="BM98" s="491"/>
      <c r="BN98" s="491"/>
      <c r="BO98" s="491"/>
      <c r="BP98" s="491"/>
      <c r="BQ98" s="491"/>
      <c r="BR98" s="491"/>
      <c r="BS98" s="491"/>
      <c r="BT98" s="491"/>
      <c r="BU98" s="491"/>
      <c r="BV98" s="491"/>
      <c r="BW98" s="491"/>
      <c r="BX98" s="491"/>
      <c r="BY98" s="491"/>
      <c r="BZ98" s="491"/>
      <c r="CA98" s="491"/>
      <c r="CB98" s="491"/>
      <c r="CC98" s="491"/>
      <c r="CD98" s="491"/>
      <c r="CE98" s="491"/>
      <c r="CF98" s="491"/>
      <c r="CG98" s="491"/>
      <c r="CH98" s="491"/>
      <c r="CI98" s="491"/>
      <c r="CJ98" s="491"/>
      <c r="CK98" s="491"/>
      <c r="CL98" s="491"/>
      <c r="CM98" s="491"/>
      <c r="CN98" s="491"/>
      <c r="CO98" s="491"/>
      <c r="CP98" s="491"/>
      <c r="CQ98" s="491"/>
      <c r="CR98" s="491"/>
      <c r="CS98" s="491"/>
      <c r="CT98" s="491"/>
      <c r="CU98" s="491"/>
      <c r="CV98" s="491"/>
      <c r="CW98" s="491"/>
      <c r="CX98" s="491"/>
      <c r="CY98" s="491"/>
      <c r="CZ98" s="491"/>
      <c r="DA98" s="491"/>
      <c r="DB98" s="491"/>
      <c r="DC98" s="491"/>
      <c r="DD98" s="491"/>
      <c r="DE98" s="491"/>
      <c r="DF98" s="491"/>
      <c r="DG98" s="491"/>
      <c r="DH98" s="491"/>
      <c r="DI98" s="491"/>
      <c r="DJ98" s="491"/>
      <c r="DK98" s="491"/>
      <c r="DL98" s="491"/>
      <c r="DM98" s="491"/>
      <c r="DN98" s="491"/>
      <c r="DO98" s="491"/>
      <c r="DP98" s="491"/>
      <c r="DQ98" s="491"/>
      <c r="DR98" s="491"/>
      <c r="DS98" s="491"/>
      <c r="DT98" s="491"/>
      <c r="DU98" s="491"/>
      <c r="DV98" s="491"/>
      <c r="DW98" s="491"/>
      <c r="DX98" s="491"/>
      <c r="DY98" s="491"/>
      <c r="DZ98" s="491"/>
      <c r="EA98" s="491"/>
      <c r="EB98" s="491"/>
      <c r="EC98" s="491"/>
      <c r="ED98" s="491"/>
      <c r="EE98" s="491"/>
      <c r="EF98" s="491"/>
      <c r="EG98" s="491"/>
      <c r="EH98" s="491"/>
      <c r="EI98" s="491"/>
      <c r="EJ98" s="491"/>
      <c r="EK98" s="491"/>
      <c r="EL98" s="491"/>
      <c r="EM98" s="491"/>
      <c r="EN98" s="491"/>
      <c r="EO98" s="491"/>
      <c r="EP98" s="491"/>
      <c r="EQ98" s="491"/>
      <c r="ER98" s="491"/>
      <c r="ES98" s="491"/>
      <c r="ET98" s="491"/>
      <c r="EU98" s="491"/>
      <c r="EV98" s="491"/>
      <c r="EW98" s="491"/>
      <c r="EX98" s="491"/>
      <c r="EY98" s="491"/>
      <c r="EZ98" s="491"/>
      <c r="FA98" s="491"/>
      <c r="FB98" s="491"/>
      <c r="FC98" s="491"/>
      <c r="FD98" s="491"/>
      <c r="FE98" s="491"/>
      <c r="FF98" s="491"/>
      <c r="FG98" s="491"/>
      <c r="FH98" s="491"/>
      <c r="FI98" s="491"/>
      <c r="FJ98" s="491"/>
      <c r="FK98" s="491"/>
      <c r="FL98" s="491"/>
      <c r="FM98" s="491"/>
      <c r="FN98" s="491"/>
      <c r="FO98" s="491"/>
      <c r="FP98" s="491"/>
      <c r="FQ98" s="491"/>
      <c r="FR98" s="491"/>
      <c r="FS98" s="491"/>
      <c r="FT98" s="491"/>
      <c r="FU98" s="491"/>
      <c r="FV98" s="491"/>
      <c r="FW98" s="491"/>
      <c r="FX98" s="491"/>
      <c r="FY98" s="491"/>
      <c r="FZ98" s="491"/>
      <c r="GA98" s="491"/>
      <c r="GB98" s="491"/>
      <c r="GC98" s="491"/>
      <c r="GD98" s="491"/>
      <c r="GE98" s="491"/>
      <c r="GF98" s="491"/>
      <c r="GG98" s="491"/>
      <c r="GH98" s="491"/>
      <c r="GI98" s="491"/>
      <c r="GJ98" s="491"/>
      <c r="GK98" s="491"/>
      <c r="GL98" s="491"/>
      <c r="GM98" s="491"/>
      <c r="GN98" s="491"/>
      <c r="GO98" s="526"/>
      <c r="GP98" s="491"/>
      <c r="GQ98" s="491"/>
      <c r="GR98" s="491"/>
      <c r="GS98" s="491"/>
      <c r="GT98" s="491"/>
      <c r="GU98" s="491"/>
      <c r="GV98" s="491"/>
      <c r="GW98" s="491"/>
      <c r="GX98" s="491"/>
      <c r="GY98" s="491"/>
      <c r="GZ98" s="491"/>
      <c r="HA98" s="491"/>
      <c r="HB98" s="491"/>
      <c r="HC98" s="491"/>
      <c r="HD98" s="491"/>
      <c r="HE98" s="491"/>
      <c r="HF98" s="491"/>
      <c r="HG98" s="491"/>
      <c r="HH98" s="491"/>
      <c r="HI98" s="491"/>
      <c r="HJ98" s="491"/>
      <c r="HK98" s="491"/>
      <c r="HL98" s="491"/>
      <c r="HM98" s="491"/>
      <c r="HN98" s="491"/>
      <c r="HO98" s="491"/>
      <c r="HP98" s="491"/>
      <c r="HQ98" s="491"/>
      <c r="HR98" s="491"/>
      <c r="HS98" s="491"/>
      <c r="HT98" s="491"/>
      <c r="HU98" s="491"/>
      <c r="HV98" s="491"/>
      <c r="HW98" s="491"/>
      <c r="HX98" s="491"/>
      <c r="HY98" s="491"/>
      <c r="HZ98" s="491"/>
      <c r="IA98" s="491"/>
      <c r="IB98" s="491"/>
      <c r="IC98" s="491"/>
      <c r="ID98" s="491"/>
      <c r="IE98" s="491"/>
      <c r="IF98" s="491"/>
      <c r="IG98" s="491"/>
      <c r="IH98" s="491"/>
      <c r="II98" s="491"/>
      <c r="IJ98" s="491"/>
      <c r="IK98" s="491"/>
      <c r="IL98" s="491"/>
      <c r="IM98" s="491"/>
      <c r="IN98" s="491"/>
      <c r="IO98" s="491"/>
      <c r="IP98" s="491"/>
      <c r="IQ98" s="491"/>
      <c r="IR98" s="491"/>
      <c r="IS98" s="491"/>
      <c r="IT98" s="491"/>
      <c r="IU98" s="491"/>
      <c r="IV98" s="491"/>
      <c r="IW98" s="491"/>
      <c r="IX98" s="491"/>
      <c r="IY98" s="491"/>
      <c r="IZ98" s="491"/>
      <c r="JA98" s="491"/>
      <c r="JB98" s="491"/>
      <c r="JC98" s="491"/>
      <c r="JD98" s="491"/>
      <c r="JE98" s="491"/>
      <c r="JF98" s="491"/>
      <c r="JG98" s="491"/>
      <c r="JH98" s="491"/>
      <c r="JI98" s="491"/>
      <c r="JJ98" s="491"/>
      <c r="JK98" s="491"/>
      <c r="JL98" s="491"/>
      <c r="JM98" s="491"/>
      <c r="JN98" s="491"/>
      <c r="JO98" s="491"/>
      <c r="JP98" s="491"/>
      <c r="JQ98" s="491"/>
      <c r="JR98" s="491"/>
      <c r="JS98" s="491"/>
      <c r="JT98" s="491"/>
      <c r="JU98" s="491"/>
      <c r="JV98" s="491"/>
      <c r="JW98" s="491"/>
      <c r="JX98" s="491"/>
      <c r="JY98" s="491"/>
      <c r="JZ98" s="491"/>
      <c r="KA98" s="491"/>
      <c r="KB98" s="526"/>
      <c r="KC98" s="491"/>
      <c r="KD98" s="491"/>
      <c r="KE98" s="491"/>
      <c r="KF98" s="491"/>
      <c r="KG98" s="491"/>
      <c r="KH98" s="491"/>
      <c r="KI98" s="491"/>
      <c r="KJ98" s="491"/>
      <c r="KK98" s="491"/>
      <c r="KL98" s="491"/>
      <c r="KM98" s="491"/>
      <c r="KN98" s="491"/>
      <c r="KO98" s="491"/>
      <c r="KP98" s="491"/>
      <c r="KQ98" s="491"/>
      <c r="KR98" s="491"/>
      <c r="KS98" s="491"/>
      <c r="KT98" s="491"/>
      <c r="KU98" s="491"/>
      <c r="KV98" s="491"/>
      <c r="KW98" s="491"/>
      <c r="KX98" s="491"/>
      <c r="KY98" s="491"/>
      <c r="KZ98" s="491"/>
      <c r="LA98" s="491"/>
      <c r="LB98" s="491"/>
      <c r="LC98" s="491"/>
      <c r="LD98" s="491"/>
      <c r="LE98" s="491"/>
      <c r="LF98" s="491"/>
      <c r="LG98" s="491"/>
      <c r="LH98" s="491"/>
      <c r="LI98" s="491"/>
      <c r="LJ98" s="491"/>
      <c r="LK98" s="491"/>
      <c r="LL98" s="491"/>
      <c r="LM98" s="491"/>
      <c r="LN98" s="491"/>
      <c r="LO98" s="491"/>
      <c r="LP98" s="491"/>
      <c r="LQ98" s="491"/>
      <c r="LR98" s="491"/>
      <c r="LS98" s="491"/>
      <c r="LT98" s="491"/>
      <c r="LU98" s="491"/>
      <c r="LV98" s="491"/>
      <c r="LW98" s="491"/>
      <c r="LX98" s="491"/>
      <c r="LY98" s="491"/>
      <c r="LZ98" s="491"/>
      <c r="MA98" s="491"/>
      <c r="MB98" s="491"/>
      <c r="MC98" s="491"/>
      <c r="MD98" s="491"/>
      <c r="ME98" s="491"/>
      <c r="MF98" s="491"/>
      <c r="MG98" s="491"/>
      <c r="MH98" s="491"/>
      <c r="MI98" s="491"/>
      <c r="MJ98" s="491"/>
      <c r="MK98" s="491"/>
      <c r="ML98" s="491"/>
      <c r="MM98" s="491"/>
      <c r="MN98" s="491"/>
      <c r="MO98" s="491"/>
      <c r="MP98" s="491"/>
      <c r="MQ98" s="491"/>
      <c r="MR98" s="491"/>
      <c r="MS98" s="491"/>
      <c r="MT98" s="491"/>
      <c r="MU98" s="491"/>
      <c r="MV98" s="491"/>
      <c r="MW98" s="491"/>
      <c r="MX98" s="491"/>
      <c r="MY98" s="491"/>
      <c r="MZ98" s="491"/>
      <c r="NA98" s="491"/>
      <c r="NB98" s="491"/>
      <c r="NC98" s="491"/>
      <c r="ND98" s="491"/>
      <c r="NE98" s="491"/>
      <c r="NF98" s="491"/>
      <c r="NG98" s="491"/>
      <c r="NH98" s="491"/>
      <c r="NI98" s="491"/>
      <c r="NJ98" s="491"/>
      <c r="NK98" s="491"/>
      <c r="NL98" s="491"/>
      <c r="NM98" s="491"/>
      <c r="NN98" s="491"/>
      <c r="NO98" s="491"/>
      <c r="NP98" s="491"/>
      <c r="NQ98" s="491"/>
      <c r="NR98" s="491"/>
      <c r="NS98" s="491"/>
      <c r="NT98" s="491"/>
      <c r="NU98" s="491"/>
      <c r="NV98" s="491"/>
      <c r="NW98" s="491"/>
      <c r="NX98" s="491"/>
      <c r="PW98" s="482"/>
    </row>
    <row r="99" spans="12:439" ht="12.75" customHeight="1" x14ac:dyDescent="0.35">
      <c r="L99" s="655"/>
      <c r="GO99" s="666"/>
      <c r="KB99" s="666"/>
      <c r="KC99" s="667"/>
      <c r="KD99" s="668"/>
      <c r="KE99" s="668"/>
      <c r="KF99" s="668"/>
      <c r="KG99" s="668"/>
      <c r="KH99" s="668"/>
      <c r="KI99" s="668"/>
      <c r="KJ99" s="668"/>
      <c r="KK99" s="668"/>
      <c r="KL99" s="668"/>
      <c r="KM99" s="668"/>
      <c r="KN99" s="668"/>
      <c r="KO99" s="668"/>
      <c r="KP99" s="668"/>
      <c r="KQ99" s="668"/>
      <c r="KR99" s="668"/>
      <c r="KS99" s="668"/>
      <c r="KT99" s="668"/>
      <c r="KU99" s="668"/>
      <c r="KV99" s="668"/>
      <c r="KW99" s="668"/>
      <c r="KX99" s="668"/>
      <c r="KY99" s="668"/>
      <c r="KZ99" s="668"/>
      <c r="LA99" s="668"/>
      <c r="LB99" s="668"/>
      <c r="LC99" s="668"/>
      <c r="LD99" s="668"/>
      <c r="LE99" s="668"/>
      <c r="LF99" s="668"/>
      <c r="LG99" s="668"/>
      <c r="LH99" s="668"/>
      <c r="LI99" s="668"/>
      <c r="LJ99" s="668"/>
      <c r="LK99" s="668"/>
      <c r="LL99" s="668"/>
      <c r="LM99" s="668"/>
      <c r="LN99" s="668"/>
      <c r="LO99" s="668"/>
      <c r="LP99" s="668"/>
      <c r="LQ99" s="668"/>
      <c r="LR99" s="668"/>
      <c r="LS99" s="668"/>
      <c r="LT99" s="668"/>
      <c r="LU99" s="668"/>
      <c r="LV99" s="668"/>
      <c r="LW99" s="668"/>
      <c r="LX99" s="668"/>
      <c r="LY99" s="668"/>
      <c r="LZ99" s="668"/>
      <c r="MA99" s="668"/>
      <c r="MB99" s="668"/>
      <c r="MC99" s="668"/>
      <c r="MD99" s="668"/>
      <c r="ME99" s="668"/>
      <c r="MF99" s="668"/>
      <c r="MG99" s="668"/>
      <c r="MH99" s="668"/>
      <c r="MI99" s="668"/>
      <c r="MJ99" s="668"/>
      <c r="MK99" s="668"/>
      <c r="ML99" s="668"/>
      <c r="MM99" s="668"/>
      <c r="MN99" s="668"/>
      <c r="MO99" s="668"/>
      <c r="MP99" s="668"/>
      <c r="MQ99" s="668"/>
      <c r="MR99" s="668"/>
      <c r="MS99" s="668"/>
      <c r="MT99" s="668"/>
      <c r="MU99" s="668"/>
      <c r="MV99" s="668"/>
      <c r="MW99" s="668"/>
      <c r="MX99" s="668"/>
      <c r="MY99" s="668"/>
      <c r="MZ99" s="668"/>
      <c r="NA99" s="668"/>
      <c r="NB99" s="668"/>
      <c r="NC99" s="668"/>
      <c r="ND99" s="668"/>
      <c r="NE99" s="668"/>
      <c r="NF99" s="668"/>
      <c r="NG99" s="668"/>
      <c r="NH99" s="668"/>
      <c r="NI99" s="668"/>
      <c r="NJ99" s="668"/>
      <c r="NK99" s="668"/>
      <c r="NL99" s="668"/>
      <c r="NM99" s="668"/>
      <c r="NN99" s="668"/>
      <c r="NO99" s="668"/>
      <c r="NP99" s="668"/>
      <c r="NQ99" s="668"/>
      <c r="NR99" s="668"/>
      <c r="NS99" s="668"/>
      <c r="NT99" s="668"/>
      <c r="NU99" s="668"/>
      <c r="NV99" s="668"/>
      <c r="NW99" s="668"/>
      <c r="NX99" s="668"/>
      <c r="NY99" s="668"/>
      <c r="PW99" s="482"/>
    </row>
    <row r="100" spans="12:439" ht="12.75" customHeight="1" x14ac:dyDescent="0.35">
      <c r="L100" s="655"/>
      <c r="GO100" s="666"/>
      <c r="NZ100" s="669"/>
      <c r="PW100" s="482"/>
    </row>
    <row r="101" spans="12:439" ht="12.75" customHeight="1" x14ac:dyDescent="0.35">
      <c r="L101" s="655"/>
      <c r="GO101" s="670"/>
      <c r="NZ101" s="666"/>
      <c r="PW101" s="482"/>
    </row>
    <row r="102" spans="12:439" ht="12.75" customHeight="1" x14ac:dyDescent="0.35">
      <c r="L102" s="655"/>
      <c r="GJ102" s="558">
        <v>1</v>
      </c>
      <c r="GK102" s="1466" t="s">
        <v>140</v>
      </c>
      <c r="GL102" s="1467"/>
      <c r="GM102" s="1467"/>
      <c r="GN102" s="1467"/>
      <c r="GO102" s="1467"/>
      <c r="GP102" s="1467"/>
      <c r="GQ102" s="1467"/>
      <c r="GR102" s="1467"/>
      <c r="GS102" s="1467"/>
      <c r="GT102" s="1468"/>
      <c r="GU102" s="488"/>
      <c r="NZ102" s="666"/>
      <c r="PW102" s="482"/>
    </row>
    <row r="103" spans="12:439" ht="12.75" customHeight="1" x14ac:dyDescent="0.35">
      <c r="L103" s="655"/>
      <c r="GJ103" s="1551" t="s">
        <v>5135</v>
      </c>
      <c r="GK103" s="1552"/>
      <c r="GL103" s="1552"/>
      <c r="GM103" s="1552"/>
      <c r="GN103" s="1552"/>
      <c r="GO103" s="1552"/>
      <c r="GP103" s="1552"/>
      <c r="GQ103" s="1552"/>
      <c r="GR103" s="1552"/>
      <c r="GS103" s="1552"/>
      <c r="GT103" s="1553"/>
      <c r="NZ103" s="666"/>
      <c r="PW103" s="482"/>
    </row>
    <row r="104" spans="12:439" ht="12.75" customHeight="1" x14ac:dyDescent="0.35">
      <c r="L104" s="655"/>
      <c r="GO104" s="671"/>
      <c r="NZ104" s="666"/>
      <c r="PW104" s="482"/>
    </row>
    <row r="105" spans="12:439" ht="12.75" customHeight="1" x14ac:dyDescent="0.35">
      <c r="L105" s="655"/>
      <c r="GO105" s="666"/>
      <c r="NZ105" s="666"/>
      <c r="PW105" s="482"/>
    </row>
    <row r="106" spans="12:439" ht="12.75" customHeight="1" x14ac:dyDescent="0.35">
      <c r="L106" s="655"/>
      <c r="AH106" s="668"/>
      <c r="AI106" s="668"/>
      <c r="AJ106" s="668"/>
      <c r="AK106" s="668"/>
      <c r="AL106" s="668"/>
      <c r="AM106" s="668"/>
      <c r="AN106" s="668"/>
      <c r="AO106" s="668"/>
      <c r="AP106" s="668"/>
      <c r="AQ106" s="668"/>
      <c r="AR106" s="668"/>
      <c r="AS106" s="668"/>
      <c r="AT106" s="668"/>
      <c r="AU106" s="668"/>
      <c r="AV106" s="668"/>
      <c r="AW106" s="668"/>
      <c r="AX106" s="668"/>
      <c r="AY106" s="668"/>
      <c r="AZ106" s="668"/>
      <c r="BA106" s="668"/>
      <c r="BB106" s="668"/>
      <c r="BC106" s="668"/>
      <c r="BD106" s="668"/>
      <c r="BE106" s="668"/>
      <c r="BF106" s="668"/>
      <c r="BG106" s="668"/>
      <c r="BH106" s="668"/>
      <c r="BI106" s="668"/>
      <c r="BJ106" s="668"/>
      <c r="BK106" s="668"/>
      <c r="BL106" s="668"/>
      <c r="BM106" s="668"/>
      <c r="BN106" s="668"/>
      <c r="BO106" s="668"/>
      <c r="BP106" s="668"/>
      <c r="BQ106" s="668"/>
      <c r="BR106" s="668"/>
      <c r="BS106" s="668"/>
      <c r="BT106" s="668"/>
      <c r="BU106" s="668"/>
      <c r="BV106" s="668"/>
      <c r="BW106" s="668"/>
      <c r="BX106" s="668"/>
      <c r="BY106" s="668"/>
      <c r="BZ106" s="668"/>
      <c r="CA106" s="668"/>
      <c r="CB106" s="668"/>
      <c r="CC106" s="668"/>
      <c r="CD106" s="668"/>
      <c r="CE106" s="668"/>
      <c r="CF106" s="668"/>
      <c r="CG106" s="668"/>
      <c r="CH106" s="668"/>
      <c r="CI106" s="668"/>
      <c r="CJ106" s="668"/>
      <c r="CK106" s="668"/>
      <c r="CL106" s="668"/>
      <c r="CM106" s="668"/>
      <c r="CN106" s="668"/>
      <c r="CO106" s="668"/>
      <c r="CP106" s="668"/>
      <c r="CQ106" s="668"/>
      <c r="CR106" s="668"/>
      <c r="CS106" s="668"/>
      <c r="CT106" s="668"/>
      <c r="CU106" s="668"/>
      <c r="CV106" s="668"/>
      <c r="CW106" s="668"/>
      <c r="CX106" s="668"/>
      <c r="CY106" s="668"/>
      <c r="CZ106" s="668"/>
      <c r="DA106" s="668"/>
      <c r="DB106" s="668"/>
      <c r="DC106" s="668"/>
      <c r="DD106" s="668"/>
      <c r="DE106" s="668"/>
      <c r="DF106" s="668"/>
      <c r="DG106" s="668"/>
      <c r="DH106" s="668"/>
      <c r="DI106" s="668"/>
      <c r="DJ106" s="668"/>
      <c r="DK106" s="668"/>
      <c r="DL106" s="668"/>
      <c r="DM106" s="668"/>
      <c r="DN106" s="668"/>
      <c r="DO106" s="668"/>
      <c r="DP106" s="668"/>
      <c r="DQ106" s="668"/>
      <c r="DR106" s="668"/>
      <c r="DS106" s="668"/>
      <c r="DT106" s="668"/>
      <c r="DU106" s="668"/>
      <c r="DV106" s="668"/>
      <c r="DW106" s="668"/>
      <c r="DX106" s="668"/>
      <c r="DY106" s="668"/>
      <c r="DZ106" s="668"/>
      <c r="EA106" s="668"/>
      <c r="EB106" s="668"/>
      <c r="EC106" s="668"/>
      <c r="ED106" s="668"/>
      <c r="EE106" s="668"/>
      <c r="EF106" s="668"/>
      <c r="EG106" s="668"/>
      <c r="EH106" s="668"/>
      <c r="EI106" s="668"/>
      <c r="EJ106" s="668"/>
      <c r="EK106" s="668"/>
      <c r="EL106" s="668"/>
      <c r="EM106" s="668"/>
      <c r="EN106" s="668"/>
      <c r="EO106" s="668"/>
      <c r="EP106" s="668"/>
      <c r="EQ106" s="668"/>
      <c r="ER106" s="668"/>
      <c r="ES106" s="668"/>
      <c r="ET106" s="668"/>
      <c r="EU106" s="668"/>
      <c r="EV106" s="668"/>
      <c r="EW106" s="668"/>
      <c r="EX106" s="668"/>
      <c r="EY106" s="668"/>
      <c r="EZ106" s="668"/>
      <c r="FA106" s="668"/>
      <c r="FB106" s="668"/>
      <c r="FC106" s="668"/>
      <c r="FD106" s="668"/>
      <c r="FE106" s="668"/>
      <c r="FF106" s="668"/>
      <c r="FG106" s="668"/>
      <c r="FH106" s="668"/>
      <c r="FI106" s="668"/>
      <c r="FJ106" s="668"/>
      <c r="FK106" s="668"/>
      <c r="FL106" s="668"/>
      <c r="FM106" s="668"/>
      <c r="FN106" s="668"/>
      <c r="FO106" s="668"/>
      <c r="FP106" s="668"/>
      <c r="FQ106" s="668"/>
      <c r="FR106" s="668"/>
      <c r="FS106" s="668"/>
      <c r="FT106" s="668"/>
      <c r="FU106" s="668"/>
      <c r="FV106" s="668"/>
      <c r="FW106" s="668"/>
      <c r="FX106" s="668"/>
      <c r="FY106" s="668"/>
      <c r="FZ106" s="668"/>
      <c r="GA106" s="668"/>
      <c r="GB106" s="668"/>
      <c r="GC106" s="668"/>
      <c r="GD106" s="668"/>
      <c r="GE106" s="668"/>
      <c r="GF106" s="668"/>
      <c r="GG106" s="668"/>
      <c r="GH106" s="668"/>
      <c r="GI106" s="668"/>
      <c r="GJ106" s="668"/>
      <c r="GK106" s="668"/>
      <c r="GL106" s="668"/>
      <c r="GM106" s="668"/>
      <c r="GN106" s="668"/>
      <c r="GO106" s="672"/>
      <c r="GP106" s="668"/>
      <c r="GQ106" s="668"/>
      <c r="GR106" s="668"/>
      <c r="GS106" s="668"/>
      <c r="GT106" s="668"/>
      <c r="GU106" s="668"/>
      <c r="GV106" s="668"/>
      <c r="GW106" s="668"/>
      <c r="GX106" s="668"/>
      <c r="GY106" s="668"/>
      <c r="GZ106" s="668"/>
      <c r="HA106" s="668"/>
      <c r="HB106" s="668"/>
      <c r="HC106" s="668"/>
      <c r="HD106" s="668"/>
      <c r="HE106" s="668"/>
      <c r="HF106" s="668"/>
      <c r="HG106" s="668"/>
      <c r="HH106" s="668"/>
      <c r="HI106" s="668"/>
      <c r="HJ106" s="668"/>
      <c r="HK106" s="668"/>
      <c r="HL106" s="668"/>
      <c r="HM106" s="668"/>
      <c r="HN106" s="668"/>
      <c r="HO106" s="668"/>
      <c r="HP106" s="668"/>
      <c r="HQ106" s="668"/>
      <c r="HR106" s="668"/>
      <c r="HS106" s="668"/>
      <c r="HT106" s="668"/>
      <c r="HU106" s="668"/>
      <c r="HV106" s="668"/>
      <c r="HW106" s="668"/>
      <c r="HX106" s="668"/>
      <c r="HY106" s="668"/>
      <c r="HZ106" s="668"/>
      <c r="IA106" s="668"/>
      <c r="IB106" s="668"/>
      <c r="IC106" s="668"/>
      <c r="ID106" s="668"/>
      <c r="IE106" s="668"/>
      <c r="IF106" s="668"/>
      <c r="IG106" s="668"/>
      <c r="IH106" s="668"/>
      <c r="II106" s="668"/>
      <c r="IJ106" s="668"/>
      <c r="IK106" s="668"/>
      <c r="IL106" s="668"/>
      <c r="IM106" s="668"/>
      <c r="IN106" s="668"/>
      <c r="IO106" s="668"/>
      <c r="IP106" s="668"/>
      <c r="IQ106" s="668"/>
      <c r="IR106" s="668"/>
      <c r="IS106" s="668"/>
      <c r="IT106" s="668"/>
      <c r="IU106" s="668"/>
      <c r="IV106" s="668"/>
      <c r="IW106" s="668"/>
      <c r="IX106" s="668"/>
      <c r="IY106" s="668"/>
      <c r="IZ106" s="668"/>
      <c r="JA106" s="668"/>
      <c r="JB106" s="668"/>
      <c r="JC106" s="668"/>
      <c r="JD106" s="668"/>
      <c r="JE106" s="668"/>
      <c r="JF106" s="668"/>
      <c r="JG106" s="668"/>
      <c r="JH106" s="668"/>
      <c r="JI106" s="668"/>
      <c r="JJ106" s="668"/>
      <c r="JK106" s="668"/>
      <c r="JL106" s="668"/>
      <c r="JM106" s="668"/>
      <c r="JN106" s="668"/>
      <c r="JO106" s="668"/>
      <c r="JP106" s="668"/>
      <c r="JQ106" s="668"/>
      <c r="JR106" s="668"/>
      <c r="JS106" s="668"/>
      <c r="JT106" s="668"/>
      <c r="JU106" s="668"/>
      <c r="JV106" s="668"/>
      <c r="JW106" s="668"/>
      <c r="JX106" s="668"/>
      <c r="JY106" s="668"/>
      <c r="JZ106" s="668"/>
      <c r="KA106" s="668"/>
      <c r="KB106" s="668"/>
      <c r="KC106" s="668"/>
      <c r="KD106" s="668"/>
      <c r="KE106" s="668"/>
      <c r="KF106" s="668"/>
      <c r="KG106" s="668"/>
      <c r="KH106" s="668"/>
      <c r="KI106" s="668"/>
      <c r="KJ106" s="668"/>
      <c r="KK106" s="668"/>
      <c r="KL106" s="668"/>
      <c r="KM106" s="668"/>
      <c r="KN106" s="668"/>
      <c r="KO106" s="668"/>
      <c r="KP106" s="668"/>
      <c r="KQ106" s="668"/>
      <c r="KR106" s="668"/>
      <c r="KS106" s="668"/>
      <c r="KT106" s="668"/>
      <c r="KU106" s="668"/>
      <c r="KV106" s="668"/>
      <c r="KW106" s="668"/>
      <c r="KX106" s="668"/>
      <c r="KY106" s="668"/>
      <c r="KZ106" s="668"/>
      <c r="LA106" s="668"/>
      <c r="LB106" s="668"/>
      <c r="LC106" s="668"/>
      <c r="LD106" s="668"/>
      <c r="LE106" s="668"/>
      <c r="LF106" s="668"/>
      <c r="LG106" s="668"/>
      <c r="LH106" s="668"/>
      <c r="LI106" s="668"/>
      <c r="LJ106" s="668"/>
      <c r="LK106" s="668"/>
      <c r="LL106" s="668"/>
      <c r="LM106" s="668"/>
      <c r="LN106" s="668"/>
      <c r="LO106" s="668"/>
      <c r="LP106" s="668"/>
      <c r="LQ106" s="668"/>
      <c r="LR106" s="668"/>
      <c r="LS106" s="668"/>
      <c r="LT106" s="668"/>
      <c r="LU106" s="668"/>
      <c r="LV106" s="668"/>
      <c r="LW106" s="668"/>
      <c r="LX106" s="668"/>
      <c r="LY106" s="668"/>
      <c r="LZ106" s="668"/>
      <c r="MA106" s="668"/>
      <c r="MB106" s="668"/>
      <c r="MC106" s="668"/>
      <c r="MD106" s="668"/>
      <c r="ME106" s="668"/>
      <c r="MF106" s="668"/>
      <c r="MG106" s="668"/>
      <c r="MH106" s="668"/>
      <c r="MI106" s="668"/>
      <c r="MJ106" s="668"/>
      <c r="MK106" s="668"/>
      <c r="ML106" s="668"/>
      <c r="MM106" s="668"/>
      <c r="MN106" s="668"/>
      <c r="MO106" s="668"/>
      <c r="MP106" s="668"/>
      <c r="MQ106" s="668"/>
      <c r="MR106" s="668"/>
      <c r="MS106" s="668"/>
      <c r="MT106" s="668"/>
      <c r="MU106" s="668"/>
      <c r="MV106" s="668"/>
      <c r="MW106" s="668"/>
      <c r="MX106" s="668"/>
      <c r="MY106" s="668"/>
      <c r="MZ106" s="668"/>
      <c r="NA106" s="668"/>
      <c r="NB106" s="668"/>
      <c r="NC106" s="668"/>
      <c r="ND106" s="668"/>
      <c r="NE106" s="668"/>
      <c r="NF106" s="668"/>
      <c r="NG106" s="668"/>
      <c r="NH106" s="668"/>
      <c r="NI106" s="668"/>
      <c r="NJ106" s="668"/>
      <c r="NK106" s="668"/>
      <c r="NL106" s="668"/>
      <c r="NM106" s="668"/>
      <c r="NN106" s="668"/>
      <c r="NO106" s="668"/>
      <c r="NP106" s="668"/>
      <c r="NQ106" s="668"/>
      <c r="NR106" s="668"/>
      <c r="NS106" s="668"/>
      <c r="NT106" s="668"/>
      <c r="NU106" s="668"/>
      <c r="NV106" s="668"/>
      <c r="NW106" s="668"/>
      <c r="NX106" s="668"/>
      <c r="NY106" s="668"/>
      <c r="NZ106" s="672"/>
      <c r="PW106" s="482"/>
    </row>
    <row r="107" spans="12:439" ht="12.75" customHeight="1" x14ac:dyDescent="0.35">
      <c r="L107" s="655"/>
      <c r="AG107" s="670"/>
      <c r="BO107" s="666"/>
      <c r="CV107" s="673"/>
      <c r="EC107" s="666"/>
      <c r="GN107" s="674"/>
      <c r="GO107" s="670"/>
      <c r="GT107" s="488"/>
      <c r="KU107" s="674"/>
      <c r="LB107" s="491"/>
      <c r="NZ107" s="670"/>
      <c r="OA107" s="675"/>
      <c r="OE107" s="491"/>
      <c r="PW107" s="482"/>
    </row>
    <row r="108" spans="12:439" ht="12.75" customHeight="1" x14ac:dyDescent="0.35">
      <c r="L108" s="655"/>
      <c r="AD108" s="558">
        <v>1</v>
      </c>
      <c r="AE108" s="1466" t="s">
        <v>4784</v>
      </c>
      <c r="AF108" s="1467"/>
      <c r="AG108" s="1467"/>
      <c r="AH108" s="1467"/>
      <c r="AI108" s="1467"/>
      <c r="AJ108" s="1467"/>
      <c r="AK108" s="1467"/>
      <c r="AL108" s="1467"/>
      <c r="AM108" s="1468"/>
      <c r="AP108" s="676"/>
      <c r="AQ108" s="489"/>
      <c r="AR108" s="489"/>
      <c r="AW108" s="677"/>
      <c r="AX108" s="478"/>
      <c r="AY108" s="478"/>
      <c r="AZ108" s="478"/>
      <c r="BA108" s="478"/>
      <c r="BB108" s="478"/>
      <c r="BC108" s="478"/>
      <c r="BD108" s="489"/>
      <c r="BE108" s="489"/>
      <c r="BF108" s="489"/>
      <c r="BG108" s="489"/>
      <c r="BH108" s="489"/>
      <c r="BI108" s="489"/>
      <c r="BJ108" s="677"/>
      <c r="BK108" s="513">
        <v>1</v>
      </c>
      <c r="BL108" s="1456" t="s">
        <v>5136</v>
      </c>
      <c r="BM108" s="1457"/>
      <c r="BN108" s="1457"/>
      <c r="BO108" s="1457"/>
      <c r="BP108" s="1457"/>
      <c r="BQ108" s="1457"/>
      <c r="BR108" s="1457"/>
      <c r="BS108" s="1457"/>
      <c r="BT108" s="1458"/>
      <c r="BW108" s="676"/>
      <c r="CR108" s="487">
        <v>1</v>
      </c>
      <c r="CS108" s="1466" t="s">
        <v>5136</v>
      </c>
      <c r="CT108" s="1467"/>
      <c r="CU108" s="1467"/>
      <c r="CV108" s="1467"/>
      <c r="CW108" s="1467"/>
      <c r="CX108" s="1467"/>
      <c r="CY108" s="1467"/>
      <c r="CZ108" s="1467"/>
      <c r="DA108" s="1468"/>
      <c r="DE108" s="678"/>
      <c r="DF108" s="485"/>
      <c r="DG108" s="485"/>
      <c r="DH108" s="679"/>
      <c r="DI108" s="679"/>
      <c r="DJ108" s="679"/>
      <c r="DK108" s="679"/>
      <c r="DL108" s="679"/>
      <c r="DM108" s="679"/>
      <c r="DN108" s="679"/>
      <c r="DO108" s="676"/>
      <c r="DP108" s="676"/>
      <c r="DY108" s="487">
        <v>1</v>
      </c>
      <c r="DZ108" s="1466" t="s">
        <v>4965</v>
      </c>
      <c r="EA108" s="1467"/>
      <c r="EB108" s="1467"/>
      <c r="EC108" s="1467"/>
      <c r="ED108" s="1467"/>
      <c r="EE108" s="1467"/>
      <c r="EF108" s="1467"/>
      <c r="EG108" s="1467"/>
      <c r="EH108" s="1468"/>
      <c r="GJ108" s="557">
        <v>0.5</v>
      </c>
      <c r="GK108" s="1466" t="s">
        <v>4865</v>
      </c>
      <c r="GL108" s="1467"/>
      <c r="GM108" s="1467"/>
      <c r="GN108" s="1467"/>
      <c r="GO108" s="1467"/>
      <c r="GP108" s="1467"/>
      <c r="GQ108" s="1467"/>
      <c r="GR108" s="1467"/>
      <c r="GS108" s="1467"/>
      <c r="GT108" s="1468"/>
      <c r="KS108" s="487">
        <v>1</v>
      </c>
      <c r="KT108" s="1466" t="s">
        <v>5137</v>
      </c>
      <c r="KU108" s="1467"/>
      <c r="KV108" s="1467"/>
      <c r="KW108" s="1467"/>
      <c r="KX108" s="1467"/>
      <c r="KY108" s="1467"/>
      <c r="KZ108" s="1467"/>
      <c r="LA108" s="1467"/>
      <c r="LB108" s="1468"/>
      <c r="NV108" s="558">
        <v>1</v>
      </c>
      <c r="NW108" s="1550" t="s">
        <v>380</v>
      </c>
      <c r="NX108" s="1550"/>
      <c r="NY108" s="1550"/>
      <c r="NZ108" s="1550"/>
      <c r="OA108" s="1550"/>
      <c r="OB108" s="1550"/>
      <c r="OC108" s="1550"/>
      <c r="OD108" s="1550"/>
      <c r="OE108" s="1550"/>
      <c r="PW108" s="482"/>
    </row>
    <row r="109" spans="12:439" ht="12.75" customHeight="1" x14ac:dyDescent="0.35">
      <c r="L109" s="655"/>
      <c r="AD109" s="1551" t="s">
        <v>5138</v>
      </c>
      <c r="AE109" s="1552"/>
      <c r="AF109" s="1552"/>
      <c r="AG109" s="1552"/>
      <c r="AH109" s="1552"/>
      <c r="AI109" s="1552"/>
      <c r="AJ109" s="1552"/>
      <c r="AK109" s="1552"/>
      <c r="AL109" s="1552"/>
      <c r="AM109" s="1553"/>
      <c r="AQ109" s="489"/>
      <c r="AR109" s="489"/>
      <c r="AW109" s="677"/>
      <c r="AX109" s="478"/>
      <c r="AY109" s="478"/>
      <c r="AZ109" s="478"/>
      <c r="BA109" s="478"/>
      <c r="BB109" s="478"/>
      <c r="BC109" s="478"/>
      <c r="BD109" s="489"/>
      <c r="BE109" s="489"/>
      <c r="BF109" s="489"/>
      <c r="BG109" s="489"/>
      <c r="BH109" s="489"/>
      <c r="BI109" s="489"/>
      <c r="BJ109" s="677"/>
      <c r="BK109" s="1554" t="s">
        <v>3547</v>
      </c>
      <c r="BL109" s="1555"/>
      <c r="BM109" s="1555"/>
      <c r="BN109" s="1555"/>
      <c r="BO109" s="1555"/>
      <c r="BP109" s="1555"/>
      <c r="BQ109" s="1555"/>
      <c r="BR109" s="1555"/>
      <c r="BS109" s="1555"/>
      <c r="BT109" s="1556"/>
      <c r="CR109" s="1554" t="s">
        <v>1228</v>
      </c>
      <c r="CS109" s="1555"/>
      <c r="CT109" s="1555"/>
      <c r="CU109" s="1555"/>
      <c r="CV109" s="1555"/>
      <c r="CW109" s="1555"/>
      <c r="CX109" s="1555"/>
      <c r="CY109" s="1555"/>
      <c r="CZ109" s="1555"/>
      <c r="DA109" s="1556"/>
      <c r="DY109" s="1551" t="s">
        <v>5139</v>
      </c>
      <c r="DZ109" s="1552"/>
      <c r="EA109" s="1552"/>
      <c r="EB109" s="1552"/>
      <c r="EC109" s="1552"/>
      <c r="ED109" s="1552"/>
      <c r="EE109" s="1552"/>
      <c r="EF109" s="1552"/>
      <c r="EG109" s="1552"/>
      <c r="EH109" s="1553"/>
      <c r="GJ109" s="1551" t="s">
        <v>5140</v>
      </c>
      <c r="GK109" s="1552"/>
      <c r="GL109" s="1552"/>
      <c r="GM109" s="1552"/>
      <c r="GN109" s="1552"/>
      <c r="GO109" s="1552"/>
      <c r="GP109" s="1552"/>
      <c r="GQ109" s="1552"/>
      <c r="GR109" s="1552"/>
      <c r="GS109" s="1552"/>
      <c r="GT109" s="1553"/>
      <c r="KS109" s="1554" t="s">
        <v>1676</v>
      </c>
      <c r="KT109" s="1555"/>
      <c r="KU109" s="1555"/>
      <c r="KV109" s="1555"/>
      <c r="KW109" s="1555"/>
      <c r="KX109" s="1555"/>
      <c r="KY109" s="1555"/>
      <c r="KZ109" s="1555"/>
      <c r="LA109" s="1555"/>
      <c r="LB109" s="1556"/>
      <c r="NV109" s="1557" t="s">
        <v>5141</v>
      </c>
      <c r="NW109" s="1557" t="s">
        <v>4873</v>
      </c>
      <c r="NX109" s="1557"/>
      <c r="NY109" s="1557"/>
      <c r="NZ109" s="1557"/>
      <c r="OA109" s="1557"/>
      <c r="OB109" s="1557"/>
      <c r="OC109" s="1557"/>
      <c r="OD109" s="1557"/>
      <c r="OE109" s="1557"/>
      <c r="PW109" s="482"/>
    </row>
    <row r="110" spans="12:439" ht="12.75" customHeight="1" x14ac:dyDescent="0.35">
      <c r="L110" s="655"/>
      <c r="AG110" s="671"/>
      <c r="BO110" s="666"/>
      <c r="CU110" s="680"/>
      <c r="CV110" s="681"/>
      <c r="EC110" s="671"/>
      <c r="GO110" s="671"/>
      <c r="KT110" s="680"/>
      <c r="KU110" s="680"/>
      <c r="KV110" s="680"/>
      <c r="KW110" s="681"/>
      <c r="NZ110" s="671"/>
      <c r="PW110" s="482"/>
    </row>
    <row r="111" spans="12:439" ht="12.75" customHeight="1" x14ac:dyDescent="0.35">
      <c r="L111" s="655"/>
      <c r="AG111" s="666"/>
      <c r="BO111" s="666"/>
      <c r="CV111" s="682"/>
      <c r="EC111" s="666"/>
      <c r="GO111" s="670"/>
      <c r="KW111" s="682"/>
      <c r="NZ111" s="666"/>
      <c r="PW111" s="482"/>
    </row>
    <row r="112" spans="12:439" ht="12.75" customHeight="1" x14ac:dyDescent="0.35">
      <c r="L112" s="655"/>
      <c r="AG112" s="666"/>
      <c r="BO112" s="666"/>
      <c r="CV112" s="682"/>
      <c r="EC112" s="666"/>
      <c r="EN112" s="678"/>
      <c r="EO112" s="485"/>
      <c r="GJ112" s="558">
        <v>1</v>
      </c>
      <c r="GK112" s="1466" t="s">
        <v>5142</v>
      </c>
      <c r="GL112" s="1467"/>
      <c r="GM112" s="1467"/>
      <c r="GN112" s="1467"/>
      <c r="GO112" s="1467"/>
      <c r="GP112" s="1467"/>
      <c r="GQ112" s="1467"/>
      <c r="GR112" s="1467"/>
      <c r="GS112" s="1467"/>
      <c r="GT112" s="1468"/>
      <c r="KW112" s="682"/>
      <c r="NZ112" s="666"/>
      <c r="PW112" s="482"/>
    </row>
    <row r="113" spans="12:439" ht="12.75" customHeight="1" x14ac:dyDescent="0.35">
      <c r="L113" s="655"/>
      <c r="AG113" s="666"/>
      <c r="BO113" s="666"/>
      <c r="CV113" s="682"/>
      <c r="EC113" s="666"/>
      <c r="GJ113" s="1551" t="s">
        <v>5143</v>
      </c>
      <c r="GK113" s="1552"/>
      <c r="GL113" s="1552"/>
      <c r="GM113" s="1552"/>
      <c r="GN113" s="1552"/>
      <c r="GO113" s="1552"/>
      <c r="GP113" s="1552"/>
      <c r="GQ113" s="1552"/>
      <c r="GR113" s="1552"/>
      <c r="GS113" s="1552"/>
      <c r="GT113" s="1553"/>
      <c r="KW113" s="682"/>
      <c r="NZ113" s="666"/>
      <c r="PW113" s="482"/>
    </row>
    <row r="114" spans="12:439" ht="12.75" customHeight="1" x14ac:dyDescent="0.35">
      <c r="L114" s="655"/>
      <c r="AC114" s="489"/>
      <c r="AD114" s="489"/>
      <c r="AE114" s="489"/>
      <c r="AH114" s="683"/>
      <c r="AI114" s="489"/>
      <c r="AJ114" s="489"/>
      <c r="AK114" s="489"/>
      <c r="AL114" s="489"/>
      <c r="AM114" s="489"/>
      <c r="AO114" s="489"/>
      <c r="AP114" s="489"/>
      <c r="AU114" s="677"/>
      <c r="AV114" s="478"/>
      <c r="AW114" s="478"/>
      <c r="AX114" s="478"/>
      <c r="AY114" s="478"/>
      <c r="AZ114" s="478"/>
      <c r="BA114" s="478"/>
      <c r="BB114" s="489"/>
      <c r="BC114" s="489"/>
      <c r="BD114" s="489"/>
      <c r="BE114" s="489"/>
      <c r="BF114" s="489"/>
      <c r="BG114" s="489"/>
      <c r="BH114" s="677"/>
      <c r="BI114" s="677"/>
      <c r="BJ114" s="684"/>
      <c r="BK114" s="684"/>
      <c r="BL114" s="684"/>
      <c r="BM114" s="684"/>
      <c r="BN114" s="684"/>
      <c r="BO114" s="684"/>
      <c r="BP114" s="685"/>
      <c r="CV114" s="682"/>
      <c r="EC114" s="666"/>
      <c r="FI114" s="686"/>
      <c r="FJ114" s="686"/>
      <c r="FK114" s="686"/>
      <c r="FL114" s="686"/>
      <c r="FM114" s="686"/>
      <c r="FN114" s="686"/>
      <c r="FO114" s="686"/>
      <c r="FP114" s="686"/>
      <c r="FQ114" s="686"/>
      <c r="FR114" s="686"/>
      <c r="FS114" s="686"/>
      <c r="FT114" s="686"/>
      <c r="FU114" s="686"/>
      <c r="FV114" s="686"/>
      <c r="FW114" s="686"/>
      <c r="FX114" s="686"/>
      <c r="FY114" s="686"/>
      <c r="FZ114" s="686"/>
      <c r="GA114" s="686"/>
      <c r="GB114" s="686"/>
      <c r="GC114" s="686"/>
      <c r="GD114" s="686"/>
      <c r="GE114" s="686"/>
      <c r="GF114" s="686"/>
      <c r="GG114" s="686"/>
      <c r="GH114" s="686"/>
      <c r="GI114" s="686"/>
      <c r="GJ114" s="686"/>
      <c r="GK114" s="686"/>
      <c r="GL114" s="686"/>
      <c r="GM114" s="686"/>
      <c r="GN114" s="687"/>
      <c r="GO114" s="688"/>
      <c r="GP114" s="686"/>
      <c r="GQ114" s="686"/>
      <c r="GR114" s="686"/>
      <c r="GS114" s="686"/>
      <c r="GT114" s="686"/>
      <c r="GU114" s="686"/>
      <c r="GV114" s="686"/>
      <c r="GW114" s="686"/>
      <c r="GX114" s="686"/>
      <c r="GY114" s="686"/>
      <c r="GZ114" s="686"/>
      <c r="HA114" s="686"/>
      <c r="HB114" s="686"/>
      <c r="HC114" s="686"/>
      <c r="HD114" s="686"/>
      <c r="HE114" s="686"/>
      <c r="HF114" s="686"/>
      <c r="HG114" s="686"/>
      <c r="HH114" s="686"/>
      <c r="HI114" s="686"/>
      <c r="HJ114" s="686"/>
      <c r="HK114" s="686"/>
      <c r="HL114" s="686"/>
      <c r="HM114" s="686"/>
      <c r="HN114" s="686"/>
      <c r="HO114" s="686"/>
      <c r="HP114" s="686"/>
      <c r="HQ114" s="686"/>
      <c r="KW114" s="682"/>
      <c r="NZ114" s="666"/>
      <c r="PW114" s="482"/>
    </row>
    <row r="115" spans="12:439" ht="12.75" customHeight="1" x14ac:dyDescent="0.35">
      <c r="L115" s="655"/>
      <c r="R115" s="689"/>
      <c r="S115" s="689"/>
      <c r="U115" s="489"/>
      <c r="V115" s="489"/>
      <c r="W115" s="489"/>
      <c r="X115" s="489"/>
      <c r="Y115" s="489"/>
      <c r="Z115" s="489"/>
      <c r="AA115" s="489"/>
      <c r="AC115" s="489"/>
      <c r="AD115" s="489"/>
      <c r="AE115" s="489"/>
      <c r="AH115" s="683"/>
      <c r="AI115" s="489"/>
      <c r="AJ115" s="489"/>
      <c r="AK115" s="489"/>
      <c r="AL115" s="489"/>
      <c r="AM115" s="489"/>
      <c r="AO115" s="489"/>
      <c r="AP115" s="489"/>
      <c r="AZ115" s="582">
        <f>SUM(AD118,R121,R124,R126,R128,R130,R132,R134,R136,R138,AD121,AD124,AD126,AD128,AD130,AD132,AD134,AD136,AD138,AP121,AP124,AP126,AP128,AP130,AP132,AP134,AP136)</f>
        <v>26</v>
      </c>
      <c r="BP115" s="685"/>
      <c r="CA115" s="582">
        <f>SUM(BK118,BQ122,BE126,BE129,BE131,BE133,BE135,BE137,BE139,BE141,BE143,BE147,BE149,BQ126,BQ129,BQ131,BQ133,BQ135,BQ137,BQ139,BQ141,BQ143,BQ147,BQ149)</f>
        <v>23</v>
      </c>
      <c r="CU115" s="664"/>
      <c r="CV115" s="682"/>
      <c r="DN115" s="582">
        <f>SUM(CR118,CF121,CF124,CF126,CF128,CF130,CF132,CF134,CF136,CF138,CR121,CR124,CR126,CR128,CR130,CR132,CR134,CR136,CR138,DD121,DD124,DD126,DD128,DD130,DD132,DD134,DD136,DD138,DD140,DD144,CR140)</f>
        <v>29</v>
      </c>
      <c r="EC115" s="666"/>
      <c r="EO115" s="583">
        <f>SUM(DY118,DY121,DY123,DY125,DY127,DY129,DY131,DY133,DY135,DY137,DY139)</f>
        <v>11</v>
      </c>
      <c r="ET115" s="664"/>
      <c r="EU115" s="664"/>
      <c r="EV115" s="664"/>
      <c r="EW115" s="664"/>
      <c r="FH115" s="682"/>
      <c r="FM115" s="664"/>
      <c r="FW115" s="582">
        <f>SUM(EV120,EV122,EV124,EV126,EV128,EV130,EV132,EV134,EV136,EV138,EV140,EV142,EV144,EV146,EV148,EV150,FI120,FI122,FI124,FI126,FI128,FI130,FI132)</f>
        <v>23</v>
      </c>
      <c r="GA115" s="690"/>
      <c r="GB115" s="690"/>
      <c r="GC115" s="690"/>
      <c r="GD115" s="690"/>
      <c r="GE115" s="690"/>
      <c r="GF115" s="690"/>
      <c r="GG115" s="690"/>
      <c r="GH115" s="690"/>
      <c r="GI115" s="690"/>
      <c r="GJ115" s="690"/>
      <c r="GK115" s="690"/>
      <c r="GL115" s="690"/>
      <c r="HQ115" s="691"/>
      <c r="IV115" s="582">
        <f>SUM(GJ118,GV118,HI118,HV118,II118,IU118)+GJ112</f>
        <v>102</v>
      </c>
      <c r="KR115" s="664"/>
      <c r="KT115" s="664"/>
      <c r="KW115" s="692"/>
      <c r="KX115" s="664"/>
      <c r="MJ115" s="582">
        <f>JJ125+JU125+KF125+KQ125+LB125+LM125+LX125+MI125+KH120+LD120</f>
        <v>37</v>
      </c>
      <c r="NZ115" s="666"/>
      <c r="PN115" s="582">
        <f>SUM(NV117,OC122,MY126,NL126,NY126,OL126,OY126,PL126)</f>
        <v>84</v>
      </c>
      <c r="PW115" s="482"/>
    </row>
    <row r="116" spans="12:439" ht="12.75" customHeight="1" x14ac:dyDescent="0.35">
      <c r="L116" s="655"/>
      <c r="Q116" s="571"/>
      <c r="R116" s="533"/>
      <c r="S116" s="533"/>
      <c r="T116" s="533"/>
      <c r="U116" s="533"/>
      <c r="V116" s="533"/>
      <c r="W116" s="533"/>
      <c r="X116" s="533"/>
      <c r="Y116" s="533"/>
      <c r="Z116" s="533"/>
      <c r="AA116" s="533"/>
      <c r="AB116" s="533"/>
      <c r="AC116" s="533"/>
      <c r="AD116" s="533"/>
      <c r="AE116" s="533"/>
      <c r="AF116" s="533"/>
      <c r="AG116" s="572"/>
      <c r="AH116" s="533"/>
      <c r="AI116" s="533"/>
      <c r="AJ116" s="533"/>
      <c r="AK116" s="533"/>
      <c r="AL116" s="533"/>
      <c r="AM116" s="533"/>
      <c r="AN116" s="533"/>
      <c r="AO116" s="533"/>
      <c r="AP116" s="533"/>
      <c r="AQ116" s="585"/>
      <c r="AR116" s="586"/>
      <c r="AS116" s="586"/>
      <c r="AT116" s="586"/>
      <c r="AU116" s="693"/>
      <c r="AV116" s="1453" t="s">
        <v>265</v>
      </c>
      <c r="AW116" s="1454"/>
      <c r="AX116" s="1454"/>
      <c r="AY116" s="1454"/>
      <c r="AZ116" s="1455"/>
      <c r="BD116" s="571"/>
      <c r="BE116" s="533"/>
      <c r="BF116" s="533"/>
      <c r="BG116" s="533"/>
      <c r="BH116" s="533"/>
      <c r="BI116" s="533"/>
      <c r="BJ116" s="533"/>
      <c r="BK116" s="533"/>
      <c r="BL116" s="533"/>
      <c r="BM116" s="533"/>
      <c r="BN116" s="533"/>
      <c r="BO116" s="533"/>
      <c r="BP116" s="584"/>
      <c r="BQ116" s="533"/>
      <c r="BR116" s="585"/>
      <c r="BS116" s="693"/>
      <c r="BT116" s="1453" t="s">
        <v>4743</v>
      </c>
      <c r="BU116" s="1454"/>
      <c r="BV116" s="1454"/>
      <c r="BW116" s="1454"/>
      <c r="BX116" s="1454"/>
      <c r="BY116" s="1454"/>
      <c r="BZ116" s="1454"/>
      <c r="CA116" s="1455"/>
      <c r="CE116" s="571"/>
      <c r="CF116" s="533"/>
      <c r="CG116" s="533"/>
      <c r="CH116" s="533"/>
      <c r="CI116" s="533"/>
      <c r="CJ116" s="533"/>
      <c r="CK116" s="533"/>
      <c r="CL116" s="533"/>
      <c r="CM116" s="533"/>
      <c r="CN116" s="533"/>
      <c r="CO116" s="533"/>
      <c r="CP116" s="533"/>
      <c r="CQ116" s="533"/>
      <c r="CR116" s="535"/>
      <c r="CS116" s="535"/>
      <c r="CT116" s="533"/>
      <c r="CU116" s="533"/>
      <c r="CV116" s="572"/>
      <c r="CW116" s="533"/>
      <c r="CX116" s="533"/>
      <c r="CY116" s="533"/>
      <c r="CZ116" s="533"/>
      <c r="DA116" s="533"/>
      <c r="DB116" s="533"/>
      <c r="DC116" s="533"/>
      <c r="DD116" s="586"/>
      <c r="DE116" s="586"/>
      <c r="DF116" s="586"/>
      <c r="DG116" s="587"/>
      <c r="DH116" s="1453" t="s">
        <v>4742</v>
      </c>
      <c r="DI116" s="1454"/>
      <c r="DJ116" s="1454"/>
      <c r="DK116" s="1454"/>
      <c r="DL116" s="1454"/>
      <c r="DM116" s="1454"/>
      <c r="DN116" s="1455"/>
      <c r="DR116" s="571"/>
      <c r="DS116" s="533"/>
      <c r="DT116" s="533"/>
      <c r="DU116" s="533"/>
      <c r="DV116" s="533"/>
      <c r="DW116" s="533"/>
      <c r="DX116" s="533"/>
      <c r="DY116" s="533"/>
      <c r="DZ116" s="533"/>
      <c r="EA116" s="533"/>
      <c r="EB116" s="533"/>
      <c r="EC116" s="533"/>
      <c r="ED116" s="584"/>
      <c r="EE116" s="533"/>
      <c r="EF116" s="585"/>
      <c r="EG116" s="586"/>
      <c r="EH116" s="533"/>
      <c r="EI116" s="1453" t="s">
        <v>4875</v>
      </c>
      <c r="EJ116" s="1454"/>
      <c r="EK116" s="1454"/>
      <c r="EL116" s="1454"/>
      <c r="EM116" s="1454"/>
      <c r="EN116" s="1454"/>
      <c r="EO116" s="1455"/>
      <c r="ES116" s="571"/>
      <c r="ET116" s="491"/>
      <c r="EU116" s="491"/>
      <c r="EV116" s="491"/>
      <c r="EW116" s="491"/>
      <c r="EX116" s="533"/>
      <c r="EY116" s="533"/>
      <c r="EZ116" s="533"/>
      <c r="FA116" s="533"/>
      <c r="FB116" s="533"/>
      <c r="FC116" s="533"/>
      <c r="FD116" s="694"/>
      <c r="FE116" s="694"/>
      <c r="FF116" s="694"/>
      <c r="FG116" s="694"/>
      <c r="FH116" s="695"/>
      <c r="FI116" s="694"/>
      <c r="FJ116" s="694"/>
      <c r="FK116" s="694"/>
      <c r="FL116" s="694"/>
      <c r="FM116" s="694"/>
      <c r="FN116" s="533"/>
      <c r="FO116" s="533"/>
      <c r="FP116" s="1453" t="s">
        <v>4777</v>
      </c>
      <c r="FQ116" s="1454"/>
      <c r="FR116" s="1454"/>
      <c r="FS116" s="1454"/>
      <c r="FT116" s="1454"/>
      <c r="FU116" s="1454"/>
      <c r="FV116" s="1562"/>
      <c r="FW116" s="696"/>
      <c r="FZ116" s="571"/>
      <c r="GA116" s="533"/>
      <c r="GB116" s="533"/>
      <c r="GC116" s="533"/>
      <c r="GD116" s="533"/>
      <c r="GE116" s="533"/>
      <c r="GF116" s="533"/>
      <c r="GG116" s="533"/>
      <c r="GH116" s="533"/>
      <c r="GI116" s="533"/>
      <c r="GJ116" s="533"/>
      <c r="GK116" s="533"/>
      <c r="GL116" s="533"/>
      <c r="GM116" s="533"/>
      <c r="GN116" s="533"/>
      <c r="GO116" s="533"/>
      <c r="GP116" s="533"/>
      <c r="GQ116" s="533"/>
      <c r="GR116" s="533"/>
      <c r="GS116" s="533"/>
      <c r="GT116" s="533"/>
      <c r="GU116" s="533"/>
      <c r="GV116" s="533"/>
      <c r="GW116" s="533"/>
      <c r="GX116" s="533"/>
      <c r="GY116" s="533"/>
      <c r="GZ116" s="533"/>
      <c r="HA116" s="533"/>
      <c r="HB116" s="533"/>
      <c r="HC116" s="533"/>
      <c r="HD116" s="533"/>
      <c r="HE116" s="533"/>
      <c r="HF116" s="533"/>
      <c r="HG116" s="533"/>
      <c r="HH116" s="533"/>
      <c r="HI116" s="533"/>
      <c r="HJ116" s="533"/>
      <c r="HK116" s="533"/>
      <c r="HL116" s="533"/>
      <c r="HM116" s="533"/>
      <c r="HN116" s="533"/>
      <c r="HO116" s="533"/>
      <c r="HP116" s="533"/>
      <c r="HQ116" s="572"/>
      <c r="HR116" s="533"/>
      <c r="HS116" s="533"/>
      <c r="HT116" s="533"/>
      <c r="HU116" s="533"/>
      <c r="HV116" s="533"/>
      <c r="HW116" s="533"/>
      <c r="HX116" s="533"/>
      <c r="HY116" s="533"/>
      <c r="HZ116" s="533"/>
      <c r="IA116" s="533"/>
      <c r="IB116" s="533"/>
      <c r="IC116" s="533"/>
      <c r="ID116" s="533"/>
      <c r="IE116" s="533"/>
      <c r="IF116" s="533"/>
      <c r="IG116" s="533"/>
      <c r="IH116" s="533"/>
      <c r="II116" s="533"/>
      <c r="IJ116" s="533"/>
      <c r="IK116" s="533"/>
      <c r="IL116" s="533"/>
      <c r="IM116" s="533"/>
      <c r="IN116" s="533"/>
      <c r="IO116" s="533"/>
      <c r="IP116" s="533"/>
      <c r="IQ116" s="533"/>
      <c r="IR116" s="1453" t="s">
        <v>4778</v>
      </c>
      <c r="IS116" s="1454"/>
      <c r="IT116" s="1454"/>
      <c r="IU116" s="1454"/>
      <c r="IV116" s="1455"/>
      <c r="IZ116" s="571"/>
      <c r="JA116" s="533"/>
      <c r="JB116" s="533"/>
      <c r="JC116" s="533"/>
      <c r="JD116" s="533"/>
      <c r="JE116" s="533"/>
      <c r="JF116" s="533"/>
      <c r="JG116" s="533"/>
      <c r="JH116" s="533"/>
      <c r="JI116" s="533"/>
      <c r="JJ116" s="533"/>
      <c r="JK116" s="533"/>
      <c r="JL116" s="533"/>
      <c r="JM116" s="533"/>
      <c r="JN116" s="533"/>
      <c r="JO116" s="533"/>
      <c r="JP116" s="533"/>
      <c r="JQ116" s="533"/>
      <c r="JR116" s="533"/>
      <c r="JS116" s="533"/>
      <c r="JT116" s="533"/>
      <c r="JU116" s="533"/>
      <c r="JV116" s="533"/>
      <c r="JW116" s="533"/>
      <c r="JX116" s="533"/>
      <c r="JY116" s="533"/>
      <c r="JZ116" s="533"/>
      <c r="KA116" s="533"/>
      <c r="KB116" s="533"/>
      <c r="KC116" s="533"/>
      <c r="KD116" s="533"/>
      <c r="KE116" s="533"/>
      <c r="KF116" s="533"/>
      <c r="KG116" s="533"/>
      <c r="KH116" s="533"/>
      <c r="KI116" s="533"/>
      <c r="KJ116" s="533"/>
      <c r="KK116" s="533"/>
      <c r="KL116" s="533"/>
      <c r="KM116" s="533"/>
      <c r="KN116" s="533"/>
      <c r="KO116" s="533"/>
      <c r="KP116" s="533"/>
      <c r="KQ116" s="533"/>
      <c r="KR116" s="533"/>
      <c r="KS116" s="533"/>
      <c r="KT116" s="533"/>
      <c r="KU116" s="533"/>
      <c r="KV116" s="533"/>
      <c r="KW116" s="529"/>
      <c r="KX116" s="491"/>
      <c r="KY116" s="533"/>
      <c r="KZ116" s="533"/>
      <c r="LA116" s="533"/>
      <c r="LB116" s="533"/>
      <c r="LC116" s="533"/>
      <c r="LD116" s="533"/>
      <c r="LE116" s="533"/>
      <c r="LF116" s="533"/>
      <c r="LG116" s="533"/>
      <c r="LH116" s="533"/>
      <c r="LI116" s="533"/>
      <c r="LJ116" s="533"/>
      <c r="LK116" s="533"/>
      <c r="LL116" s="533"/>
      <c r="LM116" s="533"/>
      <c r="LN116" s="533"/>
      <c r="LO116" s="533"/>
      <c r="LP116" s="533"/>
      <c r="LQ116" s="533"/>
      <c r="LR116" s="533"/>
      <c r="LS116" s="533"/>
      <c r="LT116" s="533"/>
      <c r="LU116" s="533"/>
      <c r="LV116" s="533"/>
      <c r="LW116" s="533"/>
      <c r="LX116" s="533"/>
      <c r="LY116" s="533"/>
      <c r="LZ116" s="533"/>
      <c r="MA116" s="533"/>
      <c r="MB116" s="533"/>
      <c r="MC116" s="533"/>
      <c r="MD116" s="533"/>
      <c r="ME116" s="533"/>
      <c r="MF116" s="1453" t="s">
        <v>5144</v>
      </c>
      <c r="MG116" s="1454"/>
      <c r="MH116" s="1454"/>
      <c r="MI116" s="1454"/>
      <c r="MJ116" s="1455"/>
      <c r="MN116" s="571"/>
      <c r="MO116" s="533"/>
      <c r="MP116" s="533"/>
      <c r="MQ116" s="533"/>
      <c r="MR116" s="533"/>
      <c r="MS116" s="533"/>
      <c r="MT116" s="533"/>
      <c r="MU116" s="533"/>
      <c r="MV116" s="533"/>
      <c r="MW116" s="533"/>
      <c r="MX116" s="533"/>
      <c r="MY116" s="533"/>
      <c r="MZ116" s="533"/>
      <c r="NA116" s="533"/>
      <c r="NB116" s="533"/>
      <c r="NC116" s="533"/>
      <c r="ND116" s="533"/>
      <c r="NE116" s="533"/>
      <c r="NF116" s="533"/>
      <c r="NG116" s="533"/>
      <c r="NH116" s="533"/>
      <c r="NI116" s="533"/>
      <c r="NJ116" s="533"/>
      <c r="NK116" s="533"/>
      <c r="NL116" s="533"/>
      <c r="NM116" s="533"/>
      <c r="NN116" s="533"/>
      <c r="NO116" s="533"/>
      <c r="NP116" s="533"/>
      <c r="NQ116" s="533"/>
      <c r="NR116" s="533"/>
      <c r="NS116" s="533"/>
      <c r="NT116" s="533"/>
      <c r="NU116" s="533"/>
      <c r="NV116" s="533"/>
      <c r="NW116" s="533"/>
      <c r="NX116" s="533"/>
      <c r="NY116" s="533"/>
      <c r="NZ116" s="697"/>
      <c r="OA116" s="533"/>
      <c r="OB116" s="533"/>
      <c r="OC116" s="533"/>
      <c r="OD116" s="533"/>
      <c r="OE116" s="533"/>
      <c r="OF116" s="533"/>
      <c r="OG116" s="533"/>
      <c r="OH116" s="533"/>
      <c r="OI116" s="533"/>
      <c r="OJ116" s="533"/>
      <c r="OK116" s="533"/>
      <c r="OL116" s="533"/>
      <c r="OM116" s="533"/>
      <c r="ON116" s="533"/>
      <c r="OO116" s="533"/>
      <c r="OP116" s="533"/>
      <c r="OQ116" s="533"/>
      <c r="OR116" s="533"/>
      <c r="OS116" s="533"/>
      <c r="OT116" s="533"/>
      <c r="OU116" s="533"/>
      <c r="OV116" s="533"/>
      <c r="OW116" s="533"/>
      <c r="OX116" s="533"/>
      <c r="OY116" s="533"/>
      <c r="OZ116" s="533"/>
      <c r="PA116" s="533"/>
      <c r="PB116" s="533"/>
      <c r="PC116" s="533"/>
      <c r="PD116" s="533"/>
      <c r="PE116" s="533"/>
      <c r="PF116" s="533"/>
      <c r="PG116" s="533"/>
      <c r="PH116" s="1558" t="s">
        <v>382</v>
      </c>
      <c r="PI116" s="1559"/>
      <c r="PJ116" s="1559"/>
      <c r="PK116" s="1559"/>
      <c r="PL116" s="1559"/>
      <c r="PM116" s="1559"/>
      <c r="PN116" s="1560"/>
      <c r="PW116" s="482"/>
    </row>
    <row r="117" spans="12:439" ht="12.75" customHeight="1" x14ac:dyDescent="0.35">
      <c r="L117" s="655"/>
      <c r="Q117" s="578"/>
      <c r="R117" s="491"/>
      <c r="S117" s="491"/>
      <c r="T117" s="491"/>
      <c r="U117" s="491"/>
      <c r="V117" s="491"/>
      <c r="W117" s="491"/>
      <c r="X117" s="498"/>
      <c r="Y117" s="498"/>
      <c r="Z117" s="498"/>
      <c r="AA117" s="498"/>
      <c r="AB117" s="498"/>
      <c r="AC117" s="498"/>
      <c r="AD117" s="594"/>
      <c r="AE117" s="594"/>
      <c r="AF117" s="594"/>
      <c r="AG117" s="698"/>
      <c r="AH117" s="491"/>
      <c r="AI117" s="491"/>
      <c r="AJ117" s="491"/>
      <c r="AK117" s="491"/>
      <c r="AL117" s="491"/>
      <c r="AM117" s="491"/>
      <c r="AN117" s="491"/>
      <c r="AO117" s="511"/>
      <c r="AP117" s="511"/>
      <c r="AQ117" s="491"/>
      <c r="AR117" s="491"/>
      <c r="AS117" s="491"/>
      <c r="AT117" s="491"/>
      <c r="AU117" s="491"/>
      <c r="AV117" s="491"/>
      <c r="AW117" s="491"/>
      <c r="AX117" s="491"/>
      <c r="AY117" s="491"/>
      <c r="AZ117" s="564"/>
      <c r="BD117" s="578"/>
      <c r="BE117" s="491"/>
      <c r="BF117" s="491"/>
      <c r="BG117" s="491"/>
      <c r="BH117" s="491"/>
      <c r="BI117" s="491"/>
      <c r="BJ117" s="491"/>
      <c r="BK117" s="594"/>
      <c r="BL117" s="594"/>
      <c r="BM117" s="594"/>
      <c r="BN117" s="594"/>
      <c r="BO117" s="594"/>
      <c r="BP117" s="595"/>
      <c r="BQ117" s="594"/>
      <c r="BR117" s="594"/>
      <c r="BS117" s="594"/>
      <c r="BT117" s="594"/>
      <c r="BU117" s="491"/>
      <c r="BV117" s="491"/>
      <c r="BW117" s="491"/>
      <c r="BX117" s="491"/>
      <c r="BY117" s="491"/>
      <c r="BZ117" s="491"/>
      <c r="CA117" s="564"/>
      <c r="CE117" s="578"/>
      <c r="CF117" s="491"/>
      <c r="CG117" s="643"/>
      <c r="CH117" s="501"/>
      <c r="CI117" s="501"/>
      <c r="CJ117" s="501"/>
      <c r="CK117" s="501"/>
      <c r="CL117" s="491"/>
      <c r="CM117" s="491"/>
      <c r="CN117" s="491"/>
      <c r="CO117" s="491"/>
      <c r="CP117" s="491"/>
      <c r="CQ117" s="491"/>
      <c r="CR117" s="506"/>
      <c r="CS117" s="506"/>
      <c r="CT117" s="506"/>
      <c r="CU117" s="506"/>
      <c r="CV117" s="602"/>
      <c r="CW117" s="491"/>
      <c r="CX117" s="491"/>
      <c r="CY117" s="491"/>
      <c r="CZ117" s="491"/>
      <c r="DA117" s="501"/>
      <c r="DB117" s="501"/>
      <c r="DC117" s="501"/>
      <c r="DD117" s="501"/>
      <c r="DE117" s="501"/>
      <c r="DF117" s="501"/>
      <c r="DG117" s="501"/>
      <c r="DH117" s="491"/>
      <c r="DI117" s="491"/>
      <c r="DJ117" s="491"/>
      <c r="DK117" s="491"/>
      <c r="DL117" s="491"/>
      <c r="DM117" s="491"/>
      <c r="DN117" s="564"/>
      <c r="DR117" s="578"/>
      <c r="DS117" s="491"/>
      <c r="DT117" s="491"/>
      <c r="DU117" s="491"/>
      <c r="DV117" s="491"/>
      <c r="DW117" s="491"/>
      <c r="DX117" s="491"/>
      <c r="DY117" s="594"/>
      <c r="DZ117" s="594"/>
      <c r="EA117" s="594"/>
      <c r="EB117" s="594"/>
      <c r="EC117" s="594"/>
      <c r="ED117" s="595"/>
      <c r="EE117" s="594"/>
      <c r="EF117" s="594"/>
      <c r="EG117" s="594"/>
      <c r="EH117" s="594"/>
      <c r="EI117" s="491"/>
      <c r="EJ117" s="491"/>
      <c r="EK117" s="491"/>
      <c r="EL117" s="491"/>
      <c r="EM117" s="491"/>
      <c r="EN117" s="491"/>
      <c r="EO117" s="564"/>
      <c r="ES117" s="578"/>
      <c r="ET117" s="491"/>
      <c r="EU117" s="491"/>
      <c r="EV117" s="491"/>
      <c r="EW117" s="491"/>
      <c r="EX117" s="491"/>
      <c r="EY117" s="491"/>
      <c r="EZ117" s="491"/>
      <c r="FA117" s="491"/>
      <c r="FB117" s="491"/>
      <c r="FC117" s="529"/>
      <c r="FD117" s="491"/>
      <c r="FE117" s="491"/>
      <c r="FF117" s="491"/>
      <c r="FG117" s="491"/>
      <c r="FH117" s="491"/>
      <c r="FI117" s="491"/>
      <c r="FJ117" s="491"/>
      <c r="FK117" s="491"/>
      <c r="FL117" s="491"/>
      <c r="FM117" s="529"/>
      <c r="FN117" s="611"/>
      <c r="FO117" s="491"/>
      <c r="FP117" s="491"/>
      <c r="FQ117" s="491"/>
      <c r="FR117" s="491"/>
      <c r="FS117" s="491"/>
      <c r="FT117" s="491"/>
      <c r="FU117" s="491"/>
      <c r="FV117" s="491"/>
      <c r="FW117" s="564"/>
      <c r="FZ117" s="578"/>
      <c r="GA117" s="491"/>
      <c r="GB117" s="491"/>
      <c r="GC117" s="491"/>
      <c r="GD117" s="491"/>
      <c r="GE117" s="491"/>
      <c r="GF117" s="556"/>
      <c r="GG117" s="556"/>
      <c r="GH117" s="556"/>
      <c r="GI117" s="556"/>
      <c r="GJ117" s="556"/>
      <c r="GK117" s="556"/>
      <c r="GL117" s="556"/>
      <c r="GM117" s="556"/>
      <c r="GN117" s="556"/>
      <c r="GO117" s="556"/>
      <c r="GP117" s="556"/>
      <c r="GQ117" s="556"/>
      <c r="GR117" s="556"/>
      <c r="GS117" s="556"/>
      <c r="GT117" s="556"/>
      <c r="GU117" s="556"/>
      <c r="GV117" s="556"/>
      <c r="GW117" s="556"/>
      <c r="GX117" s="556"/>
      <c r="GY117" s="556"/>
      <c r="GZ117" s="556"/>
      <c r="HA117" s="556"/>
      <c r="HB117" s="556"/>
      <c r="HC117" s="556"/>
      <c r="HD117" s="556"/>
      <c r="HE117" s="556"/>
      <c r="HF117" s="556"/>
      <c r="HG117" s="556"/>
      <c r="HH117" s="556"/>
      <c r="HI117" s="556"/>
      <c r="HJ117" s="556"/>
      <c r="HK117" s="556"/>
      <c r="HL117" s="556"/>
      <c r="HM117" s="556"/>
      <c r="HN117" s="556"/>
      <c r="HO117" s="556"/>
      <c r="HP117" s="556"/>
      <c r="HQ117" s="619"/>
      <c r="HR117" s="556"/>
      <c r="HS117" s="556"/>
      <c r="HT117" s="556"/>
      <c r="HU117" s="556"/>
      <c r="HV117" s="556"/>
      <c r="HW117" s="556"/>
      <c r="HX117" s="556"/>
      <c r="HY117" s="556"/>
      <c r="HZ117" s="556"/>
      <c r="IA117" s="556"/>
      <c r="IB117" s="556"/>
      <c r="IC117" s="556"/>
      <c r="ID117" s="556"/>
      <c r="IE117" s="556"/>
      <c r="IF117" s="556"/>
      <c r="IG117" s="556"/>
      <c r="IH117" s="556"/>
      <c r="II117" s="556"/>
      <c r="IJ117" s="556"/>
      <c r="IK117" s="556"/>
      <c r="IL117" s="556"/>
      <c r="IM117" s="556"/>
      <c r="IN117" s="491"/>
      <c r="IO117" s="491"/>
      <c r="IP117" s="491"/>
      <c r="IQ117" s="491"/>
      <c r="IR117" s="491"/>
      <c r="IS117" s="491"/>
      <c r="IT117" s="491"/>
      <c r="IU117" s="491"/>
      <c r="IV117" s="564"/>
      <c r="IZ117" s="578"/>
      <c r="JA117" s="491"/>
      <c r="JB117" s="491"/>
      <c r="JC117" s="491"/>
      <c r="JD117" s="491"/>
      <c r="JE117" s="491"/>
      <c r="JF117" s="491"/>
      <c r="JG117" s="491"/>
      <c r="JH117" s="491"/>
      <c r="JI117" s="491"/>
      <c r="JJ117" s="491"/>
      <c r="JK117" s="491"/>
      <c r="JL117" s="491"/>
      <c r="JM117" s="491"/>
      <c r="JN117" s="491"/>
      <c r="JO117" s="491"/>
      <c r="JP117" s="491"/>
      <c r="JQ117" s="491"/>
      <c r="JR117" s="491"/>
      <c r="JS117" s="491"/>
      <c r="JT117" s="491"/>
      <c r="JU117" s="491"/>
      <c r="JV117" s="491"/>
      <c r="JW117" s="491"/>
      <c r="JX117" s="491"/>
      <c r="JY117" s="491"/>
      <c r="JZ117" s="491"/>
      <c r="KA117" s="491"/>
      <c r="KB117" s="491"/>
      <c r="KC117" s="491"/>
      <c r="KD117" s="491"/>
      <c r="KE117" s="491"/>
      <c r="KF117" s="491"/>
      <c r="KG117" s="491"/>
      <c r="KH117" s="491"/>
      <c r="KI117" s="491"/>
      <c r="KJ117" s="491"/>
      <c r="KK117" s="491"/>
      <c r="KL117" s="641"/>
      <c r="KM117" s="491"/>
      <c r="KN117" s="556"/>
      <c r="KO117" s="556"/>
      <c r="KP117" s="556"/>
      <c r="KQ117" s="556"/>
      <c r="KR117" s="556"/>
      <c r="KS117" s="556"/>
      <c r="KT117" s="556"/>
      <c r="KU117" s="556"/>
      <c r="KV117" s="556"/>
      <c r="KW117" s="619"/>
      <c r="KX117" s="556"/>
      <c r="KY117" s="556"/>
      <c r="KZ117" s="556"/>
      <c r="LA117" s="556"/>
      <c r="LB117" s="556"/>
      <c r="LC117" s="556"/>
      <c r="LD117" s="556"/>
      <c r="LE117" s="556"/>
      <c r="LF117" s="556"/>
      <c r="LG117" s="556"/>
      <c r="LH117" s="491"/>
      <c r="LI117" s="491"/>
      <c r="LJ117" s="491"/>
      <c r="LK117" s="491"/>
      <c r="LL117" s="491"/>
      <c r="LM117" s="491"/>
      <c r="LN117" s="491"/>
      <c r="LO117" s="491"/>
      <c r="LP117" s="491"/>
      <c r="LQ117" s="491"/>
      <c r="LR117" s="491"/>
      <c r="LS117" s="491"/>
      <c r="LT117" s="491"/>
      <c r="LU117" s="491"/>
      <c r="LV117" s="491"/>
      <c r="LW117" s="491"/>
      <c r="LX117" s="491"/>
      <c r="LY117" s="491"/>
      <c r="LZ117" s="491"/>
      <c r="MA117" s="491"/>
      <c r="MB117" s="491"/>
      <c r="MC117" s="491"/>
      <c r="MD117" s="491"/>
      <c r="ME117" s="491"/>
      <c r="MF117" s="491"/>
      <c r="MG117" s="491"/>
      <c r="MH117" s="491"/>
      <c r="MI117" s="491"/>
      <c r="MJ117" s="564"/>
      <c r="MN117" s="578"/>
      <c r="MO117" s="491"/>
      <c r="MP117" s="491"/>
      <c r="MQ117" s="491"/>
      <c r="MR117" s="491"/>
      <c r="MS117" s="491"/>
      <c r="MT117" s="491"/>
      <c r="MU117" s="491"/>
      <c r="MV117" s="491"/>
      <c r="MW117" s="491"/>
      <c r="MX117" s="491"/>
      <c r="MY117" s="491"/>
      <c r="MZ117" s="491"/>
      <c r="NA117" s="491"/>
      <c r="NB117" s="491"/>
      <c r="NC117" s="491"/>
      <c r="ND117" s="491"/>
      <c r="NE117" s="491"/>
      <c r="NF117" s="491"/>
      <c r="NG117" s="491"/>
      <c r="NH117" s="491"/>
      <c r="NI117" s="491"/>
      <c r="NJ117" s="491"/>
      <c r="NK117" s="491"/>
      <c r="NL117" s="491"/>
      <c r="NM117" s="491"/>
      <c r="NN117" s="491"/>
      <c r="NO117" s="491"/>
      <c r="NP117" s="491"/>
      <c r="NQ117" s="491"/>
      <c r="NR117" s="491"/>
      <c r="NS117" s="491"/>
      <c r="NT117" s="491"/>
      <c r="NU117" s="491"/>
      <c r="NV117" s="558">
        <v>1</v>
      </c>
      <c r="NW117" s="1469" t="s">
        <v>5025</v>
      </c>
      <c r="NX117" s="1469"/>
      <c r="NY117" s="1469"/>
      <c r="NZ117" s="1469"/>
      <c r="OA117" s="1469"/>
      <c r="OB117" s="1469"/>
      <c r="OC117" s="1469"/>
      <c r="OD117" s="1469"/>
      <c r="OE117" s="1469"/>
      <c r="OF117" s="491"/>
      <c r="OG117" s="491"/>
      <c r="OH117" s="491"/>
      <c r="OI117" s="491"/>
      <c r="OJ117" s="491"/>
      <c r="OK117" s="491"/>
      <c r="OL117" s="491"/>
      <c r="OM117" s="491"/>
      <c r="ON117" s="491"/>
      <c r="OO117" s="491"/>
      <c r="OP117" s="491"/>
      <c r="OQ117" s="491"/>
      <c r="OR117" s="491"/>
      <c r="OS117" s="491"/>
      <c r="OT117" s="491"/>
      <c r="OU117" s="491"/>
      <c r="OV117" s="491"/>
      <c r="OW117" s="491"/>
      <c r="OX117" s="491"/>
      <c r="OY117" s="491"/>
      <c r="OZ117" s="491"/>
      <c r="PA117" s="491"/>
      <c r="PB117" s="491"/>
      <c r="PC117" s="491"/>
      <c r="PD117" s="491"/>
      <c r="PE117" s="491"/>
      <c r="PF117" s="491"/>
      <c r="PG117" s="491"/>
      <c r="PH117" s="491"/>
      <c r="PI117" s="491"/>
      <c r="PJ117" s="491"/>
      <c r="PK117" s="491"/>
      <c r="PL117" s="491"/>
      <c r="PM117" s="491"/>
      <c r="PN117" s="564"/>
      <c r="PW117" s="482"/>
    </row>
    <row r="118" spans="12:439" ht="12.75" customHeight="1" x14ac:dyDescent="0.35">
      <c r="L118" s="655"/>
      <c r="Q118" s="578"/>
      <c r="R118" s="491"/>
      <c r="S118" s="491"/>
      <c r="T118" s="491"/>
      <c r="U118" s="491"/>
      <c r="V118" s="491"/>
      <c r="W118" s="491"/>
      <c r="X118" s="491"/>
      <c r="Y118" s="491"/>
      <c r="Z118" s="491"/>
      <c r="AA118" s="491"/>
      <c r="AB118" s="491"/>
      <c r="AC118" s="519"/>
      <c r="AD118" s="513">
        <v>1</v>
      </c>
      <c r="AE118" s="1456" t="s">
        <v>4850</v>
      </c>
      <c r="AF118" s="1457"/>
      <c r="AG118" s="1457"/>
      <c r="AH118" s="1457"/>
      <c r="AI118" s="1457"/>
      <c r="AJ118" s="1457"/>
      <c r="AK118" s="1457"/>
      <c r="AL118" s="1457"/>
      <c r="AM118" s="1458"/>
      <c r="AN118" s="491"/>
      <c r="AO118" s="511"/>
      <c r="AP118" s="511"/>
      <c r="AQ118" s="491"/>
      <c r="AR118" s="491"/>
      <c r="AS118" s="491"/>
      <c r="AT118" s="491"/>
      <c r="AU118" s="491"/>
      <c r="AV118" s="491"/>
      <c r="AW118" s="491"/>
      <c r="AX118" s="491"/>
      <c r="AY118" s="491"/>
      <c r="AZ118" s="564"/>
      <c r="BD118" s="578"/>
      <c r="BE118" s="491"/>
      <c r="BF118" s="491"/>
      <c r="BG118" s="491"/>
      <c r="BH118" s="491"/>
      <c r="BI118" s="491"/>
      <c r="BJ118" s="519"/>
      <c r="BK118" s="513">
        <v>1</v>
      </c>
      <c r="BL118" s="1456" t="s">
        <v>4850</v>
      </c>
      <c r="BM118" s="1457"/>
      <c r="BN118" s="1457"/>
      <c r="BO118" s="1457"/>
      <c r="BP118" s="1457"/>
      <c r="BQ118" s="1457"/>
      <c r="BR118" s="1457"/>
      <c r="BS118" s="1457"/>
      <c r="BT118" s="1458"/>
      <c r="BU118" s="514"/>
      <c r="BV118" s="491"/>
      <c r="BW118" s="491"/>
      <c r="BX118" s="491"/>
      <c r="BY118" s="491"/>
      <c r="BZ118" s="491"/>
      <c r="CA118" s="564"/>
      <c r="CE118" s="578"/>
      <c r="CF118" s="491"/>
      <c r="CG118" s="498"/>
      <c r="CH118" s="498"/>
      <c r="CI118" s="498"/>
      <c r="CJ118" s="498"/>
      <c r="CK118" s="498"/>
      <c r="CL118" s="491"/>
      <c r="CM118" s="491"/>
      <c r="CN118" s="491"/>
      <c r="CO118" s="491"/>
      <c r="CP118" s="491"/>
      <c r="CQ118" s="491"/>
      <c r="CR118" s="513">
        <v>1</v>
      </c>
      <c r="CS118" s="1456" t="s">
        <v>4850</v>
      </c>
      <c r="CT118" s="1457"/>
      <c r="CU118" s="1457"/>
      <c r="CV118" s="1457"/>
      <c r="CW118" s="1457"/>
      <c r="CX118" s="1457"/>
      <c r="CY118" s="1457"/>
      <c r="CZ118" s="1457"/>
      <c r="DA118" s="1458"/>
      <c r="DB118" s="491"/>
      <c r="DC118" s="491"/>
      <c r="DD118" s="491"/>
      <c r="DE118" s="491"/>
      <c r="DF118" s="491"/>
      <c r="DG118" s="491"/>
      <c r="DH118" s="491"/>
      <c r="DI118" s="491"/>
      <c r="DJ118" s="491"/>
      <c r="DK118" s="491"/>
      <c r="DL118" s="491"/>
      <c r="DM118" s="491"/>
      <c r="DN118" s="699"/>
      <c r="DR118" s="578"/>
      <c r="DS118" s="491"/>
      <c r="DT118" s="491"/>
      <c r="DU118" s="491"/>
      <c r="DV118" s="491"/>
      <c r="DW118" s="491"/>
      <c r="DX118" s="519"/>
      <c r="DY118" s="640">
        <v>1</v>
      </c>
      <c r="DZ118" s="1456" t="s">
        <v>4850</v>
      </c>
      <c r="EA118" s="1457"/>
      <c r="EB118" s="1457"/>
      <c r="EC118" s="1457"/>
      <c r="ED118" s="1457"/>
      <c r="EE118" s="1457"/>
      <c r="EF118" s="1457"/>
      <c r="EG118" s="1457"/>
      <c r="EH118" s="1458"/>
      <c r="EI118" s="514"/>
      <c r="EJ118" s="491"/>
      <c r="EK118" s="491"/>
      <c r="EL118" s="491"/>
      <c r="EM118" s="491"/>
      <c r="EN118" s="491"/>
      <c r="EO118" s="564"/>
      <c r="ES118" s="578"/>
      <c r="ET118" s="491"/>
      <c r="EU118" s="491"/>
      <c r="EV118" s="491"/>
      <c r="EW118" s="491"/>
      <c r="EX118" s="491"/>
      <c r="EY118" s="491"/>
      <c r="EZ118" s="491"/>
      <c r="FA118" s="491"/>
      <c r="FB118" s="491"/>
      <c r="FC118" s="602"/>
      <c r="FD118" s="491"/>
      <c r="FE118" s="491"/>
      <c r="FF118" s="491"/>
      <c r="FG118" s="491"/>
      <c r="FH118" s="491"/>
      <c r="FI118" s="491"/>
      <c r="FJ118" s="491"/>
      <c r="FK118" s="491"/>
      <c r="FL118" s="491"/>
      <c r="FM118" s="602"/>
      <c r="FN118" s="491"/>
      <c r="FO118" s="491"/>
      <c r="FP118" s="491"/>
      <c r="FQ118" s="491"/>
      <c r="FR118" s="491"/>
      <c r="FS118" s="491"/>
      <c r="FT118" s="491"/>
      <c r="FU118" s="491"/>
      <c r="FV118" s="491"/>
      <c r="FW118" s="564"/>
      <c r="FZ118" s="578"/>
      <c r="GA118" s="491"/>
      <c r="GB118" s="491"/>
      <c r="GC118" s="491"/>
      <c r="GD118" s="491"/>
      <c r="GE118" s="602"/>
      <c r="GF118" s="491"/>
      <c r="GG118" s="491"/>
      <c r="GH118" s="491"/>
      <c r="GI118" s="491"/>
      <c r="GJ118" s="491">
        <f>SUM(GA120,GA122,GA124,GA126,GA128,A130,GA132,GA134,GA138)</f>
        <v>7</v>
      </c>
      <c r="GK118" s="491"/>
      <c r="GL118" s="491"/>
      <c r="GM118" s="491"/>
      <c r="GN118" s="491"/>
      <c r="GO118" s="491"/>
      <c r="GP118" s="491"/>
      <c r="GQ118" s="491"/>
      <c r="GR118" s="491"/>
      <c r="GS118" s="491"/>
      <c r="GT118" s="491"/>
      <c r="GU118" s="700"/>
      <c r="GV118" s="491">
        <f>SUM(GM120,GM122,GM124,GM126,GM128,GM130,GM132,GM134,GM136,GM138,GM140,GM142,GM144,GM146,GM148,GM150,GM152,GM154,GM156,GM160,GM164,GM166,GM168,GM170,GM172,GM162,GM176,GM158)</f>
        <v>27</v>
      </c>
      <c r="GW118" s="491"/>
      <c r="GX118" s="491"/>
      <c r="GY118" s="491"/>
      <c r="GZ118" s="491"/>
      <c r="HA118" s="491"/>
      <c r="HB118" s="491"/>
      <c r="HC118" s="491"/>
      <c r="HD118" s="645"/>
      <c r="HE118" s="491"/>
      <c r="HF118" s="491"/>
      <c r="HG118" s="491"/>
      <c r="HH118" s="491"/>
      <c r="HI118" s="491">
        <f>SUM(GZ120,GZ122,GZ124,GZ126,GZ128,GZ130,GZ132,GZ134,GZ136,GZ138,GZ140+GZ142+GZ144+GZ146+GZ148+GZ150+GZ152)</f>
        <v>16</v>
      </c>
      <c r="HJ118" s="491"/>
      <c r="HK118" s="491"/>
      <c r="HL118" s="491"/>
      <c r="HM118" s="491"/>
      <c r="HN118" s="491"/>
      <c r="HO118" s="491"/>
      <c r="HP118" s="491"/>
      <c r="HQ118" s="602"/>
      <c r="HR118" s="491"/>
      <c r="HS118" s="491"/>
      <c r="HT118" s="491"/>
      <c r="HU118" s="491"/>
      <c r="HV118" s="491">
        <f>SUM(HM120,HM122,HM124,HM128,HM130,HM132,HM134,HM136,HM138,HM140,HM142,HM144,HM126,HM146,HM152,HM154,HM156,HM160,HM158,HM150,HM148)</f>
        <v>21</v>
      </c>
      <c r="HW118" s="491"/>
      <c r="HX118" s="491"/>
      <c r="HY118" s="491"/>
      <c r="HZ118" s="491"/>
      <c r="IA118" s="491"/>
      <c r="IB118" s="491"/>
      <c r="IC118" s="491"/>
      <c r="ID118" s="645"/>
      <c r="IE118" s="491"/>
      <c r="IF118" s="491"/>
      <c r="IG118" s="491"/>
      <c r="IH118" s="491"/>
      <c r="II118" s="491">
        <f>SUM(HZ120,HZ122,HZ124,HZ126,HZ128,HZ130,HZ132,HZ134,HZ136,HZ138,HZ140,HZ142,HZ144,HZ146,HZ148,HZ150,HZ152,HZ154,HZ156)</f>
        <v>19</v>
      </c>
      <c r="IJ118" s="491"/>
      <c r="IK118" s="491"/>
      <c r="IL118" s="491"/>
      <c r="IM118" s="645"/>
      <c r="IN118" s="491"/>
      <c r="IO118" s="491"/>
      <c r="IP118" s="491"/>
      <c r="IQ118" s="491"/>
      <c r="IR118" s="491"/>
      <c r="IS118" s="491"/>
      <c r="IT118" s="491"/>
      <c r="IU118" s="491">
        <f>SUM(IL120,IL122,IL124,IL126,IL130,IL132,IL134,IL136,IL138,IL140,IL128)</f>
        <v>11</v>
      </c>
      <c r="IV118" s="564"/>
      <c r="IZ118" s="578"/>
      <c r="JA118" s="491"/>
      <c r="JB118" s="491"/>
      <c r="JC118" s="491"/>
      <c r="JD118" s="491"/>
      <c r="JE118" s="491"/>
      <c r="JF118" s="491"/>
      <c r="JG118" s="491"/>
      <c r="JH118" s="491"/>
      <c r="JI118" s="491"/>
      <c r="JJ118" s="491"/>
      <c r="JK118" s="491"/>
      <c r="JL118" s="491"/>
      <c r="JM118" s="491"/>
      <c r="JN118" s="491"/>
      <c r="JO118" s="491"/>
      <c r="JP118" s="491"/>
      <c r="JQ118" s="491"/>
      <c r="JR118" s="491"/>
      <c r="JS118" s="491"/>
      <c r="JT118" s="491"/>
      <c r="JU118" s="491"/>
      <c r="JV118" s="491"/>
      <c r="JW118" s="491"/>
      <c r="JX118" s="491"/>
      <c r="JY118" s="491"/>
      <c r="JZ118" s="491"/>
      <c r="KA118" s="491"/>
      <c r="KB118" s="491"/>
      <c r="KC118" s="491"/>
      <c r="KD118" s="491"/>
      <c r="KE118" s="491"/>
      <c r="KF118" s="491"/>
      <c r="KG118" s="491"/>
      <c r="KH118" s="491"/>
      <c r="KI118" s="491"/>
      <c r="KJ118" s="491"/>
      <c r="KK118" s="491"/>
      <c r="KL118" s="529"/>
      <c r="KM118" s="607"/>
      <c r="KN118" s="576"/>
      <c r="KO118" s="491"/>
      <c r="KP118" s="491"/>
      <c r="KQ118" s="491"/>
      <c r="KR118" s="491"/>
      <c r="KS118" s="491"/>
      <c r="KT118" s="576"/>
      <c r="KU118" s="491"/>
      <c r="KV118" s="491"/>
      <c r="KW118" s="529"/>
      <c r="KX118" s="491"/>
      <c r="KY118" s="491"/>
      <c r="KZ118" s="491"/>
      <c r="LA118" s="491"/>
      <c r="LB118" s="491"/>
      <c r="LC118" s="491"/>
      <c r="LD118" s="491"/>
      <c r="LE118" s="491"/>
      <c r="LF118" s="491"/>
      <c r="LG118" s="576"/>
      <c r="LH118" s="577"/>
      <c r="LI118" s="491"/>
      <c r="LJ118" s="491"/>
      <c r="LK118" s="491"/>
      <c r="LL118" s="491"/>
      <c r="LM118" s="491"/>
      <c r="LN118" s="491"/>
      <c r="LO118" s="491"/>
      <c r="LP118" s="491"/>
      <c r="LQ118" s="491"/>
      <c r="LR118" s="491"/>
      <c r="LS118" s="491"/>
      <c r="LT118" s="491"/>
      <c r="LU118" s="491"/>
      <c r="LV118" s="491"/>
      <c r="LW118" s="491"/>
      <c r="LX118" s="491"/>
      <c r="LY118" s="491"/>
      <c r="LZ118" s="491"/>
      <c r="MA118" s="491"/>
      <c r="MB118" s="491"/>
      <c r="MC118" s="491"/>
      <c r="MD118" s="491"/>
      <c r="ME118" s="491"/>
      <c r="MF118" s="491"/>
      <c r="MG118" s="491"/>
      <c r="MH118" s="491"/>
      <c r="MI118" s="491"/>
      <c r="MJ118" s="564"/>
      <c r="MN118" s="578"/>
      <c r="MO118" s="491"/>
      <c r="MP118" s="491"/>
      <c r="MQ118" s="491"/>
      <c r="MR118" s="491"/>
      <c r="MS118" s="491"/>
      <c r="MT118" s="491"/>
      <c r="MU118" s="491"/>
      <c r="MV118" s="491"/>
      <c r="MW118" s="491"/>
      <c r="MX118" s="491"/>
      <c r="MY118" s="491"/>
      <c r="MZ118" s="491"/>
      <c r="NA118" s="491"/>
      <c r="NB118" s="491"/>
      <c r="NC118" s="491"/>
      <c r="ND118" s="491"/>
      <c r="NE118" s="491"/>
      <c r="NF118" s="491"/>
      <c r="NG118" s="491"/>
      <c r="NH118" s="491"/>
      <c r="NI118" s="491"/>
      <c r="NJ118" s="491"/>
      <c r="NK118" s="491"/>
      <c r="NL118" s="491"/>
      <c r="NM118" s="491"/>
      <c r="NN118" s="491"/>
      <c r="NO118" s="491"/>
      <c r="NP118" s="491"/>
      <c r="NQ118" s="491"/>
      <c r="NR118" s="491"/>
      <c r="NS118" s="491"/>
      <c r="NT118" s="491"/>
      <c r="NU118" s="491"/>
      <c r="NV118" s="1561" t="s">
        <v>4872</v>
      </c>
      <c r="NW118" s="1561" t="s">
        <v>4873</v>
      </c>
      <c r="NX118" s="1561"/>
      <c r="NY118" s="1561"/>
      <c r="NZ118" s="1561"/>
      <c r="OA118" s="1561"/>
      <c r="OB118" s="1561"/>
      <c r="OC118" s="1561"/>
      <c r="OD118" s="1561"/>
      <c r="OE118" s="1561"/>
      <c r="OF118" s="491"/>
      <c r="OG118" s="491"/>
      <c r="OH118" s="491"/>
      <c r="OI118" s="491"/>
      <c r="OJ118" s="491"/>
      <c r="OK118" s="491"/>
      <c r="OL118" s="491"/>
      <c r="OM118" s="491"/>
      <c r="ON118" s="491"/>
      <c r="OO118" s="491"/>
      <c r="OP118" s="491"/>
      <c r="OQ118" s="491"/>
      <c r="OR118" s="491"/>
      <c r="OS118" s="491"/>
      <c r="OT118" s="491"/>
      <c r="OU118" s="491"/>
      <c r="OV118" s="491"/>
      <c r="OW118" s="491"/>
      <c r="OX118" s="491"/>
      <c r="OY118" s="491"/>
      <c r="OZ118" s="491"/>
      <c r="PA118" s="491"/>
      <c r="PB118" s="491"/>
      <c r="PC118" s="491"/>
      <c r="PD118" s="491"/>
      <c r="PE118" s="491"/>
      <c r="PF118" s="491"/>
      <c r="PG118" s="491"/>
      <c r="PH118" s="491"/>
      <c r="PI118" s="491"/>
      <c r="PJ118" s="491"/>
      <c r="PK118" s="491"/>
      <c r="PL118" s="491"/>
      <c r="PM118" s="491"/>
      <c r="PN118" s="564"/>
      <c r="PW118" s="482"/>
    </row>
    <row r="119" spans="12:439" ht="12.75" customHeight="1" x14ac:dyDescent="0.35">
      <c r="L119" s="655"/>
      <c r="Q119" s="578"/>
      <c r="R119" s="491"/>
      <c r="S119" s="491"/>
      <c r="T119" s="491"/>
      <c r="U119" s="491"/>
      <c r="V119" s="491"/>
      <c r="W119" s="607"/>
      <c r="X119" s="576"/>
      <c r="Y119" s="576"/>
      <c r="Z119" s="576"/>
      <c r="AA119" s="576"/>
      <c r="AB119" s="576"/>
      <c r="AC119" s="608"/>
      <c r="AD119" s="1447" t="s">
        <v>4107</v>
      </c>
      <c r="AE119" s="1448"/>
      <c r="AF119" s="1448"/>
      <c r="AG119" s="1448"/>
      <c r="AH119" s="1448"/>
      <c r="AI119" s="1448"/>
      <c r="AJ119" s="1448"/>
      <c r="AK119" s="1448"/>
      <c r="AL119" s="1448"/>
      <c r="AM119" s="1449"/>
      <c r="AN119" s="576"/>
      <c r="AO119" s="575"/>
      <c r="AP119" s="575"/>
      <c r="AQ119" s="576"/>
      <c r="AR119" s="576"/>
      <c r="AS119" s="576"/>
      <c r="AT119" s="577"/>
      <c r="AU119" s="491"/>
      <c r="AV119" s="491"/>
      <c r="AW119" s="491"/>
      <c r="AX119" s="491"/>
      <c r="AY119" s="491"/>
      <c r="AZ119" s="564"/>
      <c r="BD119" s="578"/>
      <c r="BE119" s="491"/>
      <c r="BF119" s="491"/>
      <c r="BG119" s="491"/>
      <c r="BH119" s="491"/>
      <c r="BI119" s="491"/>
      <c r="BJ119" s="519"/>
      <c r="BK119" s="1447" t="s">
        <v>5145</v>
      </c>
      <c r="BL119" s="1448"/>
      <c r="BM119" s="1448"/>
      <c r="BN119" s="1448"/>
      <c r="BO119" s="1448"/>
      <c r="BP119" s="1448"/>
      <c r="BQ119" s="1448"/>
      <c r="BR119" s="1448"/>
      <c r="BS119" s="1448"/>
      <c r="BT119" s="1449"/>
      <c r="BU119" s="701"/>
      <c r="BV119" s="491"/>
      <c r="BW119" s="491"/>
      <c r="BX119" s="491"/>
      <c r="BY119" s="491"/>
      <c r="BZ119" s="491"/>
      <c r="CA119" s="564"/>
      <c r="CE119" s="578"/>
      <c r="CF119" s="491"/>
      <c r="CG119" s="643"/>
      <c r="CH119" s="501"/>
      <c r="CI119" s="501"/>
      <c r="CJ119" s="702"/>
      <c r="CK119" s="703"/>
      <c r="CL119" s="576"/>
      <c r="CM119" s="576"/>
      <c r="CN119" s="576"/>
      <c r="CO119" s="576"/>
      <c r="CP119" s="576"/>
      <c r="CQ119" s="576"/>
      <c r="CR119" s="1447" t="s">
        <v>4592</v>
      </c>
      <c r="CS119" s="1448"/>
      <c r="CT119" s="1448"/>
      <c r="CU119" s="1448"/>
      <c r="CV119" s="1448"/>
      <c r="CW119" s="1448"/>
      <c r="CX119" s="1448"/>
      <c r="CY119" s="1448"/>
      <c r="CZ119" s="1448"/>
      <c r="DA119" s="1449"/>
      <c r="DB119" s="703"/>
      <c r="DC119" s="703"/>
      <c r="DD119" s="703"/>
      <c r="DE119" s="703"/>
      <c r="DF119" s="703"/>
      <c r="DG119" s="703"/>
      <c r="DH119" s="576"/>
      <c r="DI119" s="611"/>
      <c r="DJ119" s="491"/>
      <c r="DK119" s="491"/>
      <c r="DL119" s="491"/>
      <c r="DM119" s="491"/>
      <c r="DN119" s="656"/>
      <c r="DR119" s="578"/>
      <c r="DS119" s="491"/>
      <c r="DT119" s="491"/>
      <c r="DU119" s="491"/>
      <c r="DV119" s="491"/>
      <c r="DW119" s="491"/>
      <c r="DX119" s="519"/>
      <c r="DY119" s="1522" t="s">
        <v>2747</v>
      </c>
      <c r="DZ119" s="1516"/>
      <c r="EA119" s="1516"/>
      <c r="EB119" s="1516"/>
      <c r="EC119" s="1516"/>
      <c r="ED119" s="1516"/>
      <c r="EE119" s="1516"/>
      <c r="EF119" s="1516"/>
      <c r="EG119" s="1516"/>
      <c r="EH119" s="1517"/>
      <c r="EI119" s="514"/>
      <c r="EJ119" s="491"/>
      <c r="EK119" s="491"/>
      <c r="EL119" s="491"/>
      <c r="EM119" s="491"/>
      <c r="EN119" s="491"/>
      <c r="EO119" s="564"/>
      <c r="ES119" s="578"/>
      <c r="ET119" s="491"/>
      <c r="EU119" s="491"/>
      <c r="EV119" s="1469" t="s">
        <v>5146</v>
      </c>
      <c r="EW119" s="1469"/>
      <c r="EX119" s="1469"/>
      <c r="EY119" s="1469"/>
      <c r="EZ119" s="1469"/>
      <c r="FA119" s="1469"/>
      <c r="FB119" s="1469"/>
      <c r="FC119" s="1469"/>
      <c r="FD119" s="1469"/>
      <c r="FE119" s="1469"/>
      <c r="FF119" s="491"/>
      <c r="FG119" s="491"/>
      <c r="FH119" s="491"/>
      <c r="FI119" s="1469" t="s">
        <v>5147</v>
      </c>
      <c r="FJ119" s="1469"/>
      <c r="FK119" s="1469"/>
      <c r="FL119" s="1469"/>
      <c r="FM119" s="1469"/>
      <c r="FN119" s="1469"/>
      <c r="FO119" s="1469"/>
      <c r="FP119" s="1469"/>
      <c r="FQ119" s="1469"/>
      <c r="FR119" s="1469"/>
      <c r="FS119" s="491"/>
      <c r="FT119" s="491"/>
      <c r="FU119" s="491"/>
      <c r="FV119" s="491"/>
      <c r="FW119" s="564"/>
      <c r="FZ119" s="578"/>
      <c r="GA119" s="1567" t="s">
        <v>5148</v>
      </c>
      <c r="GB119" s="1568"/>
      <c r="GC119" s="1568"/>
      <c r="GD119" s="1568"/>
      <c r="GE119" s="1568"/>
      <c r="GF119" s="1568"/>
      <c r="GG119" s="1568"/>
      <c r="GH119" s="1568"/>
      <c r="GI119" s="1568"/>
      <c r="GJ119" s="1569"/>
      <c r="GK119" s="704"/>
      <c r="GL119" s="704"/>
      <c r="GM119" s="1567" t="s">
        <v>5149</v>
      </c>
      <c r="GN119" s="1568"/>
      <c r="GO119" s="1568"/>
      <c r="GP119" s="1568"/>
      <c r="GQ119" s="1568"/>
      <c r="GR119" s="1568"/>
      <c r="GS119" s="1568"/>
      <c r="GT119" s="1568"/>
      <c r="GU119" s="1568"/>
      <c r="GV119" s="1569"/>
      <c r="GW119" s="1564"/>
      <c r="GX119" s="1565"/>
      <c r="GY119" s="1566"/>
      <c r="GZ119" s="1567" t="s">
        <v>5150</v>
      </c>
      <c r="HA119" s="1568"/>
      <c r="HB119" s="1568"/>
      <c r="HC119" s="1568"/>
      <c r="HD119" s="1568"/>
      <c r="HE119" s="1568"/>
      <c r="HF119" s="1568"/>
      <c r="HG119" s="1568"/>
      <c r="HH119" s="1568"/>
      <c r="HI119" s="1569"/>
      <c r="HJ119" s="1564"/>
      <c r="HK119" s="1565"/>
      <c r="HL119" s="1566"/>
      <c r="HM119" s="1567" t="s">
        <v>5151</v>
      </c>
      <c r="HN119" s="1568"/>
      <c r="HO119" s="1568"/>
      <c r="HP119" s="1568"/>
      <c r="HQ119" s="1568"/>
      <c r="HR119" s="1568"/>
      <c r="HS119" s="1568"/>
      <c r="HT119" s="1568"/>
      <c r="HU119" s="1568"/>
      <c r="HV119" s="1569"/>
      <c r="HW119" s="1564"/>
      <c r="HX119" s="1565"/>
      <c r="HY119" s="1566"/>
      <c r="HZ119" s="1567" t="s">
        <v>5152</v>
      </c>
      <c r="IA119" s="1568"/>
      <c r="IB119" s="1568"/>
      <c r="IC119" s="1568"/>
      <c r="ID119" s="1568"/>
      <c r="IE119" s="1568"/>
      <c r="IF119" s="1568"/>
      <c r="IG119" s="1568"/>
      <c r="IH119" s="1568"/>
      <c r="II119" s="1569"/>
      <c r="IJ119" s="1564"/>
      <c r="IK119" s="1566"/>
      <c r="IL119" s="1567" t="s">
        <v>5153</v>
      </c>
      <c r="IM119" s="1568"/>
      <c r="IN119" s="1568"/>
      <c r="IO119" s="1568"/>
      <c r="IP119" s="1568"/>
      <c r="IQ119" s="1568"/>
      <c r="IR119" s="1568"/>
      <c r="IS119" s="1568"/>
      <c r="IT119" s="1568"/>
      <c r="IU119" s="1569"/>
      <c r="IV119" s="564"/>
      <c r="IZ119" s="578"/>
      <c r="JA119" s="491"/>
      <c r="JB119" s="491"/>
      <c r="JC119" s="491"/>
      <c r="JD119" s="491"/>
      <c r="JE119" s="491"/>
      <c r="JF119" s="491"/>
      <c r="JG119" s="491"/>
      <c r="JH119" s="491"/>
      <c r="JI119" s="491"/>
      <c r="JJ119" s="491"/>
      <c r="JK119" s="491"/>
      <c r="JL119" s="491"/>
      <c r="JM119" s="491"/>
      <c r="JN119" s="491"/>
      <c r="JO119" s="491"/>
      <c r="JP119" s="491"/>
      <c r="JQ119" s="491"/>
      <c r="JR119" s="491"/>
      <c r="JS119" s="491"/>
      <c r="JT119" s="491"/>
      <c r="JU119" s="491"/>
      <c r="JV119" s="491"/>
      <c r="JW119" s="491"/>
      <c r="JX119" s="491"/>
      <c r="JY119" s="491"/>
      <c r="JZ119" s="491"/>
      <c r="KA119" s="491"/>
      <c r="KB119" s="491"/>
      <c r="KC119" s="491"/>
      <c r="KD119" s="491"/>
      <c r="KE119" s="491"/>
      <c r="KF119" s="491"/>
      <c r="KG119" s="491"/>
      <c r="KH119" s="491"/>
      <c r="KI119" s="491"/>
      <c r="KJ119" s="491"/>
      <c r="KK119" s="491"/>
      <c r="KL119" s="602"/>
      <c r="KM119" s="506"/>
      <c r="KN119" s="506"/>
      <c r="KO119" s="491"/>
      <c r="KP119" s="491"/>
      <c r="KQ119" s="491"/>
      <c r="KR119" s="491"/>
      <c r="KS119" s="491"/>
      <c r="KT119" s="491"/>
      <c r="KU119" s="491"/>
      <c r="KV119" s="491"/>
      <c r="KW119" s="529"/>
      <c r="KX119" s="491"/>
      <c r="KY119" s="491"/>
      <c r="KZ119" s="491"/>
      <c r="LA119" s="491"/>
      <c r="LB119" s="491"/>
      <c r="LC119" s="491"/>
      <c r="LD119" s="491"/>
      <c r="LE119" s="491"/>
      <c r="LF119" s="491"/>
      <c r="LG119" s="506"/>
      <c r="LH119" s="602"/>
      <c r="LI119" s="700"/>
      <c r="LJ119" s="491"/>
      <c r="LK119" s="491"/>
      <c r="LL119" s="491"/>
      <c r="LM119" s="491"/>
      <c r="LN119" s="491"/>
      <c r="LO119" s="491"/>
      <c r="LP119" s="491"/>
      <c r="LQ119" s="491"/>
      <c r="LR119" s="491"/>
      <c r="LS119" s="491"/>
      <c r="LT119" s="491"/>
      <c r="LU119" s="491"/>
      <c r="LV119" s="491"/>
      <c r="LW119" s="491"/>
      <c r="LX119" s="491"/>
      <c r="LY119" s="491"/>
      <c r="LZ119" s="491"/>
      <c r="MA119" s="491"/>
      <c r="MB119" s="491"/>
      <c r="MC119" s="491"/>
      <c r="MD119" s="491"/>
      <c r="ME119" s="491"/>
      <c r="MF119" s="491"/>
      <c r="MG119" s="491"/>
      <c r="MH119" s="491"/>
      <c r="MI119" s="491"/>
      <c r="MJ119" s="564"/>
      <c r="MN119" s="578"/>
      <c r="MO119" s="491"/>
      <c r="MP119" s="491"/>
      <c r="MQ119" s="491"/>
      <c r="MR119" s="491"/>
      <c r="MS119" s="491"/>
      <c r="MT119" s="491"/>
      <c r="MU119" s="491"/>
      <c r="MV119" s="491"/>
      <c r="MW119" s="491"/>
      <c r="MX119" s="491"/>
      <c r="MY119" s="491"/>
      <c r="MZ119" s="491"/>
      <c r="NA119" s="491"/>
      <c r="NB119" s="491"/>
      <c r="NC119" s="491"/>
      <c r="ND119" s="491"/>
      <c r="NE119" s="491"/>
      <c r="NF119" s="491"/>
      <c r="NG119" s="491"/>
      <c r="NH119" s="491"/>
      <c r="NI119" s="491"/>
      <c r="NJ119" s="491"/>
      <c r="NK119" s="491"/>
      <c r="NL119" s="491"/>
      <c r="NM119" s="491"/>
      <c r="NN119" s="491"/>
      <c r="NO119" s="491"/>
      <c r="NP119" s="491"/>
      <c r="NQ119" s="491"/>
      <c r="NR119" s="491"/>
      <c r="NS119" s="491"/>
      <c r="NT119" s="491"/>
      <c r="NU119" s="491"/>
      <c r="NV119" s="491"/>
      <c r="NW119" s="491"/>
      <c r="NX119" s="491"/>
      <c r="NY119" s="491"/>
      <c r="NZ119" s="580"/>
      <c r="OA119" s="491"/>
      <c r="OB119" s="491"/>
      <c r="OC119" s="491"/>
      <c r="OD119" s="491"/>
      <c r="OE119" s="491"/>
      <c r="OF119" s="491"/>
      <c r="OG119" s="491"/>
      <c r="OH119" s="491"/>
      <c r="OI119" s="491"/>
      <c r="OJ119" s="491"/>
      <c r="OK119" s="491"/>
      <c r="OL119" s="491"/>
      <c r="OM119" s="491"/>
      <c r="ON119" s="491"/>
      <c r="OO119" s="491"/>
      <c r="OP119" s="491"/>
      <c r="OQ119" s="491"/>
      <c r="OR119" s="491"/>
      <c r="OS119" s="491"/>
      <c r="OT119" s="491"/>
      <c r="OU119" s="491"/>
      <c r="OV119" s="491"/>
      <c r="OW119" s="491"/>
      <c r="OX119" s="491"/>
      <c r="OY119" s="491"/>
      <c r="OZ119" s="491"/>
      <c r="PA119" s="491"/>
      <c r="PB119" s="491"/>
      <c r="PC119" s="491"/>
      <c r="PD119" s="491"/>
      <c r="PE119" s="491"/>
      <c r="PF119" s="491"/>
      <c r="PG119" s="491"/>
      <c r="PH119" s="491"/>
      <c r="PI119" s="491"/>
      <c r="PJ119" s="491"/>
      <c r="PK119" s="491"/>
      <c r="PL119" s="491"/>
      <c r="PM119" s="491"/>
      <c r="PN119" s="564"/>
      <c r="PW119" s="482"/>
    </row>
    <row r="120" spans="12:439" ht="12.75" customHeight="1" x14ac:dyDescent="0.35">
      <c r="L120" s="655"/>
      <c r="Q120" s="578"/>
      <c r="R120" s="491"/>
      <c r="S120" s="491"/>
      <c r="T120" s="491"/>
      <c r="U120" s="491"/>
      <c r="V120" s="491"/>
      <c r="W120" s="611"/>
      <c r="X120" s="491"/>
      <c r="Y120" s="491"/>
      <c r="Z120" s="491"/>
      <c r="AA120" s="491"/>
      <c r="AB120" s="491"/>
      <c r="AC120" s="491"/>
      <c r="AD120" s="491"/>
      <c r="AE120" s="491"/>
      <c r="AF120" s="491"/>
      <c r="AG120" s="597"/>
      <c r="AH120" s="612"/>
      <c r="AI120" s="491"/>
      <c r="AJ120" s="491"/>
      <c r="AK120" s="491"/>
      <c r="AL120" s="491"/>
      <c r="AM120" s="491"/>
      <c r="AN120" s="491"/>
      <c r="AO120" s="511"/>
      <c r="AP120" s="511"/>
      <c r="AQ120" s="491"/>
      <c r="AR120" s="491"/>
      <c r="AS120" s="491"/>
      <c r="AT120" s="529"/>
      <c r="AU120" s="491"/>
      <c r="AV120" s="491"/>
      <c r="AW120" s="491"/>
      <c r="AX120" s="491"/>
      <c r="AY120" s="491"/>
      <c r="AZ120" s="564"/>
      <c r="BD120" s="578"/>
      <c r="BE120" s="491"/>
      <c r="BF120" s="491"/>
      <c r="BG120" s="491"/>
      <c r="BH120" s="491"/>
      <c r="BI120" s="491"/>
      <c r="BJ120" s="491"/>
      <c r="BK120" s="491"/>
      <c r="BL120" s="491"/>
      <c r="BM120" s="491"/>
      <c r="BN120" s="491"/>
      <c r="BO120" s="707"/>
      <c r="BP120" s="597"/>
      <c r="BQ120" s="491"/>
      <c r="BR120" s="491"/>
      <c r="BS120" s="491"/>
      <c r="BT120" s="491"/>
      <c r="BU120" s="602"/>
      <c r="BV120" s="491"/>
      <c r="BW120" s="491"/>
      <c r="BX120" s="491"/>
      <c r="BY120" s="491"/>
      <c r="BZ120" s="491"/>
      <c r="CA120" s="564"/>
      <c r="CE120" s="578"/>
      <c r="CF120" s="491"/>
      <c r="CG120" s="491"/>
      <c r="CH120" s="491"/>
      <c r="CI120" s="491"/>
      <c r="CJ120" s="611"/>
      <c r="CK120" s="491"/>
      <c r="CL120" s="491"/>
      <c r="CM120" s="491"/>
      <c r="CN120" s="491"/>
      <c r="CO120" s="491"/>
      <c r="CP120" s="491"/>
      <c r="CQ120" s="491"/>
      <c r="CR120" s="507"/>
      <c r="CS120" s="504"/>
      <c r="CT120" s="504"/>
      <c r="CU120" s="491"/>
      <c r="CV120" s="636"/>
      <c r="CW120" s="501"/>
      <c r="CX120" s="501"/>
      <c r="CY120" s="501"/>
      <c r="CZ120" s="501"/>
      <c r="DA120" s="491"/>
      <c r="DB120" s="491"/>
      <c r="DC120" s="491"/>
      <c r="DD120" s="491"/>
      <c r="DE120" s="491"/>
      <c r="DF120" s="491"/>
      <c r="DG120" s="491"/>
      <c r="DH120" s="491"/>
      <c r="DI120" s="700"/>
      <c r="DJ120" s="491"/>
      <c r="DK120" s="491"/>
      <c r="DL120" s="491"/>
      <c r="DM120" s="491"/>
      <c r="DN120" s="699"/>
      <c r="DQ120" s="708"/>
      <c r="DR120" s="491"/>
      <c r="DS120" s="491"/>
      <c r="DT120" s="491"/>
      <c r="DU120" s="491"/>
      <c r="DV120" s="491"/>
      <c r="DW120" s="491"/>
      <c r="DX120" s="491"/>
      <c r="DY120" s="491"/>
      <c r="DZ120" s="491"/>
      <c r="EA120" s="491"/>
      <c r="EB120" s="491"/>
      <c r="EC120" s="491"/>
      <c r="ED120" s="709"/>
      <c r="EE120" s="491"/>
      <c r="EF120" s="491"/>
      <c r="EG120" s="491"/>
      <c r="EH120" s="491"/>
      <c r="EI120" s="491"/>
      <c r="EJ120" s="491"/>
      <c r="EK120" s="491"/>
      <c r="EL120" s="491"/>
      <c r="EM120" s="491"/>
      <c r="EN120" s="491"/>
      <c r="EO120" s="564"/>
      <c r="ES120" s="578"/>
      <c r="ET120" s="491"/>
      <c r="EU120" s="491"/>
      <c r="EV120" s="513">
        <v>1</v>
      </c>
      <c r="EW120" s="1469" t="s">
        <v>5154</v>
      </c>
      <c r="EX120" s="1469"/>
      <c r="EY120" s="1469"/>
      <c r="EZ120" s="1469"/>
      <c r="FA120" s="1469"/>
      <c r="FB120" s="1469"/>
      <c r="FC120" s="1469"/>
      <c r="FD120" s="1469"/>
      <c r="FE120" s="1469"/>
      <c r="FF120" s="491"/>
      <c r="FG120" s="491"/>
      <c r="FH120" s="491"/>
      <c r="FI120" s="513">
        <v>1</v>
      </c>
      <c r="FJ120" s="1469" t="s">
        <v>5154</v>
      </c>
      <c r="FK120" s="1469"/>
      <c r="FL120" s="1469"/>
      <c r="FM120" s="1469"/>
      <c r="FN120" s="1469"/>
      <c r="FO120" s="1469"/>
      <c r="FP120" s="1469"/>
      <c r="FQ120" s="1469"/>
      <c r="FR120" s="1469"/>
      <c r="FS120" s="491"/>
      <c r="FT120" s="491"/>
      <c r="FU120" s="491"/>
      <c r="FV120" s="491"/>
      <c r="FW120" s="564"/>
      <c r="FZ120" s="578"/>
      <c r="GA120" s="710">
        <v>1</v>
      </c>
      <c r="GB120" s="1567" t="s">
        <v>5154</v>
      </c>
      <c r="GC120" s="1568"/>
      <c r="GD120" s="1568"/>
      <c r="GE120" s="1568"/>
      <c r="GF120" s="1568"/>
      <c r="GG120" s="1568"/>
      <c r="GH120" s="1568"/>
      <c r="GI120" s="1568"/>
      <c r="GJ120" s="1569"/>
      <c r="GK120" s="704"/>
      <c r="GL120" s="704"/>
      <c r="GM120" s="710">
        <v>1</v>
      </c>
      <c r="GN120" s="1567" t="s">
        <v>5052</v>
      </c>
      <c r="GO120" s="1568"/>
      <c r="GP120" s="1568"/>
      <c r="GQ120" s="1568"/>
      <c r="GR120" s="1568"/>
      <c r="GS120" s="1568"/>
      <c r="GT120" s="1568"/>
      <c r="GU120" s="1568"/>
      <c r="GV120" s="1569"/>
      <c r="GW120" s="1564"/>
      <c r="GX120" s="1565"/>
      <c r="GY120" s="1566"/>
      <c r="GZ120" s="710"/>
      <c r="HA120" s="1567" t="s">
        <v>5052</v>
      </c>
      <c r="HB120" s="1568"/>
      <c r="HC120" s="1568"/>
      <c r="HD120" s="1568"/>
      <c r="HE120" s="1568"/>
      <c r="HF120" s="1568"/>
      <c r="HG120" s="1568"/>
      <c r="HH120" s="1568"/>
      <c r="HI120" s="1569"/>
      <c r="HJ120" s="1564"/>
      <c r="HK120" s="1565"/>
      <c r="HL120" s="1566"/>
      <c r="HM120" s="710">
        <v>1</v>
      </c>
      <c r="HN120" s="1567" t="s">
        <v>5052</v>
      </c>
      <c r="HO120" s="1568"/>
      <c r="HP120" s="1568"/>
      <c r="HQ120" s="1568"/>
      <c r="HR120" s="1568"/>
      <c r="HS120" s="1568"/>
      <c r="HT120" s="1568"/>
      <c r="HU120" s="1568"/>
      <c r="HV120" s="1569"/>
      <c r="HW120" s="1564"/>
      <c r="HX120" s="1565"/>
      <c r="HY120" s="1566"/>
      <c r="HZ120" s="710">
        <v>1</v>
      </c>
      <c r="IA120" s="1567" t="s">
        <v>5052</v>
      </c>
      <c r="IB120" s="1568"/>
      <c r="IC120" s="1568"/>
      <c r="ID120" s="1568"/>
      <c r="IE120" s="1568"/>
      <c r="IF120" s="1568"/>
      <c r="IG120" s="1568"/>
      <c r="IH120" s="1568"/>
      <c r="II120" s="1569"/>
      <c r="IJ120" s="1564"/>
      <c r="IK120" s="1566"/>
      <c r="IL120" s="710">
        <v>1</v>
      </c>
      <c r="IM120" s="1567" t="s">
        <v>5052</v>
      </c>
      <c r="IN120" s="1568"/>
      <c r="IO120" s="1568"/>
      <c r="IP120" s="1568"/>
      <c r="IQ120" s="1568"/>
      <c r="IR120" s="1568"/>
      <c r="IS120" s="1568"/>
      <c r="IT120" s="1568"/>
      <c r="IU120" s="1569"/>
      <c r="IV120" s="564"/>
      <c r="IZ120" s="578"/>
      <c r="JA120" s="491"/>
      <c r="JB120" s="491"/>
      <c r="JC120" s="491"/>
      <c r="JD120" s="491"/>
      <c r="JE120" s="491"/>
      <c r="JF120" s="491"/>
      <c r="JG120" s="491"/>
      <c r="JH120" s="491"/>
      <c r="JI120" s="491"/>
      <c r="JJ120" s="491"/>
      <c r="JK120" s="491"/>
      <c r="JL120" s="491"/>
      <c r="JM120" s="491"/>
      <c r="JN120" s="491"/>
      <c r="JO120" s="491"/>
      <c r="JP120" s="491"/>
      <c r="JQ120" s="491"/>
      <c r="JR120" s="491"/>
      <c r="JS120" s="556"/>
      <c r="JT120" s="556"/>
      <c r="JU120" s="556"/>
      <c r="JV120" s="556"/>
      <c r="JW120" s="556"/>
      <c r="JX120" s="556"/>
      <c r="JY120" s="556"/>
      <c r="JZ120" s="556"/>
      <c r="KA120" s="556"/>
      <c r="KB120" s="556"/>
      <c r="KC120" s="556"/>
      <c r="KD120" s="556"/>
      <c r="KE120" s="556"/>
      <c r="KF120" s="556"/>
      <c r="KG120" s="556"/>
      <c r="KH120" s="558">
        <v>1</v>
      </c>
      <c r="KI120" s="1456" t="s">
        <v>4850</v>
      </c>
      <c r="KJ120" s="1457"/>
      <c r="KK120" s="1457"/>
      <c r="KL120" s="1457"/>
      <c r="KM120" s="1457"/>
      <c r="KN120" s="1457"/>
      <c r="KO120" s="1457"/>
      <c r="KP120" s="1457"/>
      <c r="KQ120" s="1458"/>
      <c r="KR120" s="491"/>
      <c r="KS120" s="491"/>
      <c r="KT120" s="491"/>
      <c r="KU120" s="491"/>
      <c r="KV120" s="491"/>
      <c r="KW120" s="529"/>
      <c r="KX120" s="491"/>
      <c r="KY120" s="491"/>
      <c r="KZ120" s="491"/>
      <c r="LA120" s="491"/>
      <c r="LB120" s="491"/>
      <c r="LC120" s="491"/>
      <c r="LD120" s="558">
        <v>1</v>
      </c>
      <c r="LE120" s="1456" t="s">
        <v>5052</v>
      </c>
      <c r="LF120" s="1457"/>
      <c r="LG120" s="1457"/>
      <c r="LH120" s="1457"/>
      <c r="LI120" s="1457"/>
      <c r="LJ120" s="1457"/>
      <c r="LK120" s="1457"/>
      <c r="LL120" s="1457"/>
      <c r="LM120" s="1458"/>
      <c r="LN120" s="556"/>
      <c r="LO120" s="556"/>
      <c r="LP120" s="556"/>
      <c r="LQ120" s="556"/>
      <c r="LR120" s="556"/>
      <c r="LS120" s="556"/>
      <c r="LT120" s="556"/>
      <c r="LU120" s="556"/>
      <c r="LV120" s="556"/>
      <c r="LW120" s="556"/>
      <c r="LX120" s="491"/>
      <c r="LY120" s="491"/>
      <c r="LZ120" s="491"/>
      <c r="MA120" s="491"/>
      <c r="MB120" s="491"/>
      <c r="MC120" s="491"/>
      <c r="MD120" s="491"/>
      <c r="ME120" s="491"/>
      <c r="MF120" s="491"/>
      <c r="MG120" s="491"/>
      <c r="MH120" s="491"/>
      <c r="MI120" s="491"/>
      <c r="MJ120" s="564"/>
      <c r="MN120" s="578"/>
      <c r="MO120" s="491"/>
      <c r="MP120" s="491"/>
      <c r="MQ120" s="491"/>
      <c r="MR120" s="491"/>
      <c r="MS120" s="491"/>
      <c r="MT120" s="491"/>
      <c r="MU120" s="491"/>
      <c r="MV120" s="491"/>
      <c r="MW120" s="491"/>
      <c r="MX120" s="491"/>
      <c r="MY120" s="491"/>
      <c r="MZ120" s="491"/>
      <c r="NA120" s="491"/>
      <c r="NB120" s="491"/>
      <c r="NC120" s="491"/>
      <c r="ND120" s="491"/>
      <c r="NE120" s="491"/>
      <c r="NF120" s="491"/>
      <c r="NG120" s="491"/>
      <c r="NH120" s="491"/>
      <c r="NI120" s="491"/>
      <c r="NJ120" s="491"/>
      <c r="NK120" s="491"/>
      <c r="NL120" s="491"/>
      <c r="NM120" s="491"/>
      <c r="NN120" s="491"/>
      <c r="NO120" s="491"/>
      <c r="NP120" s="491"/>
      <c r="NQ120" s="491"/>
      <c r="NR120" s="491"/>
      <c r="NS120" s="491"/>
      <c r="NT120" s="491"/>
      <c r="NU120" s="491"/>
      <c r="NV120" s="491"/>
      <c r="NW120" s="491"/>
      <c r="NX120" s="491"/>
      <c r="NY120" s="491"/>
      <c r="NZ120" s="526"/>
      <c r="OA120" s="491"/>
      <c r="OB120" s="491"/>
      <c r="OC120" s="491"/>
      <c r="OD120" s="491"/>
      <c r="OE120" s="491"/>
      <c r="OF120" s="491"/>
      <c r="OG120" s="491"/>
      <c r="OH120" s="491"/>
      <c r="OI120" s="491"/>
      <c r="OJ120" s="491"/>
      <c r="OK120" s="491"/>
      <c r="OL120" s="491"/>
      <c r="OM120" s="491"/>
      <c r="ON120" s="491"/>
      <c r="OO120" s="491"/>
      <c r="OP120" s="491"/>
      <c r="OQ120" s="491"/>
      <c r="OR120" s="491"/>
      <c r="OS120" s="491"/>
      <c r="OT120" s="491"/>
      <c r="OU120" s="491"/>
      <c r="OV120" s="491"/>
      <c r="OW120" s="491"/>
      <c r="OX120" s="491"/>
      <c r="OY120" s="491"/>
      <c r="OZ120" s="491"/>
      <c r="PA120" s="491"/>
      <c r="PB120" s="491"/>
      <c r="PC120" s="491"/>
      <c r="PD120" s="491"/>
      <c r="PE120" s="491"/>
      <c r="PF120" s="491"/>
      <c r="PG120" s="491"/>
      <c r="PH120" s="491"/>
      <c r="PI120" s="491"/>
      <c r="PJ120" s="491"/>
      <c r="PK120" s="491"/>
      <c r="PL120" s="491"/>
      <c r="PM120" s="491"/>
      <c r="PN120" s="564"/>
      <c r="PW120" s="482"/>
    </row>
    <row r="121" spans="12:439" ht="12.75" customHeight="1" x14ac:dyDescent="0.35">
      <c r="L121" s="655"/>
      <c r="Q121" s="578"/>
      <c r="R121" s="513">
        <v>1</v>
      </c>
      <c r="S121" s="1456" t="s">
        <v>5052</v>
      </c>
      <c r="T121" s="1457"/>
      <c r="U121" s="1457"/>
      <c r="V121" s="1457"/>
      <c r="W121" s="1457"/>
      <c r="X121" s="1457"/>
      <c r="Y121" s="1457"/>
      <c r="Z121" s="1457"/>
      <c r="AA121" s="1458"/>
      <c r="AB121" s="491"/>
      <c r="AC121" s="491"/>
      <c r="AD121" s="513">
        <v>1</v>
      </c>
      <c r="AE121" s="1456" t="s">
        <v>5052</v>
      </c>
      <c r="AF121" s="1457"/>
      <c r="AG121" s="1457"/>
      <c r="AH121" s="1457"/>
      <c r="AI121" s="1457"/>
      <c r="AJ121" s="1457"/>
      <c r="AK121" s="1457"/>
      <c r="AL121" s="1457"/>
      <c r="AM121" s="1458"/>
      <c r="AN121" s="491"/>
      <c r="AO121" s="491"/>
      <c r="AP121" s="513">
        <v>1</v>
      </c>
      <c r="AQ121" s="1456" t="s">
        <v>5052</v>
      </c>
      <c r="AR121" s="1457"/>
      <c r="AS121" s="1457"/>
      <c r="AT121" s="1457"/>
      <c r="AU121" s="1457"/>
      <c r="AV121" s="1457"/>
      <c r="AW121" s="1457"/>
      <c r="AX121" s="1457"/>
      <c r="AY121" s="1458"/>
      <c r="AZ121" s="564"/>
      <c r="BD121" s="578"/>
      <c r="BE121" s="491"/>
      <c r="BF121" s="491"/>
      <c r="BG121" s="491"/>
      <c r="BH121" s="491"/>
      <c r="BI121" s="491"/>
      <c r="BJ121" s="491"/>
      <c r="BK121" s="491"/>
      <c r="BL121" s="491"/>
      <c r="BM121" s="491"/>
      <c r="BN121" s="491"/>
      <c r="BO121" s="526"/>
      <c r="BP121" s="491"/>
      <c r="BQ121" s="1456" t="s">
        <v>5087</v>
      </c>
      <c r="BR121" s="1457"/>
      <c r="BS121" s="1457"/>
      <c r="BT121" s="1457"/>
      <c r="BU121" s="1457"/>
      <c r="BV121" s="1457"/>
      <c r="BW121" s="1457"/>
      <c r="BX121" s="1457"/>
      <c r="BY121" s="1457"/>
      <c r="BZ121" s="1563"/>
      <c r="CA121" s="564"/>
      <c r="CE121" s="578"/>
      <c r="CF121" s="513">
        <v>1</v>
      </c>
      <c r="CG121" s="1456" t="s">
        <v>5052</v>
      </c>
      <c r="CH121" s="1457"/>
      <c r="CI121" s="1457"/>
      <c r="CJ121" s="1457"/>
      <c r="CK121" s="1457"/>
      <c r="CL121" s="1457"/>
      <c r="CM121" s="1457"/>
      <c r="CN121" s="1457"/>
      <c r="CO121" s="1458"/>
      <c r="CP121" s="491"/>
      <c r="CQ121" s="491"/>
      <c r="CR121" s="615">
        <v>1</v>
      </c>
      <c r="CS121" s="1456" t="s">
        <v>5052</v>
      </c>
      <c r="CT121" s="1457"/>
      <c r="CU121" s="1457"/>
      <c r="CV121" s="1457"/>
      <c r="CW121" s="1457"/>
      <c r="CX121" s="1457"/>
      <c r="CY121" s="1457"/>
      <c r="CZ121" s="1457"/>
      <c r="DA121" s="1458"/>
      <c r="DB121" s="491"/>
      <c r="DC121" s="491"/>
      <c r="DD121" s="513">
        <v>1</v>
      </c>
      <c r="DE121" s="1456" t="s">
        <v>5155</v>
      </c>
      <c r="DF121" s="1457"/>
      <c r="DG121" s="1457"/>
      <c r="DH121" s="1457"/>
      <c r="DI121" s="1457"/>
      <c r="DJ121" s="1457"/>
      <c r="DK121" s="1457"/>
      <c r="DL121" s="1457"/>
      <c r="DM121" s="1458"/>
      <c r="DN121" s="656"/>
      <c r="DR121" s="578"/>
      <c r="DS121" s="491"/>
      <c r="DT121" s="491"/>
      <c r="DU121" s="491"/>
      <c r="DV121" s="491"/>
      <c r="DW121" s="491"/>
      <c r="DX121" s="491"/>
      <c r="DY121" s="513">
        <v>1</v>
      </c>
      <c r="DZ121" s="1456" t="s">
        <v>5052</v>
      </c>
      <c r="EA121" s="1457"/>
      <c r="EB121" s="1457"/>
      <c r="EC121" s="1457"/>
      <c r="ED121" s="1457"/>
      <c r="EE121" s="1457"/>
      <c r="EF121" s="1457"/>
      <c r="EG121" s="1457"/>
      <c r="EH121" s="1458"/>
      <c r="EI121" s="491"/>
      <c r="EJ121" s="491"/>
      <c r="EK121" s="491"/>
      <c r="EL121" s="491"/>
      <c r="EM121" s="491"/>
      <c r="EN121" s="491"/>
      <c r="EO121" s="564"/>
      <c r="ES121" s="578"/>
      <c r="ET121" s="491"/>
      <c r="EU121" s="491"/>
      <c r="EV121" s="1472" t="s">
        <v>2135</v>
      </c>
      <c r="EW121" s="1472"/>
      <c r="EX121" s="1472"/>
      <c r="EY121" s="1472"/>
      <c r="EZ121" s="1472"/>
      <c r="FA121" s="1472"/>
      <c r="FB121" s="1472"/>
      <c r="FC121" s="1472"/>
      <c r="FD121" s="1472"/>
      <c r="FE121" s="1472"/>
      <c r="FF121" s="491"/>
      <c r="FG121" s="491"/>
      <c r="FH121" s="491"/>
      <c r="FI121" s="1472" t="s">
        <v>5156</v>
      </c>
      <c r="FJ121" s="1472"/>
      <c r="FK121" s="1472"/>
      <c r="FL121" s="1472"/>
      <c r="FM121" s="1472"/>
      <c r="FN121" s="1472"/>
      <c r="FO121" s="1472"/>
      <c r="FP121" s="1472"/>
      <c r="FQ121" s="1472"/>
      <c r="FR121" s="1472"/>
      <c r="FS121" s="491"/>
      <c r="FT121" s="491"/>
      <c r="FU121" s="491"/>
      <c r="FV121" s="491"/>
      <c r="FW121" s="564"/>
      <c r="FZ121" s="578"/>
      <c r="GA121" s="1450" t="s">
        <v>5157</v>
      </c>
      <c r="GB121" s="1451"/>
      <c r="GC121" s="1451"/>
      <c r="GD121" s="1451"/>
      <c r="GE121" s="1451"/>
      <c r="GF121" s="1451"/>
      <c r="GG121" s="1451"/>
      <c r="GH121" s="1451"/>
      <c r="GI121" s="1451"/>
      <c r="GJ121" s="1452"/>
      <c r="GK121" s="704"/>
      <c r="GL121" s="704"/>
      <c r="GM121" s="1450" t="s">
        <v>1345</v>
      </c>
      <c r="GN121" s="1451"/>
      <c r="GO121" s="1451"/>
      <c r="GP121" s="1451"/>
      <c r="GQ121" s="1451"/>
      <c r="GR121" s="1451"/>
      <c r="GS121" s="1451"/>
      <c r="GT121" s="1451"/>
      <c r="GU121" s="1451"/>
      <c r="GV121" s="1452"/>
      <c r="GW121" s="1564"/>
      <c r="GX121" s="1565"/>
      <c r="GY121" s="1566"/>
      <c r="GZ121" s="1571"/>
      <c r="HA121" s="1572"/>
      <c r="HB121" s="1572"/>
      <c r="HC121" s="1572"/>
      <c r="HD121" s="1572"/>
      <c r="HE121" s="1572"/>
      <c r="HF121" s="1572"/>
      <c r="HG121" s="1572"/>
      <c r="HH121" s="1572"/>
      <c r="HI121" s="1573"/>
      <c r="HJ121" s="1564"/>
      <c r="HK121" s="1565"/>
      <c r="HL121" s="1566"/>
      <c r="HM121" s="1450" t="s">
        <v>3365</v>
      </c>
      <c r="HN121" s="1451"/>
      <c r="HO121" s="1451"/>
      <c r="HP121" s="1451"/>
      <c r="HQ121" s="1451"/>
      <c r="HR121" s="1451"/>
      <c r="HS121" s="1451"/>
      <c r="HT121" s="1451"/>
      <c r="HU121" s="1451"/>
      <c r="HV121" s="1452"/>
      <c r="HW121" s="1564"/>
      <c r="HX121" s="1565"/>
      <c r="HY121" s="1566"/>
      <c r="HZ121" s="1450" t="s">
        <v>3220</v>
      </c>
      <c r="IA121" s="1451"/>
      <c r="IB121" s="1451"/>
      <c r="IC121" s="1451"/>
      <c r="ID121" s="1451"/>
      <c r="IE121" s="1451"/>
      <c r="IF121" s="1451"/>
      <c r="IG121" s="1451"/>
      <c r="IH121" s="1451"/>
      <c r="II121" s="1452"/>
      <c r="IJ121" s="1564"/>
      <c r="IK121" s="1566"/>
      <c r="IL121" s="1450" t="s">
        <v>4215</v>
      </c>
      <c r="IM121" s="1451"/>
      <c r="IN121" s="1451"/>
      <c r="IO121" s="1451"/>
      <c r="IP121" s="1451"/>
      <c r="IQ121" s="1451"/>
      <c r="IR121" s="1451"/>
      <c r="IS121" s="1451"/>
      <c r="IT121" s="1451"/>
      <c r="IU121" s="1452"/>
      <c r="IV121" s="564"/>
      <c r="IZ121" s="578"/>
      <c r="JA121" s="491"/>
      <c r="JB121" s="491"/>
      <c r="JC121" s="491"/>
      <c r="JD121" s="491"/>
      <c r="JE121" s="491"/>
      <c r="JF121" s="491"/>
      <c r="JG121" s="491"/>
      <c r="JH121" s="491"/>
      <c r="JI121" s="491"/>
      <c r="JJ121" s="491"/>
      <c r="JK121" s="491"/>
      <c r="JL121" s="491"/>
      <c r="JM121" s="491"/>
      <c r="JN121" s="491"/>
      <c r="JO121" s="491"/>
      <c r="JP121" s="529"/>
      <c r="JQ121" s="607"/>
      <c r="JR121" s="576"/>
      <c r="JS121" s="491"/>
      <c r="JT121" s="491"/>
      <c r="JU121" s="491"/>
      <c r="JV121" s="491"/>
      <c r="JW121" s="491"/>
      <c r="JX121" s="491"/>
      <c r="JY121" s="491"/>
      <c r="JZ121" s="491"/>
      <c r="KA121" s="491"/>
      <c r="KB121" s="491"/>
      <c r="KC121" s="491"/>
      <c r="KD121" s="491"/>
      <c r="KE121" s="491"/>
      <c r="KF121" s="491"/>
      <c r="KG121" s="491"/>
      <c r="KH121" s="1447" t="s">
        <v>5158</v>
      </c>
      <c r="KI121" s="1448"/>
      <c r="KJ121" s="1448"/>
      <c r="KK121" s="1448"/>
      <c r="KL121" s="1448"/>
      <c r="KM121" s="1448"/>
      <c r="KN121" s="1448"/>
      <c r="KO121" s="1448"/>
      <c r="KP121" s="1448"/>
      <c r="KQ121" s="1449"/>
      <c r="KR121" s="491"/>
      <c r="KS121" s="491"/>
      <c r="KT121" s="491"/>
      <c r="KU121" s="491"/>
      <c r="KV121" s="491"/>
      <c r="KW121" s="529"/>
      <c r="KX121" s="491"/>
      <c r="KY121" s="491"/>
      <c r="KZ121" s="491"/>
      <c r="LA121" s="491"/>
      <c r="LB121" s="491"/>
      <c r="LC121" s="491"/>
      <c r="LD121" s="1447" t="s">
        <v>2939</v>
      </c>
      <c r="LE121" s="1448"/>
      <c r="LF121" s="1448"/>
      <c r="LG121" s="1448"/>
      <c r="LH121" s="1448"/>
      <c r="LI121" s="1448"/>
      <c r="LJ121" s="1448"/>
      <c r="LK121" s="1448"/>
      <c r="LL121" s="1448"/>
      <c r="LM121" s="1449"/>
      <c r="LN121" s="491"/>
      <c r="LO121" s="491"/>
      <c r="LP121" s="491"/>
      <c r="LQ121" s="491"/>
      <c r="LR121" s="491"/>
      <c r="LS121" s="491"/>
      <c r="LT121" s="491"/>
      <c r="LU121" s="491"/>
      <c r="LV121" s="491"/>
      <c r="LW121" s="491"/>
      <c r="LX121" s="577"/>
      <c r="LY121" s="491"/>
      <c r="LZ121" s="491"/>
      <c r="MA121" s="491"/>
      <c r="MB121" s="491"/>
      <c r="MC121" s="491"/>
      <c r="MD121" s="491"/>
      <c r="ME121" s="491"/>
      <c r="MF121" s="491"/>
      <c r="MG121" s="491"/>
      <c r="MH121" s="491"/>
      <c r="MI121" s="491"/>
      <c r="MJ121" s="564"/>
      <c r="MN121" s="578"/>
      <c r="MO121" s="491"/>
      <c r="MP121" s="491"/>
      <c r="MQ121" s="491"/>
      <c r="MR121" s="491"/>
      <c r="MS121" s="491"/>
      <c r="MT121" s="491"/>
      <c r="MU121" s="491"/>
      <c r="MV121" s="491"/>
      <c r="MW121" s="491"/>
      <c r="MX121" s="491"/>
      <c r="MY121" s="491"/>
      <c r="MZ121" s="491"/>
      <c r="NA121" s="491"/>
      <c r="NB121" s="491"/>
      <c r="NC121" s="491"/>
      <c r="ND121" s="491"/>
      <c r="NE121" s="491"/>
      <c r="NF121" s="491"/>
      <c r="NG121" s="491"/>
      <c r="NH121" s="491"/>
      <c r="NI121" s="491"/>
      <c r="NJ121" s="491"/>
      <c r="NK121" s="491"/>
      <c r="NL121" s="491"/>
      <c r="NM121" s="491"/>
      <c r="NN121" s="491"/>
      <c r="NO121" s="491"/>
      <c r="NP121" s="491"/>
      <c r="NQ121" s="491"/>
      <c r="NR121" s="491"/>
      <c r="NS121" s="491"/>
      <c r="NT121" s="491"/>
      <c r="NU121" s="491"/>
      <c r="NV121" s="491"/>
      <c r="NW121" s="491"/>
      <c r="NX121" s="491"/>
      <c r="NY121" s="491"/>
      <c r="NZ121" s="526"/>
      <c r="OA121" s="491"/>
      <c r="OB121" s="491"/>
      <c r="OC121" s="491"/>
      <c r="OD121" s="491"/>
      <c r="OE121" s="491"/>
      <c r="OF121" s="491"/>
      <c r="OG121" s="491"/>
      <c r="OH121" s="491"/>
      <c r="OI121" s="491"/>
      <c r="OJ121" s="491"/>
      <c r="OK121" s="491"/>
      <c r="OL121" s="491"/>
      <c r="OM121" s="491"/>
      <c r="ON121" s="491"/>
      <c r="OO121" s="491"/>
      <c r="OP121" s="491"/>
      <c r="OQ121" s="491"/>
      <c r="OR121" s="491"/>
      <c r="OS121" s="491"/>
      <c r="OT121" s="491"/>
      <c r="OU121" s="491"/>
      <c r="OV121" s="491"/>
      <c r="OW121" s="491"/>
      <c r="OX121" s="491"/>
      <c r="OY121" s="491"/>
      <c r="OZ121" s="491"/>
      <c r="PA121" s="491"/>
      <c r="PB121" s="491"/>
      <c r="PC121" s="491"/>
      <c r="PD121" s="491"/>
      <c r="PE121" s="491"/>
      <c r="PF121" s="491"/>
      <c r="PG121" s="491"/>
      <c r="PH121" s="491"/>
      <c r="PI121" s="491"/>
      <c r="PJ121" s="491"/>
      <c r="PK121" s="491"/>
      <c r="PL121" s="491"/>
      <c r="PM121" s="491"/>
      <c r="PN121" s="564"/>
      <c r="PW121" s="482"/>
    </row>
    <row r="122" spans="12:439" ht="12.75" customHeight="1" x14ac:dyDescent="0.35">
      <c r="L122" s="655"/>
      <c r="Q122" s="578"/>
      <c r="R122" s="1450" t="s">
        <v>2096</v>
      </c>
      <c r="S122" s="1451"/>
      <c r="T122" s="1451"/>
      <c r="U122" s="1451"/>
      <c r="V122" s="1451"/>
      <c r="W122" s="1451"/>
      <c r="X122" s="1451"/>
      <c r="Y122" s="1451"/>
      <c r="Z122" s="1451"/>
      <c r="AA122" s="1452"/>
      <c r="AB122" s="491"/>
      <c r="AC122" s="491"/>
      <c r="AD122" s="1450" t="s">
        <v>5159</v>
      </c>
      <c r="AE122" s="1451"/>
      <c r="AF122" s="1451"/>
      <c r="AG122" s="1451"/>
      <c r="AH122" s="1451"/>
      <c r="AI122" s="1451"/>
      <c r="AJ122" s="1451"/>
      <c r="AK122" s="1451"/>
      <c r="AL122" s="1451"/>
      <c r="AM122" s="1452"/>
      <c r="AN122" s="491"/>
      <c r="AO122" s="491"/>
      <c r="AP122" s="1447" t="s">
        <v>5160</v>
      </c>
      <c r="AQ122" s="1448"/>
      <c r="AR122" s="1448"/>
      <c r="AS122" s="1448"/>
      <c r="AT122" s="1448"/>
      <c r="AU122" s="1448"/>
      <c r="AV122" s="1448"/>
      <c r="AW122" s="1448"/>
      <c r="AX122" s="1448"/>
      <c r="AY122" s="1449"/>
      <c r="AZ122" s="564"/>
      <c r="BD122" s="578"/>
      <c r="BE122" s="491"/>
      <c r="BF122" s="491"/>
      <c r="BG122" s="491"/>
      <c r="BH122" s="491"/>
      <c r="BI122" s="491"/>
      <c r="BJ122" s="491"/>
      <c r="BK122" s="491"/>
      <c r="BL122" s="491"/>
      <c r="BM122" s="491"/>
      <c r="BN122" s="491"/>
      <c r="BO122" s="526"/>
      <c r="BP122" s="491"/>
      <c r="BQ122" s="711">
        <v>1</v>
      </c>
      <c r="BR122" s="1456" t="s">
        <v>5040</v>
      </c>
      <c r="BS122" s="1457"/>
      <c r="BT122" s="1457"/>
      <c r="BU122" s="1457"/>
      <c r="BV122" s="1457"/>
      <c r="BW122" s="1457"/>
      <c r="BX122" s="1457"/>
      <c r="BY122" s="1457"/>
      <c r="BZ122" s="1458"/>
      <c r="CA122" s="564"/>
      <c r="CE122" s="578"/>
      <c r="CF122" s="1472" t="s">
        <v>5161</v>
      </c>
      <c r="CG122" s="1472"/>
      <c r="CH122" s="1472"/>
      <c r="CI122" s="1472"/>
      <c r="CJ122" s="1472"/>
      <c r="CK122" s="1472"/>
      <c r="CL122" s="1472"/>
      <c r="CM122" s="1472"/>
      <c r="CN122" s="1472"/>
      <c r="CO122" s="1472"/>
      <c r="CP122" s="491"/>
      <c r="CQ122" s="491"/>
      <c r="CR122" s="1570" t="s">
        <v>3849</v>
      </c>
      <c r="CS122" s="1570"/>
      <c r="CT122" s="1570"/>
      <c r="CU122" s="1570"/>
      <c r="CV122" s="1570"/>
      <c r="CW122" s="1570"/>
      <c r="CX122" s="1570"/>
      <c r="CY122" s="1570"/>
      <c r="CZ122" s="1570"/>
      <c r="DA122" s="1570"/>
      <c r="DB122" s="491"/>
      <c r="DC122" s="491"/>
      <c r="DD122" s="1447" t="s">
        <v>5162</v>
      </c>
      <c r="DE122" s="1448"/>
      <c r="DF122" s="1448"/>
      <c r="DG122" s="1448"/>
      <c r="DH122" s="1448"/>
      <c r="DI122" s="1448"/>
      <c r="DJ122" s="1448"/>
      <c r="DK122" s="1448"/>
      <c r="DL122" s="1448"/>
      <c r="DM122" s="1449"/>
      <c r="DN122" s="564"/>
      <c r="DR122" s="578"/>
      <c r="DS122" s="491"/>
      <c r="DT122" s="491"/>
      <c r="DU122" s="491"/>
      <c r="DV122" s="491"/>
      <c r="DW122" s="491"/>
      <c r="DX122" s="491"/>
      <c r="DY122" s="1571" t="s">
        <v>131</v>
      </c>
      <c r="DZ122" s="1572"/>
      <c r="EA122" s="1572"/>
      <c r="EB122" s="1572"/>
      <c r="EC122" s="1572"/>
      <c r="ED122" s="1572"/>
      <c r="EE122" s="1572"/>
      <c r="EF122" s="1572"/>
      <c r="EG122" s="1572"/>
      <c r="EH122" s="1573"/>
      <c r="EI122" s="491"/>
      <c r="EJ122" s="491"/>
      <c r="EK122" s="491"/>
      <c r="EL122" s="491"/>
      <c r="EM122" s="491"/>
      <c r="EN122" s="491"/>
      <c r="EO122" s="564"/>
      <c r="ES122" s="578"/>
      <c r="ET122" s="491"/>
      <c r="EU122" s="491"/>
      <c r="EV122" s="513">
        <v>1</v>
      </c>
      <c r="EW122" s="1469" t="s">
        <v>5163</v>
      </c>
      <c r="EX122" s="1469"/>
      <c r="EY122" s="1469"/>
      <c r="EZ122" s="1469"/>
      <c r="FA122" s="1469"/>
      <c r="FB122" s="1469"/>
      <c r="FC122" s="1469"/>
      <c r="FD122" s="1469"/>
      <c r="FE122" s="1469"/>
      <c r="FF122" s="491"/>
      <c r="FG122" s="491"/>
      <c r="FH122" s="491"/>
      <c r="FI122" s="513">
        <v>1</v>
      </c>
      <c r="FJ122" s="1469" t="s">
        <v>183</v>
      </c>
      <c r="FK122" s="1469"/>
      <c r="FL122" s="1469"/>
      <c r="FM122" s="1469"/>
      <c r="FN122" s="1469"/>
      <c r="FO122" s="1469"/>
      <c r="FP122" s="1469"/>
      <c r="FQ122" s="1469"/>
      <c r="FR122" s="1469"/>
      <c r="FS122" s="491"/>
      <c r="FT122" s="491"/>
      <c r="FU122" s="491"/>
      <c r="FV122" s="491"/>
      <c r="FW122" s="564"/>
      <c r="FZ122" s="578"/>
      <c r="GA122" s="710">
        <v>1</v>
      </c>
      <c r="GB122" s="1567" t="s">
        <v>5164</v>
      </c>
      <c r="GC122" s="1568"/>
      <c r="GD122" s="1568"/>
      <c r="GE122" s="1568"/>
      <c r="GF122" s="1568"/>
      <c r="GG122" s="1568"/>
      <c r="GH122" s="1568"/>
      <c r="GI122" s="1568"/>
      <c r="GJ122" s="1569"/>
      <c r="GK122" s="704"/>
      <c r="GL122" s="704"/>
      <c r="GM122" s="710">
        <v>1</v>
      </c>
      <c r="GN122" s="1567" t="s">
        <v>5165</v>
      </c>
      <c r="GO122" s="1568"/>
      <c r="GP122" s="1568"/>
      <c r="GQ122" s="1568"/>
      <c r="GR122" s="1568"/>
      <c r="GS122" s="1568"/>
      <c r="GT122" s="1568"/>
      <c r="GU122" s="1568"/>
      <c r="GV122" s="1569"/>
      <c r="GW122" s="1564"/>
      <c r="GX122" s="1565"/>
      <c r="GY122" s="1566"/>
      <c r="GZ122" s="710">
        <v>1</v>
      </c>
      <c r="HA122" s="1567" t="s">
        <v>5165</v>
      </c>
      <c r="HB122" s="1568"/>
      <c r="HC122" s="1568"/>
      <c r="HD122" s="1568"/>
      <c r="HE122" s="1568"/>
      <c r="HF122" s="1568"/>
      <c r="HG122" s="1568"/>
      <c r="HH122" s="1568"/>
      <c r="HI122" s="1569"/>
      <c r="HJ122" s="1564"/>
      <c r="HK122" s="1565"/>
      <c r="HL122" s="1566"/>
      <c r="HM122" s="710">
        <v>1</v>
      </c>
      <c r="HN122" s="1567" t="s">
        <v>5165</v>
      </c>
      <c r="HO122" s="1568"/>
      <c r="HP122" s="1568"/>
      <c r="HQ122" s="1568"/>
      <c r="HR122" s="1568"/>
      <c r="HS122" s="1568"/>
      <c r="HT122" s="1568"/>
      <c r="HU122" s="1568"/>
      <c r="HV122" s="1569"/>
      <c r="HW122" s="1564"/>
      <c r="HX122" s="1565"/>
      <c r="HY122" s="1566"/>
      <c r="HZ122" s="710">
        <v>1</v>
      </c>
      <c r="IA122" s="1567" t="s">
        <v>5165</v>
      </c>
      <c r="IB122" s="1568"/>
      <c r="IC122" s="1568"/>
      <c r="ID122" s="1568"/>
      <c r="IE122" s="1568"/>
      <c r="IF122" s="1568"/>
      <c r="IG122" s="1568"/>
      <c r="IH122" s="1568"/>
      <c r="II122" s="1569"/>
      <c r="IJ122" s="1564"/>
      <c r="IK122" s="1566"/>
      <c r="IL122" s="710">
        <v>1</v>
      </c>
      <c r="IM122" s="1567" t="s">
        <v>5165</v>
      </c>
      <c r="IN122" s="1568"/>
      <c r="IO122" s="1568"/>
      <c r="IP122" s="1568"/>
      <c r="IQ122" s="1568"/>
      <c r="IR122" s="1568"/>
      <c r="IS122" s="1568"/>
      <c r="IT122" s="1568"/>
      <c r="IU122" s="1569"/>
      <c r="IV122" s="564"/>
      <c r="IZ122" s="578"/>
      <c r="JA122" s="491"/>
      <c r="JB122" s="491"/>
      <c r="JC122" s="491"/>
      <c r="JD122" s="491"/>
      <c r="JE122" s="491"/>
      <c r="JF122" s="491"/>
      <c r="JG122" s="491"/>
      <c r="JH122" s="491"/>
      <c r="JI122" s="491"/>
      <c r="JJ122" s="491"/>
      <c r="JK122" s="491"/>
      <c r="JL122" s="491"/>
      <c r="JM122" s="491"/>
      <c r="JN122" s="491"/>
      <c r="JO122" s="491"/>
      <c r="JP122" s="529"/>
      <c r="JQ122" s="491"/>
      <c r="JR122" s="491"/>
      <c r="JS122" s="491"/>
      <c r="JT122" s="491"/>
      <c r="JU122" s="491"/>
      <c r="JV122" s="491"/>
      <c r="JW122" s="491"/>
      <c r="JX122" s="491"/>
      <c r="JY122" s="491"/>
      <c r="JZ122" s="491"/>
      <c r="KA122" s="491"/>
      <c r="KB122" s="491"/>
      <c r="KC122" s="491"/>
      <c r="KD122" s="491"/>
      <c r="KE122" s="491"/>
      <c r="KF122" s="491"/>
      <c r="KG122" s="491"/>
      <c r="KH122" s="491"/>
      <c r="KI122" s="491"/>
      <c r="KJ122" s="491"/>
      <c r="KK122" s="491"/>
      <c r="KL122" s="597"/>
      <c r="KM122" s="597"/>
      <c r="KN122" s="491"/>
      <c r="KO122" s="491"/>
      <c r="KP122" s="491"/>
      <c r="KQ122" s="491"/>
      <c r="KR122" s="491"/>
      <c r="KS122" s="491"/>
      <c r="KT122" s="491"/>
      <c r="KU122" s="491"/>
      <c r="KV122" s="491"/>
      <c r="KW122" s="529"/>
      <c r="KX122" s="491"/>
      <c r="KY122" s="491"/>
      <c r="KZ122" s="491"/>
      <c r="LA122" s="491"/>
      <c r="LB122" s="491"/>
      <c r="LC122" s="491"/>
      <c r="LD122" s="491"/>
      <c r="LE122" s="491"/>
      <c r="LF122" s="491"/>
      <c r="LG122" s="491"/>
      <c r="LH122" s="491"/>
      <c r="LI122" s="491"/>
      <c r="LJ122" s="491"/>
      <c r="LK122" s="491"/>
      <c r="LL122" s="491"/>
      <c r="LM122" s="491"/>
      <c r="LN122" s="491"/>
      <c r="LO122" s="491"/>
      <c r="LP122" s="491"/>
      <c r="LQ122" s="491"/>
      <c r="LR122" s="491"/>
      <c r="LS122" s="491"/>
      <c r="LT122" s="491"/>
      <c r="LU122" s="491"/>
      <c r="LV122" s="491"/>
      <c r="LW122" s="491"/>
      <c r="LX122" s="529"/>
      <c r="LY122" s="491"/>
      <c r="LZ122" s="491"/>
      <c r="MA122" s="491"/>
      <c r="MB122" s="491"/>
      <c r="MC122" s="491"/>
      <c r="MD122" s="491"/>
      <c r="ME122" s="491"/>
      <c r="MF122" s="491"/>
      <c r="MG122" s="491"/>
      <c r="MH122" s="491"/>
      <c r="MI122" s="491"/>
      <c r="MJ122" s="564"/>
      <c r="MN122" s="578"/>
      <c r="MO122" s="491"/>
      <c r="MP122" s="491"/>
      <c r="MQ122" s="491"/>
      <c r="MR122" s="491"/>
      <c r="MS122" s="491"/>
      <c r="MT122" s="491"/>
      <c r="MU122" s="491"/>
      <c r="MV122" s="491"/>
      <c r="MW122" s="491"/>
      <c r="MX122" s="491"/>
      <c r="MY122" s="491"/>
      <c r="MZ122" s="491"/>
      <c r="NA122" s="491"/>
      <c r="NB122" s="491"/>
      <c r="NC122" s="491"/>
      <c r="ND122" s="491"/>
      <c r="NE122" s="491"/>
      <c r="NF122" s="491"/>
      <c r="NG122" s="491"/>
      <c r="NH122" s="491"/>
      <c r="NI122" s="491"/>
      <c r="NJ122" s="491"/>
      <c r="NK122" s="491"/>
      <c r="NL122" s="491"/>
      <c r="NM122" s="491"/>
      <c r="NN122" s="491"/>
      <c r="NO122" s="491"/>
      <c r="NP122" s="491"/>
      <c r="NQ122" s="491"/>
      <c r="NR122" s="491"/>
      <c r="NS122" s="491"/>
      <c r="NT122" s="491"/>
      <c r="NU122" s="491"/>
      <c r="NV122" s="491"/>
      <c r="NW122" s="491"/>
      <c r="NX122" s="491"/>
      <c r="NY122" s="491"/>
      <c r="NZ122" s="526"/>
      <c r="OA122" s="556"/>
      <c r="OB122" s="556"/>
      <c r="OC122" s="558">
        <v>1</v>
      </c>
      <c r="OD122" s="1469" t="s">
        <v>5166</v>
      </c>
      <c r="OE122" s="1469"/>
      <c r="OF122" s="1469"/>
      <c r="OG122" s="1469"/>
      <c r="OH122" s="1469"/>
      <c r="OI122" s="1469"/>
      <c r="OJ122" s="1469"/>
      <c r="OK122" s="1469"/>
      <c r="OL122" s="1469"/>
      <c r="OM122" s="491"/>
      <c r="ON122" s="491"/>
      <c r="OO122" s="491"/>
      <c r="OP122" s="491"/>
      <c r="OQ122" s="491"/>
      <c r="OR122" s="491"/>
      <c r="OS122" s="491"/>
      <c r="OT122" s="491"/>
      <c r="OU122" s="491"/>
      <c r="OV122" s="491"/>
      <c r="OW122" s="491"/>
      <c r="OX122" s="491"/>
      <c r="OY122" s="491"/>
      <c r="OZ122" s="491"/>
      <c r="PA122" s="491"/>
      <c r="PB122" s="491"/>
      <c r="PC122" s="491"/>
      <c r="PD122" s="491"/>
      <c r="PE122" s="491"/>
      <c r="PF122" s="491"/>
      <c r="PG122" s="491"/>
      <c r="PH122" s="491"/>
      <c r="PI122" s="491"/>
      <c r="PJ122" s="491"/>
      <c r="PK122" s="491"/>
      <c r="PL122" s="491"/>
      <c r="PM122" s="491"/>
      <c r="PN122" s="564"/>
      <c r="PW122" s="482"/>
    </row>
    <row r="123" spans="12:439" ht="12.75" customHeight="1" x14ac:dyDescent="0.35">
      <c r="L123" s="655"/>
      <c r="Q123" s="578"/>
      <c r="R123" s="491"/>
      <c r="S123" s="491"/>
      <c r="T123" s="491"/>
      <c r="U123" s="491"/>
      <c r="V123" s="491"/>
      <c r="W123" s="700"/>
      <c r="X123" s="491"/>
      <c r="Y123" s="491"/>
      <c r="Z123" s="491"/>
      <c r="AA123" s="491"/>
      <c r="AB123" s="491"/>
      <c r="AC123" s="491"/>
      <c r="AD123" s="491"/>
      <c r="AE123" s="491"/>
      <c r="AF123" s="491"/>
      <c r="AG123" s="491"/>
      <c r="AH123" s="709"/>
      <c r="AI123" s="491"/>
      <c r="AJ123" s="491"/>
      <c r="AK123" s="491"/>
      <c r="AL123" s="491"/>
      <c r="AM123" s="491"/>
      <c r="AN123" s="491"/>
      <c r="AO123" s="511"/>
      <c r="AP123" s="511"/>
      <c r="AQ123" s="491"/>
      <c r="AR123" s="491"/>
      <c r="AS123" s="491"/>
      <c r="AT123" s="491"/>
      <c r="AU123" s="709"/>
      <c r="AV123" s="491"/>
      <c r="AW123" s="491"/>
      <c r="AX123" s="491"/>
      <c r="AY123" s="491"/>
      <c r="AZ123" s="564"/>
      <c r="BD123" s="578"/>
      <c r="BE123" s="491"/>
      <c r="BF123" s="491"/>
      <c r="BG123" s="491"/>
      <c r="BH123" s="491"/>
      <c r="BI123" s="491"/>
      <c r="BJ123" s="491"/>
      <c r="BK123" s="491"/>
      <c r="BL123" s="491"/>
      <c r="BM123" s="491"/>
      <c r="BN123" s="491"/>
      <c r="BO123" s="526"/>
      <c r="BP123" s="491"/>
      <c r="BQ123" s="1447" t="s">
        <v>5167</v>
      </c>
      <c r="BR123" s="1448"/>
      <c r="BS123" s="1448"/>
      <c r="BT123" s="1448"/>
      <c r="BU123" s="1448"/>
      <c r="BV123" s="1448"/>
      <c r="BW123" s="1448"/>
      <c r="BX123" s="1448"/>
      <c r="BY123" s="1448"/>
      <c r="BZ123" s="1449"/>
      <c r="CA123" s="564"/>
      <c r="CE123" s="578"/>
      <c r="CF123" s="491"/>
      <c r="CG123" s="491"/>
      <c r="CH123" s="491"/>
      <c r="CI123" s="491"/>
      <c r="CJ123" s="709"/>
      <c r="CK123" s="491"/>
      <c r="CL123" s="491"/>
      <c r="CM123" s="491"/>
      <c r="CN123" s="491"/>
      <c r="CO123" s="491"/>
      <c r="CP123" s="491"/>
      <c r="CQ123" s="491"/>
      <c r="CR123" s="491"/>
      <c r="CS123" s="491"/>
      <c r="CT123" s="491"/>
      <c r="CU123" s="491"/>
      <c r="CV123" s="636"/>
      <c r="CW123" s="491"/>
      <c r="CX123" s="491"/>
      <c r="CY123" s="491"/>
      <c r="CZ123" s="491"/>
      <c r="DA123" s="491"/>
      <c r="DB123" s="491"/>
      <c r="DC123" s="491"/>
      <c r="DD123" s="491"/>
      <c r="DE123" s="491"/>
      <c r="DF123" s="491"/>
      <c r="DG123" s="491"/>
      <c r="DH123" s="491"/>
      <c r="DI123" s="709"/>
      <c r="DJ123" s="491"/>
      <c r="DK123" s="491"/>
      <c r="DL123" s="491"/>
      <c r="DM123" s="491"/>
      <c r="DN123" s="564"/>
      <c r="DR123" s="578"/>
      <c r="DS123" s="491"/>
      <c r="DT123" s="491"/>
      <c r="DU123" s="491"/>
      <c r="DV123" s="491"/>
      <c r="DW123" s="491"/>
      <c r="DX123" s="491"/>
      <c r="DY123" s="513">
        <v>1</v>
      </c>
      <c r="DZ123" s="1456" t="s">
        <v>5168</v>
      </c>
      <c r="EA123" s="1457"/>
      <c r="EB123" s="1457"/>
      <c r="EC123" s="1457"/>
      <c r="ED123" s="1457"/>
      <c r="EE123" s="1457"/>
      <c r="EF123" s="1457"/>
      <c r="EG123" s="1457"/>
      <c r="EH123" s="1458"/>
      <c r="EI123" s="491"/>
      <c r="EJ123" s="491"/>
      <c r="EK123" s="491"/>
      <c r="EL123" s="491"/>
      <c r="EM123" s="491"/>
      <c r="EN123" s="491"/>
      <c r="EO123" s="564"/>
      <c r="ES123" s="578"/>
      <c r="ET123" s="491"/>
      <c r="EU123" s="491"/>
      <c r="EV123" s="1472" t="s">
        <v>1361</v>
      </c>
      <c r="EW123" s="1472"/>
      <c r="EX123" s="1472"/>
      <c r="EY123" s="1472"/>
      <c r="EZ123" s="1472"/>
      <c r="FA123" s="1472"/>
      <c r="FB123" s="1472"/>
      <c r="FC123" s="1472"/>
      <c r="FD123" s="1472"/>
      <c r="FE123" s="1472"/>
      <c r="FF123" s="491"/>
      <c r="FG123" s="491"/>
      <c r="FH123" s="491"/>
      <c r="FI123" s="1472" t="s">
        <v>5169</v>
      </c>
      <c r="FJ123" s="1472"/>
      <c r="FK123" s="1472"/>
      <c r="FL123" s="1472"/>
      <c r="FM123" s="1472"/>
      <c r="FN123" s="1472"/>
      <c r="FO123" s="1472"/>
      <c r="FP123" s="1472"/>
      <c r="FQ123" s="1472"/>
      <c r="FR123" s="1472"/>
      <c r="FS123" s="491"/>
      <c r="FT123" s="491"/>
      <c r="FU123" s="491"/>
      <c r="FV123" s="491"/>
      <c r="FW123" s="564"/>
      <c r="FZ123" s="578"/>
      <c r="GA123" s="1450" t="s">
        <v>2570</v>
      </c>
      <c r="GB123" s="1451"/>
      <c r="GC123" s="1451"/>
      <c r="GD123" s="1451"/>
      <c r="GE123" s="1451"/>
      <c r="GF123" s="1451"/>
      <c r="GG123" s="1451"/>
      <c r="GH123" s="1451"/>
      <c r="GI123" s="1451"/>
      <c r="GJ123" s="1452"/>
      <c r="GK123" s="704"/>
      <c r="GL123" s="704"/>
      <c r="GM123" s="1450" t="s">
        <v>1176</v>
      </c>
      <c r="GN123" s="1451"/>
      <c r="GO123" s="1451"/>
      <c r="GP123" s="1451"/>
      <c r="GQ123" s="1451"/>
      <c r="GR123" s="1451"/>
      <c r="GS123" s="1451"/>
      <c r="GT123" s="1451"/>
      <c r="GU123" s="1451"/>
      <c r="GV123" s="1452"/>
      <c r="GW123" s="1564"/>
      <c r="GX123" s="1565"/>
      <c r="GY123" s="1566"/>
      <c r="GZ123" s="1575" t="s">
        <v>3067</v>
      </c>
      <c r="HA123" s="1544"/>
      <c r="HB123" s="1544"/>
      <c r="HC123" s="1544"/>
      <c r="HD123" s="1544"/>
      <c r="HE123" s="1544"/>
      <c r="HF123" s="1544"/>
      <c r="HG123" s="1544"/>
      <c r="HH123" s="1544"/>
      <c r="HI123" s="1545"/>
      <c r="HJ123" s="1564"/>
      <c r="HK123" s="1565"/>
      <c r="HL123" s="1566"/>
      <c r="HM123" s="1450" t="s">
        <v>1091</v>
      </c>
      <c r="HN123" s="1451"/>
      <c r="HO123" s="1451"/>
      <c r="HP123" s="1451"/>
      <c r="HQ123" s="1451"/>
      <c r="HR123" s="1451"/>
      <c r="HS123" s="1451"/>
      <c r="HT123" s="1451"/>
      <c r="HU123" s="1451"/>
      <c r="HV123" s="1452"/>
      <c r="HW123" s="1564"/>
      <c r="HX123" s="1565"/>
      <c r="HY123" s="1566"/>
      <c r="HZ123" s="1450" t="s">
        <v>5170</v>
      </c>
      <c r="IA123" s="1451"/>
      <c r="IB123" s="1451"/>
      <c r="IC123" s="1451"/>
      <c r="ID123" s="1451"/>
      <c r="IE123" s="1451"/>
      <c r="IF123" s="1451"/>
      <c r="IG123" s="1451"/>
      <c r="IH123" s="1451"/>
      <c r="II123" s="1452"/>
      <c r="IJ123" s="1564"/>
      <c r="IK123" s="1566"/>
      <c r="IL123" s="1450" t="s">
        <v>1137</v>
      </c>
      <c r="IM123" s="1451"/>
      <c r="IN123" s="1451"/>
      <c r="IO123" s="1451"/>
      <c r="IP123" s="1451"/>
      <c r="IQ123" s="1451"/>
      <c r="IR123" s="1451"/>
      <c r="IS123" s="1451"/>
      <c r="IT123" s="1451"/>
      <c r="IU123" s="1452"/>
      <c r="IV123" s="564"/>
      <c r="IZ123" s="578"/>
      <c r="JA123" s="491"/>
      <c r="JB123" s="491"/>
      <c r="JC123" s="491"/>
      <c r="JD123" s="491"/>
      <c r="JE123" s="491"/>
      <c r="JF123" s="491"/>
      <c r="JG123" s="491"/>
      <c r="JH123" s="491"/>
      <c r="JI123" s="491"/>
      <c r="JJ123" s="491"/>
      <c r="JK123" s="491"/>
      <c r="JL123" s="491"/>
      <c r="JM123" s="491"/>
      <c r="JN123" s="491"/>
      <c r="JO123" s="491"/>
      <c r="JP123" s="529"/>
      <c r="JQ123" s="491"/>
      <c r="JR123" s="491"/>
      <c r="JS123" s="491"/>
      <c r="JT123" s="491"/>
      <c r="JU123" s="491"/>
      <c r="JV123" s="491"/>
      <c r="JW123" s="491"/>
      <c r="JX123" s="491"/>
      <c r="JY123" s="491"/>
      <c r="JZ123" s="491"/>
      <c r="KA123" s="491"/>
      <c r="KB123" s="491"/>
      <c r="KC123" s="491"/>
      <c r="KD123" s="491"/>
      <c r="KE123" s="491"/>
      <c r="KF123" s="491"/>
      <c r="KG123" s="491"/>
      <c r="KH123" s="491"/>
      <c r="KI123" s="491"/>
      <c r="KJ123" s="491"/>
      <c r="KK123" s="491"/>
      <c r="KL123" s="491"/>
      <c r="KM123" s="491"/>
      <c r="KN123" s="491"/>
      <c r="KO123" s="491"/>
      <c r="KP123" s="491"/>
      <c r="KQ123" s="491"/>
      <c r="KR123" s="491"/>
      <c r="KS123" s="491"/>
      <c r="KT123" s="491"/>
      <c r="KU123" s="491"/>
      <c r="KV123" s="491"/>
      <c r="KW123" s="529"/>
      <c r="KX123" s="491"/>
      <c r="KY123" s="491"/>
      <c r="KZ123" s="491"/>
      <c r="LA123" s="491"/>
      <c r="LB123" s="491"/>
      <c r="LC123" s="491"/>
      <c r="LD123" s="491"/>
      <c r="LE123" s="491"/>
      <c r="LF123" s="491"/>
      <c r="LG123" s="491"/>
      <c r="LH123" s="491"/>
      <c r="LI123" s="491"/>
      <c r="LJ123" s="491"/>
      <c r="LK123" s="491"/>
      <c r="LL123" s="491"/>
      <c r="LM123" s="491"/>
      <c r="LN123" s="491"/>
      <c r="LO123" s="491"/>
      <c r="LP123" s="491"/>
      <c r="LQ123" s="491"/>
      <c r="LR123" s="491"/>
      <c r="LS123" s="491"/>
      <c r="LT123" s="491"/>
      <c r="LU123" s="491"/>
      <c r="LV123" s="491"/>
      <c r="LW123" s="491"/>
      <c r="LX123" s="529"/>
      <c r="LY123" s="491"/>
      <c r="LZ123" s="491"/>
      <c r="MA123" s="491"/>
      <c r="MB123" s="491"/>
      <c r="MC123" s="491"/>
      <c r="MD123" s="491"/>
      <c r="ME123" s="491"/>
      <c r="MF123" s="491"/>
      <c r="MG123" s="491"/>
      <c r="MH123" s="491"/>
      <c r="MI123" s="491"/>
      <c r="MJ123" s="564"/>
      <c r="MN123" s="578"/>
      <c r="MO123" s="491"/>
      <c r="MP123" s="491"/>
      <c r="MQ123" s="491"/>
      <c r="MR123" s="491"/>
      <c r="MS123" s="491"/>
      <c r="MT123" s="491"/>
      <c r="MU123" s="491"/>
      <c r="MV123" s="491"/>
      <c r="MW123" s="491"/>
      <c r="MX123" s="491"/>
      <c r="MY123" s="491"/>
      <c r="MZ123" s="491"/>
      <c r="NA123" s="491"/>
      <c r="NB123" s="491"/>
      <c r="NC123" s="491"/>
      <c r="ND123" s="491"/>
      <c r="NE123" s="491"/>
      <c r="NF123" s="491"/>
      <c r="NG123" s="491"/>
      <c r="NH123" s="491"/>
      <c r="NI123" s="491"/>
      <c r="NJ123" s="491"/>
      <c r="NK123" s="491"/>
      <c r="NL123" s="491"/>
      <c r="NM123" s="491"/>
      <c r="NN123" s="491"/>
      <c r="NO123" s="491"/>
      <c r="NP123" s="491"/>
      <c r="NQ123" s="491"/>
      <c r="NR123" s="491"/>
      <c r="NS123" s="491"/>
      <c r="NT123" s="491"/>
      <c r="NU123" s="491"/>
      <c r="NV123" s="491"/>
      <c r="NW123" s="491"/>
      <c r="NX123" s="491"/>
      <c r="NY123" s="491"/>
      <c r="NZ123" s="526"/>
      <c r="OA123" s="491"/>
      <c r="OB123" s="491"/>
      <c r="OC123" s="1574" t="s">
        <v>131</v>
      </c>
      <c r="OD123" s="1574"/>
      <c r="OE123" s="1574"/>
      <c r="OF123" s="1574"/>
      <c r="OG123" s="1574"/>
      <c r="OH123" s="1574"/>
      <c r="OI123" s="1574"/>
      <c r="OJ123" s="1574"/>
      <c r="OK123" s="1574"/>
      <c r="OL123" s="1574"/>
      <c r="OM123" s="491"/>
      <c r="ON123" s="491"/>
      <c r="OO123" s="491"/>
      <c r="OP123" s="491"/>
      <c r="OQ123" s="491"/>
      <c r="OR123" s="491"/>
      <c r="OS123" s="491"/>
      <c r="OT123" s="491"/>
      <c r="OU123" s="491"/>
      <c r="OV123" s="491"/>
      <c r="OW123" s="491"/>
      <c r="OX123" s="491"/>
      <c r="OY123" s="491"/>
      <c r="OZ123" s="491"/>
      <c r="PA123" s="491"/>
      <c r="PB123" s="491"/>
      <c r="PC123" s="491"/>
      <c r="PD123" s="491"/>
      <c r="PE123" s="491"/>
      <c r="PF123" s="491"/>
      <c r="PG123" s="491"/>
      <c r="PH123" s="491"/>
      <c r="PI123" s="491"/>
      <c r="PJ123" s="491"/>
      <c r="PK123" s="491"/>
      <c r="PL123" s="491"/>
      <c r="PM123" s="491"/>
      <c r="PN123" s="564"/>
      <c r="PW123" s="482"/>
    </row>
    <row r="124" spans="12:439" ht="12.75" customHeight="1" x14ac:dyDescent="0.35">
      <c r="L124" s="655"/>
      <c r="Q124" s="578"/>
      <c r="R124" s="513">
        <v>1</v>
      </c>
      <c r="S124" s="1456" t="s">
        <v>5171</v>
      </c>
      <c r="T124" s="1457"/>
      <c r="U124" s="1457"/>
      <c r="V124" s="1457"/>
      <c r="W124" s="1457"/>
      <c r="X124" s="1457"/>
      <c r="Y124" s="1457"/>
      <c r="Z124" s="1457"/>
      <c r="AA124" s="1458"/>
      <c r="AB124" s="491"/>
      <c r="AC124" s="491"/>
      <c r="AD124" s="513">
        <v>1</v>
      </c>
      <c r="AE124" s="1456" t="s">
        <v>5007</v>
      </c>
      <c r="AF124" s="1457"/>
      <c r="AG124" s="1457"/>
      <c r="AH124" s="1457"/>
      <c r="AI124" s="1457"/>
      <c r="AJ124" s="1457"/>
      <c r="AK124" s="1457"/>
      <c r="AL124" s="1457"/>
      <c r="AM124" s="1458"/>
      <c r="AN124" s="491"/>
      <c r="AO124" s="491"/>
      <c r="AP124" s="513">
        <v>1</v>
      </c>
      <c r="AQ124" s="1456" t="s">
        <v>5172</v>
      </c>
      <c r="AR124" s="1457"/>
      <c r="AS124" s="1457"/>
      <c r="AT124" s="1457"/>
      <c r="AU124" s="1457"/>
      <c r="AV124" s="1457"/>
      <c r="AW124" s="1457"/>
      <c r="AX124" s="1457"/>
      <c r="AY124" s="1458"/>
      <c r="AZ124" s="564"/>
      <c r="BD124" s="578"/>
      <c r="BE124" s="491"/>
      <c r="BF124" s="491"/>
      <c r="BG124" s="491"/>
      <c r="BH124" s="491"/>
      <c r="BI124" s="491"/>
      <c r="BJ124" s="494"/>
      <c r="BK124" s="494"/>
      <c r="BL124" s="494"/>
      <c r="BM124" s="494"/>
      <c r="BN124" s="494"/>
      <c r="BO124" s="600"/>
      <c r="BP124" s="494"/>
      <c r="BQ124" s="494"/>
      <c r="BR124" s="494"/>
      <c r="BS124" s="712"/>
      <c r="BT124" s="712"/>
      <c r="BU124" s="712"/>
      <c r="BV124" s="491"/>
      <c r="BW124" s="491"/>
      <c r="BX124" s="491"/>
      <c r="BY124" s="491"/>
      <c r="BZ124" s="491"/>
      <c r="CA124" s="564"/>
      <c r="CE124" s="578"/>
      <c r="CF124" s="513">
        <v>1</v>
      </c>
      <c r="CG124" s="1456" t="s">
        <v>5171</v>
      </c>
      <c r="CH124" s="1457"/>
      <c r="CI124" s="1457"/>
      <c r="CJ124" s="1457"/>
      <c r="CK124" s="1457"/>
      <c r="CL124" s="1457"/>
      <c r="CM124" s="1457"/>
      <c r="CN124" s="1457"/>
      <c r="CO124" s="1458"/>
      <c r="CP124" s="491"/>
      <c r="CQ124" s="491"/>
      <c r="CR124" s="513">
        <v>1</v>
      </c>
      <c r="CS124" s="1456" t="s">
        <v>5173</v>
      </c>
      <c r="CT124" s="1457"/>
      <c r="CU124" s="1457"/>
      <c r="CV124" s="1457"/>
      <c r="CW124" s="1457"/>
      <c r="CX124" s="1457"/>
      <c r="CY124" s="1457"/>
      <c r="CZ124" s="1457"/>
      <c r="DA124" s="1458"/>
      <c r="DB124" s="491"/>
      <c r="DC124" s="491"/>
      <c r="DD124" s="513">
        <v>1</v>
      </c>
      <c r="DE124" s="1456" t="s">
        <v>5171</v>
      </c>
      <c r="DF124" s="1457"/>
      <c r="DG124" s="1457"/>
      <c r="DH124" s="1457"/>
      <c r="DI124" s="1457"/>
      <c r="DJ124" s="1457"/>
      <c r="DK124" s="1457"/>
      <c r="DL124" s="1457"/>
      <c r="DM124" s="1458"/>
      <c r="DN124" s="564"/>
      <c r="DR124" s="578"/>
      <c r="DS124" s="491"/>
      <c r="DT124" s="491"/>
      <c r="DU124" s="491"/>
      <c r="DV124" s="491"/>
      <c r="DW124" s="491"/>
      <c r="DX124" s="491"/>
      <c r="DY124" s="1447" t="s">
        <v>1721</v>
      </c>
      <c r="DZ124" s="1448"/>
      <c r="EA124" s="1448"/>
      <c r="EB124" s="1448"/>
      <c r="EC124" s="1448"/>
      <c r="ED124" s="1448"/>
      <c r="EE124" s="1448"/>
      <c r="EF124" s="1448"/>
      <c r="EG124" s="1448"/>
      <c r="EH124" s="1449"/>
      <c r="EI124" s="491"/>
      <c r="EJ124" s="491"/>
      <c r="EK124" s="491"/>
      <c r="EL124" s="491"/>
      <c r="EM124" s="491"/>
      <c r="EN124" s="491"/>
      <c r="EO124" s="564"/>
      <c r="ES124" s="578"/>
      <c r="ET124" s="491"/>
      <c r="EU124" s="491"/>
      <c r="EV124" s="513">
        <v>1</v>
      </c>
      <c r="EW124" s="1469" t="s">
        <v>5163</v>
      </c>
      <c r="EX124" s="1469"/>
      <c r="EY124" s="1469"/>
      <c r="EZ124" s="1469"/>
      <c r="FA124" s="1469"/>
      <c r="FB124" s="1469"/>
      <c r="FC124" s="1469"/>
      <c r="FD124" s="1469"/>
      <c r="FE124" s="1469"/>
      <c r="FF124" s="491"/>
      <c r="FG124" s="491"/>
      <c r="FH124" s="491"/>
      <c r="FI124" s="513">
        <v>1</v>
      </c>
      <c r="FJ124" s="1469" t="s">
        <v>183</v>
      </c>
      <c r="FK124" s="1469"/>
      <c r="FL124" s="1469"/>
      <c r="FM124" s="1469"/>
      <c r="FN124" s="1469"/>
      <c r="FO124" s="1469"/>
      <c r="FP124" s="1469"/>
      <c r="FQ124" s="1469"/>
      <c r="FR124" s="1469"/>
      <c r="FS124" s="491"/>
      <c r="FT124" s="491"/>
      <c r="FU124" s="491"/>
      <c r="FV124" s="491"/>
      <c r="FW124" s="564"/>
      <c r="FZ124" s="578"/>
      <c r="GA124" s="710">
        <v>1</v>
      </c>
      <c r="GB124" s="1567" t="s">
        <v>5164</v>
      </c>
      <c r="GC124" s="1568"/>
      <c r="GD124" s="1568"/>
      <c r="GE124" s="1568"/>
      <c r="GF124" s="1568"/>
      <c r="GG124" s="1568"/>
      <c r="GH124" s="1568"/>
      <c r="GI124" s="1568"/>
      <c r="GJ124" s="1569"/>
      <c r="GK124" s="704"/>
      <c r="GL124" s="704"/>
      <c r="GM124" s="710">
        <v>1</v>
      </c>
      <c r="GN124" s="1567" t="s">
        <v>5165</v>
      </c>
      <c r="GO124" s="1568"/>
      <c r="GP124" s="1568"/>
      <c r="GQ124" s="1568"/>
      <c r="GR124" s="1568"/>
      <c r="GS124" s="1568"/>
      <c r="GT124" s="1568"/>
      <c r="GU124" s="1568"/>
      <c r="GV124" s="1569"/>
      <c r="GW124" s="1564"/>
      <c r="GX124" s="1565"/>
      <c r="GY124" s="1566"/>
      <c r="GZ124" s="710">
        <v>1</v>
      </c>
      <c r="HA124" s="1567" t="s">
        <v>5165</v>
      </c>
      <c r="HB124" s="1568"/>
      <c r="HC124" s="1568"/>
      <c r="HD124" s="1568"/>
      <c r="HE124" s="1568"/>
      <c r="HF124" s="1568"/>
      <c r="HG124" s="1568"/>
      <c r="HH124" s="1568"/>
      <c r="HI124" s="1569"/>
      <c r="HJ124" s="1564"/>
      <c r="HK124" s="1565"/>
      <c r="HL124" s="1566"/>
      <c r="HM124" s="710">
        <v>1</v>
      </c>
      <c r="HN124" s="1567" t="s">
        <v>5165</v>
      </c>
      <c r="HO124" s="1568"/>
      <c r="HP124" s="1568"/>
      <c r="HQ124" s="1568"/>
      <c r="HR124" s="1568"/>
      <c r="HS124" s="1568"/>
      <c r="HT124" s="1568"/>
      <c r="HU124" s="1568"/>
      <c r="HV124" s="1569"/>
      <c r="HW124" s="1564"/>
      <c r="HX124" s="1565"/>
      <c r="HY124" s="1566"/>
      <c r="HZ124" s="710">
        <v>1</v>
      </c>
      <c r="IA124" s="1567" t="s">
        <v>5165</v>
      </c>
      <c r="IB124" s="1568"/>
      <c r="IC124" s="1568"/>
      <c r="ID124" s="1568"/>
      <c r="IE124" s="1568"/>
      <c r="IF124" s="1568"/>
      <c r="IG124" s="1568"/>
      <c r="IH124" s="1568"/>
      <c r="II124" s="1569"/>
      <c r="IJ124" s="1564"/>
      <c r="IK124" s="1566"/>
      <c r="IL124" s="710">
        <v>1</v>
      </c>
      <c r="IM124" s="1567" t="s">
        <v>5174</v>
      </c>
      <c r="IN124" s="1568"/>
      <c r="IO124" s="1568"/>
      <c r="IP124" s="1568"/>
      <c r="IQ124" s="1568"/>
      <c r="IR124" s="1568"/>
      <c r="IS124" s="1568"/>
      <c r="IT124" s="1568"/>
      <c r="IU124" s="1569"/>
      <c r="IV124" s="564"/>
      <c r="IZ124" s="578"/>
      <c r="JA124" s="491"/>
      <c r="JB124" s="491"/>
      <c r="JC124" s="491"/>
      <c r="JD124" s="491"/>
      <c r="JE124" s="491"/>
      <c r="JF124" s="556"/>
      <c r="JG124" s="556"/>
      <c r="JH124" s="556"/>
      <c r="JI124" s="556"/>
      <c r="JJ124" s="556"/>
      <c r="JK124" s="556"/>
      <c r="JL124" s="556"/>
      <c r="JM124" s="556"/>
      <c r="JN124" s="556"/>
      <c r="JO124" s="556"/>
      <c r="JP124" s="619"/>
      <c r="JQ124" s="556"/>
      <c r="JR124" s="556"/>
      <c r="JS124" s="556"/>
      <c r="JT124" s="556"/>
      <c r="JU124" s="556"/>
      <c r="JV124" s="556"/>
      <c r="JW124" s="556"/>
      <c r="JX124" s="556"/>
      <c r="JY124" s="556"/>
      <c r="JZ124" s="556"/>
      <c r="KA124" s="556"/>
      <c r="KB124" s="491"/>
      <c r="KC124" s="491"/>
      <c r="KD124" s="491"/>
      <c r="KE124" s="491"/>
      <c r="KF124" s="491"/>
      <c r="KG124" s="491"/>
      <c r="KH124" s="491"/>
      <c r="KI124" s="491"/>
      <c r="KJ124" s="491"/>
      <c r="KK124" s="491"/>
      <c r="KL124" s="556"/>
      <c r="KM124" s="556"/>
      <c r="KN124" s="556"/>
      <c r="KO124" s="556"/>
      <c r="KP124" s="556"/>
      <c r="KQ124" s="556"/>
      <c r="KR124" s="556"/>
      <c r="KS124" s="556"/>
      <c r="KT124" s="556"/>
      <c r="KU124" s="556"/>
      <c r="KV124" s="556"/>
      <c r="KW124" s="619"/>
      <c r="KX124" s="556"/>
      <c r="KY124" s="556"/>
      <c r="KZ124" s="556"/>
      <c r="LA124" s="556"/>
      <c r="LB124" s="556"/>
      <c r="LC124" s="556"/>
      <c r="LD124" s="556"/>
      <c r="LE124" s="556"/>
      <c r="LF124" s="556"/>
      <c r="LG124" s="556"/>
      <c r="LH124" s="556"/>
      <c r="LI124" s="491"/>
      <c r="LJ124" s="491"/>
      <c r="LK124" s="491"/>
      <c r="LL124" s="491"/>
      <c r="LM124" s="491"/>
      <c r="LN124" s="491"/>
      <c r="LO124" s="491"/>
      <c r="LP124" s="491"/>
      <c r="LQ124" s="491"/>
      <c r="LR124" s="491"/>
      <c r="LS124" s="556"/>
      <c r="LT124" s="556"/>
      <c r="LU124" s="556"/>
      <c r="LV124" s="556"/>
      <c r="LW124" s="556"/>
      <c r="LX124" s="619"/>
      <c r="LY124" s="556"/>
      <c r="LZ124" s="556"/>
      <c r="MA124" s="556"/>
      <c r="MB124" s="556"/>
      <c r="MC124" s="556"/>
      <c r="MD124" s="556"/>
      <c r="ME124" s="491"/>
      <c r="MF124" s="491"/>
      <c r="MG124" s="491"/>
      <c r="MH124" s="491"/>
      <c r="MI124" s="491"/>
      <c r="MJ124" s="564"/>
      <c r="MN124" s="578"/>
      <c r="MO124" s="491"/>
      <c r="MP124" s="491"/>
      <c r="MQ124" s="491"/>
      <c r="MR124" s="491"/>
      <c r="MS124" s="491"/>
      <c r="MT124" s="491"/>
      <c r="MU124" s="491"/>
      <c r="MV124" s="491"/>
      <c r="MW124" s="491"/>
      <c r="MX124" s="491"/>
      <c r="MY124" s="491"/>
      <c r="MZ124" s="491"/>
      <c r="NA124" s="491"/>
      <c r="NB124" s="491"/>
      <c r="NC124" s="491"/>
      <c r="ND124" s="491"/>
      <c r="NE124" s="491"/>
      <c r="NF124" s="491"/>
      <c r="NG124" s="491"/>
      <c r="NH124" s="491"/>
      <c r="NI124" s="491"/>
      <c r="NJ124" s="491"/>
      <c r="NK124" s="491"/>
      <c r="NL124" s="491"/>
      <c r="NM124" s="491"/>
      <c r="NN124" s="491"/>
      <c r="NO124" s="491"/>
      <c r="NP124" s="491"/>
      <c r="NQ124" s="491"/>
      <c r="NR124" s="491"/>
      <c r="NS124" s="491"/>
      <c r="NT124" s="491"/>
      <c r="NU124" s="491"/>
      <c r="NV124" s="491"/>
      <c r="NW124" s="491"/>
      <c r="NX124" s="491"/>
      <c r="NY124" s="491"/>
      <c r="NZ124" s="526"/>
      <c r="OA124" s="491"/>
      <c r="OB124" s="491"/>
      <c r="OC124" s="491"/>
      <c r="OD124" s="491"/>
      <c r="OE124" s="491"/>
      <c r="OF124" s="491"/>
      <c r="OG124" s="580"/>
      <c r="OH124" s="491"/>
      <c r="OI124" s="491"/>
      <c r="OJ124" s="491"/>
      <c r="OK124" s="491"/>
      <c r="OL124" s="491"/>
      <c r="OM124" s="491"/>
      <c r="ON124" s="491"/>
      <c r="OO124" s="491"/>
      <c r="OP124" s="491"/>
      <c r="OQ124" s="491"/>
      <c r="OR124" s="491"/>
      <c r="OS124" s="491"/>
      <c r="OT124" s="491"/>
      <c r="OU124" s="491"/>
      <c r="OV124" s="491"/>
      <c r="OW124" s="491"/>
      <c r="OX124" s="491"/>
      <c r="OY124" s="491"/>
      <c r="OZ124" s="491"/>
      <c r="PA124" s="491"/>
      <c r="PB124" s="491"/>
      <c r="PC124" s="491"/>
      <c r="PD124" s="491"/>
      <c r="PE124" s="491"/>
      <c r="PF124" s="491"/>
      <c r="PG124" s="491"/>
      <c r="PH124" s="491"/>
      <c r="PI124" s="491"/>
      <c r="PJ124" s="491"/>
      <c r="PK124" s="491"/>
      <c r="PL124" s="491"/>
      <c r="PM124" s="491"/>
      <c r="PN124" s="564"/>
      <c r="PW124" s="482"/>
    </row>
    <row r="125" spans="12:439" ht="12.75" customHeight="1" x14ac:dyDescent="0.35">
      <c r="L125" s="655"/>
      <c r="Q125" s="578"/>
      <c r="R125" s="1450" t="s">
        <v>5175</v>
      </c>
      <c r="S125" s="1451"/>
      <c r="T125" s="1451"/>
      <c r="U125" s="1451"/>
      <c r="V125" s="1451"/>
      <c r="W125" s="1451"/>
      <c r="X125" s="1451"/>
      <c r="Y125" s="1451"/>
      <c r="Z125" s="1451"/>
      <c r="AA125" s="1452"/>
      <c r="AB125" s="491"/>
      <c r="AC125" s="491"/>
      <c r="AD125" s="1447" t="s">
        <v>5176</v>
      </c>
      <c r="AE125" s="1448"/>
      <c r="AF125" s="1448"/>
      <c r="AG125" s="1448"/>
      <c r="AH125" s="1448"/>
      <c r="AI125" s="1448"/>
      <c r="AJ125" s="1448"/>
      <c r="AK125" s="1448"/>
      <c r="AL125" s="1448"/>
      <c r="AM125" s="1449"/>
      <c r="AN125" s="491"/>
      <c r="AO125" s="491"/>
      <c r="AP125" s="1447" t="s">
        <v>5177</v>
      </c>
      <c r="AQ125" s="1448"/>
      <c r="AR125" s="1448"/>
      <c r="AS125" s="1448"/>
      <c r="AT125" s="1448"/>
      <c r="AU125" s="1448"/>
      <c r="AV125" s="1448"/>
      <c r="AW125" s="1448"/>
      <c r="AX125" s="1448"/>
      <c r="AY125" s="1449"/>
      <c r="AZ125" s="564"/>
      <c r="BD125" s="578"/>
      <c r="BE125" s="491"/>
      <c r="BF125" s="491"/>
      <c r="BG125" s="491"/>
      <c r="BH125" s="491"/>
      <c r="BI125" s="553"/>
      <c r="BJ125" s="491"/>
      <c r="BK125" s="491"/>
      <c r="BL125" s="491"/>
      <c r="BM125" s="491"/>
      <c r="BN125" s="491"/>
      <c r="BO125" s="526"/>
      <c r="BP125" s="491"/>
      <c r="BQ125" s="491"/>
      <c r="BR125" s="491"/>
      <c r="BS125" s="491"/>
      <c r="BT125" s="491"/>
      <c r="BU125" s="553"/>
      <c r="BV125" s="491"/>
      <c r="BW125" s="491"/>
      <c r="BX125" s="491"/>
      <c r="BY125" s="491"/>
      <c r="BZ125" s="491"/>
      <c r="CA125" s="564"/>
      <c r="CE125" s="578"/>
      <c r="CF125" s="1447" t="s">
        <v>5178</v>
      </c>
      <c r="CG125" s="1448"/>
      <c r="CH125" s="1448"/>
      <c r="CI125" s="1448"/>
      <c r="CJ125" s="1448"/>
      <c r="CK125" s="1448"/>
      <c r="CL125" s="1448"/>
      <c r="CM125" s="1448"/>
      <c r="CN125" s="1448"/>
      <c r="CO125" s="1449"/>
      <c r="CP125" s="491"/>
      <c r="CQ125" s="491"/>
      <c r="CR125" s="1447" t="s">
        <v>2020</v>
      </c>
      <c r="CS125" s="1448"/>
      <c r="CT125" s="1448"/>
      <c r="CU125" s="1448"/>
      <c r="CV125" s="1448"/>
      <c r="CW125" s="1448"/>
      <c r="CX125" s="1448"/>
      <c r="CY125" s="1448"/>
      <c r="CZ125" s="1448"/>
      <c r="DA125" s="1449"/>
      <c r="DB125" s="491"/>
      <c r="DC125" s="491"/>
      <c r="DD125" s="1530" t="s">
        <v>2454</v>
      </c>
      <c r="DE125" s="1531"/>
      <c r="DF125" s="1531"/>
      <c r="DG125" s="1531"/>
      <c r="DH125" s="1531"/>
      <c r="DI125" s="1531"/>
      <c r="DJ125" s="1531"/>
      <c r="DK125" s="1531"/>
      <c r="DL125" s="1531"/>
      <c r="DM125" s="1532"/>
      <c r="DN125" s="564"/>
      <c r="DR125" s="578"/>
      <c r="DS125" s="491"/>
      <c r="DT125" s="491"/>
      <c r="DU125" s="491"/>
      <c r="DV125" s="491"/>
      <c r="DW125" s="491"/>
      <c r="DX125" s="491"/>
      <c r="DY125" s="513">
        <v>1</v>
      </c>
      <c r="DZ125" s="1456" t="s">
        <v>5179</v>
      </c>
      <c r="EA125" s="1457"/>
      <c r="EB125" s="1457"/>
      <c r="EC125" s="1457"/>
      <c r="ED125" s="1457"/>
      <c r="EE125" s="1457"/>
      <c r="EF125" s="1457"/>
      <c r="EG125" s="1457"/>
      <c r="EH125" s="1458"/>
      <c r="EI125" s="491"/>
      <c r="EJ125" s="491"/>
      <c r="EK125" s="491"/>
      <c r="EL125" s="491"/>
      <c r="EM125" s="491"/>
      <c r="EN125" s="491"/>
      <c r="EO125" s="564"/>
      <c r="ES125" s="578"/>
      <c r="ET125" s="491"/>
      <c r="EU125" s="491"/>
      <c r="EV125" s="1472" t="s">
        <v>1781</v>
      </c>
      <c r="EW125" s="1472"/>
      <c r="EX125" s="1472"/>
      <c r="EY125" s="1472"/>
      <c r="EZ125" s="1472"/>
      <c r="FA125" s="1472"/>
      <c r="FB125" s="1472"/>
      <c r="FC125" s="1472"/>
      <c r="FD125" s="1472"/>
      <c r="FE125" s="1472"/>
      <c r="FF125" s="491"/>
      <c r="FG125" s="491"/>
      <c r="FH125" s="491"/>
      <c r="FI125" s="1472" t="s">
        <v>5180</v>
      </c>
      <c r="FJ125" s="1472"/>
      <c r="FK125" s="1472"/>
      <c r="FL125" s="1472"/>
      <c r="FM125" s="1472"/>
      <c r="FN125" s="1472"/>
      <c r="FO125" s="1472"/>
      <c r="FP125" s="1472"/>
      <c r="FQ125" s="1472"/>
      <c r="FR125" s="1472"/>
      <c r="FS125" s="491"/>
      <c r="FT125" s="491"/>
      <c r="FU125" s="491"/>
      <c r="FV125" s="491"/>
      <c r="FW125" s="564"/>
      <c r="FZ125" s="578"/>
      <c r="GA125" s="1450" t="s">
        <v>3148</v>
      </c>
      <c r="GB125" s="1451"/>
      <c r="GC125" s="1451"/>
      <c r="GD125" s="1451"/>
      <c r="GE125" s="1451"/>
      <c r="GF125" s="1451"/>
      <c r="GG125" s="1451"/>
      <c r="GH125" s="1451"/>
      <c r="GI125" s="1451"/>
      <c r="GJ125" s="1452"/>
      <c r="GK125" s="704"/>
      <c r="GL125" s="704"/>
      <c r="GM125" s="1450" t="s">
        <v>1179</v>
      </c>
      <c r="GN125" s="1451"/>
      <c r="GO125" s="1451"/>
      <c r="GP125" s="1451"/>
      <c r="GQ125" s="1451"/>
      <c r="GR125" s="1451"/>
      <c r="GS125" s="1451"/>
      <c r="GT125" s="1451"/>
      <c r="GU125" s="1451"/>
      <c r="GV125" s="1452"/>
      <c r="GW125" s="1564"/>
      <c r="GX125" s="1565"/>
      <c r="GY125" s="1566"/>
      <c r="GZ125" s="1450" t="s">
        <v>1572</v>
      </c>
      <c r="HA125" s="1451"/>
      <c r="HB125" s="1451"/>
      <c r="HC125" s="1451"/>
      <c r="HD125" s="1451"/>
      <c r="HE125" s="1451"/>
      <c r="HF125" s="1451"/>
      <c r="HG125" s="1451"/>
      <c r="HH125" s="1451"/>
      <c r="HI125" s="1452"/>
      <c r="HJ125" s="1564"/>
      <c r="HK125" s="1565"/>
      <c r="HL125" s="1566"/>
      <c r="HM125" s="1571" t="s">
        <v>177</v>
      </c>
      <c r="HN125" s="1572"/>
      <c r="HO125" s="1572"/>
      <c r="HP125" s="1572"/>
      <c r="HQ125" s="1572"/>
      <c r="HR125" s="1572"/>
      <c r="HS125" s="1572"/>
      <c r="HT125" s="1572"/>
      <c r="HU125" s="1572"/>
      <c r="HV125" s="1573"/>
      <c r="HW125" s="1564"/>
      <c r="HX125" s="1565"/>
      <c r="HY125" s="1566"/>
      <c r="HZ125" s="1450" t="s">
        <v>4206</v>
      </c>
      <c r="IA125" s="1451"/>
      <c r="IB125" s="1451"/>
      <c r="IC125" s="1451"/>
      <c r="ID125" s="1451"/>
      <c r="IE125" s="1451"/>
      <c r="IF125" s="1451"/>
      <c r="IG125" s="1451"/>
      <c r="IH125" s="1451"/>
      <c r="II125" s="1452"/>
      <c r="IJ125" s="1564"/>
      <c r="IK125" s="1566"/>
      <c r="IL125" s="1512" t="s">
        <v>1501</v>
      </c>
      <c r="IM125" s="1513"/>
      <c r="IN125" s="1513"/>
      <c r="IO125" s="1513"/>
      <c r="IP125" s="1513"/>
      <c r="IQ125" s="1513"/>
      <c r="IR125" s="1513"/>
      <c r="IS125" s="1513"/>
      <c r="IT125" s="1513"/>
      <c r="IU125" s="1514"/>
      <c r="IV125" s="564"/>
      <c r="IZ125" s="578"/>
      <c r="JA125" s="491"/>
      <c r="JB125" s="491"/>
      <c r="JC125" s="491"/>
      <c r="JD125" s="491"/>
      <c r="JE125" s="602"/>
      <c r="JF125" s="491"/>
      <c r="JG125" s="491"/>
      <c r="JH125" s="491"/>
      <c r="JI125" s="506"/>
      <c r="JJ125" s="713">
        <f>SUM(JA127,JA129,JA131,JA133,JA135,JA137,JA139,JA141,JA143)</f>
        <v>9</v>
      </c>
      <c r="JK125" s="491"/>
      <c r="JL125" s="491"/>
      <c r="JM125" s="491"/>
      <c r="JN125" s="491"/>
      <c r="JO125" s="491"/>
      <c r="JP125" s="491"/>
      <c r="JQ125" s="714"/>
      <c r="JR125" s="491"/>
      <c r="JS125" s="491"/>
      <c r="JT125" s="491"/>
      <c r="JU125" s="713">
        <f>SUM(JL127,JL129,JL131,JL135,JL139,JL141,JL137,JL133)</f>
        <v>7</v>
      </c>
      <c r="JV125" s="576"/>
      <c r="JW125" s="491"/>
      <c r="JX125" s="491"/>
      <c r="JY125" s="491"/>
      <c r="JZ125" s="491"/>
      <c r="KA125" s="645"/>
      <c r="KB125" s="491"/>
      <c r="KC125" s="491"/>
      <c r="KD125" s="491"/>
      <c r="KE125" s="491"/>
      <c r="KF125" s="491">
        <f>SUM(JW127,JW129,JW131,JW133)</f>
        <v>3</v>
      </c>
      <c r="KG125" s="491"/>
      <c r="KH125" s="506"/>
      <c r="KI125" s="506"/>
      <c r="KJ125" s="491"/>
      <c r="KK125" s="602"/>
      <c r="KL125" s="491"/>
      <c r="KM125" s="491"/>
      <c r="KN125" s="491"/>
      <c r="KO125" s="491"/>
      <c r="KP125" s="491"/>
      <c r="KQ125" s="491">
        <f>SUM(KH127,KH129,KH131)</f>
        <v>3</v>
      </c>
      <c r="KR125" s="491"/>
      <c r="KS125" s="491"/>
      <c r="KT125" s="491"/>
      <c r="KU125" s="506"/>
      <c r="KV125" s="713"/>
      <c r="KW125" s="645"/>
      <c r="KX125" s="491"/>
      <c r="KY125" s="491"/>
      <c r="KZ125" s="491"/>
      <c r="LA125" s="491"/>
      <c r="LB125" s="491">
        <f>SUM(KS127,KS129,KS131)</f>
        <v>2</v>
      </c>
      <c r="LC125" s="491"/>
      <c r="LD125" s="491"/>
      <c r="LE125" s="491"/>
      <c r="LF125" s="491"/>
      <c r="LG125" s="491"/>
      <c r="LH125" s="645"/>
      <c r="LI125" s="491"/>
      <c r="LJ125" s="506"/>
      <c r="LK125" s="491"/>
      <c r="LL125" s="506"/>
      <c r="LM125" s="491">
        <f>SUM(LD127)</f>
        <v>1</v>
      </c>
      <c r="LN125" s="491"/>
      <c r="LO125" s="491"/>
      <c r="LP125" s="491"/>
      <c r="LQ125" s="491"/>
      <c r="LR125" s="491"/>
      <c r="LS125" s="714"/>
      <c r="LT125" s="491"/>
      <c r="LU125" s="491"/>
      <c r="LV125" s="491"/>
      <c r="LW125" s="491"/>
      <c r="LX125" s="713">
        <f>SUM(LO127,LO129,LO131,LO133,LO135,LO137,LO139,LO141,LO143,LO145)</f>
        <v>8</v>
      </c>
      <c r="LY125" s="491"/>
      <c r="LZ125" s="491"/>
      <c r="MA125" s="491"/>
      <c r="MB125" s="491"/>
      <c r="MC125" s="491"/>
      <c r="MD125" s="491"/>
      <c r="ME125" s="700"/>
      <c r="MF125" s="491"/>
      <c r="MG125" s="491"/>
      <c r="MH125" s="491"/>
      <c r="MI125" s="491">
        <f>SUM(LZ127,LZ131,LZ129,LZ135)</f>
        <v>2</v>
      </c>
      <c r="MJ125" s="564"/>
      <c r="MN125" s="578"/>
      <c r="MO125" s="491"/>
      <c r="MP125" s="491"/>
      <c r="MQ125" s="491"/>
      <c r="MR125" s="491"/>
      <c r="MS125" s="491"/>
      <c r="MT125" s="491"/>
      <c r="MU125" s="556"/>
      <c r="MV125" s="556"/>
      <c r="MW125" s="556"/>
      <c r="MX125" s="556"/>
      <c r="MY125" s="556"/>
      <c r="MZ125" s="556"/>
      <c r="NA125" s="556"/>
      <c r="NB125" s="556"/>
      <c r="NC125" s="556"/>
      <c r="ND125" s="556"/>
      <c r="NE125" s="556"/>
      <c r="NF125" s="556"/>
      <c r="NG125" s="556"/>
      <c r="NH125" s="556"/>
      <c r="NI125" s="556"/>
      <c r="NJ125" s="556"/>
      <c r="NK125" s="556"/>
      <c r="NL125" s="556"/>
      <c r="NM125" s="556"/>
      <c r="NN125" s="556"/>
      <c r="NO125" s="556"/>
      <c r="NP125" s="556"/>
      <c r="NQ125" s="556"/>
      <c r="NR125" s="556"/>
      <c r="NS125" s="556"/>
      <c r="NT125" s="491"/>
      <c r="NU125" s="556"/>
      <c r="NV125" s="556"/>
      <c r="NW125" s="556"/>
      <c r="NX125" s="556"/>
      <c r="NY125" s="556"/>
      <c r="NZ125" s="619"/>
      <c r="OA125" s="556"/>
      <c r="OB125" s="556"/>
      <c r="OC125" s="556"/>
      <c r="OD125" s="556"/>
      <c r="OE125" s="556"/>
      <c r="OF125" s="556"/>
      <c r="OG125" s="619"/>
      <c r="OH125" s="556"/>
      <c r="OI125" s="556"/>
      <c r="OJ125" s="556"/>
      <c r="OK125" s="556"/>
      <c r="OL125" s="556"/>
      <c r="OM125" s="556"/>
      <c r="ON125" s="556"/>
      <c r="OO125" s="556"/>
      <c r="OP125" s="556"/>
      <c r="OQ125" s="556"/>
      <c r="OR125" s="556"/>
      <c r="OS125" s="556"/>
      <c r="OT125" s="556"/>
      <c r="OU125" s="556"/>
      <c r="OV125" s="556"/>
      <c r="OW125" s="556"/>
      <c r="OX125" s="556"/>
      <c r="OY125" s="556"/>
      <c r="OZ125" s="556"/>
      <c r="PA125" s="556"/>
      <c r="PB125" s="556"/>
      <c r="PC125" s="556"/>
      <c r="PD125" s="556"/>
      <c r="PE125" s="556"/>
      <c r="PF125" s="556"/>
      <c r="PG125" s="556"/>
      <c r="PH125" s="491"/>
      <c r="PI125" s="491"/>
      <c r="PJ125" s="491"/>
      <c r="PK125" s="491"/>
      <c r="PL125" s="491"/>
      <c r="PM125" s="491"/>
      <c r="PN125" s="564"/>
      <c r="PW125" s="482"/>
    </row>
    <row r="126" spans="12:439" ht="12.75" customHeight="1" x14ac:dyDescent="0.2">
      <c r="L126" s="655"/>
      <c r="Q126" s="578"/>
      <c r="R126" s="513">
        <v>1</v>
      </c>
      <c r="S126" s="1456" t="s">
        <v>5007</v>
      </c>
      <c r="T126" s="1457"/>
      <c r="U126" s="1457"/>
      <c r="V126" s="1457"/>
      <c r="W126" s="1457"/>
      <c r="X126" s="1457"/>
      <c r="Y126" s="1457"/>
      <c r="Z126" s="1457"/>
      <c r="AA126" s="1458"/>
      <c r="AB126" s="491"/>
      <c r="AC126" s="491"/>
      <c r="AD126" s="513">
        <v>1</v>
      </c>
      <c r="AE126" s="1456" t="s">
        <v>5007</v>
      </c>
      <c r="AF126" s="1457"/>
      <c r="AG126" s="1457"/>
      <c r="AH126" s="1457"/>
      <c r="AI126" s="1457"/>
      <c r="AJ126" s="1457"/>
      <c r="AK126" s="1457"/>
      <c r="AL126" s="1457"/>
      <c r="AM126" s="1458"/>
      <c r="AN126" s="491"/>
      <c r="AO126" s="491"/>
      <c r="AP126" s="513">
        <v>1</v>
      </c>
      <c r="AQ126" s="1456" t="s">
        <v>5007</v>
      </c>
      <c r="AR126" s="1457"/>
      <c r="AS126" s="1457"/>
      <c r="AT126" s="1457"/>
      <c r="AU126" s="1457"/>
      <c r="AV126" s="1457"/>
      <c r="AW126" s="1457"/>
      <c r="AX126" s="1457"/>
      <c r="AY126" s="1458"/>
      <c r="AZ126" s="564"/>
      <c r="BD126" s="578"/>
      <c r="BE126" s="513">
        <v>1</v>
      </c>
      <c r="BF126" s="1456" t="s">
        <v>5052</v>
      </c>
      <c r="BG126" s="1457"/>
      <c r="BH126" s="1457"/>
      <c r="BI126" s="1457"/>
      <c r="BJ126" s="1457"/>
      <c r="BK126" s="1457"/>
      <c r="BL126" s="1457"/>
      <c r="BM126" s="1457"/>
      <c r="BN126" s="1458"/>
      <c r="BO126" s="526"/>
      <c r="BP126" s="519"/>
      <c r="BQ126" s="513">
        <v>1</v>
      </c>
      <c r="BR126" s="1456" t="s">
        <v>5052</v>
      </c>
      <c r="BS126" s="1457"/>
      <c r="BT126" s="1457"/>
      <c r="BU126" s="1457"/>
      <c r="BV126" s="1457"/>
      <c r="BW126" s="1457"/>
      <c r="BX126" s="1457"/>
      <c r="BY126" s="1457"/>
      <c r="BZ126" s="1458"/>
      <c r="CA126" s="564"/>
      <c r="CE126" s="578"/>
      <c r="CF126" s="513">
        <v>1</v>
      </c>
      <c r="CG126" s="1456" t="s">
        <v>5179</v>
      </c>
      <c r="CH126" s="1457"/>
      <c r="CI126" s="1457"/>
      <c r="CJ126" s="1457"/>
      <c r="CK126" s="1457"/>
      <c r="CL126" s="1457"/>
      <c r="CM126" s="1457"/>
      <c r="CN126" s="1457"/>
      <c r="CO126" s="1458"/>
      <c r="CP126" s="491"/>
      <c r="CQ126" s="491"/>
      <c r="CR126" s="513">
        <v>1</v>
      </c>
      <c r="CS126" s="1456" t="s">
        <v>5173</v>
      </c>
      <c r="CT126" s="1457"/>
      <c r="CU126" s="1457"/>
      <c r="CV126" s="1457"/>
      <c r="CW126" s="1457"/>
      <c r="CX126" s="1457"/>
      <c r="CY126" s="1457"/>
      <c r="CZ126" s="1457"/>
      <c r="DA126" s="1458"/>
      <c r="DB126" s="491"/>
      <c r="DC126" s="491"/>
      <c r="DD126" s="513">
        <v>1</v>
      </c>
      <c r="DE126" s="1456" t="s">
        <v>5181</v>
      </c>
      <c r="DF126" s="1457"/>
      <c r="DG126" s="1457"/>
      <c r="DH126" s="1457"/>
      <c r="DI126" s="1457"/>
      <c r="DJ126" s="1457"/>
      <c r="DK126" s="1457"/>
      <c r="DL126" s="1457"/>
      <c r="DM126" s="1458"/>
      <c r="DN126" s="564"/>
      <c r="DR126" s="578"/>
      <c r="DS126" s="491"/>
      <c r="DT126" s="491"/>
      <c r="DU126" s="491"/>
      <c r="DV126" s="491"/>
      <c r="DW126" s="491"/>
      <c r="DX126" s="491"/>
      <c r="DY126" s="1447" t="s">
        <v>5182</v>
      </c>
      <c r="DZ126" s="1448"/>
      <c r="EA126" s="1448"/>
      <c r="EB126" s="1448"/>
      <c r="EC126" s="1448"/>
      <c r="ED126" s="1448"/>
      <c r="EE126" s="1448"/>
      <c r="EF126" s="1448"/>
      <c r="EG126" s="1448"/>
      <c r="EH126" s="1449"/>
      <c r="EI126" s="491"/>
      <c r="EJ126" s="491"/>
      <c r="EK126" s="491"/>
      <c r="EL126" s="491"/>
      <c r="EM126" s="491"/>
      <c r="EN126" s="491"/>
      <c r="EO126" s="564"/>
      <c r="ES126" s="578"/>
      <c r="ET126" s="491"/>
      <c r="EU126" s="491"/>
      <c r="EV126" s="513">
        <v>1</v>
      </c>
      <c r="EW126" s="1469" t="s">
        <v>5183</v>
      </c>
      <c r="EX126" s="1469"/>
      <c r="EY126" s="1469"/>
      <c r="EZ126" s="1469"/>
      <c r="FA126" s="1469"/>
      <c r="FB126" s="1469"/>
      <c r="FC126" s="1469"/>
      <c r="FD126" s="1469"/>
      <c r="FE126" s="1469"/>
      <c r="FF126" s="491"/>
      <c r="FG126" s="491"/>
      <c r="FH126" s="491"/>
      <c r="FI126" s="513">
        <v>1</v>
      </c>
      <c r="FJ126" s="1469" t="s">
        <v>183</v>
      </c>
      <c r="FK126" s="1469"/>
      <c r="FL126" s="1469"/>
      <c r="FM126" s="1469"/>
      <c r="FN126" s="1469"/>
      <c r="FO126" s="1469"/>
      <c r="FP126" s="1469"/>
      <c r="FQ126" s="1469"/>
      <c r="FR126" s="1469"/>
      <c r="FS126" s="491"/>
      <c r="FT126" s="491"/>
      <c r="FU126" s="491"/>
      <c r="FV126" s="491"/>
      <c r="FW126" s="564"/>
      <c r="FZ126" s="578"/>
      <c r="GA126" s="710">
        <v>1</v>
      </c>
      <c r="GB126" s="1567" t="s">
        <v>5164</v>
      </c>
      <c r="GC126" s="1568"/>
      <c r="GD126" s="1568"/>
      <c r="GE126" s="1568"/>
      <c r="GF126" s="1568"/>
      <c r="GG126" s="1568"/>
      <c r="GH126" s="1568"/>
      <c r="GI126" s="1568"/>
      <c r="GJ126" s="1569"/>
      <c r="GK126" s="704"/>
      <c r="GL126" s="704"/>
      <c r="GM126" s="710">
        <v>1</v>
      </c>
      <c r="GN126" s="1567" t="s">
        <v>5165</v>
      </c>
      <c r="GO126" s="1568"/>
      <c r="GP126" s="1568"/>
      <c r="GQ126" s="1568"/>
      <c r="GR126" s="1568"/>
      <c r="GS126" s="1568"/>
      <c r="GT126" s="1568"/>
      <c r="GU126" s="1568"/>
      <c r="GV126" s="1569"/>
      <c r="GW126" s="1564"/>
      <c r="GX126" s="1565"/>
      <c r="GY126" s="1566"/>
      <c r="GZ126" s="710">
        <v>1</v>
      </c>
      <c r="HA126" s="1567" t="s">
        <v>5165</v>
      </c>
      <c r="HB126" s="1568"/>
      <c r="HC126" s="1568"/>
      <c r="HD126" s="1568"/>
      <c r="HE126" s="1568"/>
      <c r="HF126" s="1568"/>
      <c r="HG126" s="1568"/>
      <c r="HH126" s="1568"/>
      <c r="HI126" s="1569"/>
      <c r="HJ126" s="1564"/>
      <c r="HK126" s="1565"/>
      <c r="HL126" s="1566"/>
      <c r="HM126" s="710">
        <v>1</v>
      </c>
      <c r="HN126" s="1567" t="s">
        <v>5165</v>
      </c>
      <c r="HO126" s="1568"/>
      <c r="HP126" s="1568"/>
      <c r="HQ126" s="1568"/>
      <c r="HR126" s="1568"/>
      <c r="HS126" s="1568"/>
      <c r="HT126" s="1568"/>
      <c r="HU126" s="1568"/>
      <c r="HV126" s="1569"/>
      <c r="HW126" s="1564"/>
      <c r="HX126" s="1565"/>
      <c r="HY126" s="1566"/>
      <c r="HZ126" s="710">
        <v>1</v>
      </c>
      <c r="IA126" s="1567" t="s">
        <v>5174</v>
      </c>
      <c r="IB126" s="1568"/>
      <c r="IC126" s="1568"/>
      <c r="ID126" s="1568"/>
      <c r="IE126" s="1568"/>
      <c r="IF126" s="1568"/>
      <c r="IG126" s="1568"/>
      <c r="IH126" s="1568"/>
      <c r="II126" s="1569"/>
      <c r="IJ126" s="1564"/>
      <c r="IK126" s="1566"/>
      <c r="IL126" s="710">
        <v>1</v>
      </c>
      <c r="IM126" s="1567" t="s">
        <v>5165</v>
      </c>
      <c r="IN126" s="1568"/>
      <c r="IO126" s="1568"/>
      <c r="IP126" s="1568"/>
      <c r="IQ126" s="1568"/>
      <c r="IR126" s="1568"/>
      <c r="IS126" s="1568"/>
      <c r="IT126" s="1568"/>
      <c r="IU126" s="1569"/>
      <c r="IV126" s="564"/>
      <c r="IZ126" s="578"/>
      <c r="JA126" s="1456" t="s">
        <v>5184</v>
      </c>
      <c r="JB126" s="1457"/>
      <c r="JC126" s="1457"/>
      <c r="JD126" s="1457"/>
      <c r="JE126" s="1457"/>
      <c r="JF126" s="1457"/>
      <c r="JG126" s="1457"/>
      <c r="JH126" s="1457"/>
      <c r="JI126" s="1457"/>
      <c r="JJ126" s="1458"/>
      <c r="JK126" s="715"/>
      <c r="JL126" s="1456" t="s">
        <v>5185</v>
      </c>
      <c r="JM126" s="1457"/>
      <c r="JN126" s="1457"/>
      <c r="JO126" s="1457"/>
      <c r="JP126" s="1457"/>
      <c r="JQ126" s="1457"/>
      <c r="JR126" s="1457"/>
      <c r="JS126" s="1457"/>
      <c r="JT126" s="1457"/>
      <c r="JU126" s="1458"/>
      <c r="JV126" s="716"/>
      <c r="JW126" s="1456" t="s">
        <v>5186</v>
      </c>
      <c r="JX126" s="1457"/>
      <c r="JY126" s="1457"/>
      <c r="JZ126" s="1457"/>
      <c r="KA126" s="1457"/>
      <c r="KB126" s="1457"/>
      <c r="KC126" s="1457"/>
      <c r="KD126" s="1457"/>
      <c r="KE126" s="1457"/>
      <c r="KF126" s="1458"/>
      <c r="KG126" s="491"/>
      <c r="KH126" s="1456" t="s">
        <v>5187</v>
      </c>
      <c r="KI126" s="1457"/>
      <c r="KJ126" s="1457"/>
      <c r="KK126" s="1457"/>
      <c r="KL126" s="1457"/>
      <c r="KM126" s="1457"/>
      <c r="KN126" s="1457"/>
      <c r="KO126" s="1457"/>
      <c r="KP126" s="1457"/>
      <c r="KQ126" s="1458"/>
      <c r="KR126" s="491"/>
      <c r="KS126" s="1576" t="s">
        <v>5188</v>
      </c>
      <c r="KT126" s="1577"/>
      <c r="KU126" s="1577"/>
      <c r="KV126" s="1577"/>
      <c r="KW126" s="1577"/>
      <c r="KX126" s="1577"/>
      <c r="KY126" s="1577"/>
      <c r="KZ126" s="1577"/>
      <c r="LA126" s="1577"/>
      <c r="LB126" s="1578"/>
      <c r="LC126" s="491"/>
      <c r="LD126" s="1456" t="s">
        <v>5189</v>
      </c>
      <c r="LE126" s="1457"/>
      <c r="LF126" s="1457"/>
      <c r="LG126" s="1457"/>
      <c r="LH126" s="1457"/>
      <c r="LI126" s="1457"/>
      <c r="LJ126" s="1457"/>
      <c r="LK126" s="1457"/>
      <c r="LL126" s="1457"/>
      <c r="LM126" s="1458"/>
      <c r="LN126" s="491"/>
      <c r="LO126" s="1456" t="s">
        <v>5190</v>
      </c>
      <c r="LP126" s="1457"/>
      <c r="LQ126" s="1457"/>
      <c r="LR126" s="1457"/>
      <c r="LS126" s="1457"/>
      <c r="LT126" s="1457"/>
      <c r="LU126" s="1457"/>
      <c r="LV126" s="1457"/>
      <c r="LW126" s="1457"/>
      <c r="LX126" s="1458"/>
      <c r="LY126" s="491"/>
      <c r="LZ126" s="1469" t="s">
        <v>5191</v>
      </c>
      <c r="MA126" s="1469"/>
      <c r="MB126" s="1469"/>
      <c r="MC126" s="1469"/>
      <c r="MD126" s="1469"/>
      <c r="ME126" s="1469"/>
      <c r="MF126" s="1469"/>
      <c r="MG126" s="1469"/>
      <c r="MH126" s="1469"/>
      <c r="MI126" s="1469"/>
      <c r="MJ126" s="564"/>
      <c r="MN126" s="578"/>
      <c r="MO126" s="491"/>
      <c r="MP126" s="491"/>
      <c r="MQ126" s="491"/>
      <c r="MR126" s="491"/>
      <c r="MS126" s="491"/>
      <c r="MT126" s="602"/>
      <c r="MU126" s="491"/>
      <c r="MV126" s="491"/>
      <c r="MW126" s="491"/>
      <c r="MX126" s="491"/>
      <c r="MY126" s="491">
        <f>SUM(MP128,MP130,MP132,MP136,MP138,MP140,MP142,MP146,MP148,MP150,MP152,MP144,MP134)</f>
        <v>13</v>
      </c>
      <c r="MZ126" s="491"/>
      <c r="NA126" s="491"/>
      <c r="NB126" s="491"/>
      <c r="NC126" s="491"/>
      <c r="ND126" s="491"/>
      <c r="NE126" s="491"/>
      <c r="NF126" s="491"/>
      <c r="NG126" s="645"/>
      <c r="NH126" s="491"/>
      <c r="NI126" s="491"/>
      <c r="NJ126" s="491"/>
      <c r="NK126" s="491"/>
      <c r="NL126" s="491">
        <f>SUM(NC128,NC130,NC132,NC134,NC138,NC142,NC146,NC148,NC150,NC152,NC154,NC156,NC158,NC160,NC162,NC164,NC166,NC168,NC170,NC136,NC140,NC144)</f>
        <v>22</v>
      </c>
      <c r="NM126" s="491"/>
      <c r="NN126" s="491"/>
      <c r="NO126" s="491"/>
      <c r="NP126" s="491"/>
      <c r="NQ126" s="491"/>
      <c r="NR126" s="491"/>
      <c r="NS126" s="491"/>
      <c r="NT126" s="577"/>
      <c r="NU126" s="491"/>
      <c r="NV126" s="491"/>
      <c r="NW126" s="491"/>
      <c r="NX126" s="491"/>
      <c r="NY126" s="491">
        <f>SUM(NP128,NP130,NP132,NP134,NP136,NP138,NP140,NP142,NP144,NP146)</f>
        <v>7</v>
      </c>
      <c r="NZ126" s="491"/>
      <c r="OA126" s="491"/>
      <c r="OB126" s="491"/>
      <c r="OC126" s="491"/>
      <c r="OD126" s="491"/>
      <c r="OE126" s="491"/>
      <c r="OF126" s="491"/>
      <c r="OG126" s="645"/>
      <c r="OH126" s="491"/>
      <c r="OI126" s="491"/>
      <c r="OJ126" s="491"/>
      <c r="OK126" s="491"/>
      <c r="OL126" s="491">
        <f>SUM(OC128,OC130,OC132,OC134,OC136,OC138,OC140,OC142,OC144,OC146,OC148,OC150,OC152,OC154,OC156,OC158,OC160,OC162,OC164,OC166,OC168,OC170,OC172)</f>
        <v>21</v>
      </c>
      <c r="OM126" s="491"/>
      <c r="ON126" s="491"/>
      <c r="OO126" s="491"/>
      <c r="OP126" s="491"/>
      <c r="OQ126" s="491"/>
      <c r="OR126" s="491"/>
      <c r="OS126" s="491"/>
      <c r="OT126" s="645"/>
      <c r="OU126" s="491"/>
      <c r="OV126" s="491"/>
      <c r="OW126" s="491"/>
      <c r="OX126" s="491"/>
      <c r="OY126" s="491">
        <f>SUM(OP128,OP131,OP133,OP135,OP137,OP139)</f>
        <v>4</v>
      </c>
      <c r="OZ126" s="491"/>
      <c r="PA126" s="491"/>
      <c r="PB126" s="491"/>
      <c r="PC126" s="491"/>
      <c r="PD126" s="491"/>
      <c r="PE126" s="491"/>
      <c r="PF126" s="491"/>
      <c r="PG126" s="645"/>
      <c r="PH126" s="491"/>
      <c r="PI126" s="491"/>
      <c r="PJ126" s="491"/>
      <c r="PK126" s="491"/>
      <c r="PL126" s="491">
        <f>SUM(PC128,PC132,PC134,PC136,PC138,PC140,PC142,PC144,PC146,PC148,PC130,PC152,PC154,PC156,PC158,PC160,PC162,PC164,PC150,PC168)</f>
        <v>15</v>
      </c>
      <c r="PM126" s="491"/>
      <c r="PN126" s="564"/>
      <c r="PW126" s="482"/>
    </row>
    <row r="127" spans="12:439" ht="12.75" customHeight="1" x14ac:dyDescent="0.35">
      <c r="L127" s="655"/>
      <c r="Q127" s="578"/>
      <c r="R127" s="1450" t="s">
        <v>5192</v>
      </c>
      <c r="S127" s="1451"/>
      <c r="T127" s="1451"/>
      <c r="U127" s="1451"/>
      <c r="V127" s="1451"/>
      <c r="W127" s="1451"/>
      <c r="X127" s="1451"/>
      <c r="Y127" s="1451"/>
      <c r="Z127" s="1451"/>
      <c r="AA127" s="1452"/>
      <c r="AB127" s="491"/>
      <c r="AC127" s="491"/>
      <c r="AD127" s="1447" t="s">
        <v>5193</v>
      </c>
      <c r="AE127" s="1448"/>
      <c r="AF127" s="1448"/>
      <c r="AG127" s="1448"/>
      <c r="AH127" s="1448"/>
      <c r="AI127" s="1448"/>
      <c r="AJ127" s="1448"/>
      <c r="AK127" s="1448"/>
      <c r="AL127" s="1448"/>
      <c r="AM127" s="1449"/>
      <c r="AN127" s="491"/>
      <c r="AO127" s="491"/>
      <c r="AP127" s="1447" t="s">
        <v>5194</v>
      </c>
      <c r="AQ127" s="1448"/>
      <c r="AR127" s="1448"/>
      <c r="AS127" s="1448"/>
      <c r="AT127" s="1448"/>
      <c r="AU127" s="1448"/>
      <c r="AV127" s="1448"/>
      <c r="AW127" s="1448"/>
      <c r="AX127" s="1448"/>
      <c r="AY127" s="1449"/>
      <c r="AZ127" s="564"/>
      <c r="BD127" s="578"/>
      <c r="BE127" s="1447" t="s">
        <v>5195</v>
      </c>
      <c r="BF127" s="1448"/>
      <c r="BG127" s="1448"/>
      <c r="BH127" s="1448"/>
      <c r="BI127" s="1448"/>
      <c r="BJ127" s="1448"/>
      <c r="BK127" s="1448"/>
      <c r="BL127" s="1448"/>
      <c r="BM127" s="1448"/>
      <c r="BN127" s="1449"/>
      <c r="BO127" s="526"/>
      <c r="BP127" s="519"/>
      <c r="BQ127" s="1447" t="s">
        <v>5196</v>
      </c>
      <c r="BR127" s="1448"/>
      <c r="BS127" s="1448"/>
      <c r="BT127" s="1448"/>
      <c r="BU127" s="1448"/>
      <c r="BV127" s="1448"/>
      <c r="BW127" s="1448"/>
      <c r="BX127" s="1448"/>
      <c r="BY127" s="1448"/>
      <c r="BZ127" s="1449"/>
      <c r="CA127" s="564"/>
      <c r="CE127" s="578"/>
      <c r="CF127" s="1447" t="s">
        <v>2616</v>
      </c>
      <c r="CG127" s="1448"/>
      <c r="CH127" s="1448"/>
      <c r="CI127" s="1448"/>
      <c r="CJ127" s="1448"/>
      <c r="CK127" s="1448"/>
      <c r="CL127" s="1448"/>
      <c r="CM127" s="1448"/>
      <c r="CN127" s="1448"/>
      <c r="CO127" s="1449"/>
      <c r="CP127" s="491"/>
      <c r="CQ127" s="491"/>
      <c r="CR127" s="1447" t="s">
        <v>4312</v>
      </c>
      <c r="CS127" s="1448"/>
      <c r="CT127" s="1448"/>
      <c r="CU127" s="1448"/>
      <c r="CV127" s="1448"/>
      <c r="CW127" s="1448"/>
      <c r="CX127" s="1448"/>
      <c r="CY127" s="1448"/>
      <c r="CZ127" s="1448"/>
      <c r="DA127" s="1449"/>
      <c r="DB127" s="491"/>
      <c r="DC127" s="491"/>
      <c r="DD127" s="1447" t="s">
        <v>5197</v>
      </c>
      <c r="DE127" s="1448"/>
      <c r="DF127" s="1448"/>
      <c r="DG127" s="1448"/>
      <c r="DH127" s="1448"/>
      <c r="DI127" s="1448"/>
      <c r="DJ127" s="1448"/>
      <c r="DK127" s="1448"/>
      <c r="DL127" s="1448"/>
      <c r="DM127" s="1449"/>
      <c r="DN127" s="564"/>
      <c r="DR127" s="578"/>
      <c r="DS127" s="491"/>
      <c r="DT127" s="491"/>
      <c r="DU127" s="491"/>
      <c r="DV127" s="491"/>
      <c r="DW127" s="491"/>
      <c r="DX127" s="491"/>
      <c r="DY127" s="513">
        <v>1</v>
      </c>
      <c r="DZ127" s="1456" t="s">
        <v>5198</v>
      </c>
      <c r="EA127" s="1457"/>
      <c r="EB127" s="1457"/>
      <c r="EC127" s="1457"/>
      <c r="ED127" s="1457"/>
      <c r="EE127" s="1457"/>
      <c r="EF127" s="1457"/>
      <c r="EG127" s="1457"/>
      <c r="EH127" s="1458"/>
      <c r="EI127" s="491"/>
      <c r="EJ127" s="491"/>
      <c r="EK127" s="491"/>
      <c r="EL127" s="491"/>
      <c r="EM127" s="491"/>
      <c r="EN127" s="491"/>
      <c r="EO127" s="564"/>
      <c r="ES127" s="578"/>
      <c r="ET127" s="491"/>
      <c r="EU127" s="491"/>
      <c r="EV127" s="1472" t="s">
        <v>2066</v>
      </c>
      <c r="EW127" s="1472"/>
      <c r="EX127" s="1472"/>
      <c r="EY127" s="1472"/>
      <c r="EZ127" s="1472"/>
      <c r="FA127" s="1472"/>
      <c r="FB127" s="1472"/>
      <c r="FC127" s="1472"/>
      <c r="FD127" s="1472"/>
      <c r="FE127" s="1472"/>
      <c r="FF127" s="491"/>
      <c r="FG127" s="491"/>
      <c r="FH127" s="491"/>
      <c r="FI127" s="1472" t="s">
        <v>5199</v>
      </c>
      <c r="FJ127" s="1472"/>
      <c r="FK127" s="1472"/>
      <c r="FL127" s="1472"/>
      <c r="FM127" s="1472"/>
      <c r="FN127" s="1472"/>
      <c r="FO127" s="1472"/>
      <c r="FP127" s="1472"/>
      <c r="FQ127" s="1472"/>
      <c r="FR127" s="1472"/>
      <c r="FS127" s="491"/>
      <c r="FT127" s="491"/>
      <c r="FU127" s="491"/>
      <c r="FV127" s="491"/>
      <c r="FW127" s="564"/>
      <c r="FZ127" s="578"/>
      <c r="GA127" s="1450" t="s">
        <v>3688</v>
      </c>
      <c r="GB127" s="1451"/>
      <c r="GC127" s="1451"/>
      <c r="GD127" s="1451"/>
      <c r="GE127" s="1451"/>
      <c r="GF127" s="1451"/>
      <c r="GG127" s="1451"/>
      <c r="GH127" s="1451"/>
      <c r="GI127" s="1451"/>
      <c r="GJ127" s="1452"/>
      <c r="GK127" s="704"/>
      <c r="GL127" s="704"/>
      <c r="GM127" s="1450" t="s">
        <v>1339</v>
      </c>
      <c r="GN127" s="1451"/>
      <c r="GO127" s="1451"/>
      <c r="GP127" s="1451"/>
      <c r="GQ127" s="1451"/>
      <c r="GR127" s="1451"/>
      <c r="GS127" s="1451"/>
      <c r="GT127" s="1451"/>
      <c r="GU127" s="1451"/>
      <c r="GV127" s="1452"/>
      <c r="GW127" s="1564"/>
      <c r="GX127" s="1565"/>
      <c r="GY127" s="1566"/>
      <c r="GZ127" s="1450" t="s">
        <v>1863</v>
      </c>
      <c r="HA127" s="1451"/>
      <c r="HB127" s="1451"/>
      <c r="HC127" s="1451"/>
      <c r="HD127" s="1451"/>
      <c r="HE127" s="1451"/>
      <c r="HF127" s="1451"/>
      <c r="HG127" s="1451"/>
      <c r="HH127" s="1451"/>
      <c r="HI127" s="1452"/>
      <c r="HJ127" s="1564"/>
      <c r="HK127" s="1565"/>
      <c r="HL127" s="1566"/>
      <c r="HM127" s="1450" t="s">
        <v>2874</v>
      </c>
      <c r="HN127" s="1451"/>
      <c r="HO127" s="1451"/>
      <c r="HP127" s="1451"/>
      <c r="HQ127" s="1451"/>
      <c r="HR127" s="1451"/>
      <c r="HS127" s="1451"/>
      <c r="HT127" s="1451"/>
      <c r="HU127" s="1451"/>
      <c r="HV127" s="1452"/>
      <c r="HW127" s="1564"/>
      <c r="HX127" s="1565"/>
      <c r="HY127" s="1566"/>
      <c r="HZ127" s="1450" t="s">
        <v>5200</v>
      </c>
      <c r="IA127" s="1451"/>
      <c r="IB127" s="1451"/>
      <c r="IC127" s="1451"/>
      <c r="ID127" s="1451"/>
      <c r="IE127" s="1451"/>
      <c r="IF127" s="1451"/>
      <c r="IG127" s="1451"/>
      <c r="IH127" s="1451"/>
      <c r="II127" s="1452"/>
      <c r="IJ127" s="1564"/>
      <c r="IK127" s="1566"/>
      <c r="IL127" s="1450" t="s">
        <v>2319</v>
      </c>
      <c r="IM127" s="1451"/>
      <c r="IN127" s="1451"/>
      <c r="IO127" s="1451"/>
      <c r="IP127" s="1451"/>
      <c r="IQ127" s="1451"/>
      <c r="IR127" s="1451"/>
      <c r="IS127" s="1451"/>
      <c r="IT127" s="1451"/>
      <c r="IU127" s="1452"/>
      <c r="IV127" s="564"/>
      <c r="IZ127" s="578"/>
      <c r="JA127" s="513">
        <v>1</v>
      </c>
      <c r="JB127" s="1456" t="s">
        <v>4768</v>
      </c>
      <c r="JC127" s="1457"/>
      <c r="JD127" s="1457"/>
      <c r="JE127" s="1457"/>
      <c r="JF127" s="1457"/>
      <c r="JG127" s="1457"/>
      <c r="JH127" s="1457"/>
      <c r="JI127" s="1457"/>
      <c r="JJ127" s="1458"/>
      <c r="JK127" s="632"/>
      <c r="JL127" s="711">
        <v>1</v>
      </c>
      <c r="JM127" s="1579" t="s">
        <v>4768</v>
      </c>
      <c r="JN127" s="1580"/>
      <c r="JO127" s="1580"/>
      <c r="JP127" s="1580"/>
      <c r="JQ127" s="1580"/>
      <c r="JR127" s="1580"/>
      <c r="JS127" s="1580"/>
      <c r="JT127" s="1580"/>
      <c r="JU127" s="1581"/>
      <c r="JV127" s="491"/>
      <c r="JW127" s="513">
        <v>1</v>
      </c>
      <c r="JX127" s="1456" t="s">
        <v>4768</v>
      </c>
      <c r="JY127" s="1457"/>
      <c r="JZ127" s="1457"/>
      <c r="KA127" s="1457"/>
      <c r="KB127" s="1457"/>
      <c r="KC127" s="1457"/>
      <c r="KD127" s="1457"/>
      <c r="KE127" s="1457"/>
      <c r="KF127" s="1458"/>
      <c r="KG127" s="491"/>
      <c r="KH127" s="513">
        <v>1</v>
      </c>
      <c r="KI127" s="1579" t="s">
        <v>5201</v>
      </c>
      <c r="KJ127" s="1580"/>
      <c r="KK127" s="1580"/>
      <c r="KL127" s="1580"/>
      <c r="KM127" s="1580"/>
      <c r="KN127" s="1580"/>
      <c r="KO127" s="1580"/>
      <c r="KP127" s="1580"/>
      <c r="KQ127" s="1581"/>
      <c r="KR127" s="491"/>
      <c r="KS127" s="513">
        <v>1</v>
      </c>
      <c r="KT127" s="1456" t="s">
        <v>4933</v>
      </c>
      <c r="KU127" s="1457"/>
      <c r="KV127" s="1457"/>
      <c r="KW127" s="1457"/>
      <c r="KX127" s="1457"/>
      <c r="KY127" s="1457"/>
      <c r="KZ127" s="1457"/>
      <c r="LA127" s="1457"/>
      <c r="LB127" s="1458"/>
      <c r="LC127" s="491"/>
      <c r="LD127" s="513">
        <v>1</v>
      </c>
      <c r="LE127" s="1456" t="s">
        <v>5202</v>
      </c>
      <c r="LF127" s="1457"/>
      <c r="LG127" s="1457"/>
      <c r="LH127" s="1457"/>
      <c r="LI127" s="1457"/>
      <c r="LJ127" s="1457"/>
      <c r="LK127" s="1457"/>
      <c r="LL127" s="1457"/>
      <c r="LM127" s="1458"/>
      <c r="LN127" s="491"/>
      <c r="LO127" s="513">
        <v>1</v>
      </c>
      <c r="LP127" s="1456" t="s">
        <v>5203</v>
      </c>
      <c r="LQ127" s="1457"/>
      <c r="LR127" s="1457"/>
      <c r="LS127" s="1457"/>
      <c r="LT127" s="1457"/>
      <c r="LU127" s="1457"/>
      <c r="LV127" s="1457"/>
      <c r="LW127" s="1457"/>
      <c r="LX127" s="1458"/>
      <c r="LY127" s="491"/>
      <c r="LZ127" s="513">
        <v>1</v>
      </c>
      <c r="MA127" s="1579" t="s">
        <v>5165</v>
      </c>
      <c r="MB127" s="1580"/>
      <c r="MC127" s="1580"/>
      <c r="MD127" s="1580"/>
      <c r="ME127" s="1580"/>
      <c r="MF127" s="1580"/>
      <c r="MG127" s="1580"/>
      <c r="MH127" s="1580"/>
      <c r="MI127" s="1581"/>
      <c r="MJ127" s="564"/>
      <c r="MN127" s="578"/>
      <c r="MO127" s="491"/>
      <c r="MP127" s="1561" t="s">
        <v>165</v>
      </c>
      <c r="MQ127" s="1561" t="s">
        <v>5204</v>
      </c>
      <c r="MR127" s="1561"/>
      <c r="MS127" s="1561"/>
      <c r="MT127" s="1561"/>
      <c r="MU127" s="1561"/>
      <c r="MV127" s="1561"/>
      <c r="MW127" s="1561"/>
      <c r="MX127" s="1561"/>
      <c r="MY127" s="1561"/>
      <c r="MZ127" s="491"/>
      <c r="NA127" s="491"/>
      <c r="NB127" s="491"/>
      <c r="NC127" s="1561" t="s">
        <v>214</v>
      </c>
      <c r="ND127" s="1561" t="s">
        <v>5205</v>
      </c>
      <c r="NE127" s="1561"/>
      <c r="NF127" s="1561"/>
      <c r="NG127" s="1561"/>
      <c r="NH127" s="1561"/>
      <c r="NI127" s="1561"/>
      <c r="NJ127" s="1561"/>
      <c r="NK127" s="1561"/>
      <c r="NL127" s="1561"/>
      <c r="NM127" s="491"/>
      <c r="NN127" s="491"/>
      <c r="NO127" s="491"/>
      <c r="NP127" s="1582" t="s">
        <v>213</v>
      </c>
      <c r="NQ127" s="1582"/>
      <c r="NR127" s="1582"/>
      <c r="NS127" s="1582"/>
      <c r="NT127" s="1582"/>
      <c r="NU127" s="1582"/>
      <c r="NV127" s="1582"/>
      <c r="NW127" s="1582"/>
      <c r="NX127" s="1582"/>
      <c r="NY127" s="1582"/>
      <c r="NZ127" s="491"/>
      <c r="OA127" s="491"/>
      <c r="OB127" s="491"/>
      <c r="OC127" s="1561" t="s">
        <v>5206</v>
      </c>
      <c r="OD127" s="1561"/>
      <c r="OE127" s="1561"/>
      <c r="OF127" s="1561"/>
      <c r="OG127" s="1561"/>
      <c r="OH127" s="1561"/>
      <c r="OI127" s="1561"/>
      <c r="OJ127" s="1561"/>
      <c r="OK127" s="1561"/>
      <c r="OL127" s="1561"/>
      <c r="OM127" s="491"/>
      <c r="ON127" s="491"/>
      <c r="OO127" s="491"/>
      <c r="OP127" s="1561" t="s">
        <v>5207</v>
      </c>
      <c r="OQ127" s="1561"/>
      <c r="OR127" s="1561"/>
      <c r="OS127" s="1561"/>
      <c r="OT127" s="1561"/>
      <c r="OU127" s="1561"/>
      <c r="OV127" s="1561"/>
      <c r="OW127" s="1561"/>
      <c r="OX127" s="1561"/>
      <c r="OY127" s="1561"/>
      <c r="OZ127" s="491"/>
      <c r="PA127" s="491"/>
      <c r="PB127" s="491"/>
      <c r="PC127" s="1561" t="s">
        <v>211</v>
      </c>
      <c r="PD127" s="1561"/>
      <c r="PE127" s="1561"/>
      <c r="PF127" s="1561"/>
      <c r="PG127" s="1561"/>
      <c r="PH127" s="1561"/>
      <c r="PI127" s="1561"/>
      <c r="PJ127" s="1561"/>
      <c r="PK127" s="1561"/>
      <c r="PL127" s="1561"/>
      <c r="PM127" s="491"/>
      <c r="PN127" s="564"/>
      <c r="PW127" s="482"/>
    </row>
    <row r="128" spans="12:439" ht="12.75" customHeight="1" x14ac:dyDescent="0.35">
      <c r="L128" s="655"/>
      <c r="Q128" s="578"/>
      <c r="R128" s="513">
        <v>1</v>
      </c>
      <c r="S128" s="1456" t="s">
        <v>5007</v>
      </c>
      <c r="T128" s="1457"/>
      <c r="U128" s="1457"/>
      <c r="V128" s="1457"/>
      <c r="W128" s="1457"/>
      <c r="X128" s="1457"/>
      <c r="Y128" s="1457"/>
      <c r="Z128" s="1457"/>
      <c r="AA128" s="1458"/>
      <c r="AB128" s="491"/>
      <c r="AC128" s="491"/>
      <c r="AD128" s="513">
        <v>1</v>
      </c>
      <c r="AE128" s="1456" t="s">
        <v>5007</v>
      </c>
      <c r="AF128" s="1457"/>
      <c r="AG128" s="1457"/>
      <c r="AH128" s="1457"/>
      <c r="AI128" s="1457"/>
      <c r="AJ128" s="1457"/>
      <c r="AK128" s="1457"/>
      <c r="AL128" s="1457"/>
      <c r="AM128" s="1458"/>
      <c r="AN128" s="491"/>
      <c r="AO128" s="491"/>
      <c r="AP128" s="513">
        <v>1</v>
      </c>
      <c r="AQ128" s="1456" t="s">
        <v>5007</v>
      </c>
      <c r="AR128" s="1457"/>
      <c r="AS128" s="1457"/>
      <c r="AT128" s="1457"/>
      <c r="AU128" s="1457"/>
      <c r="AV128" s="1457"/>
      <c r="AW128" s="1457"/>
      <c r="AX128" s="1457"/>
      <c r="AY128" s="1458"/>
      <c r="AZ128" s="564"/>
      <c r="BD128" s="578"/>
      <c r="BE128" s="491"/>
      <c r="BF128" s="491"/>
      <c r="BG128" s="491"/>
      <c r="BH128" s="491"/>
      <c r="BI128" s="636"/>
      <c r="BJ128" s="556"/>
      <c r="BK128" s="556"/>
      <c r="BL128" s="556"/>
      <c r="BM128" s="556"/>
      <c r="BN128" s="556"/>
      <c r="BO128" s="526"/>
      <c r="BP128" s="491"/>
      <c r="BQ128" s="717"/>
      <c r="BR128" s="717"/>
      <c r="BS128" s="717"/>
      <c r="BT128" s="717"/>
      <c r="BU128" s="636"/>
      <c r="BV128" s="491"/>
      <c r="BW128" s="491"/>
      <c r="BX128" s="491"/>
      <c r="BY128" s="491"/>
      <c r="BZ128" s="491"/>
      <c r="CA128" s="564"/>
      <c r="CE128" s="578"/>
      <c r="CF128" s="513">
        <v>1</v>
      </c>
      <c r="CG128" s="1456" t="s">
        <v>5173</v>
      </c>
      <c r="CH128" s="1457"/>
      <c r="CI128" s="1457"/>
      <c r="CJ128" s="1457"/>
      <c r="CK128" s="1457"/>
      <c r="CL128" s="1457"/>
      <c r="CM128" s="1457"/>
      <c r="CN128" s="1457"/>
      <c r="CO128" s="1458"/>
      <c r="CP128" s="491"/>
      <c r="CQ128" s="491"/>
      <c r="CR128" s="513">
        <v>1</v>
      </c>
      <c r="CS128" s="1456" t="s">
        <v>5007</v>
      </c>
      <c r="CT128" s="1457"/>
      <c r="CU128" s="1457"/>
      <c r="CV128" s="1457"/>
      <c r="CW128" s="1457"/>
      <c r="CX128" s="1457"/>
      <c r="CY128" s="1457"/>
      <c r="CZ128" s="1457"/>
      <c r="DA128" s="1458"/>
      <c r="DB128" s="491"/>
      <c r="DC128" s="491"/>
      <c r="DD128" s="513">
        <v>1</v>
      </c>
      <c r="DE128" s="1456" t="s">
        <v>5179</v>
      </c>
      <c r="DF128" s="1457"/>
      <c r="DG128" s="1457"/>
      <c r="DH128" s="1457"/>
      <c r="DI128" s="1457"/>
      <c r="DJ128" s="1457"/>
      <c r="DK128" s="1457"/>
      <c r="DL128" s="1457"/>
      <c r="DM128" s="1458"/>
      <c r="DN128" s="564"/>
      <c r="DR128" s="578"/>
      <c r="DS128" s="491"/>
      <c r="DT128" s="491"/>
      <c r="DU128" s="491"/>
      <c r="DV128" s="491"/>
      <c r="DW128" s="491"/>
      <c r="DX128" s="491"/>
      <c r="DY128" s="1450" t="s">
        <v>5208</v>
      </c>
      <c r="DZ128" s="1451"/>
      <c r="EA128" s="1451"/>
      <c r="EB128" s="1451"/>
      <c r="EC128" s="1451"/>
      <c r="ED128" s="1451"/>
      <c r="EE128" s="1451"/>
      <c r="EF128" s="1451"/>
      <c r="EG128" s="1451"/>
      <c r="EH128" s="1452"/>
      <c r="EI128" s="491"/>
      <c r="EJ128" s="491"/>
      <c r="EK128" s="491"/>
      <c r="EL128" s="491"/>
      <c r="EM128" s="491"/>
      <c r="EN128" s="491"/>
      <c r="EO128" s="564"/>
      <c r="ES128" s="578"/>
      <c r="ET128" s="491"/>
      <c r="EU128" s="491"/>
      <c r="EV128" s="513">
        <v>1</v>
      </c>
      <c r="EW128" s="1469" t="s">
        <v>5183</v>
      </c>
      <c r="EX128" s="1469"/>
      <c r="EY128" s="1469"/>
      <c r="EZ128" s="1469"/>
      <c r="FA128" s="1469"/>
      <c r="FB128" s="1469"/>
      <c r="FC128" s="1469"/>
      <c r="FD128" s="1469"/>
      <c r="FE128" s="1469"/>
      <c r="FF128" s="491"/>
      <c r="FG128" s="491"/>
      <c r="FH128" s="491"/>
      <c r="FI128" s="513">
        <v>1</v>
      </c>
      <c r="FJ128" s="1469" t="s">
        <v>183</v>
      </c>
      <c r="FK128" s="1469"/>
      <c r="FL128" s="1469"/>
      <c r="FM128" s="1469"/>
      <c r="FN128" s="1469"/>
      <c r="FO128" s="1469"/>
      <c r="FP128" s="1469"/>
      <c r="FQ128" s="1469"/>
      <c r="FR128" s="1469"/>
      <c r="FS128" s="491"/>
      <c r="FT128" s="491"/>
      <c r="FU128" s="491"/>
      <c r="FV128" s="491"/>
      <c r="FW128" s="564"/>
      <c r="FZ128" s="578"/>
      <c r="GA128" s="718">
        <v>1</v>
      </c>
      <c r="GB128" s="1567" t="s">
        <v>5165</v>
      </c>
      <c r="GC128" s="1568"/>
      <c r="GD128" s="1568"/>
      <c r="GE128" s="1568"/>
      <c r="GF128" s="1568"/>
      <c r="GG128" s="1568"/>
      <c r="GH128" s="1568"/>
      <c r="GI128" s="1568"/>
      <c r="GJ128" s="1569"/>
      <c r="GK128" s="704"/>
      <c r="GL128" s="704"/>
      <c r="GM128" s="710">
        <v>1</v>
      </c>
      <c r="GN128" s="1567" t="s">
        <v>5165</v>
      </c>
      <c r="GO128" s="1568"/>
      <c r="GP128" s="1568"/>
      <c r="GQ128" s="1568"/>
      <c r="GR128" s="1568"/>
      <c r="GS128" s="1568"/>
      <c r="GT128" s="1568"/>
      <c r="GU128" s="1568"/>
      <c r="GV128" s="1569"/>
      <c r="GW128" s="1564"/>
      <c r="GX128" s="1565"/>
      <c r="GY128" s="1566"/>
      <c r="GZ128" s="710">
        <v>1</v>
      </c>
      <c r="HA128" s="1567" t="s">
        <v>5165</v>
      </c>
      <c r="HB128" s="1568"/>
      <c r="HC128" s="1568"/>
      <c r="HD128" s="1568"/>
      <c r="HE128" s="1568"/>
      <c r="HF128" s="1568"/>
      <c r="HG128" s="1568"/>
      <c r="HH128" s="1568"/>
      <c r="HI128" s="1569"/>
      <c r="HJ128" s="1564"/>
      <c r="HK128" s="1565"/>
      <c r="HL128" s="1566"/>
      <c r="HM128" s="710">
        <v>1</v>
      </c>
      <c r="HN128" s="1567" t="s">
        <v>5165</v>
      </c>
      <c r="HO128" s="1568"/>
      <c r="HP128" s="1568"/>
      <c r="HQ128" s="1568"/>
      <c r="HR128" s="1568"/>
      <c r="HS128" s="1568"/>
      <c r="HT128" s="1568"/>
      <c r="HU128" s="1568"/>
      <c r="HV128" s="1569"/>
      <c r="HW128" s="1564"/>
      <c r="HX128" s="1565"/>
      <c r="HY128" s="1566"/>
      <c r="HZ128" s="710">
        <v>1</v>
      </c>
      <c r="IA128" s="1567" t="s">
        <v>5165</v>
      </c>
      <c r="IB128" s="1568"/>
      <c r="IC128" s="1568"/>
      <c r="ID128" s="1568"/>
      <c r="IE128" s="1568"/>
      <c r="IF128" s="1568"/>
      <c r="IG128" s="1568"/>
      <c r="IH128" s="1568"/>
      <c r="II128" s="1569"/>
      <c r="IJ128" s="1564"/>
      <c r="IK128" s="1566"/>
      <c r="IL128" s="710">
        <v>1</v>
      </c>
      <c r="IM128" s="1567" t="s">
        <v>5165</v>
      </c>
      <c r="IN128" s="1568"/>
      <c r="IO128" s="1568"/>
      <c r="IP128" s="1568"/>
      <c r="IQ128" s="1568"/>
      <c r="IR128" s="1568"/>
      <c r="IS128" s="1568"/>
      <c r="IT128" s="1568"/>
      <c r="IU128" s="1569"/>
      <c r="IV128" s="564"/>
      <c r="IZ128" s="578"/>
      <c r="JA128" s="1583" t="s">
        <v>131</v>
      </c>
      <c r="JB128" s="1584"/>
      <c r="JC128" s="1584"/>
      <c r="JD128" s="1584"/>
      <c r="JE128" s="1584"/>
      <c r="JF128" s="1584"/>
      <c r="JG128" s="1584"/>
      <c r="JH128" s="1584"/>
      <c r="JI128" s="1584"/>
      <c r="JJ128" s="1585"/>
      <c r="JK128" s="632"/>
      <c r="JL128" s="1447" t="s">
        <v>5209</v>
      </c>
      <c r="JM128" s="1448"/>
      <c r="JN128" s="1448"/>
      <c r="JO128" s="1448"/>
      <c r="JP128" s="1448"/>
      <c r="JQ128" s="1448"/>
      <c r="JR128" s="1448"/>
      <c r="JS128" s="1448"/>
      <c r="JT128" s="1448"/>
      <c r="JU128" s="1449"/>
      <c r="JV128" s="491"/>
      <c r="JW128" s="1447" t="s">
        <v>5210</v>
      </c>
      <c r="JX128" s="1448"/>
      <c r="JY128" s="1448"/>
      <c r="JZ128" s="1448"/>
      <c r="KA128" s="1448"/>
      <c r="KB128" s="1448"/>
      <c r="KC128" s="1448"/>
      <c r="KD128" s="1448"/>
      <c r="KE128" s="1448"/>
      <c r="KF128" s="1449"/>
      <c r="KG128" s="491"/>
      <c r="KH128" s="1450" t="s">
        <v>5211</v>
      </c>
      <c r="KI128" s="1451"/>
      <c r="KJ128" s="1451"/>
      <c r="KK128" s="1451"/>
      <c r="KL128" s="1451"/>
      <c r="KM128" s="1451"/>
      <c r="KN128" s="1451"/>
      <c r="KO128" s="1451"/>
      <c r="KP128" s="1451"/>
      <c r="KQ128" s="1452"/>
      <c r="KR128" s="491"/>
      <c r="KS128" s="1447" t="s">
        <v>5212</v>
      </c>
      <c r="KT128" s="1448"/>
      <c r="KU128" s="1448"/>
      <c r="KV128" s="1448"/>
      <c r="KW128" s="1448"/>
      <c r="KX128" s="1448"/>
      <c r="KY128" s="1448"/>
      <c r="KZ128" s="1448"/>
      <c r="LA128" s="1448"/>
      <c r="LB128" s="1449"/>
      <c r="LC128" s="491"/>
      <c r="LD128" s="1447" t="s">
        <v>5213</v>
      </c>
      <c r="LE128" s="1448"/>
      <c r="LF128" s="1448"/>
      <c r="LG128" s="1448"/>
      <c r="LH128" s="1448"/>
      <c r="LI128" s="1448"/>
      <c r="LJ128" s="1448"/>
      <c r="LK128" s="1448"/>
      <c r="LL128" s="1448"/>
      <c r="LM128" s="1449"/>
      <c r="LN128" s="491"/>
      <c r="LO128" s="1485" t="s">
        <v>2967</v>
      </c>
      <c r="LP128" s="1486"/>
      <c r="LQ128" s="1486"/>
      <c r="LR128" s="1486"/>
      <c r="LS128" s="1486"/>
      <c r="LT128" s="1486"/>
      <c r="LU128" s="1486"/>
      <c r="LV128" s="1486"/>
      <c r="LW128" s="1486"/>
      <c r="LX128" s="1487"/>
      <c r="LY128" s="491"/>
      <c r="LZ128" s="1472" t="s">
        <v>2539</v>
      </c>
      <c r="MA128" s="1472"/>
      <c r="MB128" s="1472"/>
      <c r="MC128" s="1472"/>
      <c r="MD128" s="1472"/>
      <c r="ME128" s="1472"/>
      <c r="MF128" s="1472"/>
      <c r="MG128" s="1472"/>
      <c r="MH128" s="1472"/>
      <c r="MI128" s="1472"/>
      <c r="MJ128" s="564"/>
      <c r="MN128" s="578"/>
      <c r="MO128" s="491"/>
      <c r="MP128" s="513">
        <v>1</v>
      </c>
      <c r="MQ128" s="1469" t="s">
        <v>5052</v>
      </c>
      <c r="MR128" s="1469"/>
      <c r="MS128" s="1469"/>
      <c r="MT128" s="1469"/>
      <c r="MU128" s="1469"/>
      <c r="MV128" s="1469"/>
      <c r="MW128" s="1469"/>
      <c r="MX128" s="1469"/>
      <c r="MY128" s="1469"/>
      <c r="MZ128" s="491"/>
      <c r="NA128" s="491"/>
      <c r="NB128" s="491"/>
      <c r="NC128" s="513">
        <v>1</v>
      </c>
      <c r="ND128" s="1469" t="s">
        <v>5052</v>
      </c>
      <c r="NE128" s="1469"/>
      <c r="NF128" s="1469"/>
      <c r="NG128" s="1469"/>
      <c r="NH128" s="1469"/>
      <c r="NI128" s="1469"/>
      <c r="NJ128" s="1469"/>
      <c r="NK128" s="1469"/>
      <c r="NL128" s="1469"/>
      <c r="NM128" s="491"/>
      <c r="NN128" s="491"/>
      <c r="NO128" s="491"/>
      <c r="NP128" s="507"/>
      <c r="NQ128" s="1520"/>
      <c r="NR128" s="1520"/>
      <c r="NS128" s="1520"/>
      <c r="NT128" s="1520"/>
      <c r="NU128" s="1520"/>
      <c r="NV128" s="1520"/>
      <c r="NW128" s="1520"/>
      <c r="NX128" s="1520"/>
      <c r="NY128" s="1520"/>
      <c r="NZ128" s="491"/>
      <c r="OA128" s="491"/>
      <c r="OB128" s="491"/>
      <c r="OC128" s="513">
        <v>1</v>
      </c>
      <c r="OD128" s="1469" t="s">
        <v>5052</v>
      </c>
      <c r="OE128" s="1469"/>
      <c r="OF128" s="1469"/>
      <c r="OG128" s="1469"/>
      <c r="OH128" s="1469"/>
      <c r="OI128" s="1469"/>
      <c r="OJ128" s="1469"/>
      <c r="OK128" s="1469"/>
      <c r="OL128" s="1469"/>
      <c r="OM128" s="491"/>
      <c r="ON128" s="491"/>
      <c r="OO128" s="491"/>
      <c r="OP128" s="513">
        <v>1</v>
      </c>
      <c r="OQ128" s="1469" t="s">
        <v>5040</v>
      </c>
      <c r="OR128" s="1469"/>
      <c r="OS128" s="1469"/>
      <c r="OT128" s="1469"/>
      <c r="OU128" s="1469"/>
      <c r="OV128" s="1469"/>
      <c r="OW128" s="1469"/>
      <c r="OX128" s="1469"/>
      <c r="OY128" s="1469"/>
      <c r="OZ128" s="491"/>
      <c r="PA128" s="491"/>
      <c r="PB128" s="491"/>
      <c r="PC128" s="513">
        <v>1</v>
      </c>
      <c r="PD128" s="1469" t="s">
        <v>5052</v>
      </c>
      <c r="PE128" s="1469"/>
      <c r="PF128" s="1469"/>
      <c r="PG128" s="1469"/>
      <c r="PH128" s="1469"/>
      <c r="PI128" s="1469"/>
      <c r="PJ128" s="1469"/>
      <c r="PK128" s="1469"/>
      <c r="PL128" s="1469"/>
      <c r="PM128" s="491"/>
      <c r="PN128" s="564"/>
      <c r="PW128" s="482"/>
    </row>
    <row r="129" spans="11:544" ht="12.75" customHeight="1" x14ac:dyDescent="0.35">
      <c r="L129" s="655"/>
      <c r="Q129" s="578"/>
      <c r="R129" s="1447" t="s">
        <v>3510</v>
      </c>
      <c r="S129" s="1448"/>
      <c r="T129" s="1448"/>
      <c r="U129" s="1448"/>
      <c r="V129" s="1448"/>
      <c r="W129" s="1448"/>
      <c r="X129" s="1448"/>
      <c r="Y129" s="1448"/>
      <c r="Z129" s="1448"/>
      <c r="AA129" s="1449"/>
      <c r="AB129" s="491"/>
      <c r="AC129" s="491"/>
      <c r="AD129" s="1447" t="s">
        <v>5214</v>
      </c>
      <c r="AE129" s="1448"/>
      <c r="AF129" s="1448"/>
      <c r="AG129" s="1448"/>
      <c r="AH129" s="1448"/>
      <c r="AI129" s="1448"/>
      <c r="AJ129" s="1448"/>
      <c r="AK129" s="1448"/>
      <c r="AL129" s="1448"/>
      <c r="AM129" s="1449"/>
      <c r="AN129" s="491"/>
      <c r="AO129" s="491"/>
      <c r="AP129" s="1447" t="s">
        <v>4652</v>
      </c>
      <c r="AQ129" s="1448"/>
      <c r="AR129" s="1448"/>
      <c r="AS129" s="1448"/>
      <c r="AT129" s="1448"/>
      <c r="AU129" s="1448"/>
      <c r="AV129" s="1448"/>
      <c r="AW129" s="1448"/>
      <c r="AX129" s="1448"/>
      <c r="AY129" s="1449"/>
      <c r="AZ129" s="564"/>
      <c r="BD129" s="578"/>
      <c r="BE129" s="513">
        <v>1</v>
      </c>
      <c r="BF129" s="1456" t="s">
        <v>5171</v>
      </c>
      <c r="BG129" s="1457"/>
      <c r="BH129" s="1457"/>
      <c r="BI129" s="1457"/>
      <c r="BJ129" s="1457"/>
      <c r="BK129" s="1457"/>
      <c r="BL129" s="1457"/>
      <c r="BM129" s="1457"/>
      <c r="BN129" s="1458"/>
      <c r="BO129" s="719"/>
      <c r="BP129" s="519"/>
      <c r="BQ129" s="513">
        <v>1</v>
      </c>
      <c r="BR129" s="1456" t="s">
        <v>5171</v>
      </c>
      <c r="BS129" s="1457"/>
      <c r="BT129" s="1457"/>
      <c r="BU129" s="1457"/>
      <c r="BV129" s="1457"/>
      <c r="BW129" s="1457"/>
      <c r="BX129" s="1457"/>
      <c r="BY129" s="1457"/>
      <c r="BZ129" s="1458"/>
      <c r="CA129" s="564"/>
      <c r="CE129" s="578"/>
      <c r="CF129" s="1583" t="s">
        <v>177</v>
      </c>
      <c r="CG129" s="1584"/>
      <c r="CH129" s="1584"/>
      <c r="CI129" s="1584"/>
      <c r="CJ129" s="1584"/>
      <c r="CK129" s="1584"/>
      <c r="CL129" s="1584"/>
      <c r="CM129" s="1584"/>
      <c r="CN129" s="1584"/>
      <c r="CO129" s="1585"/>
      <c r="CP129" s="491"/>
      <c r="CQ129" s="491"/>
      <c r="CR129" s="1583" t="s">
        <v>131</v>
      </c>
      <c r="CS129" s="1584"/>
      <c r="CT129" s="1584"/>
      <c r="CU129" s="1584"/>
      <c r="CV129" s="1584"/>
      <c r="CW129" s="1584"/>
      <c r="CX129" s="1584"/>
      <c r="CY129" s="1584"/>
      <c r="CZ129" s="1584"/>
      <c r="DA129" s="1585"/>
      <c r="DB129" s="491"/>
      <c r="DC129" s="491"/>
      <c r="DD129" s="1447" t="s">
        <v>2168</v>
      </c>
      <c r="DE129" s="1448"/>
      <c r="DF129" s="1448"/>
      <c r="DG129" s="1448"/>
      <c r="DH129" s="1448"/>
      <c r="DI129" s="1448"/>
      <c r="DJ129" s="1448"/>
      <c r="DK129" s="1448"/>
      <c r="DL129" s="1448"/>
      <c r="DM129" s="1449"/>
      <c r="DN129" s="564"/>
      <c r="DR129" s="578"/>
      <c r="DS129" s="491"/>
      <c r="DT129" s="491"/>
      <c r="DU129" s="491"/>
      <c r="DV129" s="491"/>
      <c r="DW129" s="491"/>
      <c r="DX129" s="491"/>
      <c r="DY129" s="513">
        <v>1</v>
      </c>
      <c r="DZ129" s="1456" t="s">
        <v>5179</v>
      </c>
      <c r="EA129" s="1457"/>
      <c r="EB129" s="1457"/>
      <c r="EC129" s="1457"/>
      <c r="ED129" s="1457"/>
      <c r="EE129" s="1457"/>
      <c r="EF129" s="1457"/>
      <c r="EG129" s="1457"/>
      <c r="EH129" s="1458"/>
      <c r="EI129" s="491"/>
      <c r="EJ129" s="491"/>
      <c r="EK129" s="491"/>
      <c r="EL129" s="491"/>
      <c r="EM129" s="491"/>
      <c r="EN129" s="491"/>
      <c r="EO129" s="564"/>
      <c r="ES129" s="578"/>
      <c r="ET129" s="491"/>
      <c r="EU129" s="491"/>
      <c r="EV129" s="1570" t="s">
        <v>3443</v>
      </c>
      <c r="EW129" s="1570"/>
      <c r="EX129" s="1570"/>
      <c r="EY129" s="1570"/>
      <c r="EZ129" s="1570"/>
      <c r="FA129" s="1570"/>
      <c r="FB129" s="1570"/>
      <c r="FC129" s="1570"/>
      <c r="FD129" s="1570"/>
      <c r="FE129" s="1570"/>
      <c r="FF129" s="491"/>
      <c r="FG129" s="491"/>
      <c r="FH129" s="491"/>
      <c r="FI129" s="1472" t="s">
        <v>5215</v>
      </c>
      <c r="FJ129" s="1472"/>
      <c r="FK129" s="1472"/>
      <c r="FL129" s="1472"/>
      <c r="FM129" s="1472"/>
      <c r="FN129" s="1472"/>
      <c r="FO129" s="1472"/>
      <c r="FP129" s="1472"/>
      <c r="FQ129" s="1472"/>
      <c r="FR129" s="1472"/>
      <c r="FS129" s="491"/>
      <c r="FT129" s="491"/>
      <c r="FU129" s="491"/>
      <c r="FV129" s="491"/>
      <c r="FW129" s="564"/>
      <c r="FZ129" s="578"/>
      <c r="GA129" s="1571" t="s">
        <v>131</v>
      </c>
      <c r="GB129" s="1572"/>
      <c r="GC129" s="1572"/>
      <c r="GD129" s="1572"/>
      <c r="GE129" s="1572"/>
      <c r="GF129" s="1572"/>
      <c r="GG129" s="1572"/>
      <c r="GH129" s="1572"/>
      <c r="GI129" s="1572"/>
      <c r="GJ129" s="1573"/>
      <c r="GK129" s="704"/>
      <c r="GL129" s="704"/>
      <c r="GM129" s="1450" t="s">
        <v>1733</v>
      </c>
      <c r="GN129" s="1451"/>
      <c r="GO129" s="1451"/>
      <c r="GP129" s="1451"/>
      <c r="GQ129" s="1451"/>
      <c r="GR129" s="1451"/>
      <c r="GS129" s="1451"/>
      <c r="GT129" s="1451"/>
      <c r="GU129" s="1451"/>
      <c r="GV129" s="1452"/>
      <c r="GW129" s="1564"/>
      <c r="GX129" s="1565"/>
      <c r="GY129" s="1566"/>
      <c r="GZ129" s="1450" t="s">
        <v>2307</v>
      </c>
      <c r="HA129" s="1451"/>
      <c r="HB129" s="1451"/>
      <c r="HC129" s="1451"/>
      <c r="HD129" s="1451"/>
      <c r="HE129" s="1451"/>
      <c r="HF129" s="1451"/>
      <c r="HG129" s="1451"/>
      <c r="HH129" s="1451"/>
      <c r="HI129" s="1452"/>
      <c r="HJ129" s="1564"/>
      <c r="HK129" s="1565"/>
      <c r="HL129" s="1566"/>
      <c r="HM129" s="1450" t="s">
        <v>1336</v>
      </c>
      <c r="HN129" s="1451"/>
      <c r="HO129" s="1451"/>
      <c r="HP129" s="1451"/>
      <c r="HQ129" s="1451"/>
      <c r="HR129" s="1451"/>
      <c r="HS129" s="1451"/>
      <c r="HT129" s="1451"/>
      <c r="HU129" s="1451"/>
      <c r="HV129" s="1452"/>
      <c r="HW129" s="1564"/>
      <c r="HX129" s="1565"/>
      <c r="HY129" s="1566"/>
      <c r="HZ129" s="1450" t="s">
        <v>5216</v>
      </c>
      <c r="IA129" s="1451"/>
      <c r="IB129" s="1451"/>
      <c r="IC129" s="1451"/>
      <c r="ID129" s="1451"/>
      <c r="IE129" s="1451"/>
      <c r="IF129" s="1451"/>
      <c r="IG129" s="1451"/>
      <c r="IH129" s="1451"/>
      <c r="II129" s="1452"/>
      <c r="IJ129" s="1564"/>
      <c r="IK129" s="1566"/>
      <c r="IL129" s="1450" t="s">
        <v>1824</v>
      </c>
      <c r="IM129" s="1451"/>
      <c r="IN129" s="1451"/>
      <c r="IO129" s="1451"/>
      <c r="IP129" s="1451"/>
      <c r="IQ129" s="1451"/>
      <c r="IR129" s="1451"/>
      <c r="IS129" s="1451"/>
      <c r="IT129" s="1451"/>
      <c r="IU129" s="1452"/>
      <c r="IV129" s="564"/>
      <c r="IZ129" s="578"/>
      <c r="JA129" s="513">
        <v>1</v>
      </c>
      <c r="JB129" s="1456" t="s">
        <v>4762</v>
      </c>
      <c r="JC129" s="1457"/>
      <c r="JD129" s="1457"/>
      <c r="JE129" s="1457"/>
      <c r="JF129" s="1457"/>
      <c r="JG129" s="1457"/>
      <c r="JH129" s="1457"/>
      <c r="JI129" s="1457"/>
      <c r="JJ129" s="1458"/>
      <c r="JK129" s="632"/>
      <c r="JL129" s="615">
        <v>1</v>
      </c>
      <c r="JM129" s="1479" t="s">
        <v>4768</v>
      </c>
      <c r="JN129" s="1480"/>
      <c r="JO129" s="1480"/>
      <c r="JP129" s="1480"/>
      <c r="JQ129" s="1480"/>
      <c r="JR129" s="1480"/>
      <c r="JS129" s="1480"/>
      <c r="JT129" s="1480"/>
      <c r="JU129" s="1481"/>
      <c r="JV129" s="491"/>
      <c r="JW129" s="513">
        <v>1</v>
      </c>
      <c r="JX129" s="1456" t="s">
        <v>4768</v>
      </c>
      <c r="JY129" s="1457"/>
      <c r="JZ129" s="1457"/>
      <c r="KA129" s="1457"/>
      <c r="KB129" s="1457"/>
      <c r="KC129" s="1457"/>
      <c r="KD129" s="1457"/>
      <c r="KE129" s="1457"/>
      <c r="KF129" s="1458"/>
      <c r="KG129" s="491"/>
      <c r="KH129" s="513">
        <v>1</v>
      </c>
      <c r="KI129" s="1579" t="s">
        <v>5217</v>
      </c>
      <c r="KJ129" s="1580"/>
      <c r="KK129" s="1580"/>
      <c r="KL129" s="1580"/>
      <c r="KM129" s="1580"/>
      <c r="KN129" s="1580"/>
      <c r="KO129" s="1580"/>
      <c r="KP129" s="1580"/>
      <c r="KQ129" s="1581"/>
      <c r="KR129" s="491"/>
      <c r="KS129" s="513">
        <v>1</v>
      </c>
      <c r="KT129" s="1456" t="s">
        <v>4933</v>
      </c>
      <c r="KU129" s="1457"/>
      <c r="KV129" s="1457"/>
      <c r="KW129" s="1457"/>
      <c r="KX129" s="1457"/>
      <c r="KY129" s="1457"/>
      <c r="KZ129" s="1457"/>
      <c r="LA129" s="1457"/>
      <c r="LB129" s="1458"/>
      <c r="LC129" s="491"/>
      <c r="LD129" s="491"/>
      <c r="LE129" s="491"/>
      <c r="LF129" s="491"/>
      <c r="LG129" s="491"/>
      <c r="LH129" s="491"/>
      <c r="LI129" s="491"/>
      <c r="LJ129" s="491"/>
      <c r="LK129" s="491"/>
      <c r="LL129" s="491"/>
      <c r="LM129" s="491"/>
      <c r="LN129" s="491"/>
      <c r="LO129" s="513">
        <v>1</v>
      </c>
      <c r="LP129" s="1456" t="s">
        <v>5203</v>
      </c>
      <c r="LQ129" s="1457"/>
      <c r="LR129" s="1457"/>
      <c r="LS129" s="1457"/>
      <c r="LT129" s="1457"/>
      <c r="LU129" s="1457"/>
      <c r="LV129" s="1457"/>
      <c r="LW129" s="1457"/>
      <c r="LX129" s="1458"/>
      <c r="LY129" s="491"/>
      <c r="LZ129" s="513">
        <v>1</v>
      </c>
      <c r="MA129" s="1579" t="s">
        <v>4762</v>
      </c>
      <c r="MB129" s="1580"/>
      <c r="MC129" s="1580"/>
      <c r="MD129" s="1580"/>
      <c r="ME129" s="1580"/>
      <c r="MF129" s="1580"/>
      <c r="MG129" s="1580"/>
      <c r="MH129" s="1580"/>
      <c r="MI129" s="1581"/>
      <c r="MJ129" s="564"/>
      <c r="MN129" s="578"/>
      <c r="MO129" s="491"/>
      <c r="MP129" s="1561" t="s">
        <v>1167</v>
      </c>
      <c r="MQ129" s="1561"/>
      <c r="MR129" s="1561"/>
      <c r="MS129" s="1561"/>
      <c r="MT129" s="1561"/>
      <c r="MU129" s="1561"/>
      <c r="MV129" s="1561"/>
      <c r="MW129" s="1561"/>
      <c r="MX129" s="1561"/>
      <c r="MY129" s="1561"/>
      <c r="MZ129" s="491"/>
      <c r="NA129" s="491"/>
      <c r="NB129" s="491"/>
      <c r="NC129" s="1561" t="s">
        <v>5218</v>
      </c>
      <c r="ND129" s="1561"/>
      <c r="NE129" s="1561"/>
      <c r="NF129" s="1561"/>
      <c r="NG129" s="1561"/>
      <c r="NH129" s="1561"/>
      <c r="NI129" s="1561"/>
      <c r="NJ129" s="1561"/>
      <c r="NK129" s="1561"/>
      <c r="NL129" s="1561"/>
      <c r="NM129" s="491"/>
      <c r="NN129" s="491"/>
      <c r="NO129" s="491"/>
      <c r="NP129" s="1529"/>
      <c r="NQ129" s="1529"/>
      <c r="NR129" s="1529"/>
      <c r="NS129" s="1529"/>
      <c r="NT129" s="1529"/>
      <c r="NU129" s="1529"/>
      <c r="NV129" s="1529"/>
      <c r="NW129" s="1529"/>
      <c r="NX129" s="1529"/>
      <c r="NY129" s="1529"/>
      <c r="NZ129" s="491"/>
      <c r="OA129" s="491"/>
      <c r="OB129" s="491"/>
      <c r="OC129" s="1561" t="s">
        <v>4128</v>
      </c>
      <c r="OD129" s="1561"/>
      <c r="OE129" s="1561"/>
      <c r="OF129" s="1561"/>
      <c r="OG129" s="1561"/>
      <c r="OH129" s="1561"/>
      <c r="OI129" s="1561"/>
      <c r="OJ129" s="1561"/>
      <c r="OK129" s="1561"/>
      <c r="OL129" s="1561"/>
      <c r="OM129" s="491"/>
      <c r="ON129" s="491"/>
      <c r="OO129" s="491"/>
      <c r="OP129" s="1586" t="s">
        <v>3580</v>
      </c>
      <c r="OQ129" s="1518" t="s">
        <v>4873</v>
      </c>
      <c r="OR129" s="1518"/>
      <c r="OS129" s="1518"/>
      <c r="OT129" s="1518"/>
      <c r="OU129" s="1518"/>
      <c r="OV129" s="1518"/>
      <c r="OW129" s="1518"/>
      <c r="OX129" s="1518"/>
      <c r="OY129" s="1518"/>
      <c r="OZ129" s="491"/>
      <c r="PA129" s="491"/>
      <c r="PB129" s="491"/>
      <c r="PC129" s="1561" t="s">
        <v>5219</v>
      </c>
      <c r="PD129" s="1561"/>
      <c r="PE129" s="1561"/>
      <c r="PF129" s="1561"/>
      <c r="PG129" s="1561"/>
      <c r="PH129" s="1561"/>
      <c r="PI129" s="1561"/>
      <c r="PJ129" s="1561"/>
      <c r="PK129" s="1561"/>
      <c r="PL129" s="1561"/>
      <c r="PM129" s="491"/>
      <c r="PN129" s="564"/>
      <c r="PW129" s="482"/>
    </row>
    <row r="130" spans="11:544" ht="12.75" customHeight="1" x14ac:dyDescent="0.35">
      <c r="L130" s="655"/>
      <c r="Q130" s="578"/>
      <c r="R130" s="513">
        <v>1</v>
      </c>
      <c r="S130" s="1456" t="s">
        <v>5007</v>
      </c>
      <c r="T130" s="1457"/>
      <c r="U130" s="1457"/>
      <c r="V130" s="1457"/>
      <c r="W130" s="1457"/>
      <c r="X130" s="1457"/>
      <c r="Y130" s="1457"/>
      <c r="Z130" s="1457"/>
      <c r="AA130" s="1458"/>
      <c r="AB130" s="491"/>
      <c r="AC130" s="491"/>
      <c r="AD130" s="513">
        <v>1</v>
      </c>
      <c r="AE130" s="1456" t="s">
        <v>5220</v>
      </c>
      <c r="AF130" s="1457"/>
      <c r="AG130" s="1457"/>
      <c r="AH130" s="1457"/>
      <c r="AI130" s="1457"/>
      <c r="AJ130" s="1457"/>
      <c r="AK130" s="1457"/>
      <c r="AL130" s="1457"/>
      <c r="AM130" s="1458"/>
      <c r="AN130" s="491"/>
      <c r="AO130" s="491"/>
      <c r="AP130" s="513">
        <v>1</v>
      </c>
      <c r="AQ130" s="1456" t="s">
        <v>5007</v>
      </c>
      <c r="AR130" s="1457"/>
      <c r="AS130" s="1457"/>
      <c r="AT130" s="1457"/>
      <c r="AU130" s="1457"/>
      <c r="AV130" s="1457"/>
      <c r="AW130" s="1457"/>
      <c r="AX130" s="1457"/>
      <c r="AY130" s="1458"/>
      <c r="AZ130" s="564"/>
      <c r="BD130" s="578"/>
      <c r="BE130" s="1447" t="s">
        <v>5221</v>
      </c>
      <c r="BF130" s="1448"/>
      <c r="BG130" s="1448"/>
      <c r="BH130" s="1448"/>
      <c r="BI130" s="1448"/>
      <c r="BJ130" s="1448"/>
      <c r="BK130" s="1448"/>
      <c r="BL130" s="1448"/>
      <c r="BM130" s="1448"/>
      <c r="BN130" s="1449"/>
      <c r="BO130" s="526"/>
      <c r="BP130" s="491"/>
      <c r="BQ130" s="1447" t="s">
        <v>5222</v>
      </c>
      <c r="BR130" s="1448"/>
      <c r="BS130" s="1448"/>
      <c r="BT130" s="1448"/>
      <c r="BU130" s="1448"/>
      <c r="BV130" s="1448"/>
      <c r="BW130" s="1448"/>
      <c r="BX130" s="1448"/>
      <c r="BY130" s="1448"/>
      <c r="BZ130" s="1449"/>
      <c r="CA130" s="564"/>
      <c r="CE130" s="578"/>
      <c r="CF130" s="513">
        <v>1</v>
      </c>
      <c r="CG130" s="1456" t="s">
        <v>5173</v>
      </c>
      <c r="CH130" s="1457"/>
      <c r="CI130" s="1457"/>
      <c r="CJ130" s="1457"/>
      <c r="CK130" s="1457"/>
      <c r="CL130" s="1457"/>
      <c r="CM130" s="1457"/>
      <c r="CN130" s="1457"/>
      <c r="CO130" s="1458"/>
      <c r="CP130" s="491"/>
      <c r="CQ130" s="491"/>
      <c r="CR130" s="513">
        <v>1</v>
      </c>
      <c r="CS130" s="1456" t="s">
        <v>5007</v>
      </c>
      <c r="CT130" s="1457"/>
      <c r="CU130" s="1457"/>
      <c r="CV130" s="1457"/>
      <c r="CW130" s="1457"/>
      <c r="CX130" s="1457"/>
      <c r="CY130" s="1457"/>
      <c r="CZ130" s="1457"/>
      <c r="DA130" s="1458"/>
      <c r="DB130" s="491"/>
      <c r="DC130" s="491"/>
      <c r="DD130" s="513">
        <v>1</v>
      </c>
      <c r="DE130" s="1456" t="s">
        <v>5223</v>
      </c>
      <c r="DF130" s="1457"/>
      <c r="DG130" s="1457"/>
      <c r="DH130" s="1457"/>
      <c r="DI130" s="1457"/>
      <c r="DJ130" s="1457"/>
      <c r="DK130" s="1457"/>
      <c r="DL130" s="1457"/>
      <c r="DM130" s="1458"/>
      <c r="DN130" s="564"/>
      <c r="DR130" s="578"/>
      <c r="DS130" s="491"/>
      <c r="DT130" s="491"/>
      <c r="DU130" s="491"/>
      <c r="DV130" s="491"/>
      <c r="DW130" s="491"/>
      <c r="DX130" s="491"/>
      <c r="DY130" s="1447" t="s">
        <v>3262</v>
      </c>
      <c r="DZ130" s="1448"/>
      <c r="EA130" s="1448"/>
      <c r="EB130" s="1448"/>
      <c r="EC130" s="1448"/>
      <c r="ED130" s="1448"/>
      <c r="EE130" s="1448"/>
      <c r="EF130" s="1448"/>
      <c r="EG130" s="1448"/>
      <c r="EH130" s="1449"/>
      <c r="EI130" s="491"/>
      <c r="EJ130" s="491"/>
      <c r="EK130" s="491"/>
      <c r="EL130" s="491"/>
      <c r="EM130" s="491"/>
      <c r="EN130" s="491"/>
      <c r="EO130" s="564"/>
      <c r="ES130" s="578"/>
      <c r="ET130" s="491"/>
      <c r="EU130" s="491"/>
      <c r="EV130" s="720">
        <v>1</v>
      </c>
      <c r="EW130" s="1469" t="s">
        <v>5163</v>
      </c>
      <c r="EX130" s="1469"/>
      <c r="EY130" s="1469"/>
      <c r="EZ130" s="1469"/>
      <c r="FA130" s="1469"/>
      <c r="FB130" s="1469"/>
      <c r="FC130" s="1469"/>
      <c r="FD130" s="1469"/>
      <c r="FE130" s="1469"/>
      <c r="FF130" s="491"/>
      <c r="FG130" s="491"/>
      <c r="FH130" s="491"/>
      <c r="FI130" s="513">
        <v>1</v>
      </c>
      <c r="FJ130" s="1469" t="s">
        <v>183</v>
      </c>
      <c r="FK130" s="1469"/>
      <c r="FL130" s="1469"/>
      <c r="FM130" s="1469"/>
      <c r="FN130" s="1469"/>
      <c r="FO130" s="1469"/>
      <c r="FP130" s="1469"/>
      <c r="FQ130" s="1469"/>
      <c r="FR130" s="1469"/>
      <c r="FS130" s="491"/>
      <c r="FT130" s="491"/>
      <c r="FU130" s="491"/>
      <c r="FV130" s="491"/>
      <c r="FW130" s="564"/>
      <c r="FZ130" s="578"/>
      <c r="GA130" s="710">
        <v>1</v>
      </c>
      <c r="GB130" s="1567" t="s">
        <v>5165</v>
      </c>
      <c r="GC130" s="1568"/>
      <c r="GD130" s="1568"/>
      <c r="GE130" s="1568"/>
      <c r="GF130" s="1568"/>
      <c r="GG130" s="1568"/>
      <c r="GH130" s="1568"/>
      <c r="GI130" s="1568"/>
      <c r="GJ130" s="1569"/>
      <c r="GK130" s="704"/>
      <c r="GL130" s="704"/>
      <c r="GM130" s="710">
        <v>1</v>
      </c>
      <c r="GN130" s="1567" t="s">
        <v>5165</v>
      </c>
      <c r="GO130" s="1568"/>
      <c r="GP130" s="1568"/>
      <c r="GQ130" s="1568"/>
      <c r="GR130" s="1568"/>
      <c r="GS130" s="1568"/>
      <c r="GT130" s="1568"/>
      <c r="GU130" s="1568"/>
      <c r="GV130" s="1569"/>
      <c r="GW130" s="1564"/>
      <c r="GX130" s="1565"/>
      <c r="GY130" s="1566"/>
      <c r="GZ130" s="710">
        <v>1</v>
      </c>
      <c r="HA130" s="1567" t="s">
        <v>5165</v>
      </c>
      <c r="HB130" s="1568"/>
      <c r="HC130" s="1568"/>
      <c r="HD130" s="1568"/>
      <c r="HE130" s="1568"/>
      <c r="HF130" s="1568"/>
      <c r="HG130" s="1568"/>
      <c r="HH130" s="1568"/>
      <c r="HI130" s="1569"/>
      <c r="HJ130" s="1564"/>
      <c r="HK130" s="1565"/>
      <c r="HL130" s="1566"/>
      <c r="HM130" s="710">
        <v>1</v>
      </c>
      <c r="HN130" s="1567" t="s">
        <v>5165</v>
      </c>
      <c r="HO130" s="1568"/>
      <c r="HP130" s="1568"/>
      <c r="HQ130" s="1568"/>
      <c r="HR130" s="1568"/>
      <c r="HS130" s="1568"/>
      <c r="HT130" s="1568"/>
      <c r="HU130" s="1568"/>
      <c r="HV130" s="1569"/>
      <c r="HW130" s="1564"/>
      <c r="HX130" s="1565"/>
      <c r="HY130" s="1566"/>
      <c r="HZ130" s="710">
        <v>1</v>
      </c>
      <c r="IA130" s="1567" t="s">
        <v>5165</v>
      </c>
      <c r="IB130" s="1568"/>
      <c r="IC130" s="1568"/>
      <c r="ID130" s="1568"/>
      <c r="IE130" s="1568"/>
      <c r="IF130" s="1568"/>
      <c r="IG130" s="1568"/>
      <c r="IH130" s="1568"/>
      <c r="II130" s="1569"/>
      <c r="IJ130" s="1564"/>
      <c r="IK130" s="1566"/>
      <c r="IL130" s="710">
        <v>1</v>
      </c>
      <c r="IM130" s="1567" t="s">
        <v>5165</v>
      </c>
      <c r="IN130" s="1568"/>
      <c r="IO130" s="1568"/>
      <c r="IP130" s="1568"/>
      <c r="IQ130" s="1568"/>
      <c r="IR130" s="1568"/>
      <c r="IS130" s="1568"/>
      <c r="IT130" s="1568"/>
      <c r="IU130" s="1569"/>
      <c r="IV130" s="564"/>
      <c r="IZ130" s="578"/>
      <c r="JA130" s="1590" t="s">
        <v>131</v>
      </c>
      <c r="JB130" s="1591"/>
      <c r="JC130" s="1591"/>
      <c r="JD130" s="1591"/>
      <c r="JE130" s="1591"/>
      <c r="JF130" s="1591"/>
      <c r="JG130" s="1591"/>
      <c r="JH130" s="1591"/>
      <c r="JI130" s="1591"/>
      <c r="JJ130" s="1592"/>
      <c r="JK130" s="632"/>
      <c r="JL130" s="1447" t="s">
        <v>5224</v>
      </c>
      <c r="JM130" s="1448"/>
      <c r="JN130" s="1448"/>
      <c r="JO130" s="1448"/>
      <c r="JP130" s="1448"/>
      <c r="JQ130" s="1448"/>
      <c r="JR130" s="1448"/>
      <c r="JS130" s="1448"/>
      <c r="JT130" s="1448"/>
      <c r="JU130" s="1449"/>
      <c r="JV130" s="491"/>
      <c r="JW130" s="1530" t="s">
        <v>5225</v>
      </c>
      <c r="JX130" s="1531"/>
      <c r="JY130" s="1531"/>
      <c r="JZ130" s="1531"/>
      <c r="KA130" s="1531"/>
      <c r="KB130" s="1531"/>
      <c r="KC130" s="1531"/>
      <c r="KD130" s="1531"/>
      <c r="KE130" s="1531"/>
      <c r="KF130" s="1532"/>
      <c r="KG130" s="491"/>
      <c r="KH130" s="1593" t="s">
        <v>2744</v>
      </c>
      <c r="KI130" s="1584"/>
      <c r="KJ130" s="1584"/>
      <c r="KK130" s="1584"/>
      <c r="KL130" s="1584"/>
      <c r="KM130" s="1584"/>
      <c r="KN130" s="1584"/>
      <c r="KO130" s="1584"/>
      <c r="KP130" s="1584"/>
      <c r="KQ130" s="1585"/>
      <c r="KR130" s="491"/>
      <c r="KS130" s="1447" t="s">
        <v>5226</v>
      </c>
      <c r="KT130" s="1448"/>
      <c r="KU130" s="1448"/>
      <c r="KV130" s="1448"/>
      <c r="KW130" s="1448"/>
      <c r="KX130" s="1448"/>
      <c r="KY130" s="1448"/>
      <c r="KZ130" s="1448"/>
      <c r="LA130" s="1448"/>
      <c r="LB130" s="1449"/>
      <c r="LC130" s="491"/>
      <c r="LD130" s="491"/>
      <c r="LE130" s="491"/>
      <c r="LF130" s="491"/>
      <c r="LG130" s="491"/>
      <c r="LH130" s="491"/>
      <c r="LI130" s="491"/>
      <c r="LJ130" s="491"/>
      <c r="LK130" s="491"/>
      <c r="LL130" s="491"/>
      <c r="LM130" s="491"/>
      <c r="LN130" s="491"/>
      <c r="LO130" s="1590" t="s">
        <v>3682</v>
      </c>
      <c r="LP130" s="1591"/>
      <c r="LQ130" s="1591"/>
      <c r="LR130" s="1591"/>
      <c r="LS130" s="1591"/>
      <c r="LT130" s="1591"/>
      <c r="LU130" s="1591"/>
      <c r="LV130" s="1591"/>
      <c r="LW130" s="1591"/>
      <c r="LX130" s="1592"/>
      <c r="LY130" s="491"/>
      <c r="LZ130" s="1518" t="s">
        <v>177</v>
      </c>
      <c r="MA130" s="1518"/>
      <c r="MB130" s="1518"/>
      <c r="MC130" s="1518"/>
      <c r="MD130" s="1518"/>
      <c r="ME130" s="1518"/>
      <c r="MF130" s="1518"/>
      <c r="MG130" s="1518"/>
      <c r="MH130" s="1518"/>
      <c r="MI130" s="1518"/>
      <c r="MJ130" s="564"/>
      <c r="MN130" s="578"/>
      <c r="MO130" s="491"/>
      <c r="MP130" s="513">
        <v>1</v>
      </c>
      <c r="MQ130" s="1469" t="s">
        <v>5227</v>
      </c>
      <c r="MR130" s="1469"/>
      <c r="MS130" s="1469"/>
      <c r="MT130" s="1469"/>
      <c r="MU130" s="1469"/>
      <c r="MV130" s="1469"/>
      <c r="MW130" s="1469"/>
      <c r="MX130" s="1469"/>
      <c r="MY130" s="1469"/>
      <c r="MZ130" s="491"/>
      <c r="NA130" s="491"/>
      <c r="NB130" s="491"/>
      <c r="NC130" s="513">
        <v>1</v>
      </c>
      <c r="ND130" s="1469" t="s">
        <v>4764</v>
      </c>
      <c r="NE130" s="1469"/>
      <c r="NF130" s="1469"/>
      <c r="NG130" s="1469"/>
      <c r="NH130" s="1469"/>
      <c r="NI130" s="1469"/>
      <c r="NJ130" s="1469"/>
      <c r="NK130" s="1469"/>
      <c r="NL130" s="1469"/>
      <c r="NM130" s="491"/>
      <c r="NN130" s="491"/>
      <c r="NO130" s="491"/>
      <c r="NP130" s="639">
        <v>1</v>
      </c>
      <c r="NQ130" s="1519" t="s">
        <v>5228</v>
      </c>
      <c r="NR130" s="1519"/>
      <c r="NS130" s="1519"/>
      <c r="NT130" s="1519"/>
      <c r="NU130" s="1519"/>
      <c r="NV130" s="1519"/>
      <c r="NW130" s="1519"/>
      <c r="NX130" s="1519"/>
      <c r="NY130" s="1519"/>
      <c r="NZ130" s="491"/>
      <c r="OA130" s="491"/>
      <c r="OB130" s="491"/>
      <c r="OC130" s="513">
        <v>1</v>
      </c>
      <c r="OD130" s="1469" t="s">
        <v>4764</v>
      </c>
      <c r="OE130" s="1469"/>
      <c r="OF130" s="1469"/>
      <c r="OG130" s="1469"/>
      <c r="OH130" s="1469"/>
      <c r="OI130" s="1469"/>
      <c r="OJ130" s="1469"/>
      <c r="OK130" s="1469"/>
      <c r="OL130" s="1469"/>
      <c r="OM130" s="491"/>
      <c r="ON130" s="491"/>
      <c r="OO130" s="491"/>
      <c r="OP130" s="491"/>
      <c r="OQ130" s="491"/>
      <c r="OR130" s="491"/>
      <c r="OS130" s="491"/>
      <c r="OT130" s="707"/>
      <c r="OU130" s="491"/>
      <c r="OV130" s="491"/>
      <c r="OW130" s="491"/>
      <c r="OX130" s="491"/>
      <c r="OY130" s="491"/>
      <c r="OZ130" s="491"/>
      <c r="PA130" s="491"/>
      <c r="PB130" s="491"/>
      <c r="PC130" s="513">
        <v>1</v>
      </c>
      <c r="PD130" s="1469" t="s">
        <v>5229</v>
      </c>
      <c r="PE130" s="1469"/>
      <c r="PF130" s="1469"/>
      <c r="PG130" s="1469"/>
      <c r="PH130" s="1469"/>
      <c r="PI130" s="1469"/>
      <c r="PJ130" s="1469"/>
      <c r="PK130" s="1469"/>
      <c r="PL130" s="1469"/>
      <c r="PM130" s="491"/>
      <c r="PN130" s="564"/>
      <c r="PW130" s="482"/>
    </row>
    <row r="131" spans="11:544" ht="12.75" customHeight="1" x14ac:dyDescent="0.35">
      <c r="L131" s="655"/>
      <c r="Q131" s="578"/>
      <c r="R131" s="1587" t="s">
        <v>5230</v>
      </c>
      <c r="S131" s="1588"/>
      <c r="T131" s="1588"/>
      <c r="U131" s="1588"/>
      <c r="V131" s="1588"/>
      <c r="W131" s="1588"/>
      <c r="X131" s="1588"/>
      <c r="Y131" s="1588"/>
      <c r="Z131" s="1588"/>
      <c r="AA131" s="1589"/>
      <c r="AB131" s="491"/>
      <c r="AC131" s="491"/>
      <c r="AD131" s="1554" t="s">
        <v>3971</v>
      </c>
      <c r="AE131" s="1555"/>
      <c r="AF131" s="1555"/>
      <c r="AG131" s="1555"/>
      <c r="AH131" s="1555"/>
      <c r="AI131" s="1555"/>
      <c r="AJ131" s="1555"/>
      <c r="AK131" s="1555"/>
      <c r="AL131" s="1555"/>
      <c r="AM131" s="1556"/>
      <c r="AN131" s="491"/>
      <c r="AO131" s="491"/>
      <c r="AP131" s="1447" t="s">
        <v>5231</v>
      </c>
      <c r="AQ131" s="1448"/>
      <c r="AR131" s="1448"/>
      <c r="AS131" s="1448"/>
      <c r="AT131" s="1448"/>
      <c r="AU131" s="1448"/>
      <c r="AV131" s="1448"/>
      <c r="AW131" s="1448"/>
      <c r="AX131" s="1448"/>
      <c r="AY131" s="1449"/>
      <c r="AZ131" s="564"/>
      <c r="BD131" s="578"/>
      <c r="BE131" s="513">
        <v>1</v>
      </c>
      <c r="BF131" s="1456" t="s">
        <v>4997</v>
      </c>
      <c r="BG131" s="1457"/>
      <c r="BH131" s="1457"/>
      <c r="BI131" s="1457"/>
      <c r="BJ131" s="1457"/>
      <c r="BK131" s="1457"/>
      <c r="BL131" s="1457"/>
      <c r="BM131" s="1457"/>
      <c r="BN131" s="1458"/>
      <c r="BO131" s="526"/>
      <c r="BP131" s="491"/>
      <c r="BQ131" s="513">
        <v>1</v>
      </c>
      <c r="BR131" s="1456" t="s">
        <v>4997</v>
      </c>
      <c r="BS131" s="1457"/>
      <c r="BT131" s="1457"/>
      <c r="BU131" s="1457"/>
      <c r="BV131" s="1457"/>
      <c r="BW131" s="1457"/>
      <c r="BX131" s="1457"/>
      <c r="BY131" s="1457"/>
      <c r="BZ131" s="1458"/>
      <c r="CA131" s="564"/>
      <c r="CE131" s="578"/>
      <c r="CF131" s="1447" t="s">
        <v>2171</v>
      </c>
      <c r="CG131" s="1448"/>
      <c r="CH131" s="1448"/>
      <c r="CI131" s="1448"/>
      <c r="CJ131" s="1448"/>
      <c r="CK131" s="1448"/>
      <c r="CL131" s="1448"/>
      <c r="CM131" s="1448"/>
      <c r="CN131" s="1448"/>
      <c r="CO131" s="1449"/>
      <c r="CP131" s="491"/>
      <c r="CQ131" s="491"/>
      <c r="CR131" s="1587" t="s">
        <v>4559</v>
      </c>
      <c r="CS131" s="1588"/>
      <c r="CT131" s="1588"/>
      <c r="CU131" s="1588"/>
      <c r="CV131" s="1588"/>
      <c r="CW131" s="1588"/>
      <c r="CX131" s="1588"/>
      <c r="CY131" s="1588"/>
      <c r="CZ131" s="1588"/>
      <c r="DA131" s="1589"/>
      <c r="DB131" s="491"/>
      <c r="DC131" s="491"/>
      <c r="DD131" s="1447" t="s">
        <v>2960</v>
      </c>
      <c r="DE131" s="1448"/>
      <c r="DF131" s="1448"/>
      <c r="DG131" s="1448"/>
      <c r="DH131" s="1448"/>
      <c r="DI131" s="1448"/>
      <c r="DJ131" s="1448"/>
      <c r="DK131" s="1448"/>
      <c r="DL131" s="1448"/>
      <c r="DM131" s="1449"/>
      <c r="DN131" s="564"/>
      <c r="DR131" s="578"/>
      <c r="DS131" s="491"/>
      <c r="DT131" s="491"/>
      <c r="DU131" s="491"/>
      <c r="DV131" s="491"/>
      <c r="DW131" s="491"/>
      <c r="DX131" s="491"/>
      <c r="DY131" s="513">
        <v>1</v>
      </c>
      <c r="DZ131" s="1456" t="s">
        <v>5198</v>
      </c>
      <c r="EA131" s="1457"/>
      <c r="EB131" s="1457"/>
      <c r="EC131" s="1457"/>
      <c r="ED131" s="1457"/>
      <c r="EE131" s="1457"/>
      <c r="EF131" s="1457"/>
      <c r="EG131" s="1457"/>
      <c r="EH131" s="1458"/>
      <c r="EI131" s="491"/>
      <c r="EJ131" s="491"/>
      <c r="EK131" s="491"/>
      <c r="EL131" s="491"/>
      <c r="EM131" s="491"/>
      <c r="EN131" s="491"/>
      <c r="EO131" s="564"/>
      <c r="ES131" s="578"/>
      <c r="ET131" s="491"/>
      <c r="EU131" s="491"/>
      <c r="EV131" s="1472" t="s">
        <v>2699</v>
      </c>
      <c r="EW131" s="1472"/>
      <c r="EX131" s="1472"/>
      <c r="EY131" s="1472"/>
      <c r="EZ131" s="1472"/>
      <c r="FA131" s="1472"/>
      <c r="FB131" s="1472"/>
      <c r="FC131" s="1472"/>
      <c r="FD131" s="1472"/>
      <c r="FE131" s="1472"/>
      <c r="FF131" s="491"/>
      <c r="FG131" s="491"/>
      <c r="FH131" s="491"/>
      <c r="FI131" s="1472" t="s">
        <v>4721</v>
      </c>
      <c r="FJ131" s="1472"/>
      <c r="FK131" s="1472"/>
      <c r="FL131" s="1472"/>
      <c r="FM131" s="1472"/>
      <c r="FN131" s="1472"/>
      <c r="FO131" s="1472"/>
      <c r="FP131" s="1472"/>
      <c r="FQ131" s="1472"/>
      <c r="FR131" s="1472"/>
      <c r="FS131" s="491"/>
      <c r="FT131" s="491"/>
      <c r="FU131" s="491"/>
      <c r="FV131" s="491"/>
      <c r="FW131" s="564"/>
      <c r="FZ131" s="578"/>
      <c r="GA131" s="1512" t="s">
        <v>4697</v>
      </c>
      <c r="GB131" s="1513"/>
      <c r="GC131" s="1513"/>
      <c r="GD131" s="1513"/>
      <c r="GE131" s="1513"/>
      <c r="GF131" s="1513"/>
      <c r="GG131" s="1513"/>
      <c r="GH131" s="1513"/>
      <c r="GI131" s="1513"/>
      <c r="GJ131" s="1514"/>
      <c r="GK131" s="704"/>
      <c r="GL131" s="704"/>
      <c r="GM131" s="1450" t="s">
        <v>4360</v>
      </c>
      <c r="GN131" s="1451"/>
      <c r="GO131" s="1451"/>
      <c r="GP131" s="1451"/>
      <c r="GQ131" s="1451"/>
      <c r="GR131" s="1451"/>
      <c r="GS131" s="1451"/>
      <c r="GT131" s="1451"/>
      <c r="GU131" s="1451"/>
      <c r="GV131" s="1452"/>
      <c r="GW131" s="1564"/>
      <c r="GX131" s="1565"/>
      <c r="GY131" s="1566"/>
      <c r="GZ131" s="1450" t="s">
        <v>3298</v>
      </c>
      <c r="HA131" s="1451"/>
      <c r="HB131" s="1451"/>
      <c r="HC131" s="1451"/>
      <c r="HD131" s="1451"/>
      <c r="HE131" s="1451"/>
      <c r="HF131" s="1451"/>
      <c r="HG131" s="1451"/>
      <c r="HH131" s="1451"/>
      <c r="HI131" s="1452"/>
      <c r="HJ131" s="1564"/>
      <c r="HK131" s="1565"/>
      <c r="HL131" s="1566"/>
      <c r="HM131" s="1571" t="s">
        <v>177</v>
      </c>
      <c r="HN131" s="1572"/>
      <c r="HO131" s="1572"/>
      <c r="HP131" s="1572"/>
      <c r="HQ131" s="1572"/>
      <c r="HR131" s="1572"/>
      <c r="HS131" s="1572"/>
      <c r="HT131" s="1572"/>
      <c r="HU131" s="1572"/>
      <c r="HV131" s="1573"/>
      <c r="HW131" s="1564"/>
      <c r="HX131" s="1565"/>
      <c r="HY131" s="1566"/>
      <c r="HZ131" s="1512" t="s">
        <v>4282</v>
      </c>
      <c r="IA131" s="1513"/>
      <c r="IB131" s="1513"/>
      <c r="IC131" s="1513"/>
      <c r="ID131" s="1513"/>
      <c r="IE131" s="1513"/>
      <c r="IF131" s="1513"/>
      <c r="IG131" s="1513"/>
      <c r="IH131" s="1513"/>
      <c r="II131" s="1514"/>
      <c r="IJ131" s="1564"/>
      <c r="IK131" s="1566"/>
      <c r="IL131" s="1450" t="s">
        <v>2805</v>
      </c>
      <c r="IM131" s="1451"/>
      <c r="IN131" s="1451"/>
      <c r="IO131" s="1451"/>
      <c r="IP131" s="1451"/>
      <c r="IQ131" s="1451"/>
      <c r="IR131" s="1451"/>
      <c r="IS131" s="1451"/>
      <c r="IT131" s="1451"/>
      <c r="IU131" s="1452"/>
      <c r="IV131" s="564"/>
      <c r="IZ131" s="578"/>
      <c r="JA131" s="513">
        <v>1</v>
      </c>
      <c r="JB131" s="1456" t="s">
        <v>4768</v>
      </c>
      <c r="JC131" s="1457"/>
      <c r="JD131" s="1457"/>
      <c r="JE131" s="1457"/>
      <c r="JF131" s="1457"/>
      <c r="JG131" s="1457"/>
      <c r="JH131" s="1457"/>
      <c r="JI131" s="1457"/>
      <c r="JJ131" s="1458"/>
      <c r="JK131" s="632"/>
      <c r="JL131" s="513">
        <v>1</v>
      </c>
      <c r="JM131" s="1456" t="s">
        <v>4768</v>
      </c>
      <c r="JN131" s="1457"/>
      <c r="JO131" s="1457"/>
      <c r="JP131" s="1457"/>
      <c r="JQ131" s="1457"/>
      <c r="JR131" s="1457"/>
      <c r="JS131" s="1457"/>
      <c r="JT131" s="1457"/>
      <c r="JU131" s="1458"/>
      <c r="JV131" s="491"/>
      <c r="JW131" s="639">
        <v>1</v>
      </c>
      <c r="JX131" s="1519" t="s">
        <v>4768</v>
      </c>
      <c r="JY131" s="1519"/>
      <c r="JZ131" s="1519"/>
      <c r="KA131" s="1519"/>
      <c r="KB131" s="1519"/>
      <c r="KC131" s="1519"/>
      <c r="KD131" s="1519"/>
      <c r="KE131" s="1519"/>
      <c r="KF131" s="1519"/>
      <c r="KG131" s="491"/>
      <c r="KH131" s="513">
        <v>1</v>
      </c>
      <c r="KI131" s="1456" t="s">
        <v>4897</v>
      </c>
      <c r="KJ131" s="1457"/>
      <c r="KK131" s="1457"/>
      <c r="KL131" s="1457"/>
      <c r="KM131" s="1457"/>
      <c r="KN131" s="1457"/>
      <c r="KO131" s="1457"/>
      <c r="KP131" s="1457"/>
      <c r="KQ131" s="1458"/>
      <c r="KR131" s="632"/>
      <c r="KS131" s="513"/>
      <c r="KT131" s="1456" t="s">
        <v>4933</v>
      </c>
      <c r="KU131" s="1457"/>
      <c r="KV131" s="1457"/>
      <c r="KW131" s="1457"/>
      <c r="KX131" s="1457"/>
      <c r="KY131" s="1457"/>
      <c r="KZ131" s="1457"/>
      <c r="LA131" s="1457"/>
      <c r="LB131" s="1458"/>
      <c r="LC131" s="491"/>
      <c r="LD131" s="491"/>
      <c r="LE131" s="491"/>
      <c r="LF131" s="491"/>
      <c r="LG131" s="491"/>
      <c r="LH131" s="491"/>
      <c r="LI131" s="491"/>
      <c r="LJ131" s="491"/>
      <c r="LK131" s="491"/>
      <c r="LL131" s="491"/>
      <c r="LM131" s="491"/>
      <c r="LN131" s="491"/>
      <c r="LO131" s="513">
        <v>1</v>
      </c>
      <c r="LP131" s="1456" t="s">
        <v>5203</v>
      </c>
      <c r="LQ131" s="1457"/>
      <c r="LR131" s="1457"/>
      <c r="LS131" s="1457"/>
      <c r="LT131" s="1457"/>
      <c r="LU131" s="1457"/>
      <c r="LV131" s="1457"/>
      <c r="LW131" s="1457"/>
      <c r="LX131" s="1458"/>
      <c r="LY131" s="491"/>
      <c r="MJ131" s="564"/>
      <c r="MN131" s="578"/>
      <c r="MO131" s="491"/>
      <c r="MP131" s="1594" t="s">
        <v>1238</v>
      </c>
      <c r="MQ131" s="1594"/>
      <c r="MR131" s="1594"/>
      <c r="MS131" s="1594"/>
      <c r="MT131" s="1594"/>
      <c r="MU131" s="1594"/>
      <c r="MV131" s="1594"/>
      <c r="MW131" s="1594"/>
      <c r="MX131" s="1594"/>
      <c r="MY131" s="1594"/>
      <c r="MZ131" s="491"/>
      <c r="NA131" s="491"/>
      <c r="NB131" s="491"/>
      <c r="NC131" s="1561" t="s">
        <v>1995</v>
      </c>
      <c r="ND131" s="1561"/>
      <c r="NE131" s="1561"/>
      <c r="NF131" s="1561"/>
      <c r="NG131" s="1561"/>
      <c r="NH131" s="1561"/>
      <c r="NI131" s="1561"/>
      <c r="NJ131" s="1561"/>
      <c r="NK131" s="1561"/>
      <c r="NL131" s="1561"/>
      <c r="NM131" s="491"/>
      <c r="NN131" s="491"/>
      <c r="NO131" s="491"/>
      <c r="NP131" s="1595" t="s">
        <v>1465</v>
      </c>
      <c r="NQ131" s="1595"/>
      <c r="NR131" s="1595"/>
      <c r="NS131" s="1595"/>
      <c r="NT131" s="1595"/>
      <c r="NU131" s="1595"/>
      <c r="NV131" s="1595"/>
      <c r="NW131" s="1595"/>
      <c r="NX131" s="1595"/>
      <c r="NY131" s="1595"/>
      <c r="NZ131" s="491"/>
      <c r="OA131" s="491"/>
      <c r="OB131" s="491"/>
      <c r="OC131" s="1518" t="s">
        <v>131</v>
      </c>
      <c r="OD131" s="1518"/>
      <c r="OE131" s="1518"/>
      <c r="OF131" s="1518"/>
      <c r="OG131" s="1518"/>
      <c r="OH131" s="1518"/>
      <c r="OI131" s="1518"/>
      <c r="OJ131" s="1518"/>
      <c r="OK131" s="1518"/>
      <c r="OL131" s="1518"/>
      <c r="OM131" s="491"/>
      <c r="ON131" s="491"/>
      <c r="OO131" s="491"/>
      <c r="OP131" s="639">
        <v>1</v>
      </c>
      <c r="OQ131" s="1519" t="s">
        <v>5232</v>
      </c>
      <c r="OR131" s="1519"/>
      <c r="OS131" s="1519"/>
      <c r="OT131" s="1519"/>
      <c r="OU131" s="1519"/>
      <c r="OV131" s="1519"/>
      <c r="OW131" s="1519"/>
      <c r="OX131" s="1519"/>
      <c r="OY131" s="1519"/>
      <c r="OZ131" s="491"/>
      <c r="PA131" s="491"/>
      <c r="PB131" s="491"/>
      <c r="PC131" s="1561" t="s">
        <v>4233</v>
      </c>
      <c r="PD131" s="1561"/>
      <c r="PE131" s="1561"/>
      <c r="PF131" s="1561"/>
      <c r="PG131" s="1561"/>
      <c r="PH131" s="1561"/>
      <c r="PI131" s="1561"/>
      <c r="PJ131" s="1561"/>
      <c r="PK131" s="1561"/>
      <c r="PL131" s="1561"/>
      <c r="PM131" s="491"/>
      <c r="PN131" s="564"/>
      <c r="PW131" s="482"/>
    </row>
    <row r="132" spans="11:544" ht="12.75" customHeight="1" x14ac:dyDescent="0.35">
      <c r="K132" s="482"/>
      <c r="Q132" s="578"/>
      <c r="R132" s="513">
        <v>1</v>
      </c>
      <c r="S132" s="1456" t="s">
        <v>5220</v>
      </c>
      <c r="T132" s="1457"/>
      <c r="U132" s="1457"/>
      <c r="V132" s="1457"/>
      <c r="W132" s="1457"/>
      <c r="X132" s="1457"/>
      <c r="Y132" s="1457"/>
      <c r="Z132" s="1457"/>
      <c r="AA132" s="1458"/>
      <c r="AB132" s="491"/>
      <c r="AC132" s="491"/>
      <c r="AD132" s="513">
        <v>1</v>
      </c>
      <c r="AE132" s="1456" t="s">
        <v>5220</v>
      </c>
      <c r="AF132" s="1457"/>
      <c r="AG132" s="1457"/>
      <c r="AH132" s="1457"/>
      <c r="AI132" s="1457"/>
      <c r="AJ132" s="1457"/>
      <c r="AK132" s="1457"/>
      <c r="AL132" s="1457"/>
      <c r="AM132" s="1458"/>
      <c r="AN132" s="491"/>
      <c r="AO132" s="491"/>
      <c r="AP132" s="513">
        <v>1</v>
      </c>
      <c r="AQ132" s="1456" t="s">
        <v>5220</v>
      </c>
      <c r="AR132" s="1457"/>
      <c r="AS132" s="1457"/>
      <c r="AT132" s="1457"/>
      <c r="AU132" s="1457"/>
      <c r="AV132" s="1457"/>
      <c r="AW132" s="1457"/>
      <c r="AX132" s="1457"/>
      <c r="AY132" s="1458"/>
      <c r="AZ132" s="564"/>
      <c r="BD132" s="578"/>
      <c r="BE132" s="1447" t="s">
        <v>1918</v>
      </c>
      <c r="BF132" s="1448"/>
      <c r="BG132" s="1448"/>
      <c r="BH132" s="1448"/>
      <c r="BI132" s="1448"/>
      <c r="BJ132" s="1448"/>
      <c r="BK132" s="1448"/>
      <c r="BL132" s="1448"/>
      <c r="BM132" s="1448"/>
      <c r="BN132" s="1449"/>
      <c r="BO132" s="526"/>
      <c r="BP132" s="491"/>
      <c r="BQ132" s="1447" t="s">
        <v>5233</v>
      </c>
      <c r="BR132" s="1448"/>
      <c r="BS132" s="1448"/>
      <c r="BT132" s="1448"/>
      <c r="BU132" s="1448"/>
      <c r="BV132" s="1448"/>
      <c r="BW132" s="1448"/>
      <c r="BX132" s="1448"/>
      <c r="BY132" s="1448"/>
      <c r="BZ132" s="1449"/>
      <c r="CA132" s="564"/>
      <c r="CE132" s="578"/>
      <c r="CF132" s="513">
        <v>1</v>
      </c>
      <c r="CG132" s="1456" t="s">
        <v>5007</v>
      </c>
      <c r="CH132" s="1457"/>
      <c r="CI132" s="1457"/>
      <c r="CJ132" s="1457"/>
      <c r="CK132" s="1457"/>
      <c r="CL132" s="1457"/>
      <c r="CM132" s="1457"/>
      <c r="CN132" s="1457"/>
      <c r="CO132" s="1458"/>
      <c r="CP132" s="491"/>
      <c r="CQ132" s="491"/>
      <c r="CR132" s="513">
        <v>1</v>
      </c>
      <c r="CS132" s="1456" t="s">
        <v>5004</v>
      </c>
      <c r="CT132" s="1457"/>
      <c r="CU132" s="1457"/>
      <c r="CV132" s="1457"/>
      <c r="CW132" s="1457"/>
      <c r="CX132" s="1457"/>
      <c r="CY132" s="1457"/>
      <c r="CZ132" s="1457"/>
      <c r="DA132" s="1458"/>
      <c r="DB132" s="491"/>
      <c r="DC132" s="491"/>
      <c r="DD132" s="513">
        <v>1</v>
      </c>
      <c r="DE132" s="1456" t="s">
        <v>5173</v>
      </c>
      <c r="DF132" s="1457"/>
      <c r="DG132" s="1457"/>
      <c r="DH132" s="1457"/>
      <c r="DI132" s="1457"/>
      <c r="DJ132" s="1457"/>
      <c r="DK132" s="1457"/>
      <c r="DL132" s="1457"/>
      <c r="DM132" s="1458"/>
      <c r="DN132" s="564"/>
      <c r="DR132" s="578"/>
      <c r="DS132" s="491"/>
      <c r="DT132" s="491"/>
      <c r="DU132" s="491"/>
      <c r="DV132" s="491"/>
      <c r="DW132" s="491"/>
      <c r="DX132" s="491"/>
      <c r="DY132" s="1447" t="s">
        <v>5234</v>
      </c>
      <c r="DZ132" s="1448"/>
      <c r="EA132" s="1448"/>
      <c r="EB132" s="1448"/>
      <c r="EC132" s="1448"/>
      <c r="ED132" s="1448"/>
      <c r="EE132" s="1448"/>
      <c r="EF132" s="1448"/>
      <c r="EG132" s="1448"/>
      <c r="EH132" s="1449"/>
      <c r="EI132" s="491"/>
      <c r="EJ132" s="491"/>
      <c r="EK132" s="491"/>
      <c r="EL132" s="491"/>
      <c r="EM132" s="491"/>
      <c r="EN132" s="491"/>
      <c r="EO132" s="564"/>
      <c r="ES132" s="578"/>
      <c r="ET132" s="491"/>
      <c r="EU132" s="491"/>
      <c r="EV132" s="720">
        <v>1</v>
      </c>
      <c r="EW132" s="1469" t="s">
        <v>5183</v>
      </c>
      <c r="EX132" s="1469"/>
      <c r="EY132" s="1469"/>
      <c r="EZ132" s="1469"/>
      <c r="FA132" s="1469"/>
      <c r="FB132" s="1469"/>
      <c r="FC132" s="1469"/>
      <c r="FD132" s="1469"/>
      <c r="FE132" s="1469"/>
      <c r="FF132" s="491"/>
      <c r="FG132" s="491"/>
      <c r="FH132" s="491"/>
      <c r="FI132" s="513">
        <v>1</v>
      </c>
      <c r="FJ132" s="1469" t="s">
        <v>183</v>
      </c>
      <c r="FK132" s="1469"/>
      <c r="FL132" s="1469"/>
      <c r="FM132" s="1469"/>
      <c r="FN132" s="1469"/>
      <c r="FO132" s="1469"/>
      <c r="FP132" s="1469"/>
      <c r="FQ132" s="1469"/>
      <c r="FR132" s="1469"/>
      <c r="FS132" s="491"/>
      <c r="FT132" s="491"/>
      <c r="FU132" s="491"/>
      <c r="FV132" s="491"/>
      <c r="FW132" s="564"/>
      <c r="FZ132" s="578"/>
      <c r="GA132" s="710">
        <v>1</v>
      </c>
      <c r="GB132" s="1567" t="s">
        <v>5164</v>
      </c>
      <c r="GC132" s="1568"/>
      <c r="GD132" s="1568"/>
      <c r="GE132" s="1568"/>
      <c r="GF132" s="1568"/>
      <c r="GG132" s="1568"/>
      <c r="GH132" s="1568"/>
      <c r="GI132" s="1568"/>
      <c r="GJ132" s="1569"/>
      <c r="GK132" s="704"/>
      <c r="GL132" s="704"/>
      <c r="GM132" s="710">
        <v>1</v>
      </c>
      <c r="GN132" s="1567" t="s">
        <v>5165</v>
      </c>
      <c r="GO132" s="1568"/>
      <c r="GP132" s="1568"/>
      <c r="GQ132" s="1568"/>
      <c r="GR132" s="1568"/>
      <c r="GS132" s="1568"/>
      <c r="GT132" s="1568"/>
      <c r="GU132" s="1568"/>
      <c r="GV132" s="1569"/>
      <c r="GW132" s="1564"/>
      <c r="GX132" s="1565"/>
      <c r="GY132" s="1566"/>
      <c r="GZ132" s="710">
        <v>1</v>
      </c>
      <c r="HA132" s="1567" t="s">
        <v>5165</v>
      </c>
      <c r="HB132" s="1568"/>
      <c r="HC132" s="1568"/>
      <c r="HD132" s="1568"/>
      <c r="HE132" s="1568"/>
      <c r="HF132" s="1568"/>
      <c r="HG132" s="1568"/>
      <c r="HH132" s="1568"/>
      <c r="HI132" s="1569"/>
      <c r="HJ132" s="1564"/>
      <c r="HK132" s="1565"/>
      <c r="HL132" s="1566"/>
      <c r="HM132" s="710">
        <v>1</v>
      </c>
      <c r="HN132" s="1567" t="s">
        <v>5174</v>
      </c>
      <c r="HO132" s="1568"/>
      <c r="HP132" s="1568"/>
      <c r="HQ132" s="1568"/>
      <c r="HR132" s="1568"/>
      <c r="HS132" s="1568"/>
      <c r="HT132" s="1568"/>
      <c r="HU132" s="1568"/>
      <c r="HV132" s="1569"/>
      <c r="HW132" s="1564"/>
      <c r="HX132" s="1565"/>
      <c r="HY132" s="1566"/>
      <c r="HZ132" s="710">
        <v>1</v>
      </c>
      <c r="IA132" s="1567" t="s">
        <v>5165</v>
      </c>
      <c r="IB132" s="1568"/>
      <c r="IC132" s="1568"/>
      <c r="ID132" s="1568"/>
      <c r="IE132" s="1568"/>
      <c r="IF132" s="1568"/>
      <c r="IG132" s="1568"/>
      <c r="IH132" s="1568"/>
      <c r="II132" s="1569"/>
      <c r="IJ132" s="1564"/>
      <c r="IK132" s="1566"/>
      <c r="IL132" s="710">
        <v>1</v>
      </c>
      <c r="IM132" s="1567" t="s">
        <v>5165</v>
      </c>
      <c r="IN132" s="1568"/>
      <c r="IO132" s="1568"/>
      <c r="IP132" s="1568"/>
      <c r="IQ132" s="1568"/>
      <c r="IR132" s="1568"/>
      <c r="IS132" s="1568"/>
      <c r="IT132" s="1568"/>
      <c r="IU132" s="1569"/>
      <c r="IV132" s="564"/>
      <c r="IZ132" s="578"/>
      <c r="JA132" s="1587" t="s">
        <v>3401</v>
      </c>
      <c r="JB132" s="1588"/>
      <c r="JC132" s="1588"/>
      <c r="JD132" s="1588"/>
      <c r="JE132" s="1588"/>
      <c r="JF132" s="1588"/>
      <c r="JG132" s="1588"/>
      <c r="JH132" s="1588"/>
      <c r="JI132" s="1588"/>
      <c r="JJ132" s="1589"/>
      <c r="JK132" s="632"/>
      <c r="JL132" s="1593" t="s">
        <v>3946</v>
      </c>
      <c r="JM132" s="1486"/>
      <c r="JN132" s="1486"/>
      <c r="JO132" s="1486"/>
      <c r="JP132" s="1486"/>
      <c r="JQ132" s="1486"/>
      <c r="JR132" s="1486"/>
      <c r="JS132" s="1486"/>
      <c r="JT132" s="1486"/>
      <c r="JU132" s="1487"/>
      <c r="JV132" s="491"/>
      <c r="JW132" s="1597" t="s">
        <v>5235</v>
      </c>
      <c r="JX132" s="1597"/>
      <c r="JY132" s="1597"/>
      <c r="JZ132" s="1597"/>
      <c r="KA132" s="1597"/>
      <c r="KB132" s="1597"/>
      <c r="KC132" s="1597"/>
      <c r="KD132" s="1597"/>
      <c r="KE132" s="1597"/>
      <c r="KF132" s="1597"/>
      <c r="KG132" s="491"/>
      <c r="KH132" s="1450" t="s">
        <v>5236</v>
      </c>
      <c r="KI132" s="1451"/>
      <c r="KJ132" s="1451"/>
      <c r="KK132" s="1451"/>
      <c r="KL132" s="1451"/>
      <c r="KM132" s="1451"/>
      <c r="KN132" s="1451"/>
      <c r="KO132" s="1451"/>
      <c r="KP132" s="1451"/>
      <c r="KQ132" s="1452"/>
      <c r="KR132" s="491"/>
      <c r="KS132" s="1598" t="s">
        <v>263</v>
      </c>
      <c r="KT132" s="1599"/>
      <c r="KU132" s="1599"/>
      <c r="KV132" s="1599"/>
      <c r="KW132" s="1599"/>
      <c r="KX132" s="1599"/>
      <c r="KY132" s="1599"/>
      <c r="KZ132" s="1599"/>
      <c r="LA132" s="1599"/>
      <c r="LB132" s="1600"/>
      <c r="LC132" s="491"/>
      <c r="LD132" s="491"/>
      <c r="LE132" s="491"/>
      <c r="LF132" s="491"/>
      <c r="LG132" s="491"/>
      <c r="LH132" s="491"/>
      <c r="LI132" s="491"/>
      <c r="LJ132" s="491"/>
      <c r="LK132" s="491"/>
      <c r="LL132" s="491"/>
      <c r="LM132" s="491"/>
      <c r="LN132" s="491"/>
      <c r="LO132" s="1503" t="s">
        <v>2696</v>
      </c>
      <c r="LP132" s="1504"/>
      <c r="LQ132" s="1504"/>
      <c r="LR132" s="1504"/>
      <c r="LS132" s="1504"/>
      <c r="LT132" s="1504"/>
      <c r="LU132" s="1504"/>
      <c r="LV132" s="1504"/>
      <c r="LW132" s="1504"/>
      <c r="LX132" s="1505"/>
      <c r="LY132" s="491"/>
      <c r="MJ132" s="564"/>
      <c r="MN132" s="578"/>
      <c r="MO132" s="491"/>
      <c r="MP132" s="513">
        <v>1</v>
      </c>
      <c r="MQ132" s="1469" t="s">
        <v>4982</v>
      </c>
      <c r="MR132" s="1469"/>
      <c r="MS132" s="1469"/>
      <c r="MT132" s="1469"/>
      <c r="MU132" s="1469"/>
      <c r="MV132" s="1469"/>
      <c r="MW132" s="1469"/>
      <c r="MX132" s="1469"/>
      <c r="MY132" s="1469"/>
      <c r="MZ132" s="491"/>
      <c r="NA132" s="491"/>
      <c r="NB132" s="491"/>
      <c r="NC132" s="513">
        <v>1</v>
      </c>
      <c r="ND132" s="1469" t="s">
        <v>4764</v>
      </c>
      <c r="NE132" s="1469"/>
      <c r="NF132" s="1469"/>
      <c r="NG132" s="1469"/>
      <c r="NH132" s="1469"/>
      <c r="NI132" s="1469"/>
      <c r="NJ132" s="1469"/>
      <c r="NK132" s="1469"/>
      <c r="NL132" s="1469"/>
      <c r="NM132" s="491"/>
      <c r="NN132" s="491"/>
      <c r="NO132" s="491"/>
      <c r="NP132" s="513">
        <v>1</v>
      </c>
      <c r="NQ132" s="1469" t="s">
        <v>5228</v>
      </c>
      <c r="NR132" s="1469"/>
      <c r="NS132" s="1469"/>
      <c r="NT132" s="1469"/>
      <c r="NU132" s="1469"/>
      <c r="NV132" s="1469"/>
      <c r="NW132" s="1469"/>
      <c r="NX132" s="1469"/>
      <c r="NY132" s="1469"/>
      <c r="NZ132" s="491"/>
      <c r="OA132" s="491"/>
      <c r="OB132" s="491"/>
      <c r="OC132" s="513">
        <v>1</v>
      </c>
      <c r="OD132" s="1469" t="s">
        <v>5237</v>
      </c>
      <c r="OE132" s="1469"/>
      <c r="OF132" s="1469"/>
      <c r="OG132" s="1469"/>
      <c r="OH132" s="1469"/>
      <c r="OI132" s="1469"/>
      <c r="OJ132" s="1469"/>
      <c r="OK132" s="1469"/>
      <c r="OL132" s="1469"/>
      <c r="OM132" s="491"/>
      <c r="ON132" s="491"/>
      <c r="OO132" s="491"/>
      <c r="OP132" s="1596" t="s">
        <v>5238</v>
      </c>
      <c r="OQ132" s="1596" t="s">
        <v>4873</v>
      </c>
      <c r="OR132" s="1596"/>
      <c r="OS132" s="1596"/>
      <c r="OT132" s="1596"/>
      <c r="OU132" s="1596"/>
      <c r="OV132" s="1596"/>
      <c r="OW132" s="1596"/>
      <c r="OX132" s="1596"/>
      <c r="OY132" s="1596"/>
      <c r="OZ132" s="491"/>
      <c r="PA132" s="491"/>
      <c r="PB132" s="491"/>
      <c r="PC132" s="513">
        <v>1</v>
      </c>
      <c r="PD132" s="1469" t="s">
        <v>5229</v>
      </c>
      <c r="PE132" s="1469"/>
      <c r="PF132" s="1469"/>
      <c r="PG132" s="1469"/>
      <c r="PH132" s="1469"/>
      <c r="PI132" s="1469"/>
      <c r="PJ132" s="1469"/>
      <c r="PK132" s="1469"/>
      <c r="PL132" s="1469"/>
      <c r="PM132" s="491"/>
      <c r="PN132" s="564"/>
      <c r="PW132" s="482"/>
    </row>
    <row r="133" spans="11:544" ht="12.75" customHeight="1" x14ac:dyDescent="0.2">
      <c r="K133" s="482"/>
      <c r="L133" s="721"/>
      <c r="Q133" s="578"/>
      <c r="R133" s="1450" t="s">
        <v>5239</v>
      </c>
      <c r="S133" s="1451"/>
      <c r="T133" s="1451"/>
      <c r="U133" s="1451"/>
      <c r="V133" s="1451"/>
      <c r="W133" s="1451"/>
      <c r="X133" s="1451"/>
      <c r="Y133" s="1451"/>
      <c r="Z133" s="1451"/>
      <c r="AA133" s="1452"/>
      <c r="AB133" s="491"/>
      <c r="AC133" s="491"/>
      <c r="AD133" s="1447" t="s">
        <v>2582</v>
      </c>
      <c r="AE133" s="1448"/>
      <c r="AF133" s="1448"/>
      <c r="AG133" s="1448"/>
      <c r="AH133" s="1448"/>
      <c r="AI133" s="1448"/>
      <c r="AJ133" s="1448"/>
      <c r="AK133" s="1448"/>
      <c r="AL133" s="1448"/>
      <c r="AM133" s="1449"/>
      <c r="AN133" s="491"/>
      <c r="AO133" s="491"/>
      <c r="AP133" s="1485" t="s">
        <v>2313</v>
      </c>
      <c r="AQ133" s="1486"/>
      <c r="AR133" s="1486"/>
      <c r="AS133" s="1486"/>
      <c r="AT133" s="1486"/>
      <c r="AU133" s="1486"/>
      <c r="AV133" s="1486"/>
      <c r="AW133" s="1486"/>
      <c r="AX133" s="1486"/>
      <c r="AY133" s="1487"/>
      <c r="AZ133" s="564"/>
      <c r="BD133" s="578"/>
      <c r="BE133" s="513">
        <v>1</v>
      </c>
      <c r="BF133" s="1456" t="s">
        <v>5240</v>
      </c>
      <c r="BG133" s="1457"/>
      <c r="BH133" s="1457"/>
      <c r="BI133" s="1457"/>
      <c r="BJ133" s="1457"/>
      <c r="BK133" s="1457"/>
      <c r="BL133" s="1457"/>
      <c r="BM133" s="1457"/>
      <c r="BN133" s="1458"/>
      <c r="BO133" s="526"/>
      <c r="BP133" s="491"/>
      <c r="BQ133" s="513">
        <v>1</v>
      </c>
      <c r="BR133" s="1456" t="s">
        <v>5241</v>
      </c>
      <c r="BS133" s="1457"/>
      <c r="BT133" s="1457"/>
      <c r="BU133" s="1457"/>
      <c r="BV133" s="1457"/>
      <c r="BW133" s="1457"/>
      <c r="BX133" s="1457"/>
      <c r="BY133" s="1457"/>
      <c r="BZ133" s="1458"/>
      <c r="CA133" s="564"/>
      <c r="CE133" s="578"/>
      <c r="CF133" s="1537" t="s">
        <v>4315</v>
      </c>
      <c r="CG133" s="1538"/>
      <c r="CH133" s="1538"/>
      <c r="CI133" s="1538"/>
      <c r="CJ133" s="1538"/>
      <c r="CK133" s="1538"/>
      <c r="CL133" s="1538"/>
      <c r="CM133" s="1538"/>
      <c r="CN133" s="1538"/>
      <c r="CO133" s="1539"/>
      <c r="CP133" s="491"/>
      <c r="CQ133" s="491"/>
      <c r="CR133" s="1447" t="s">
        <v>1967</v>
      </c>
      <c r="CS133" s="1448"/>
      <c r="CT133" s="1448"/>
      <c r="CU133" s="1448"/>
      <c r="CV133" s="1448"/>
      <c r="CW133" s="1448"/>
      <c r="CX133" s="1448"/>
      <c r="CY133" s="1448"/>
      <c r="CZ133" s="1448"/>
      <c r="DA133" s="1449"/>
      <c r="DB133" s="491"/>
      <c r="DC133" s="491"/>
      <c r="DD133" s="1447" t="s">
        <v>4095</v>
      </c>
      <c r="DE133" s="1448"/>
      <c r="DF133" s="1448"/>
      <c r="DG133" s="1448"/>
      <c r="DH133" s="1448"/>
      <c r="DI133" s="1448"/>
      <c r="DJ133" s="1448"/>
      <c r="DK133" s="1448"/>
      <c r="DL133" s="1448"/>
      <c r="DM133" s="1449"/>
      <c r="DN133" s="564"/>
      <c r="DO133" s="722"/>
      <c r="DP133" s="722"/>
      <c r="DR133" s="578"/>
      <c r="DS133" s="491"/>
      <c r="DT133" s="491"/>
      <c r="DU133" s="491"/>
      <c r="DV133" s="491"/>
      <c r="DW133" s="491"/>
      <c r="DX133" s="491"/>
      <c r="DY133" s="513">
        <v>1</v>
      </c>
      <c r="DZ133" s="1456" t="s">
        <v>5198</v>
      </c>
      <c r="EA133" s="1457"/>
      <c r="EB133" s="1457"/>
      <c r="EC133" s="1457"/>
      <c r="ED133" s="1457"/>
      <c r="EE133" s="1457"/>
      <c r="EF133" s="1457"/>
      <c r="EG133" s="1457"/>
      <c r="EH133" s="1458"/>
      <c r="EI133" s="491"/>
      <c r="EJ133" s="491"/>
      <c r="EK133" s="491"/>
      <c r="EL133" s="491"/>
      <c r="EM133" s="491"/>
      <c r="EN133" s="491"/>
      <c r="EO133" s="564"/>
      <c r="ES133" s="578"/>
      <c r="ET133" s="491"/>
      <c r="EU133" s="491"/>
      <c r="EV133" s="1472" t="s">
        <v>2760</v>
      </c>
      <c r="EW133" s="1472"/>
      <c r="EX133" s="1472"/>
      <c r="EY133" s="1472"/>
      <c r="EZ133" s="1472"/>
      <c r="FA133" s="1472"/>
      <c r="FB133" s="1472"/>
      <c r="FC133" s="1472"/>
      <c r="FD133" s="1472"/>
      <c r="FE133" s="1472"/>
      <c r="FF133" s="491"/>
      <c r="FG133" s="491"/>
      <c r="FH133" s="491"/>
      <c r="FI133" s="1472" t="s">
        <v>5242</v>
      </c>
      <c r="FJ133" s="1472"/>
      <c r="FK133" s="1472"/>
      <c r="FL133" s="1472"/>
      <c r="FM133" s="1472"/>
      <c r="FN133" s="1472"/>
      <c r="FO133" s="1472"/>
      <c r="FP133" s="1472"/>
      <c r="FQ133" s="1472"/>
      <c r="FR133" s="1472"/>
      <c r="FS133" s="491"/>
      <c r="FT133" s="491"/>
      <c r="FU133" s="491"/>
      <c r="FV133" s="491"/>
      <c r="FW133" s="564"/>
      <c r="FZ133" s="578"/>
      <c r="GA133" s="1450" t="s">
        <v>1646</v>
      </c>
      <c r="GB133" s="1451"/>
      <c r="GC133" s="1451"/>
      <c r="GD133" s="1451"/>
      <c r="GE133" s="1451"/>
      <c r="GF133" s="1451"/>
      <c r="GG133" s="1451"/>
      <c r="GH133" s="1451"/>
      <c r="GI133" s="1451"/>
      <c r="GJ133" s="1452"/>
      <c r="GK133" s="704"/>
      <c r="GL133" s="704"/>
      <c r="GM133" s="1450" t="s">
        <v>1952</v>
      </c>
      <c r="GN133" s="1451"/>
      <c r="GO133" s="1451"/>
      <c r="GP133" s="1451"/>
      <c r="GQ133" s="1451"/>
      <c r="GR133" s="1451"/>
      <c r="GS133" s="1451"/>
      <c r="GT133" s="1451"/>
      <c r="GU133" s="1451"/>
      <c r="GV133" s="1452"/>
      <c r="GW133" s="1564"/>
      <c r="GX133" s="1565"/>
      <c r="GY133" s="1566"/>
      <c r="GZ133" s="1450" t="s">
        <v>3544</v>
      </c>
      <c r="HA133" s="1451"/>
      <c r="HB133" s="1451"/>
      <c r="HC133" s="1451"/>
      <c r="HD133" s="1451"/>
      <c r="HE133" s="1451"/>
      <c r="HF133" s="1451"/>
      <c r="HG133" s="1451"/>
      <c r="HH133" s="1451"/>
      <c r="HI133" s="1452"/>
      <c r="HJ133" s="1564"/>
      <c r="HK133" s="1565"/>
      <c r="HL133" s="1566"/>
      <c r="HM133" s="1450" t="s">
        <v>1423</v>
      </c>
      <c r="HN133" s="1451"/>
      <c r="HO133" s="1451"/>
      <c r="HP133" s="1451"/>
      <c r="HQ133" s="1451"/>
      <c r="HR133" s="1451"/>
      <c r="HS133" s="1451"/>
      <c r="HT133" s="1451"/>
      <c r="HU133" s="1451"/>
      <c r="HV133" s="1452"/>
      <c r="HW133" s="1564"/>
      <c r="HX133" s="1565"/>
      <c r="HY133" s="1566"/>
      <c r="HZ133" s="1571" t="s">
        <v>177</v>
      </c>
      <c r="IA133" s="1572"/>
      <c r="IB133" s="1572"/>
      <c r="IC133" s="1572"/>
      <c r="ID133" s="1572"/>
      <c r="IE133" s="1572"/>
      <c r="IF133" s="1572"/>
      <c r="IG133" s="1572"/>
      <c r="IH133" s="1572"/>
      <c r="II133" s="1573"/>
      <c r="IJ133" s="1564"/>
      <c r="IK133" s="1566"/>
      <c r="IL133" s="1450" t="s">
        <v>3265</v>
      </c>
      <c r="IM133" s="1451"/>
      <c r="IN133" s="1451"/>
      <c r="IO133" s="1451"/>
      <c r="IP133" s="1451"/>
      <c r="IQ133" s="1451"/>
      <c r="IR133" s="1451"/>
      <c r="IS133" s="1451"/>
      <c r="IT133" s="1451"/>
      <c r="IU133" s="1452"/>
      <c r="IV133" s="564"/>
      <c r="IZ133" s="578"/>
      <c r="JA133" s="513">
        <v>1</v>
      </c>
      <c r="JB133" s="1456" t="s">
        <v>5243</v>
      </c>
      <c r="JC133" s="1457"/>
      <c r="JD133" s="1457"/>
      <c r="JE133" s="1457"/>
      <c r="JF133" s="1457"/>
      <c r="JG133" s="1457"/>
      <c r="JH133" s="1457"/>
      <c r="JI133" s="1457"/>
      <c r="JJ133" s="1458"/>
      <c r="JK133" s="632"/>
      <c r="JL133" s="711">
        <v>1</v>
      </c>
      <c r="JM133" s="1579" t="s">
        <v>4892</v>
      </c>
      <c r="JN133" s="1580"/>
      <c r="JO133" s="1580"/>
      <c r="JP133" s="1580"/>
      <c r="JQ133" s="1580"/>
      <c r="JR133" s="1580"/>
      <c r="JS133" s="1580"/>
      <c r="JT133" s="1580"/>
      <c r="JU133" s="1581"/>
      <c r="JV133" s="491"/>
      <c r="JW133" s="507"/>
      <c r="JX133" s="1520"/>
      <c r="JY133" s="1520"/>
      <c r="JZ133" s="1520"/>
      <c r="KA133" s="1520"/>
      <c r="KB133" s="1520"/>
      <c r="KC133" s="1520"/>
      <c r="KD133" s="1520"/>
      <c r="KE133" s="1520"/>
      <c r="KF133" s="1520"/>
      <c r="KG133" s="491"/>
      <c r="KH133" s="491"/>
      <c r="KI133" s="491"/>
      <c r="KJ133" s="491"/>
      <c r="KK133" s="491"/>
      <c r="KL133" s="491"/>
      <c r="KM133" s="491"/>
      <c r="KN133" s="491"/>
      <c r="KO133" s="491"/>
      <c r="KP133" s="491"/>
      <c r="KQ133" s="491"/>
      <c r="KR133" s="491"/>
      <c r="KS133" s="491"/>
      <c r="KT133" s="491"/>
      <c r="KU133" s="491"/>
      <c r="KV133" s="491"/>
      <c r="KW133" s="491"/>
      <c r="KX133" s="491"/>
      <c r="KY133" s="491"/>
      <c r="KZ133" s="491"/>
      <c r="LA133" s="491"/>
      <c r="LB133" s="491"/>
      <c r="LC133" s="491"/>
      <c r="LD133" s="491"/>
      <c r="LE133" s="491"/>
      <c r="LF133" s="491"/>
      <c r="LG133" s="491"/>
      <c r="LH133" s="491"/>
      <c r="LI133" s="491"/>
      <c r="LJ133" s="491"/>
      <c r="LK133" s="491"/>
      <c r="LL133" s="491"/>
      <c r="LM133" s="491"/>
      <c r="LN133" s="491"/>
      <c r="LO133" s="513">
        <v>1</v>
      </c>
      <c r="LP133" s="1456" t="s">
        <v>5203</v>
      </c>
      <c r="LQ133" s="1457"/>
      <c r="LR133" s="1457"/>
      <c r="LS133" s="1457"/>
      <c r="LT133" s="1457"/>
      <c r="LU133" s="1457"/>
      <c r="LV133" s="1457"/>
      <c r="LW133" s="1457"/>
      <c r="LX133" s="1458"/>
      <c r="LY133" s="491"/>
      <c r="MJ133" s="564"/>
      <c r="MN133" s="578"/>
      <c r="MO133" s="491"/>
      <c r="MP133" s="1561" t="s">
        <v>5244</v>
      </c>
      <c r="MQ133" s="1561"/>
      <c r="MR133" s="1561"/>
      <c r="MS133" s="1561"/>
      <c r="MT133" s="1561"/>
      <c r="MU133" s="1561"/>
      <c r="MV133" s="1561"/>
      <c r="MW133" s="1561"/>
      <c r="MX133" s="1561"/>
      <c r="MY133" s="1561"/>
      <c r="MZ133" s="491"/>
      <c r="NA133" s="491"/>
      <c r="NB133" s="491"/>
      <c r="NC133" s="1561" t="s">
        <v>2407</v>
      </c>
      <c r="ND133" s="1561"/>
      <c r="NE133" s="1561"/>
      <c r="NF133" s="1561"/>
      <c r="NG133" s="1561"/>
      <c r="NH133" s="1561"/>
      <c r="NI133" s="1561"/>
      <c r="NJ133" s="1561"/>
      <c r="NK133" s="1561"/>
      <c r="NL133" s="1561"/>
      <c r="NM133" s="491"/>
      <c r="NN133" s="491"/>
      <c r="NO133" s="491"/>
      <c r="NP133" s="1602" t="s">
        <v>2029</v>
      </c>
      <c r="NQ133" s="1602"/>
      <c r="NR133" s="1602"/>
      <c r="NS133" s="1602"/>
      <c r="NT133" s="1602"/>
      <c r="NU133" s="1602"/>
      <c r="NV133" s="1602"/>
      <c r="NW133" s="1602"/>
      <c r="NX133" s="1602"/>
      <c r="NY133" s="1602"/>
      <c r="NZ133" s="491"/>
      <c r="OA133" s="491"/>
      <c r="OB133" s="491"/>
      <c r="OC133" s="1601" t="s">
        <v>5245</v>
      </c>
      <c r="OD133" s="1601"/>
      <c r="OE133" s="1601"/>
      <c r="OF133" s="1601"/>
      <c r="OG133" s="1601"/>
      <c r="OH133" s="1601"/>
      <c r="OI133" s="1601"/>
      <c r="OJ133" s="1601"/>
      <c r="OK133" s="1601"/>
      <c r="OL133" s="1601"/>
      <c r="OM133" s="491"/>
      <c r="ON133" s="491"/>
      <c r="OO133" s="491"/>
      <c r="OP133" s="507"/>
      <c r="OQ133" s="1520"/>
      <c r="OR133" s="1520"/>
      <c r="OS133" s="1520"/>
      <c r="OT133" s="1520"/>
      <c r="OU133" s="1520"/>
      <c r="OV133" s="1520"/>
      <c r="OW133" s="1520"/>
      <c r="OX133" s="1520"/>
      <c r="OY133" s="1520"/>
      <c r="OZ133" s="491"/>
      <c r="PA133" s="491"/>
      <c r="PB133" s="491"/>
      <c r="PC133" s="1601" t="s">
        <v>1459</v>
      </c>
      <c r="PD133" s="1601"/>
      <c r="PE133" s="1601"/>
      <c r="PF133" s="1601"/>
      <c r="PG133" s="1601"/>
      <c r="PH133" s="1601"/>
      <c r="PI133" s="1601"/>
      <c r="PJ133" s="1601"/>
      <c r="PK133" s="1601"/>
      <c r="PL133" s="1601"/>
      <c r="PM133" s="491"/>
      <c r="PN133" s="564"/>
      <c r="PW133" s="482"/>
      <c r="TW133" s="689"/>
      <c r="TX133" s="689"/>
    </row>
    <row r="134" spans="11:544" ht="12.75" customHeight="1" x14ac:dyDescent="0.35">
      <c r="K134" s="482"/>
      <c r="Q134" s="578"/>
      <c r="R134" s="513">
        <v>1</v>
      </c>
      <c r="S134" s="1456" t="s">
        <v>5220</v>
      </c>
      <c r="T134" s="1457"/>
      <c r="U134" s="1457"/>
      <c r="V134" s="1457"/>
      <c r="W134" s="1457"/>
      <c r="X134" s="1457"/>
      <c r="Y134" s="1457"/>
      <c r="Z134" s="1457"/>
      <c r="AA134" s="1458"/>
      <c r="AB134" s="491"/>
      <c r="AC134" s="491"/>
      <c r="AD134" s="513">
        <v>1</v>
      </c>
      <c r="AE134" s="1456" t="s">
        <v>5220</v>
      </c>
      <c r="AF134" s="1457"/>
      <c r="AG134" s="1457"/>
      <c r="AH134" s="1457"/>
      <c r="AI134" s="1457"/>
      <c r="AJ134" s="1457"/>
      <c r="AK134" s="1457"/>
      <c r="AL134" s="1457"/>
      <c r="AM134" s="1458"/>
      <c r="AN134" s="491"/>
      <c r="AO134" s="491"/>
      <c r="AP134" s="513">
        <v>1</v>
      </c>
      <c r="AQ134" s="1456" t="s">
        <v>5220</v>
      </c>
      <c r="AR134" s="1457"/>
      <c r="AS134" s="1457"/>
      <c r="AT134" s="1457"/>
      <c r="AU134" s="1457"/>
      <c r="AV134" s="1457"/>
      <c r="AW134" s="1457"/>
      <c r="AX134" s="1457"/>
      <c r="AY134" s="1458"/>
      <c r="AZ134" s="564"/>
      <c r="BD134" s="578"/>
      <c r="BE134" s="1447" t="s">
        <v>5246</v>
      </c>
      <c r="BF134" s="1448"/>
      <c r="BG134" s="1448"/>
      <c r="BH134" s="1448"/>
      <c r="BI134" s="1448"/>
      <c r="BJ134" s="1448"/>
      <c r="BK134" s="1448"/>
      <c r="BL134" s="1448"/>
      <c r="BM134" s="1448"/>
      <c r="BN134" s="1449"/>
      <c r="BO134" s="491"/>
      <c r="BP134" s="611"/>
      <c r="BQ134" s="1547" t="s">
        <v>5247</v>
      </c>
      <c r="BR134" s="1548"/>
      <c r="BS134" s="1548"/>
      <c r="BT134" s="1548"/>
      <c r="BU134" s="1548"/>
      <c r="BV134" s="1548"/>
      <c r="BW134" s="1548"/>
      <c r="BX134" s="1548"/>
      <c r="BY134" s="1548"/>
      <c r="BZ134" s="1549"/>
      <c r="CA134" s="564"/>
      <c r="CE134" s="578"/>
      <c r="CF134" s="639">
        <v>1</v>
      </c>
      <c r="CG134" s="1519" t="s">
        <v>5243</v>
      </c>
      <c r="CH134" s="1519"/>
      <c r="CI134" s="1519"/>
      <c r="CJ134" s="1519"/>
      <c r="CK134" s="1519"/>
      <c r="CL134" s="1519"/>
      <c r="CM134" s="1519"/>
      <c r="CN134" s="1519"/>
      <c r="CO134" s="1519"/>
      <c r="CP134" s="491"/>
      <c r="CQ134" s="491"/>
      <c r="CR134" s="513">
        <v>1</v>
      </c>
      <c r="CS134" s="1456" t="s">
        <v>218</v>
      </c>
      <c r="CT134" s="1457"/>
      <c r="CU134" s="1457"/>
      <c r="CV134" s="1457"/>
      <c r="CW134" s="1457"/>
      <c r="CX134" s="1457"/>
      <c r="CY134" s="1457"/>
      <c r="CZ134" s="1457"/>
      <c r="DA134" s="1458"/>
      <c r="DB134" s="491"/>
      <c r="DC134" s="491"/>
      <c r="DD134" s="513">
        <v>1</v>
      </c>
      <c r="DE134" s="1456" t="s">
        <v>5173</v>
      </c>
      <c r="DF134" s="1457"/>
      <c r="DG134" s="1457"/>
      <c r="DH134" s="1457"/>
      <c r="DI134" s="1457"/>
      <c r="DJ134" s="1457"/>
      <c r="DK134" s="1457"/>
      <c r="DL134" s="1457"/>
      <c r="DM134" s="1458"/>
      <c r="DN134" s="723"/>
      <c r="DO134" s="478"/>
      <c r="DP134" s="478"/>
      <c r="DR134" s="724"/>
      <c r="DS134" s="491"/>
      <c r="DT134" s="491"/>
      <c r="DU134" s="491"/>
      <c r="DV134" s="491"/>
      <c r="DW134" s="491"/>
      <c r="DX134" s="491"/>
      <c r="DY134" s="1447" t="s">
        <v>5248</v>
      </c>
      <c r="DZ134" s="1448"/>
      <c r="EA134" s="1448"/>
      <c r="EB134" s="1448"/>
      <c r="EC134" s="1448"/>
      <c r="ED134" s="1448"/>
      <c r="EE134" s="1448"/>
      <c r="EF134" s="1448"/>
      <c r="EG134" s="1448"/>
      <c r="EH134" s="1449"/>
      <c r="EI134" s="491"/>
      <c r="EJ134" s="491"/>
      <c r="EK134" s="491"/>
      <c r="EL134" s="491"/>
      <c r="EM134" s="491"/>
      <c r="EN134" s="491"/>
      <c r="EO134" s="564"/>
      <c r="ES134" s="578"/>
      <c r="ET134" s="491"/>
      <c r="EU134" s="491"/>
      <c r="EV134" s="725">
        <v>1</v>
      </c>
      <c r="EW134" s="1469" t="s">
        <v>5163</v>
      </c>
      <c r="EX134" s="1469"/>
      <c r="EY134" s="1469"/>
      <c r="EZ134" s="1469"/>
      <c r="FA134" s="1469"/>
      <c r="FB134" s="1469"/>
      <c r="FC134" s="1469"/>
      <c r="FD134" s="1469"/>
      <c r="FE134" s="1469"/>
      <c r="FF134" s="491"/>
      <c r="FG134" s="491"/>
      <c r="FH134" s="491"/>
      <c r="FI134" s="491"/>
      <c r="FJ134" s="491"/>
      <c r="FK134" s="491"/>
      <c r="FL134" s="491"/>
      <c r="FM134" s="491"/>
      <c r="FN134" s="491"/>
      <c r="FO134" s="491"/>
      <c r="FP134" s="491"/>
      <c r="FQ134" s="491"/>
      <c r="FR134" s="491"/>
      <c r="FS134" s="491"/>
      <c r="FT134" s="491"/>
      <c r="FU134" s="491"/>
      <c r="FV134" s="491"/>
      <c r="FW134" s="564"/>
      <c r="FZ134" s="578"/>
      <c r="GA134" s="710">
        <v>1</v>
      </c>
      <c r="GB134" s="1567" t="s">
        <v>5164</v>
      </c>
      <c r="GC134" s="1568"/>
      <c r="GD134" s="1568"/>
      <c r="GE134" s="1568"/>
      <c r="GF134" s="1568"/>
      <c r="GG134" s="1568"/>
      <c r="GH134" s="1568"/>
      <c r="GI134" s="1568"/>
      <c r="GJ134" s="1569"/>
      <c r="GK134" s="704"/>
      <c r="GL134" s="704"/>
      <c r="GM134" s="710">
        <v>1</v>
      </c>
      <c r="GN134" s="1567" t="s">
        <v>5165</v>
      </c>
      <c r="GO134" s="1568"/>
      <c r="GP134" s="1568"/>
      <c r="GQ134" s="1568"/>
      <c r="GR134" s="1568"/>
      <c r="GS134" s="1568"/>
      <c r="GT134" s="1568"/>
      <c r="GU134" s="1568"/>
      <c r="GV134" s="1569"/>
      <c r="GW134" s="1564"/>
      <c r="GX134" s="1565"/>
      <c r="GY134" s="1566"/>
      <c r="GZ134" s="710">
        <v>1</v>
      </c>
      <c r="HA134" s="1567" t="s">
        <v>5165</v>
      </c>
      <c r="HB134" s="1568"/>
      <c r="HC134" s="1568"/>
      <c r="HD134" s="1568"/>
      <c r="HE134" s="1568"/>
      <c r="HF134" s="1568"/>
      <c r="HG134" s="1568"/>
      <c r="HH134" s="1568"/>
      <c r="HI134" s="1569"/>
      <c r="HJ134" s="1564"/>
      <c r="HK134" s="1565"/>
      <c r="HL134" s="1566"/>
      <c r="HM134" s="710">
        <v>1</v>
      </c>
      <c r="HN134" s="1567" t="s">
        <v>5165</v>
      </c>
      <c r="HO134" s="1568"/>
      <c r="HP134" s="1568"/>
      <c r="HQ134" s="1568"/>
      <c r="HR134" s="1568"/>
      <c r="HS134" s="1568"/>
      <c r="HT134" s="1568"/>
      <c r="HU134" s="1568"/>
      <c r="HV134" s="1569"/>
      <c r="HW134" s="1564"/>
      <c r="HX134" s="1565"/>
      <c r="HY134" s="1566"/>
      <c r="HZ134" s="710">
        <v>1</v>
      </c>
      <c r="IA134" s="1567" t="s">
        <v>5165</v>
      </c>
      <c r="IB134" s="1568"/>
      <c r="IC134" s="1568"/>
      <c r="ID134" s="1568"/>
      <c r="IE134" s="1568"/>
      <c r="IF134" s="1568"/>
      <c r="IG134" s="1568"/>
      <c r="IH134" s="1568"/>
      <c r="II134" s="1569"/>
      <c r="IJ134" s="1564"/>
      <c r="IK134" s="1566"/>
      <c r="IL134" s="710">
        <v>1</v>
      </c>
      <c r="IM134" s="1567" t="s">
        <v>5165</v>
      </c>
      <c r="IN134" s="1568"/>
      <c r="IO134" s="1568"/>
      <c r="IP134" s="1568"/>
      <c r="IQ134" s="1568"/>
      <c r="IR134" s="1568"/>
      <c r="IS134" s="1568"/>
      <c r="IT134" s="1568"/>
      <c r="IU134" s="1569"/>
      <c r="IV134" s="564"/>
      <c r="IZ134" s="578"/>
      <c r="JA134" s="1447" t="s">
        <v>5249</v>
      </c>
      <c r="JB134" s="1448"/>
      <c r="JC134" s="1448"/>
      <c r="JD134" s="1448"/>
      <c r="JE134" s="1448"/>
      <c r="JF134" s="1448"/>
      <c r="JG134" s="1448"/>
      <c r="JH134" s="1448"/>
      <c r="JI134" s="1448"/>
      <c r="JJ134" s="1449"/>
      <c r="JK134" s="632"/>
      <c r="JL134" s="1447" t="s">
        <v>3157</v>
      </c>
      <c r="JM134" s="1448"/>
      <c r="JN134" s="1448"/>
      <c r="JO134" s="1448"/>
      <c r="JP134" s="1448"/>
      <c r="JQ134" s="1448"/>
      <c r="JR134" s="1448"/>
      <c r="JS134" s="1448"/>
      <c r="JT134" s="1448"/>
      <c r="JU134" s="1449"/>
      <c r="JV134" s="491"/>
      <c r="JW134" s="1536"/>
      <c r="JX134" s="1536"/>
      <c r="JY134" s="1536"/>
      <c r="JZ134" s="1536"/>
      <c r="KA134" s="1536"/>
      <c r="KB134" s="1536"/>
      <c r="KC134" s="1536"/>
      <c r="KD134" s="1536"/>
      <c r="KE134" s="1536"/>
      <c r="KF134" s="1536"/>
      <c r="KG134" s="491"/>
      <c r="KH134" s="491"/>
      <c r="KI134" s="491"/>
      <c r="KJ134" s="491"/>
      <c r="KK134" s="491"/>
      <c r="KL134" s="491"/>
      <c r="KM134" s="491"/>
      <c r="KN134" s="491"/>
      <c r="KO134" s="491"/>
      <c r="KP134" s="491"/>
      <c r="KQ134" s="491"/>
      <c r="KR134" s="491"/>
      <c r="KS134" s="491"/>
      <c r="KT134" s="491"/>
      <c r="KU134" s="491"/>
      <c r="KV134" s="491"/>
      <c r="KW134" s="491"/>
      <c r="KX134" s="491"/>
      <c r="KY134" s="491"/>
      <c r="KZ134" s="491"/>
      <c r="LA134" s="491"/>
      <c r="LB134" s="491"/>
      <c r="LC134" s="491"/>
      <c r="LD134" s="491"/>
      <c r="LE134" s="491"/>
      <c r="LF134" s="491"/>
      <c r="LG134" s="491"/>
      <c r="LH134" s="491"/>
      <c r="LI134" s="491"/>
      <c r="LJ134" s="491"/>
      <c r="LK134" s="491"/>
      <c r="LL134" s="491"/>
      <c r="LM134" s="491"/>
      <c r="LN134" s="491"/>
      <c r="LO134" s="1503" t="s">
        <v>3673</v>
      </c>
      <c r="LP134" s="1504"/>
      <c r="LQ134" s="1504"/>
      <c r="LR134" s="1504"/>
      <c r="LS134" s="1504"/>
      <c r="LT134" s="1504"/>
      <c r="LU134" s="1504"/>
      <c r="LV134" s="1504"/>
      <c r="LW134" s="1504"/>
      <c r="LX134" s="1505"/>
      <c r="LY134" s="491"/>
      <c r="MJ134" s="564"/>
      <c r="MN134" s="578"/>
      <c r="MO134" s="491"/>
      <c r="MP134" s="513">
        <v>1</v>
      </c>
      <c r="MQ134" s="1469" t="s">
        <v>5250</v>
      </c>
      <c r="MR134" s="1469"/>
      <c r="MS134" s="1469"/>
      <c r="MT134" s="1469"/>
      <c r="MU134" s="1469"/>
      <c r="MV134" s="1469"/>
      <c r="MW134" s="1469"/>
      <c r="MX134" s="1469"/>
      <c r="MY134" s="1469"/>
      <c r="MZ134" s="491"/>
      <c r="NA134" s="491"/>
      <c r="NB134" s="491"/>
      <c r="NC134" s="513">
        <v>1</v>
      </c>
      <c r="ND134" s="1469" t="s">
        <v>4764</v>
      </c>
      <c r="NE134" s="1469"/>
      <c r="NF134" s="1469"/>
      <c r="NG134" s="1469"/>
      <c r="NH134" s="1469"/>
      <c r="NI134" s="1469"/>
      <c r="NJ134" s="1469"/>
      <c r="NK134" s="1469"/>
      <c r="NL134" s="1469"/>
      <c r="NM134" s="491"/>
      <c r="NN134" s="491"/>
      <c r="NO134" s="491"/>
      <c r="NP134" s="513">
        <v>1</v>
      </c>
      <c r="NQ134" s="1469" t="s">
        <v>5228</v>
      </c>
      <c r="NR134" s="1469"/>
      <c r="NS134" s="1469"/>
      <c r="NT134" s="1469"/>
      <c r="NU134" s="1469"/>
      <c r="NV134" s="1469"/>
      <c r="NW134" s="1469"/>
      <c r="NX134" s="1469"/>
      <c r="NY134" s="1469"/>
      <c r="NZ134" s="491"/>
      <c r="OA134" s="491"/>
      <c r="OB134" s="491"/>
      <c r="OC134" s="513">
        <v>1</v>
      </c>
      <c r="OD134" s="1469" t="s">
        <v>172</v>
      </c>
      <c r="OE134" s="1469"/>
      <c r="OF134" s="1469"/>
      <c r="OG134" s="1469"/>
      <c r="OH134" s="1469"/>
      <c r="OI134" s="1469"/>
      <c r="OJ134" s="1469"/>
      <c r="OK134" s="1469"/>
      <c r="OL134" s="1469"/>
      <c r="OM134" s="491"/>
      <c r="ON134" s="491"/>
      <c r="OO134" s="491"/>
      <c r="OP134" s="1529"/>
      <c r="OQ134" s="1529" t="s">
        <v>4873</v>
      </c>
      <c r="OR134" s="1529"/>
      <c r="OS134" s="1529"/>
      <c r="OT134" s="1529"/>
      <c r="OU134" s="1529"/>
      <c r="OV134" s="1529"/>
      <c r="OW134" s="1529"/>
      <c r="OX134" s="1529"/>
      <c r="OY134" s="1529"/>
      <c r="OZ134" s="491"/>
      <c r="PA134" s="491"/>
      <c r="PB134" s="491"/>
      <c r="PC134" s="513">
        <v>1</v>
      </c>
      <c r="PD134" s="1469" t="s">
        <v>5229</v>
      </c>
      <c r="PE134" s="1469"/>
      <c r="PF134" s="1469"/>
      <c r="PG134" s="1469"/>
      <c r="PH134" s="1469"/>
      <c r="PI134" s="1469"/>
      <c r="PJ134" s="1469"/>
      <c r="PK134" s="1469"/>
      <c r="PL134" s="1469"/>
      <c r="PM134" s="491"/>
      <c r="PN134" s="564"/>
      <c r="PW134" s="482"/>
    </row>
    <row r="135" spans="11:544" ht="12.75" customHeight="1" x14ac:dyDescent="0.35">
      <c r="K135" s="482"/>
      <c r="Q135" s="578"/>
      <c r="R135" s="1485" t="s">
        <v>4541</v>
      </c>
      <c r="S135" s="1486"/>
      <c r="T135" s="1486"/>
      <c r="U135" s="1486"/>
      <c r="V135" s="1486"/>
      <c r="W135" s="1486"/>
      <c r="X135" s="1486"/>
      <c r="Y135" s="1486"/>
      <c r="Z135" s="1486"/>
      <c r="AA135" s="1487"/>
      <c r="AB135" s="491"/>
      <c r="AC135" s="491"/>
      <c r="AD135" s="1593" t="s">
        <v>3977</v>
      </c>
      <c r="AE135" s="1584"/>
      <c r="AF135" s="1584"/>
      <c r="AG135" s="1584"/>
      <c r="AH135" s="1584"/>
      <c r="AI135" s="1584"/>
      <c r="AJ135" s="1584"/>
      <c r="AK135" s="1584"/>
      <c r="AL135" s="1584"/>
      <c r="AM135" s="1585"/>
      <c r="AN135" s="491"/>
      <c r="AO135" s="491"/>
      <c r="AP135" s="1447" t="s">
        <v>2099</v>
      </c>
      <c r="AQ135" s="1448"/>
      <c r="AR135" s="1448"/>
      <c r="AS135" s="1448"/>
      <c r="AT135" s="1448"/>
      <c r="AU135" s="1448"/>
      <c r="AV135" s="1448"/>
      <c r="AW135" s="1448"/>
      <c r="AX135" s="1448"/>
      <c r="AY135" s="1449"/>
      <c r="AZ135" s="564"/>
      <c r="BD135" s="578"/>
      <c r="BE135" s="513">
        <v>1</v>
      </c>
      <c r="BF135" s="1456" t="s">
        <v>5007</v>
      </c>
      <c r="BG135" s="1457"/>
      <c r="BH135" s="1457"/>
      <c r="BI135" s="1457"/>
      <c r="BJ135" s="1457"/>
      <c r="BK135" s="1457"/>
      <c r="BL135" s="1457"/>
      <c r="BM135" s="1457"/>
      <c r="BN135" s="1458"/>
      <c r="BO135" s="719"/>
      <c r="BP135" s="491"/>
      <c r="BQ135" s="513">
        <v>1</v>
      </c>
      <c r="BR135" s="1456" t="s">
        <v>5007</v>
      </c>
      <c r="BS135" s="1457"/>
      <c r="BT135" s="1457"/>
      <c r="BU135" s="1457"/>
      <c r="BV135" s="1457"/>
      <c r="BW135" s="1457"/>
      <c r="BX135" s="1457"/>
      <c r="BY135" s="1457"/>
      <c r="BZ135" s="1458"/>
      <c r="CA135" s="564"/>
      <c r="CE135" s="578"/>
      <c r="CF135" s="1597" t="s">
        <v>2301</v>
      </c>
      <c r="CG135" s="1597"/>
      <c r="CH135" s="1597"/>
      <c r="CI135" s="1597"/>
      <c r="CJ135" s="1597"/>
      <c r="CK135" s="1597"/>
      <c r="CL135" s="1597"/>
      <c r="CM135" s="1597"/>
      <c r="CN135" s="1597"/>
      <c r="CO135" s="1597"/>
      <c r="CP135" s="491"/>
      <c r="CQ135" s="491"/>
      <c r="CR135" s="1447" t="s">
        <v>2645</v>
      </c>
      <c r="CS135" s="1448"/>
      <c r="CT135" s="1448"/>
      <c r="CU135" s="1448"/>
      <c r="CV135" s="1448"/>
      <c r="CW135" s="1448"/>
      <c r="CX135" s="1448"/>
      <c r="CY135" s="1448"/>
      <c r="CZ135" s="1448"/>
      <c r="DA135" s="1449"/>
      <c r="DB135" s="491"/>
      <c r="DC135" s="491"/>
      <c r="DD135" s="1447" t="s">
        <v>2558</v>
      </c>
      <c r="DE135" s="1448"/>
      <c r="DF135" s="1448"/>
      <c r="DG135" s="1448"/>
      <c r="DH135" s="1448"/>
      <c r="DI135" s="1448"/>
      <c r="DJ135" s="1448"/>
      <c r="DK135" s="1448"/>
      <c r="DL135" s="1448"/>
      <c r="DM135" s="1449"/>
      <c r="DN135" s="656"/>
      <c r="DO135" s="483"/>
      <c r="DP135" s="483"/>
      <c r="DR135" s="578"/>
      <c r="DS135" s="491"/>
      <c r="DT135" s="491"/>
      <c r="DU135" s="491"/>
      <c r="DV135" s="491"/>
      <c r="DW135" s="491"/>
      <c r="DX135" s="491"/>
      <c r="DY135" s="513">
        <v>1</v>
      </c>
      <c r="DZ135" s="1456" t="s">
        <v>5179</v>
      </c>
      <c r="EA135" s="1457"/>
      <c r="EB135" s="1457"/>
      <c r="EC135" s="1457"/>
      <c r="ED135" s="1457"/>
      <c r="EE135" s="1457"/>
      <c r="EF135" s="1457"/>
      <c r="EG135" s="1457"/>
      <c r="EH135" s="1458"/>
      <c r="EI135" s="491"/>
      <c r="EJ135" s="491"/>
      <c r="EK135" s="491"/>
      <c r="EL135" s="491"/>
      <c r="EM135" s="491"/>
      <c r="EN135" s="491"/>
      <c r="EO135" s="564"/>
      <c r="ES135" s="578"/>
      <c r="ET135" s="491"/>
      <c r="EU135" s="491"/>
      <c r="EV135" s="1472" t="s">
        <v>2948</v>
      </c>
      <c r="EW135" s="1472"/>
      <c r="EX135" s="1472"/>
      <c r="EY135" s="1472"/>
      <c r="EZ135" s="1472"/>
      <c r="FA135" s="1472"/>
      <c r="FB135" s="1472"/>
      <c r="FC135" s="1472"/>
      <c r="FD135" s="1472"/>
      <c r="FE135" s="1472"/>
      <c r="FF135" s="491"/>
      <c r="FG135" s="491"/>
      <c r="FH135" s="491"/>
      <c r="FI135" s="491"/>
      <c r="FJ135" s="491"/>
      <c r="FK135" s="491"/>
      <c r="FL135" s="491"/>
      <c r="FM135" s="491"/>
      <c r="FN135" s="491"/>
      <c r="FO135" s="491"/>
      <c r="FP135" s="491"/>
      <c r="FQ135" s="491"/>
      <c r="FR135" s="491"/>
      <c r="FS135" s="491"/>
      <c r="FT135" s="491"/>
      <c r="FU135" s="491"/>
      <c r="FV135" s="491"/>
      <c r="FW135" s="564"/>
      <c r="FZ135" s="578"/>
      <c r="GA135" s="1512" t="s">
        <v>2081</v>
      </c>
      <c r="GB135" s="1513"/>
      <c r="GC135" s="1513"/>
      <c r="GD135" s="1513"/>
      <c r="GE135" s="1513"/>
      <c r="GF135" s="1513"/>
      <c r="GG135" s="1513"/>
      <c r="GH135" s="1513"/>
      <c r="GI135" s="1513"/>
      <c r="GJ135" s="1514"/>
      <c r="GK135" s="704"/>
      <c r="GL135" s="704"/>
      <c r="GM135" s="1450" t="s">
        <v>1961</v>
      </c>
      <c r="GN135" s="1451"/>
      <c r="GO135" s="1451"/>
      <c r="GP135" s="1451"/>
      <c r="GQ135" s="1451"/>
      <c r="GR135" s="1451"/>
      <c r="GS135" s="1451"/>
      <c r="GT135" s="1451"/>
      <c r="GU135" s="1451"/>
      <c r="GV135" s="1452"/>
      <c r="GW135" s="1564"/>
      <c r="GX135" s="1565"/>
      <c r="GY135" s="1566"/>
      <c r="GZ135" s="1450" t="s">
        <v>3852</v>
      </c>
      <c r="HA135" s="1451"/>
      <c r="HB135" s="1451"/>
      <c r="HC135" s="1451"/>
      <c r="HD135" s="1451"/>
      <c r="HE135" s="1451"/>
      <c r="HF135" s="1451"/>
      <c r="HG135" s="1451"/>
      <c r="HH135" s="1451"/>
      <c r="HI135" s="1452"/>
      <c r="HJ135" s="1564"/>
      <c r="HK135" s="1565"/>
      <c r="HL135" s="1566"/>
      <c r="HM135" s="1450" t="s">
        <v>1535</v>
      </c>
      <c r="HN135" s="1451"/>
      <c r="HO135" s="1451"/>
      <c r="HP135" s="1451"/>
      <c r="HQ135" s="1451"/>
      <c r="HR135" s="1451"/>
      <c r="HS135" s="1451"/>
      <c r="HT135" s="1451"/>
      <c r="HU135" s="1451"/>
      <c r="HV135" s="1452"/>
      <c r="HW135" s="1564"/>
      <c r="HX135" s="1565"/>
      <c r="HY135" s="1566"/>
      <c r="HZ135" s="1450" t="s">
        <v>5251</v>
      </c>
      <c r="IA135" s="1451"/>
      <c r="IB135" s="1451"/>
      <c r="IC135" s="1451"/>
      <c r="ID135" s="1451"/>
      <c r="IE135" s="1451"/>
      <c r="IF135" s="1451"/>
      <c r="IG135" s="1451"/>
      <c r="IH135" s="1451"/>
      <c r="II135" s="1452"/>
      <c r="IJ135" s="1564"/>
      <c r="IK135" s="1566"/>
      <c r="IL135" s="1450" t="s">
        <v>3607</v>
      </c>
      <c r="IM135" s="1451"/>
      <c r="IN135" s="1451"/>
      <c r="IO135" s="1451"/>
      <c r="IP135" s="1451"/>
      <c r="IQ135" s="1451"/>
      <c r="IR135" s="1451"/>
      <c r="IS135" s="1451"/>
      <c r="IT135" s="1451"/>
      <c r="IU135" s="1452"/>
      <c r="IV135" s="564"/>
      <c r="IZ135" s="578"/>
      <c r="JA135" s="513">
        <v>1</v>
      </c>
      <c r="JB135" s="1456" t="s">
        <v>5243</v>
      </c>
      <c r="JC135" s="1457"/>
      <c r="JD135" s="1457"/>
      <c r="JE135" s="1457"/>
      <c r="JF135" s="1457"/>
      <c r="JG135" s="1457"/>
      <c r="JH135" s="1457"/>
      <c r="JI135" s="1457"/>
      <c r="JJ135" s="1458"/>
      <c r="JK135" s="632"/>
      <c r="JL135" s="711"/>
      <c r="JM135" s="1579"/>
      <c r="JN135" s="1580"/>
      <c r="JO135" s="1580"/>
      <c r="JP135" s="1580"/>
      <c r="JQ135" s="1580"/>
      <c r="JR135" s="1580"/>
      <c r="JS135" s="1580"/>
      <c r="JT135" s="1580"/>
      <c r="JU135" s="1581"/>
      <c r="JV135" s="491"/>
      <c r="JW135" s="632"/>
      <c r="JX135" s="632"/>
      <c r="JY135" s="632"/>
      <c r="JZ135" s="632"/>
      <c r="KA135" s="632"/>
      <c r="KB135" s="632"/>
      <c r="KC135" s="632"/>
      <c r="KD135" s="632"/>
      <c r="KE135" s="632"/>
      <c r="KF135" s="632"/>
      <c r="KG135" s="632"/>
      <c r="KH135" s="632"/>
      <c r="KI135" s="632"/>
      <c r="KJ135" s="632"/>
      <c r="KK135" s="632"/>
      <c r="KL135" s="491"/>
      <c r="KM135" s="491"/>
      <c r="KN135" s="491"/>
      <c r="KO135" s="491"/>
      <c r="KP135" s="491"/>
      <c r="KQ135" s="491"/>
      <c r="KR135" s="491"/>
      <c r="KS135" s="491"/>
      <c r="KT135" s="491"/>
      <c r="KU135" s="491"/>
      <c r="KV135" s="491"/>
      <c r="KW135" s="491"/>
      <c r="KX135" s="491"/>
      <c r="KY135" s="491"/>
      <c r="KZ135" s="491"/>
      <c r="LA135" s="491"/>
      <c r="LB135" s="491"/>
      <c r="LC135" s="491"/>
      <c r="LD135" s="491"/>
      <c r="LE135" s="491"/>
      <c r="LF135" s="491"/>
      <c r="LG135" s="491"/>
      <c r="LH135" s="491"/>
      <c r="LI135" s="491"/>
      <c r="LJ135" s="491"/>
      <c r="LK135" s="491"/>
      <c r="LL135" s="491"/>
      <c r="LM135" s="491"/>
      <c r="LN135" s="491"/>
      <c r="LO135" s="513">
        <v>1</v>
      </c>
      <c r="LP135" s="1456" t="s">
        <v>5203</v>
      </c>
      <c r="LQ135" s="1457"/>
      <c r="LR135" s="1457"/>
      <c r="LS135" s="1457"/>
      <c r="LT135" s="1457"/>
      <c r="LU135" s="1457"/>
      <c r="LV135" s="1457"/>
      <c r="LW135" s="1457"/>
      <c r="LX135" s="1458"/>
      <c r="LY135" s="491"/>
      <c r="MJ135" s="564"/>
      <c r="MN135" s="578"/>
      <c r="MO135" s="491"/>
      <c r="MP135" s="1561" t="s">
        <v>5252</v>
      </c>
      <c r="MQ135" s="1561"/>
      <c r="MR135" s="1561"/>
      <c r="MS135" s="1561"/>
      <c r="MT135" s="1561"/>
      <c r="MU135" s="1561"/>
      <c r="MV135" s="1561"/>
      <c r="MW135" s="1561"/>
      <c r="MX135" s="1561"/>
      <c r="MY135" s="1561"/>
      <c r="MZ135" s="491"/>
      <c r="NA135" s="491"/>
      <c r="NB135" s="491"/>
      <c r="NC135" s="1561" t="s">
        <v>2419</v>
      </c>
      <c r="ND135" s="1561"/>
      <c r="NE135" s="1561"/>
      <c r="NF135" s="1561"/>
      <c r="NG135" s="1561"/>
      <c r="NH135" s="1561"/>
      <c r="NI135" s="1561"/>
      <c r="NJ135" s="1561"/>
      <c r="NK135" s="1561"/>
      <c r="NL135" s="1561"/>
      <c r="NM135" s="491"/>
      <c r="NN135" s="491"/>
      <c r="NO135" s="491"/>
      <c r="NP135" s="1561" t="s">
        <v>3422</v>
      </c>
      <c r="NQ135" s="1561"/>
      <c r="NR135" s="1561"/>
      <c r="NS135" s="1561"/>
      <c r="NT135" s="1561"/>
      <c r="NU135" s="1561"/>
      <c r="NV135" s="1561"/>
      <c r="NW135" s="1561"/>
      <c r="NX135" s="1561"/>
      <c r="NY135" s="1561"/>
      <c r="NZ135" s="491"/>
      <c r="OA135" s="491"/>
      <c r="OB135" s="491"/>
      <c r="OC135" s="1561" t="s">
        <v>1921</v>
      </c>
      <c r="OD135" s="1561"/>
      <c r="OE135" s="1561"/>
      <c r="OF135" s="1561"/>
      <c r="OG135" s="1561"/>
      <c r="OH135" s="1561"/>
      <c r="OI135" s="1561"/>
      <c r="OJ135" s="1561"/>
      <c r="OK135" s="1561"/>
      <c r="OL135" s="1561"/>
      <c r="OM135" s="491"/>
      <c r="ON135" s="491"/>
      <c r="OO135" s="491"/>
      <c r="OP135" s="639">
        <v>1</v>
      </c>
      <c r="OQ135" s="1519" t="s">
        <v>5232</v>
      </c>
      <c r="OR135" s="1519"/>
      <c r="OS135" s="1519"/>
      <c r="OT135" s="1519"/>
      <c r="OU135" s="1519"/>
      <c r="OV135" s="1519"/>
      <c r="OW135" s="1519"/>
      <c r="OX135" s="1519"/>
      <c r="OY135" s="1519"/>
      <c r="OZ135" s="491"/>
      <c r="PA135" s="491"/>
      <c r="PB135" s="491"/>
      <c r="PC135" s="1561" t="s">
        <v>1504</v>
      </c>
      <c r="PD135" s="1561"/>
      <c r="PE135" s="1561"/>
      <c r="PF135" s="1561"/>
      <c r="PG135" s="1561"/>
      <c r="PH135" s="1561"/>
      <c r="PI135" s="1561"/>
      <c r="PJ135" s="1561"/>
      <c r="PK135" s="1561"/>
      <c r="PL135" s="1561"/>
      <c r="PM135" s="491"/>
      <c r="PN135" s="564"/>
      <c r="PW135" s="482"/>
      <c r="TW135" s="689"/>
      <c r="TX135" s="689"/>
    </row>
    <row r="136" spans="11:544" ht="12.75" customHeight="1" x14ac:dyDescent="0.35">
      <c r="K136" s="482"/>
      <c r="Q136" s="578"/>
      <c r="R136" s="513">
        <v>1</v>
      </c>
      <c r="S136" s="1456" t="s">
        <v>5220</v>
      </c>
      <c r="T136" s="1457"/>
      <c r="U136" s="1457"/>
      <c r="V136" s="1457"/>
      <c r="W136" s="1457"/>
      <c r="X136" s="1457"/>
      <c r="Y136" s="1457"/>
      <c r="Z136" s="1457"/>
      <c r="AA136" s="1458"/>
      <c r="AB136" s="491"/>
      <c r="AC136" s="491"/>
      <c r="AD136" s="513">
        <v>1</v>
      </c>
      <c r="AE136" s="1456" t="s">
        <v>5220</v>
      </c>
      <c r="AF136" s="1457"/>
      <c r="AG136" s="1457"/>
      <c r="AH136" s="1457"/>
      <c r="AI136" s="1457"/>
      <c r="AJ136" s="1457"/>
      <c r="AK136" s="1457"/>
      <c r="AL136" s="1457"/>
      <c r="AM136" s="1458"/>
      <c r="AN136" s="491"/>
      <c r="AO136" s="491"/>
      <c r="AP136" s="513">
        <v>1</v>
      </c>
      <c r="AQ136" s="1456" t="s">
        <v>5220</v>
      </c>
      <c r="AR136" s="1457"/>
      <c r="AS136" s="1457"/>
      <c r="AT136" s="1457"/>
      <c r="AU136" s="1457"/>
      <c r="AV136" s="1457"/>
      <c r="AW136" s="1457"/>
      <c r="AX136" s="1457"/>
      <c r="AY136" s="1458"/>
      <c r="AZ136" s="564"/>
      <c r="BC136" s="708"/>
      <c r="BD136" s="491"/>
      <c r="BE136" s="1447" t="s">
        <v>5253</v>
      </c>
      <c r="BF136" s="1448"/>
      <c r="BG136" s="1448"/>
      <c r="BH136" s="1448"/>
      <c r="BI136" s="1448"/>
      <c r="BJ136" s="1448"/>
      <c r="BK136" s="1448"/>
      <c r="BL136" s="1448"/>
      <c r="BM136" s="1448"/>
      <c r="BN136" s="1449"/>
      <c r="BO136" s="719"/>
      <c r="BP136" s="491"/>
      <c r="BQ136" s="1503" t="s">
        <v>5254</v>
      </c>
      <c r="BR136" s="1504"/>
      <c r="BS136" s="1504"/>
      <c r="BT136" s="1504"/>
      <c r="BU136" s="1504"/>
      <c r="BV136" s="1504"/>
      <c r="BW136" s="1504"/>
      <c r="BX136" s="1504"/>
      <c r="BY136" s="1504"/>
      <c r="BZ136" s="1505"/>
      <c r="CA136" s="564"/>
      <c r="CE136" s="578"/>
      <c r="CF136" s="513">
        <v>1</v>
      </c>
      <c r="CG136" s="1456" t="s">
        <v>5122</v>
      </c>
      <c r="CH136" s="1457"/>
      <c r="CI136" s="1457"/>
      <c r="CJ136" s="1457"/>
      <c r="CK136" s="1457"/>
      <c r="CL136" s="1457"/>
      <c r="CM136" s="1457"/>
      <c r="CN136" s="1457"/>
      <c r="CO136" s="1458"/>
      <c r="CP136" s="491"/>
      <c r="CQ136" s="491"/>
      <c r="CR136" s="513">
        <v>1</v>
      </c>
      <c r="CS136" s="1456" t="s">
        <v>5255</v>
      </c>
      <c r="CT136" s="1457"/>
      <c r="CU136" s="1457"/>
      <c r="CV136" s="1457"/>
      <c r="CW136" s="1457"/>
      <c r="CX136" s="1457"/>
      <c r="CY136" s="1457"/>
      <c r="CZ136" s="1457"/>
      <c r="DA136" s="1458"/>
      <c r="DB136" s="491"/>
      <c r="DC136" s="491"/>
      <c r="DD136" s="513">
        <v>1</v>
      </c>
      <c r="DE136" s="1456" t="s">
        <v>5007</v>
      </c>
      <c r="DF136" s="1457"/>
      <c r="DG136" s="1457"/>
      <c r="DH136" s="1457"/>
      <c r="DI136" s="1457"/>
      <c r="DJ136" s="1457"/>
      <c r="DK136" s="1457"/>
      <c r="DL136" s="1457"/>
      <c r="DM136" s="1458"/>
      <c r="DN136" s="723"/>
      <c r="DO136" s="478"/>
      <c r="DP136" s="478"/>
      <c r="DR136" s="578"/>
      <c r="DS136" s="491"/>
      <c r="DT136" s="491"/>
      <c r="DU136" s="491"/>
      <c r="DV136" s="491"/>
      <c r="DW136" s="491"/>
      <c r="DX136" s="491"/>
      <c r="DY136" s="1447" t="s">
        <v>5256</v>
      </c>
      <c r="DZ136" s="1448"/>
      <c r="EA136" s="1448"/>
      <c r="EB136" s="1448"/>
      <c r="EC136" s="1448"/>
      <c r="ED136" s="1448"/>
      <c r="EE136" s="1448"/>
      <c r="EF136" s="1448"/>
      <c r="EG136" s="1448"/>
      <c r="EH136" s="1449"/>
      <c r="EI136" s="491"/>
      <c r="EJ136" s="491"/>
      <c r="EK136" s="491"/>
      <c r="EL136" s="491"/>
      <c r="EM136" s="491"/>
      <c r="EN136" s="491"/>
      <c r="EO136" s="564"/>
      <c r="ES136" s="578"/>
      <c r="ET136" s="491"/>
      <c r="EU136" s="491"/>
      <c r="EV136" s="725">
        <v>1</v>
      </c>
      <c r="EW136" s="1469" t="s">
        <v>5183</v>
      </c>
      <c r="EX136" s="1469"/>
      <c r="EY136" s="1469"/>
      <c r="EZ136" s="1469"/>
      <c r="FA136" s="1469"/>
      <c r="FB136" s="1469"/>
      <c r="FC136" s="1469"/>
      <c r="FD136" s="1469"/>
      <c r="FE136" s="1469"/>
      <c r="FF136" s="491"/>
      <c r="FG136" s="491"/>
      <c r="FH136" s="491"/>
      <c r="FI136" s="491"/>
      <c r="FJ136" s="491"/>
      <c r="FK136" s="491"/>
      <c r="FL136" s="491"/>
      <c r="FM136" s="491"/>
      <c r="FN136" s="491"/>
      <c r="FO136" s="491"/>
      <c r="FP136" s="491"/>
      <c r="FQ136" s="491"/>
      <c r="FR136" s="491"/>
      <c r="FS136" s="491"/>
      <c r="FT136" s="491"/>
      <c r="FU136" s="491"/>
      <c r="FV136" s="491"/>
      <c r="FW136" s="564"/>
      <c r="FZ136" s="578"/>
      <c r="GK136" s="704"/>
      <c r="GL136" s="704"/>
      <c r="GM136" s="710">
        <v>1</v>
      </c>
      <c r="GN136" s="1567" t="s">
        <v>5165</v>
      </c>
      <c r="GO136" s="1568"/>
      <c r="GP136" s="1568"/>
      <c r="GQ136" s="1568"/>
      <c r="GR136" s="1568"/>
      <c r="GS136" s="1568"/>
      <c r="GT136" s="1568"/>
      <c r="GU136" s="1568"/>
      <c r="GV136" s="1569"/>
      <c r="GW136" s="1564"/>
      <c r="GX136" s="1565"/>
      <c r="GY136" s="1566"/>
      <c r="GZ136" s="710">
        <v>1</v>
      </c>
      <c r="HA136" s="1567" t="s">
        <v>5165</v>
      </c>
      <c r="HB136" s="1568"/>
      <c r="HC136" s="1568"/>
      <c r="HD136" s="1568"/>
      <c r="HE136" s="1568"/>
      <c r="HF136" s="1568"/>
      <c r="HG136" s="1568"/>
      <c r="HH136" s="1568"/>
      <c r="HI136" s="1569"/>
      <c r="HJ136" s="1564"/>
      <c r="HK136" s="1565"/>
      <c r="HL136" s="1566"/>
      <c r="HM136" s="710">
        <v>1</v>
      </c>
      <c r="HN136" s="1567" t="s">
        <v>5174</v>
      </c>
      <c r="HO136" s="1568"/>
      <c r="HP136" s="1568"/>
      <c r="HQ136" s="1568"/>
      <c r="HR136" s="1568"/>
      <c r="HS136" s="1568"/>
      <c r="HT136" s="1568"/>
      <c r="HU136" s="1568"/>
      <c r="HV136" s="1569"/>
      <c r="HW136" s="1564"/>
      <c r="HX136" s="1565"/>
      <c r="HY136" s="1566"/>
      <c r="HZ136" s="710">
        <v>1</v>
      </c>
      <c r="IA136" s="1567" t="s">
        <v>5165</v>
      </c>
      <c r="IB136" s="1568"/>
      <c r="IC136" s="1568"/>
      <c r="ID136" s="1568"/>
      <c r="IE136" s="1568"/>
      <c r="IF136" s="1568"/>
      <c r="IG136" s="1568"/>
      <c r="IH136" s="1568"/>
      <c r="II136" s="1569"/>
      <c r="IJ136" s="1564"/>
      <c r="IK136" s="1566"/>
      <c r="IL136" s="710">
        <v>1</v>
      </c>
      <c r="IM136" s="1567" t="s">
        <v>5165</v>
      </c>
      <c r="IN136" s="1568"/>
      <c r="IO136" s="1568"/>
      <c r="IP136" s="1568"/>
      <c r="IQ136" s="1568"/>
      <c r="IR136" s="1568"/>
      <c r="IS136" s="1568"/>
      <c r="IT136" s="1568"/>
      <c r="IU136" s="1569"/>
      <c r="IV136" s="564"/>
      <c r="IZ136" s="578"/>
      <c r="JA136" s="1447" t="s">
        <v>5257</v>
      </c>
      <c r="JB136" s="1448"/>
      <c r="JC136" s="1448"/>
      <c r="JD136" s="1448"/>
      <c r="JE136" s="1448"/>
      <c r="JF136" s="1448"/>
      <c r="JG136" s="1448"/>
      <c r="JH136" s="1448"/>
      <c r="JI136" s="1448"/>
      <c r="JJ136" s="1449"/>
      <c r="JK136" s="632"/>
      <c r="JL136" s="1583"/>
      <c r="JM136" s="1584"/>
      <c r="JN136" s="1584"/>
      <c r="JO136" s="1584"/>
      <c r="JP136" s="1584"/>
      <c r="JQ136" s="1584"/>
      <c r="JR136" s="1584"/>
      <c r="JS136" s="1584"/>
      <c r="JT136" s="1584"/>
      <c r="JU136" s="1585"/>
      <c r="JV136" s="491"/>
      <c r="JW136" s="632"/>
      <c r="JX136" s="632"/>
      <c r="JY136" s="632"/>
      <c r="JZ136" s="632"/>
      <c r="KA136" s="632"/>
      <c r="KB136" s="632"/>
      <c r="KC136" s="632"/>
      <c r="KD136" s="632"/>
      <c r="KE136" s="632"/>
      <c r="KF136" s="632"/>
      <c r="KG136" s="632"/>
      <c r="KH136" s="632"/>
      <c r="KI136" s="632"/>
      <c r="KJ136" s="632"/>
      <c r="KK136" s="632"/>
      <c r="KL136" s="491"/>
      <c r="KM136" s="491"/>
      <c r="KN136" s="491"/>
      <c r="KO136" s="491"/>
      <c r="KP136" s="491"/>
      <c r="KQ136" s="491"/>
      <c r="KR136" s="491"/>
      <c r="KS136" s="491"/>
      <c r="KT136" s="491"/>
      <c r="KU136" s="491"/>
      <c r="KV136" s="491"/>
      <c r="KW136" s="491"/>
      <c r="KX136" s="491"/>
      <c r="KY136" s="491"/>
      <c r="KZ136" s="491"/>
      <c r="LA136" s="491"/>
      <c r="LB136" s="491"/>
      <c r="LC136" s="491"/>
      <c r="LD136" s="491"/>
      <c r="LE136" s="491"/>
      <c r="LF136" s="491"/>
      <c r="LG136" s="491"/>
      <c r="LH136" s="491"/>
      <c r="LI136" s="491"/>
      <c r="LJ136" s="491"/>
      <c r="LK136" s="491"/>
      <c r="LL136" s="491"/>
      <c r="LM136" s="491"/>
      <c r="LN136" s="491"/>
      <c r="LO136" s="1503" t="s">
        <v>4586</v>
      </c>
      <c r="LP136" s="1504"/>
      <c r="LQ136" s="1504"/>
      <c r="LR136" s="1504"/>
      <c r="LS136" s="1504"/>
      <c r="LT136" s="1504"/>
      <c r="LU136" s="1504"/>
      <c r="LV136" s="1504"/>
      <c r="LW136" s="1504"/>
      <c r="LX136" s="1505"/>
      <c r="LY136" s="491"/>
      <c r="MJ136" s="564"/>
      <c r="MN136" s="578"/>
      <c r="MO136" s="491"/>
      <c r="MP136" s="513">
        <v>1</v>
      </c>
      <c r="MQ136" s="1469" t="s">
        <v>5250</v>
      </c>
      <c r="MR136" s="1469"/>
      <c r="MS136" s="1469"/>
      <c r="MT136" s="1469"/>
      <c r="MU136" s="1469"/>
      <c r="MV136" s="1469"/>
      <c r="MW136" s="1469"/>
      <c r="MX136" s="1469"/>
      <c r="MY136" s="1469"/>
      <c r="MZ136" s="491"/>
      <c r="NA136" s="491"/>
      <c r="NB136" s="491"/>
      <c r="NC136" s="513">
        <v>1</v>
      </c>
      <c r="ND136" s="1469" t="s">
        <v>172</v>
      </c>
      <c r="NE136" s="1469"/>
      <c r="NF136" s="1469"/>
      <c r="NG136" s="1469"/>
      <c r="NH136" s="1469"/>
      <c r="NI136" s="1469"/>
      <c r="NJ136" s="1469"/>
      <c r="NK136" s="1469"/>
      <c r="NL136" s="1469"/>
      <c r="NM136" s="491"/>
      <c r="NN136" s="491"/>
      <c r="NO136" s="491"/>
      <c r="NP136" s="513">
        <v>1</v>
      </c>
      <c r="NQ136" s="1469" t="s">
        <v>5250</v>
      </c>
      <c r="NR136" s="1469"/>
      <c r="NS136" s="1469"/>
      <c r="NT136" s="1469"/>
      <c r="NU136" s="1469"/>
      <c r="NV136" s="1469"/>
      <c r="NW136" s="1469"/>
      <c r="NX136" s="1469"/>
      <c r="NY136" s="1469"/>
      <c r="NZ136" s="491"/>
      <c r="OA136" s="491"/>
      <c r="OB136" s="491"/>
      <c r="OC136" s="513"/>
      <c r="OD136" s="1469" t="s">
        <v>172</v>
      </c>
      <c r="OE136" s="1469"/>
      <c r="OF136" s="1469"/>
      <c r="OG136" s="1469"/>
      <c r="OH136" s="1469"/>
      <c r="OI136" s="1469"/>
      <c r="OJ136" s="1469"/>
      <c r="OK136" s="1469"/>
      <c r="OL136" s="1469"/>
      <c r="OM136" s="491"/>
      <c r="ON136" s="491"/>
      <c r="OO136" s="491"/>
      <c r="OP136" s="1582" t="s">
        <v>5258</v>
      </c>
      <c r="OQ136" s="1582" t="s">
        <v>4873</v>
      </c>
      <c r="OR136" s="1582"/>
      <c r="OS136" s="1582"/>
      <c r="OT136" s="1582"/>
      <c r="OU136" s="1582"/>
      <c r="OV136" s="1582"/>
      <c r="OW136" s="1582"/>
      <c r="OX136" s="1582"/>
      <c r="OY136" s="1582"/>
      <c r="OZ136" s="491"/>
      <c r="PA136" s="491"/>
      <c r="PB136" s="491"/>
      <c r="PC136" s="513">
        <v>1</v>
      </c>
      <c r="PD136" s="1469" t="s">
        <v>5229</v>
      </c>
      <c r="PE136" s="1469"/>
      <c r="PF136" s="1469"/>
      <c r="PG136" s="1469"/>
      <c r="PH136" s="1469"/>
      <c r="PI136" s="1469"/>
      <c r="PJ136" s="1469"/>
      <c r="PK136" s="1469"/>
      <c r="PL136" s="1469"/>
      <c r="PM136" s="491"/>
      <c r="PN136" s="564"/>
      <c r="PW136" s="482"/>
      <c r="TW136" s="689"/>
      <c r="TX136" s="689"/>
    </row>
    <row r="137" spans="11:544" ht="12.75" customHeight="1" x14ac:dyDescent="0.35">
      <c r="K137" s="482"/>
      <c r="Q137" s="578"/>
      <c r="R137" s="1450" t="s">
        <v>2398</v>
      </c>
      <c r="S137" s="1451"/>
      <c r="T137" s="1451"/>
      <c r="U137" s="1451"/>
      <c r="V137" s="1451"/>
      <c r="W137" s="1451"/>
      <c r="X137" s="1451"/>
      <c r="Y137" s="1451"/>
      <c r="Z137" s="1451"/>
      <c r="AA137" s="1452"/>
      <c r="AB137" s="491"/>
      <c r="AC137" s="491"/>
      <c r="AD137" s="1447" t="s">
        <v>5259</v>
      </c>
      <c r="AE137" s="1448"/>
      <c r="AF137" s="1448"/>
      <c r="AG137" s="1448"/>
      <c r="AH137" s="1448"/>
      <c r="AI137" s="1448"/>
      <c r="AJ137" s="1448"/>
      <c r="AK137" s="1448"/>
      <c r="AL137" s="1448"/>
      <c r="AM137" s="1449"/>
      <c r="AN137" s="491"/>
      <c r="AO137" s="491"/>
      <c r="AP137" s="1450" t="s">
        <v>5260</v>
      </c>
      <c r="AQ137" s="1451"/>
      <c r="AR137" s="1451"/>
      <c r="AS137" s="1451"/>
      <c r="AT137" s="1451"/>
      <c r="AU137" s="1451"/>
      <c r="AV137" s="1451"/>
      <c r="AW137" s="1451"/>
      <c r="AX137" s="1451"/>
      <c r="AY137" s="1452"/>
      <c r="AZ137" s="564"/>
      <c r="BC137" s="708"/>
      <c r="BD137" s="491"/>
      <c r="BE137" s="513">
        <v>1</v>
      </c>
      <c r="BF137" s="1456" t="s">
        <v>4997</v>
      </c>
      <c r="BG137" s="1457"/>
      <c r="BH137" s="1457"/>
      <c r="BI137" s="1457"/>
      <c r="BJ137" s="1457"/>
      <c r="BK137" s="1457"/>
      <c r="BL137" s="1457"/>
      <c r="BM137" s="1457"/>
      <c r="BN137" s="1458"/>
      <c r="BO137" s="719"/>
      <c r="BP137" s="491"/>
      <c r="BQ137" s="513">
        <v>1</v>
      </c>
      <c r="BR137" s="1456" t="s">
        <v>4997</v>
      </c>
      <c r="BS137" s="1457"/>
      <c r="BT137" s="1457"/>
      <c r="BU137" s="1457"/>
      <c r="BV137" s="1457"/>
      <c r="BW137" s="1457"/>
      <c r="BX137" s="1457"/>
      <c r="BY137" s="1457"/>
      <c r="BZ137" s="1458"/>
      <c r="CA137" s="564"/>
      <c r="CE137" s="578"/>
      <c r="CF137" s="1450" t="s">
        <v>4691</v>
      </c>
      <c r="CG137" s="1451"/>
      <c r="CH137" s="1451"/>
      <c r="CI137" s="1451"/>
      <c r="CJ137" s="1451"/>
      <c r="CK137" s="1451"/>
      <c r="CL137" s="1451"/>
      <c r="CM137" s="1451"/>
      <c r="CN137" s="1451"/>
      <c r="CO137" s="1452"/>
      <c r="CP137" s="491"/>
      <c r="CQ137" s="491"/>
      <c r="CR137" s="1583" t="s">
        <v>131</v>
      </c>
      <c r="CS137" s="1584"/>
      <c r="CT137" s="1584"/>
      <c r="CU137" s="1584"/>
      <c r="CV137" s="1584"/>
      <c r="CW137" s="1584"/>
      <c r="CX137" s="1584"/>
      <c r="CY137" s="1584"/>
      <c r="CZ137" s="1584"/>
      <c r="DA137" s="1585"/>
      <c r="DB137" s="491"/>
      <c r="DC137" s="491"/>
      <c r="DD137" s="1447" t="s">
        <v>4571</v>
      </c>
      <c r="DE137" s="1448"/>
      <c r="DF137" s="1448"/>
      <c r="DG137" s="1448"/>
      <c r="DH137" s="1448"/>
      <c r="DI137" s="1448"/>
      <c r="DJ137" s="1448"/>
      <c r="DK137" s="1448"/>
      <c r="DL137" s="1448"/>
      <c r="DM137" s="1449"/>
      <c r="DN137" s="656"/>
      <c r="DO137" s="483"/>
      <c r="DP137" s="483"/>
      <c r="DR137" s="578"/>
      <c r="DS137" s="491"/>
      <c r="DT137" s="491"/>
      <c r="DU137" s="491"/>
      <c r="DV137" s="491"/>
      <c r="DW137" s="491"/>
      <c r="DX137" s="491"/>
      <c r="DY137" s="513">
        <v>1</v>
      </c>
      <c r="DZ137" s="1456" t="s">
        <v>4983</v>
      </c>
      <c r="EA137" s="1457"/>
      <c r="EB137" s="1457"/>
      <c r="EC137" s="1457"/>
      <c r="ED137" s="1457"/>
      <c r="EE137" s="1457"/>
      <c r="EF137" s="1457"/>
      <c r="EG137" s="1457"/>
      <c r="EH137" s="1458"/>
      <c r="EI137" s="491"/>
      <c r="EJ137" s="491"/>
      <c r="EK137" s="491"/>
      <c r="EL137" s="491"/>
      <c r="EM137" s="491"/>
      <c r="EN137" s="491"/>
      <c r="EO137" s="564"/>
      <c r="ES137" s="578"/>
      <c r="ET137" s="491"/>
      <c r="EU137" s="491"/>
      <c r="EV137" s="1472" t="s">
        <v>3446</v>
      </c>
      <c r="EW137" s="1472"/>
      <c r="EX137" s="1472"/>
      <c r="EY137" s="1472"/>
      <c r="EZ137" s="1472"/>
      <c r="FA137" s="1472"/>
      <c r="FB137" s="1472"/>
      <c r="FC137" s="1472"/>
      <c r="FD137" s="1472"/>
      <c r="FE137" s="1472"/>
      <c r="FF137" s="491"/>
      <c r="FG137" s="491"/>
      <c r="FH137" s="491"/>
      <c r="FI137" s="491"/>
      <c r="FJ137" s="491"/>
      <c r="FK137" s="491"/>
      <c r="FL137" s="491"/>
      <c r="FM137" s="491"/>
      <c r="FN137" s="491"/>
      <c r="FO137" s="491"/>
      <c r="FP137" s="491"/>
      <c r="FQ137" s="491"/>
      <c r="FR137" s="491"/>
      <c r="FS137" s="491"/>
      <c r="FT137" s="491"/>
      <c r="FU137" s="491"/>
      <c r="FV137" s="491"/>
      <c r="FW137" s="564"/>
      <c r="FZ137" s="578"/>
      <c r="GK137" s="704"/>
      <c r="GL137" s="704"/>
      <c r="GM137" s="1450" t="s">
        <v>2057</v>
      </c>
      <c r="GN137" s="1451"/>
      <c r="GO137" s="1451"/>
      <c r="GP137" s="1451"/>
      <c r="GQ137" s="1451"/>
      <c r="GR137" s="1451"/>
      <c r="GS137" s="1451"/>
      <c r="GT137" s="1451"/>
      <c r="GU137" s="1451"/>
      <c r="GV137" s="1452"/>
      <c r="GW137" s="1564"/>
      <c r="GX137" s="1565"/>
      <c r="GY137" s="1566"/>
      <c r="GZ137" s="1450" t="s">
        <v>4098</v>
      </c>
      <c r="HA137" s="1451"/>
      <c r="HB137" s="1451"/>
      <c r="HC137" s="1451"/>
      <c r="HD137" s="1451"/>
      <c r="HE137" s="1451"/>
      <c r="HF137" s="1451"/>
      <c r="HG137" s="1451"/>
      <c r="HH137" s="1451"/>
      <c r="HI137" s="1452"/>
      <c r="HJ137" s="1564"/>
      <c r="HK137" s="1565"/>
      <c r="HL137" s="1566"/>
      <c r="HM137" s="1450" t="s">
        <v>1563</v>
      </c>
      <c r="HN137" s="1451"/>
      <c r="HO137" s="1451"/>
      <c r="HP137" s="1451"/>
      <c r="HQ137" s="1451"/>
      <c r="HR137" s="1451"/>
      <c r="HS137" s="1451"/>
      <c r="HT137" s="1451"/>
      <c r="HU137" s="1451"/>
      <c r="HV137" s="1452"/>
      <c r="HW137" s="1564"/>
      <c r="HX137" s="1565"/>
      <c r="HY137" s="1566"/>
      <c r="HZ137" s="1450" t="s">
        <v>2642</v>
      </c>
      <c r="IA137" s="1451"/>
      <c r="IB137" s="1451"/>
      <c r="IC137" s="1451"/>
      <c r="ID137" s="1451"/>
      <c r="IE137" s="1451"/>
      <c r="IF137" s="1451"/>
      <c r="IG137" s="1451"/>
      <c r="IH137" s="1451"/>
      <c r="II137" s="1452"/>
      <c r="IJ137" s="1564"/>
      <c r="IK137" s="1566"/>
      <c r="IL137" s="1450" t="s">
        <v>4203</v>
      </c>
      <c r="IM137" s="1451"/>
      <c r="IN137" s="1451"/>
      <c r="IO137" s="1451"/>
      <c r="IP137" s="1451"/>
      <c r="IQ137" s="1451"/>
      <c r="IR137" s="1451"/>
      <c r="IS137" s="1451"/>
      <c r="IT137" s="1451"/>
      <c r="IU137" s="1452"/>
      <c r="IV137" s="564"/>
      <c r="IZ137" s="578"/>
      <c r="JA137" s="513">
        <v>1</v>
      </c>
      <c r="JB137" s="1456" t="s">
        <v>5243</v>
      </c>
      <c r="JC137" s="1457"/>
      <c r="JD137" s="1457"/>
      <c r="JE137" s="1457"/>
      <c r="JF137" s="1457"/>
      <c r="JG137" s="1457"/>
      <c r="JH137" s="1457"/>
      <c r="JI137" s="1457"/>
      <c r="JJ137" s="1458"/>
      <c r="JK137" s="632"/>
      <c r="JL137" s="513">
        <v>1</v>
      </c>
      <c r="JM137" s="1456" t="s">
        <v>5007</v>
      </c>
      <c r="JN137" s="1457"/>
      <c r="JO137" s="1457"/>
      <c r="JP137" s="1457"/>
      <c r="JQ137" s="1457"/>
      <c r="JR137" s="1457"/>
      <c r="JS137" s="1457"/>
      <c r="JT137" s="1457"/>
      <c r="JU137" s="1458"/>
      <c r="JV137" s="491"/>
      <c r="JW137" s="632"/>
      <c r="JX137" s="632"/>
      <c r="JY137" s="632"/>
      <c r="JZ137" s="632"/>
      <c r="KA137" s="632"/>
      <c r="KB137" s="632"/>
      <c r="KC137" s="632"/>
      <c r="KD137" s="632"/>
      <c r="KE137" s="632"/>
      <c r="KF137" s="632"/>
      <c r="KG137" s="632"/>
      <c r="KH137" s="632"/>
      <c r="KI137" s="632"/>
      <c r="KJ137" s="632"/>
      <c r="KK137" s="632"/>
      <c r="KL137" s="491"/>
      <c r="KM137" s="491"/>
      <c r="KN137" s="491"/>
      <c r="KO137" s="491"/>
      <c r="KP137" s="491"/>
      <c r="KQ137" s="491"/>
      <c r="KR137" s="491"/>
      <c r="KS137" s="491"/>
      <c r="KT137" s="491"/>
      <c r="KU137" s="491"/>
      <c r="KV137" s="491"/>
      <c r="KW137" s="491"/>
      <c r="KX137" s="491"/>
      <c r="KY137" s="491"/>
      <c r="KZ137" s="491"/>
      <c r="LA137" s="491"/>
      <c r="LB137" s="491"/>
      <c r="LC137" s="491"/>
      <c r="LD137" s="491"/>
      <c r="LE137" s="491"/>
      <c r="LF137" s="491"/>
      <c r="LG137" s="491"/>
      <c r="LH137" s="491"/>
      <c r="LI137" s="491"/>
      <c r="LJ137" s="491"/>
      <c r="LK137" s="491"/>
      <c r="LL137" s="491"/>
      <c r="LM137" s="491"/>
      <c r="LN137" s="632"/>
      <c r="LO137" s="513">
        <v>1</v>
      </c>
      <c r="LP137" s="1456" t="s">
        <v>5203</v>
      </c>
      <c r="LQ137" s="1457"/>
      <c r="LR137" s="1457"/>
      <c r="LS137" s="1457"/>
      <c r="LT137" s="1457"/>
      <c r="LU137" s="1457"/>
      <c r="LV137" s="1457"/>
      <c r="LW137" s="1457"/>
      <c r="LX137" s="1458"/>
      <c r="LY137" s="491"/>
      <c r="LZ137" s="491"/>
      <c r="MA137" s="491"/>
      <c r="MB137" s="491"/>
      <c r="MC137" s="491"/>
      <c r="MD137" s="491"/>
      <c r="ME137" s="491"/>
      <c r="MF137" s="491"/>
      <c r="MG137" s="491"/>
      <c r="MH137" s="491"/>
      <c r="MI137" s="491"/>
      <c r="MJ137" s="564"/>
      <c r="MN137" s="578"/>
      <c r="MO137" s="491"/>
      <c r="MP137" s="1570" t="s">
        <v>4185</v>
      </c>
      <c r="MQ137" s="1570"/>
      <c r="MR137" s="1570"/>
      <c r="MS137" s="1570"/>
      <c r="MT137" s="1570"/>
      <c r="MU137" s="1570"/>
      <c r="MV137" s="1570"/>
      <c r="MW137" s="1570"/>
      <c r="MX137" s="1570"/>
      <c r="MY137" s="1570"/>
      <c r="MZ137" s="491"/>
      <c r="NA137" s="491"/>
      <c r="NB137" s="491"/>
      <c r="NC137" s="1561" t="s">
        <v>5261</v>
      </c>
      <c r="ND137" s="1561"/>
      <c r="NE137" s="1561"/>
      <c r="NF137" s="1561"/>
      <c r="NG137" s="1561"/>
      <c r="NH137" s="1561"/>
      <c r="NI137" s="1561"/>
      <c r="NJ137" s="1561"/>
      <c r="NK137" s="1561"/>
      <c r="NL137" s="1561"/>
      <c r="NM137" s="491"/>
      <c r="NN137" s="491"/>
      <c r="NO137" s="491"/>
      <c r="NP137" s="1561" t="s">
        <v>5262</v>
      </c>
      <c r="NQ137" s="1561"/>
      <c r="NR137" s="1561"/>
      <c r="NS137" s="1561"/>
      <c r="NT137" s="1561"/>
      <c r="NU137" s="1561"/>
      <c r="NV137" s="1561"/>
      <c r="NW137" s="1561"/>
      <c r="NX137" s="1561"/>
      <c r="NY137" s="1561"/>
      <c r="NZ137" s="491"/>
      <c r="OA137" s="491"/>
      <c r="OB137" s="491"/>
      <c r="OC137" s="1603" t="s">
        <v>5263</v>
      </c>
      <c r="OD137" s="1603"/>
      <c r="OE137" s="1603"/>
      <c r="OF137" s="1603"/>
      <c r="OG137" s="1603"/>
      <c r="OH137" s="1603"/>
      <c r="OI137" s="1603"/>
      <c r="OJ137" s="1603"/>
      <c r="OK137" s="1603"/>
      <c r="OL137" s="1603"/>
      <c r="OM137" s="491"/>
      <c r="ON137" s="491"/>
      <c r="OO137" s="491"/>
      <c r="OP137" s="507"/>
      <c r="OQ137" s="1520"/>
      <c r="OR137" s="1520"/>
      <c r="OS137" s="1520"/>
      <c r="OT137" s="1520"/>
      <c r="OU137" s="1520"/>
      <c r="OV137" s="1520"/>
      <c r="OW137" s="1520"/>
      <c r="OX137" s="1520"/>
      <c r="OY137" s="1520"/>
      <c r="OZ137" s="491"/>
      <c r="PA137" s="491"/>
      <c r="PB137" s="491"/>
      <c r="PC137" s="1561" t="s">
        <v>5264</v>
      </c>
      <c r="PD137" s="1561"/>
      <c r="PE137" s="1561"/>
      <c r="PF137" s="1561"/>
      <c r="PG137" s="1561"/>
      <c r="PH137" s="1561"/>
      <c r="PI137" s="1561"/>
      <c r="PJ137" s="1561"/>
      <c r="PK137" s="1561"/>
      <c r="PL137" s="1561"/>
      <c r="PM137" s="491"/>
      <c r="PN137" s="564"/>
      <c r="PW137" s="482"/>
    </row>
    <row r="138" spans="11:544" ht="12.75" customHeight="1" x14ac:dyDescent="0.35">
      <c r="K138" s="482"/>
      <c r="Q138" s="578"/>
      <c r="R138" s="513">
        <v>1</v>
      </c>
      <c r="S138" s="1456" t="s">
        <v>5220</v>
      </c>
      <c r="T138" s="1457"/>
      <c r="U138" s="1457"/>
      <c r="V138" s="1457"/>
      <c r="W138" s="1457"/>
      <c r="X138" s="1457"/>
      <c r="Y138" s="1457"/>
      <c r="Z138" s="1457"/>
      <c r="AA138" s="1458"/>
      <c r="AB138" s="491"/>
      <c r="AC138" s="491"/>
      <c r="AD138" s="491"/>
      <c r="AE138" s="491"/>
      <c r="AF138" s="491"/>
      <c r="AG138" s="491"/>
      <c r="AH138" s="491"/>
      <c r="AI138" s="491"/>
      <c r="AJ138" s="491"/>
      <c r="AK138" s="491"/>
      <c r="AL138" s="491"/>
      <c r="AM138" s="491"/>
      <c r="AN138" s="491"/>
      <c r="AO138" s="491"/>
      <c r="AP138" s="491"/>
      <c r="AQ138" s="491"/>
      <c r="AR138" s="491"/>
      <c r="AS138" s="491"/>
      <c r="AT138" s="491"/>
      <c r="AU138" s="491"/>
      <c r="AV138" s="491"/>
      <c r="AW138" s="491"/>
      <c r="AX138" s="491"/>
      <c r="AY138" s="491"/>
      <c r="AZ138" s="564"/>
      <c r="BC138" s="708"/>
      <c r="BD138" s="491"/>
      <c r="BE138" s="1447" t="s">
        <v>5265</v>
      </c>
      <c r="BF138" s="1448"/>
      <c r="BG138" s="1448"/>
      <c r="BH138" s="1448"/>
      <c r="BI138" s="1448"/>
      <c r="BJ138" s="1448"/>
      <c r="BK138" s="1448"/>
      <c r="BL138" s="1448"/>
      <c r="BM138" s="1448"/>
      <c r="BN138" s="1449"/>
      <c r="BO138" s="719"/>
      <c r="BP138" s="491"/>
      <c r="BQ138" s="1447" t="s">
        <v>3413</v>
      </c>
      <c r="BR138" s="1448"/>
      <c r="BS138" s="1448"/>
      <c r="BT138" s="1448"/>
      <c r="BU138" s="1448"/>
      <c r="BV138" s="1448"/>
      <c r="BW138" s="1448"/>
      <c r="BX138" s="1448"/>
      <c r="BY138" s="1448"/>
      <c r="BZ138" s="1449"/>
      <c r="CA138" s="564"/>
      <c r="CE138" s="578"/>
      <c r="CF138" s="491"/>
      <c r="CG138" s="491"/>
      <c r="CH138" s="491"/>
      <c r="CI138" s="491"/>
      <c r="CJ138" s="491"/>
      <c r="CK138" s="491"/>
      <c r="CL138" s="491"/>
      <c r="CM138" s="491"/>
      <c r="CN138" s="491"/>
      <c r="CO138" s="491"/>
      <c r="CP138" s="491"/>
      <c r="CQ138" s="491"/>
      <c r="CR138" s="513">
        <v>1</v>
      </c>
      <c r="CS138" s="1456" t="s">
        <v>5007</v>
      </c>
      <c r="CT138" s="1457"/>
      <c r="CU138" s="1457"/>
      <c r="CV138" s="1457"/>
      <c r="CW138" s="1457"/>
      <c r="CX138" s="1457"/>
      <c r="CY138" s="1457"/>
      <c r="CZ138" s="1457"/>
      <c r="DA138" s="1458"/>
      <c r="DB138" s="491"/>
      <c r="DC138" s="491"/>
      <c r="DD138" s="513">
        <v>1</v>
      </c>
      <c r="DE138" s="1456" t="s">
        <v>5007</v>
      </c>
      <c r="DF138" s="1457"/>
      <c r="DG138" s="1457"/>
      <c r="DH138" s="1457"/>
      <c r="DI138" s="1457"/>
      <c r="DJ138" s="1457"/>
      <c r="DK138" s="1457"/>
      <c r="DL138" s="1457"/>
      <c r="DM138" s="1458"/>
      <c r="DN138" s="723"/>
      <c r="DO138" s="478"/>
      <c r="DP138" s="478"/>
      <c r="DR138" s="726"/>
      <c r="DS138" s="501"/>
      <c r="DT138" s="501"/>
      <c r="DU138" s="501"/>
      <c r="DV138" s="501"/>
      <c r="DW138" s="491"/>
      <c r="DX138" s="491"/>
      <c r="DY138" s="1522" t="s">
        <v>2364</v>
      </c>
      <c r="DZ138" s="1516"/>
      <c r="EA138" s="1516"/>
      <c r="EB138" s="1516"/>
      <c r="EC138" s="1516"/>
      <c r="ED138" s="1516"/>
      <c r="EE138" s="1516"/>
      <c r="EF138" s="1516"/>
      <c r="EG138" s="1516"/>
      <c r="EH138" s="1517"/>
      <c r="EI138" s="491"/>
      <c r="EJ138" s="491"/>
      <c r="EK138" s="491"/>
      <c r="EL138" s="491"/>
      <c r="EM138" s="491"/>
      <c r="EN138" s="491"/>
      <c r="EO138" s="564"/>
      <c r="ES138" s="578"/>
      <c r="ET138" s="491"/>
      <c r="EU138" s="491"/>
      <c r="EV138" s="725">
        <v>1</v>
      </c>
      <c r="EW138" s="1469" t="s">
        <v>5163</v>
      </c>
      <c r="EX138" s="1469"/>
      <c r="EY138" s="1469"/>
      <c r="EZ138" s="1469"/>
      <c r="FA138" s="1469"/>
      <c r="FB138" s="1469"/>
      <c r="FC138" s="1469"/>
      <c r="FD138" s="1469"/>
      <c r="FE138" s="1469"/>
      <c r="FF138" s="491"/>
      <c r="FG138" s="491"/>
      <c r="FH138" s="491"/>
      <c r="FI138" s="491"/>
      <c r="FJ138" s="491"/>
      <c r="FK138" s="491"/>
      <c r="FL138" s="491"/>
      <c r="FM138" s="491"/>
      <c r="FN138" s="491"/>
      <c r="FO138" s="491"/>
      <c r="FP138" s="491"/>
      <c r="FQ138" s="491"/>
      <c r="FR138" s="491"/>
      <c r="FS138" s="491"/>
      <c r="FT138" s="491"/>
      <c r="FU138" s="491"/>
      <c r="FV138" s="491"/>
      <c r="FW138" s="564"/>
      <c r="FZ138" s="578"/>
      <c r="GK138" s="704"/>
      <c r="GL138" s="704"/>
      <c r="GM138" s="710">
        <v>1</v>
      </c>
      <c r="GN138" s="1567" t="s">
        <v>5165</v>
      </c>
      <c r="GO138" s="1568"/>
      <c r="GP138" s="1568"/>
      <c r="GQ138" s="1568"/>
      <c r="GR138" s="1568"/>
      <c r="GS138" s="1568"/>
      <c r="GT138" s="1568"/>
      <c r="GU138" s="1568"/>
      <c r="GV138" s="1569"/>
      <c r="GW138" s="1564"/>
      <c r="GX138" s="1565"/>
      <c r="GY138" s="1566"/>
      <c r="GZ138" s="710">
        <v>1</v>
      </c>
      <c r="HA138" s="1567" t="s">
        <v>5165</v>
      </c>
      <c r="HB138" s="1568"/>
      <c r="HC138" s="1568"/>
      <c r="HD138" s="1568"/>
      <c r="HE138" s="1568"/>
      <c r="HF138" s="1568"/>
      <c r="HG138" s="1568"/>
      <c r="HH138" s="1568"/>
      <c r="HI138" s="1569"/>
      <c r="HJ138" s="1564"/>
      <c r="HK138" s="1565"/>
      <c r="HL138" s="1566"/>
      <c r="HM138" s="710">
        <v>1</v>
      </c>
      <c r="HN138" s="1567" t="s">
        <v>5165</v>
      </c>
      <c r="HO138" s="1568"/>
      <c r="HP138" s="1568"/>
      <c r="HQ138" s="1568"/>
      <c r="HR138" s="1568"/>
      <c r="HS138" s="1568"/>
      <c r="HT138" s="1568"/>
      <c r="HU138" s="1568"/>
      <c r="HV138" s="1569"/>
      <c r="HW138" s="1564"/>
      <c r="HX138" s="1565"/>
      <c r="HY138" s="1566"/>
      <c r="HZ138" s="710">
        <v>1</v>
      </c>
      <c r="IA138" s="1567" t="s">
        <v>5165</v>
      </c>
      <c r="IB138" s="1568"/>
      <c r="IC138" s="1568"/>
      <c r="ID138" s="1568"/>
      <c r="IE138" s="1568"/>
      <c r="IF138" s="1568"/>
      <c r="IG138" s="1568"/>
      <c r="IH138" s="1568"/>
      <c r="II138" s="1569"/>
      <c r="IJ138" s="1564"/>
      <c r="IK138" s="1566"/>
      <c r="IL138" s="710">
        <v>1</v>
      </c>
      <c r="IM138" s="1567" t="s">
        <v>5165</v>
      </c>
      <c r="IN138" s="1568"/>
      <c r="IO138" s="1568"/>
      <c r="IP138" s="1568"/>
      <c r="IQ138" s="1568"/>
      <c r="IR138" s="1568"/>
      <c r="IS138" s="1568"/>
      <c r="IT138" s="1568"/>
      <c r="IU138" s="1569"/>
      <c r="IV138" s="564"/>
      <c r="IZ138" s="578"/>
      <c r="JA138" s="1503" t="s">
        <v>4261</v>
      </c>
      <c r="JB138" s="1504"/>
      <c r="JC138" s="1504"/>
      <c r="JD138" s="1504"/>
      <c r="JE138" s="1504"/>
      <c r="JF138" s="1504"/>
      <c r="JG138" s="1504"/>
      <c r="JH138" s="1504"/>
      <c r="JI138" s="1504"/>
      <c r="JJ138" s="1505"/>
      <c r="JK138" s="632"/>
      <c r="JL138" s="1447" t="s">
        <v>5266</v>
      </c>
      <c r="JM138" s="1448" t="s">
        <v>5267</v>
      </c>
      <c r="JN138" s="1448"/>
      <c r="JO138" s="1448"/>
      <c r="JP138" s="1448"/>
      <c r="JQ138" s="1448"/>
      <c r="JR138" s="1448"/>
      <c r="JS138" s="1448"/>
      <c r="JT138" s="1448"/>
      <c r="JU138" s="1449"/>
      <c r="JV138" s="491"/>
      <c r="JW138" s="632"/>
      <c r="JX138" s="632"/>
      <c r="JY138" s="632"/>
      <c r="JZ138" s="632"/>
      <c r="KA138" s="632"/>
      <c r="KB138" s="632"/>
      <c r="KC138" s="632"/>
      <c r="KD138" s="632"/>
      <c r="KE138" s="632"/>
      <c r="KF138" s="632"/>
      <c r="KG138" s="632"/>
      <c r="KH138" s="632"/>
      <c r="KI138" s="632"/>
      <c r="KJ138" s="632"/>
      <c r="KK138" s="632"/>
      <c r="KL138" s="491"/>
      <c r="KM138" s="491"/>
      <c r="KN138" s="491"/>
      <c r="KO138" s="491"/>
      <c r="KP138" s="491"/>
      <c r="KQ138" s="491"/>
      <c r="KR138" s="491"/>
      <c r="KS138" s="491"/>
      <c r="KT138" s="491"/>
      <c r="KU138" s="491"/>
      <c r="KV138" s="491"/>
      <c r="KW138" s="491"/>
      <c r="KX138" s="491"/>
      <c r="KY138" s="491"/>
      <c r="KZ138" s="491"/>
      <c r="LA138" s="491"/>
      <c r="LB138" s="491"/>
      <c r="LC138" s="491"/>
      <c r="LD138" s="491"/>
      <c r="LE138" s="491"/>
      <c r="LF138" s="491"/>
      <c r="LG138" s="491"/>
      <c r="LH138" s="491"/>
      <c r="LI138" s="491"/>
      <c r="LJ138" s="491"/>
      <c r="LK138" s="491"/>
      <c r="LL138" s="491"/>
      <c r="LM138" s="491"/>
      <c r="LN138" s="632"/>
      <c r="LO138" s="1503" t="s">
        <v>1640</v>
      </c>
      <c r="LP138" s="1504"/>
      <c r="LQ138" s="1504"/>
      <c r="LR138" s="1504"/>
      <c r="LS138" s="1504"/>
      <c r="LT138" s="1504"/>
      <c r="LU138" s="1504"/>
      <c r="LV138" s="1504"/>
      <c r="LW138" s="1504"/>
      <c r="LX138" s="1505"/>
      <c r="LY138" s="491"/>
      <c r="LZ138" s="491"/>
      <c r="MA138" s="491"/>
      <c r="MB138" s="491"/>
      <c r="MC138" s="491"/>
      <c r="MD138" s="491"/>
      <c r="ME138" s="491"/>
      <c r="MF138" s="491"/>
      <c r="MG138" s="491"/>
      <c r="MH138" s="491"/>
      <c r="MI138" s="491"/>
      <c r="MJ138" s="564"/>
      <c r="MN138" s="578"/>
      <c r="MO138" s="491"/>
      <c r="MP138" s="513">
        <v>1</v>
      </c>
      <c r="MQ138" s="1469" t="s">
        <v>5250</v>
      </c>
      <c r="MR138" s="1469"/>
      <c r="MS138" s="1469"/>
      <c r="MT138" s="1469"/>
      <c r="MU138" s="1469"/>
      <c r="MV138" s="1469"/>
      <c r="MW138" s="1469"/>
      <c r="MX138" s="1469"/>
      <c r="MY138" s="1469"/>
      <c r="MZ138" s="491"/>
      <c r="NA138" s="491"/>
      <c r="NB138" s="491"/>
      <c r="NC138" s="513">
        <v>1</v>
      </c>
      <c r="ND138" s="1469" t="s">
        <v>4764</v>
      </c>
      <c r="NE138" s="1469"/>
      <c r="NF138" s="1469"/>
      <c r="NG138" s="1469"/>
      <c r="NH138" s="1469"/>
      <c r="NI138" s="1469"/>
      <c r="NJ138" s="1469"/>
      <c r="NK138" s="1469"/>
      <c r="NL138" s="1469"/>
      <c r="NM138" s="491"/>
      <c r="NN138" s="491"/>
      <c r="NO138" s="491"/>
      <c r="NP138" s="513">
        <v>1</v>
      </c>
      <c r="NQ138" s="1469" t="s">
        <v>5268</v>
      </c>
      <c r="NR138" s="1469"/>
      <c r="NS138" s="1469"/>
      <c r="NT138" s="1469"/>
      <c r="NU138" s="1469"/>
      <c r="NV138" s="1469"/>
      <c r="NW138" s="1469"/>
      <c r="NX138" s="1469"/>
      <c r="NY138" s="1469"/>
      <c r="NZ138" s="491"/>
      <c r="OA138" s="491"/>
      <c r="OB138" s="491"/>
      <c r="OC138" s="513">
        <v>1</v>
      </c>
      <c r="OD138" s="1469" t="s">
        <v>172</v>
      </c>
      <c r="OE138" s="1469"/>
      <c r="OF138" s="1469"/>
      <c r="OG138" s="1469"/>
      <c r="OH138" s="1469"/>
      <c r="OI138" s="1469"/>
      <c r="OJ138" s="1469"/>
      <c r="OK138" s="1469"/>
      <c r="OL138" s="1469"/>
      <c r="OM138" s="491"/>
      <c r="ON138" s="491"/>
      <c r="OO138" s="491"/>
      <c r="OP138" s="1604"/>
      <c r="OQ138" s="1604" t="s">
        <v>4873</v>
      </c>
      <c r="OR138" s="1604"/>
      <c r="OS138" s="1604"/>
      <c r="OT138" s="1604"/>
      <c r="OU138" s="1604"/>
      <c r="OV138" s="1604"/>
      <c r="OW138" s="1604"/>
      <c r="OX138" s="1604"/>
      <c r="OY138" s="1604"/>
      <c r="OZ138" s="491"/>
      <c r="PA138" s="491"/>
      <c r="PB138" s="491"/>
      <c r="PC138" s="513">
        <v>1</v>
      </c>
      <c r="PD138" s="1469" t="s">
        <v>5229</v>
      </c>
      <c r="PE138" s="1469"/>
      <c r="PF138" s="1469"/>
      <c r="PG138" s="1469"/>
      <c r="PH138" s="1469"/>
      <c r="PI138" s="1469"/>
      <c r="PJ138" s="1469"/>
      <c r="PK138" s="1469"/>
      <c r="PL138" s="1469"/>
      <c r="PM138" s="491"/>
      <c r="PN138" s="564"/>
      <c r="PW138" s="482"/>
    </row>
    <row r="139" spans="11:544" ht="12.75" customHeight="1" x14ac:dyDescent="0.35">
      <c r="K139" s="482"/>
      <c r="Q139" s="578"/>
      <c r="R139" s="1447" t="s">
        <v>2463</v>
      </c>
      <c r="S139" s="1448"/>
      <c r="T139" s="1448"/>
      <c r="U139" s="1448"/>
      <c r="V139" s="1448"/>
      <c r="W139" s="1448"/>
      <c r="X139" s="1448"/>
      <c r="Y139" s="1448"/>
      <c r="Z139" s="1448"/>
      <c r="AA139" s="1449"/>
      <c r="AB139" s="491"/>
      <c r="AC139" s="491"/>
      <c r="AD139" s="491"/>
      <c r="AE139" s="491"/>
      <c r="AF139" s="491"/>
      <c r="AG139" s="491"/>
      <c r="AH139" s="491"/>
      <c r="AI139" s="491"/>
      <c r="AJ139" s="491"/>
      <c r="AK139" s="491"/>
      <c r="AL139" s="491"/>
      <c r="AM139" s="491"/>
      <c r="AN139" s="491"/>
      <c r="AO139" s="491"/>
      <c r="AP139" s="491"/>
      <c r="AQ139" s="491"/>
      <c r="AR139" s="491"/>
      <c r="AS139" s="491"/>
      <c r="AT139" s="491"/>
      <c r="AU139" s="491"/>
      <c r="AV139" s="491"/>
      <c r="AW139" s="491"/>
      <c r="AX139" s="491"/>
      <c r="AY139" s="491"/>
      <c r="AZ139" s="564"/>
      <c r="BC139" s="708"/>
      <c r="BD139" s="491"/>
      <c r="BE139" s="513">
        <v>1</v>
      </c>
      <c r="BF139" s="1456" t="s">
        <v>5007</v>
      </c>
      <c r="BG139" s="1457"/>
      <c r="BH139" s="1457"/>
      <c r="BI139" s="1457"/>
      <c r="BJ139" s="1457"/>
      <c r="BK139" s="1457"/>
      <c r="BL139" s="1457"/>
      <c r="BM139" s="1457"/>
      <c r="BN139" s="1458"/>
      <c r="BO139" s="719"/>
      <c r="BP139" s="491"/>
      <c r="BQ139" s="513">
        <v>1</v>
      </c>
      <c r="BR139" s="1456" t="s">
        <v>4997</v>
      </c>
      <c r="BS139" s="1457"/>
      <c r="BT139" s="1457"/>
      <c r="BU139" s="1457"/>
      <c r="BV139" s="1457"/>
      <c r="BW139" s="1457"/>
      <c r="BX139" s="1457"/>
      <c r="BY139" s="1457"/>
      <c r="BZ139" s="1458"/>
      <c r="CA139" s="564"/>
      <c r="CE139" s="578"/>
      <c r="CF139" s="491"/>
      <c r="CG139" s="491"/>
      <c r="CH139" s="491"/>
      <c r="CI139" s="491"/>
      <c r="CJ139" s="491"/>
      <c r="CK139" s="491"/>
      <c r="CL139" s="491"/>
      <c r="CM139" s="491"/>
      <c r="CN139" s="491"/>
      <c r="CO139" s="491"/>
      <c r="CP139" s="491"/>
      <c r="CQ139" s="491"/>
      <c r="CR139" s="1571" t="s">
        <v>131</v>
      </c>
      <c r="CS139" s="1572"/>
      <c r="CT139" s="1572"/>
      <c r="CU139" s="1572"/>
      <c r="CV139" s="1572"/>
      <c r="CW139" s="1572"/>
      <c r="CX139" s="1572"/>
      <c r="CY139" s="1572"/>
      <c r="CZ139" s="1572"/>
      <c r="DA139" s="1573"/>
      <c r="DB139" s="491"/>
      <c r="DC139" s="491"/>
      <c r="DD139" s="1447" t="s">
        <v>3586</v>
      </c>
      <c r="DE139" s="1448"/>
      <c r="DF139" s="1448"/>
      <c r="DG139" s="1448"/>
      <c r="DH139" s="1448"/>
      <c r="DI139" s="1448"/>
      <c r="DJ139" s="1448"/>
      <c r="DK139" s="1448"/>
      <c r="DL139" s="1448"/>
      <c r="DM139" s="1449"/>
      <c r="DN139" s="656"/>
      <c r="DO139" s="483"/>
      <c r="DP139" s="483"/>
      <c r="DR139" s="578"/>
      <c r="DS139" s="491"/>
      <c r="DT139" s="491"/>
      <c r="DU139" s="491"/>
      <c r="DV139" s="491"/>
      <c r="DW139" s="491"/>
      <c r="DX139" s="491"/>
      <c r="DY139" s="513">
        <v>1</v>
      </c>
      <c r="DZ139" s="1456" t="s">
        <v>5198</v>
      </c>
      <c r="EA139" s="1457"/>
      <c r="EB139" s="1457"/>
      <c r="EC139" s="1457"/>
      <c r="ED139" s="1457"/>
      <c r="EE139" s="1457"/>
      <c r="EF139" s="1457"/>
      <c r="EG139" s="1457"/>
      <c r="EH139" s="1458"/>
      <c r="EI139" s="491"/>
      <c r="EJ139" s="491"/>
      <c r="EK139" s="491"/>
      <c r="EL139" s="491"/>
      <c r="EM139" s="491"/>
      <c r="EN139" s="491"/>
      <c r="EO139" s="564"/>
      <c r="ES139" s="578"/>
      <c r="ET139" s="491"/>
      <c r="EU139" s="491"/>
      <c r="EV139" s="1472" t="s">
        <v>3504</v>
      </c>
      <c r="EW139" s="1472"/>
      <c r="EX139" s="1472"/>
      <c r="EY139" s="1472"/>
      <c r="EZ139" s="1472"/>
      <c r="FA139" s="1472"/>
      <c r="FB139" s="1472"/>
      <c r="FC139" s="1472"/>
      <c r="FD139" s="1472"/>
      <c r="FE139" s="1472"/>
      <c r="FF139" s="491"/>
      <c r="FG139" s="491"/>
      <c r="FH139" s="491"/>
      <c r="FI139" s="491"/>
      <c r="FJ139" s="491"/>
      <c r="FK139" s="491"/>
      <c r="FL139" s="491"/>
      <c r="FM139" s="491"/>
      <c r="FN139" s="491"/>
      <c r="FO139" s="491"/>
      <c r="FP139" s="491"/>
      <c r="FQ139" s="491"/>
      <c r="FR139" s="491"/>
      <c r="FS139" s="491"/>
      <c r="FT139" s="491"/>
      <c r="FU139" s="491"/>
      <c r="FV139" s="491"/>
      <c r="FW139" s="564"/>
      <c r="FZ139" s="578"/>
      <c r="GK139" s="704"/>
      <c r="GL139" s="704"/>
      <c r="GM139" s="1450" t="s">
        <v>2105</v>
      </c>
      <c r="GN139" s="1451"/>
      <c r="GO139" s="1451"/>
      <c r="GP139" s="1451"/>
      <c r="GQ139" s="1451"/>
      <c r="GR139" s="1451"/>
      <c r="GS139" s="1451"/>
      <c r="GT139" s="1451"/>
      <c r="GU139" s="1451"/>
      <c r="GV139" s="1452"/>
      <c r="GW139" s="1564"/>
      <c r="GX139" s="1565"/>
      <c r="GY139" s="1566"/>
      <c r="GZ139" s="1450" t="s">
        <v>1739</v>
      </c>
      <c r="HA139" s="1451"/>
      <c r="HB139" s="1451"/>
      <c r="HC139" s="1451"/>
      <c r="HD139" s="1451"/>
      <c r="HE139" s="1451"/>
      <c r="HF139" s="1451"/>
      <c r="HG139" s="1451"/>
      <c r="HH139" s="1451"/>
      <c r="HI139" s="1452"/>
      <c r="HJ139" s="1564"/>
      <c r="HK139" s="1565"/>
      <c r="HL139" s="1566"/>
      <c r="HM139" s="1571" t="s">
        <v>177</v>
      </c>
      <c r="HN139" s="1572"/>
      <c r="HO139" s="1572"/>
      <c r="HP139" s="1572"/>
      <c r="HQ139" s="1572"/>
      <c r="HR139" s="1572"/>
      <c r="HS139" s="1572"/>
      <c r="HT139" s="1572"/>
      <c r="HU139" s="1572"/>
      <c r="HV139" s="1573"/>
      <c r="HW139" s="1564"/>
      <c r="HX139" s="1565"/>
      <c r="HY139" s="1566"/>
      <c r="HZ139" s="1450" t="s">
        <v>3223</v>
      </c>
      <c r="IA139" s="1451"/>
      <c r="IB139" s="1451"/>
      <c r="IC139" s="1451"/>
      <c r="ID139" s="1451"/>
      <c r="IE139" s="1451"/>
      <c r="IF139" s="1451"/>
      <c r="IG139" s="1451"/>
      <c r="IH139" s="1451"/>
      <c r="II139" s="1452"/>
      <c r="IJ139" s="1564"/>
      <c r="IK139" s="1566"/>
      <c r="IL139" s="1450" t="s">
        <v>4236</v>
      </c>
      <c r="IM139" s="1451"/>
      <c r="IN139" s="1451"/>
      <c r="IO139" s="1451"/>
      <c r="IP139" s="1451"/>
      <c r="IQ139" s="1451"/>
      <c r="IR139" s="1451"/>
      <c r="IS139" s="1451"/>
      <c r="IT139" s="1451"/>
      <c r="IU139" s="1452"/>
      <c r="IV139" s="564"/>
      <c r="IZ139" s="578"/>
      <c r="JA139" s="513">
        <v>1</v>
      </c>
      <c r="JB139" s="1456" t="s">
        <v>4762</v>
      </c>
      <c r="JC139" s="1457"/>
      <c r="JD139" s="1457"/>
      <c r="JE139" s="1457"/>
      <c r="JF139" s="1457"/>
      <c r="JG139" s="1457"/>
      <c r="JH139" s="1457"/>
      <c r="JI139" s="1457"/>
      <c r="JJ139" s="1458"/>
      <c r="JK139" s="632"/>
      <c r="JL139" s="711">
        <v>1</v>
      </c>
      <c r="JM139" s="1579" t="s">
        <v>4892</v>
      </c>
      <c r="JN139" s="1580"/>
      <c r="JO139" s="1580"/>
      <c r="JP139" s="1580"/>
      <c r="JQ139" s="1580"/>
      <c r="JR139" s="1580"/>
      <c r="JS139" s="1580"/>
      <c r="JT139" s="1580"/>
      <c r="JU139" s="1581"/>
      <c r="JV139" s="491"/>
      <c r="JW139" s="632"/>
      <c r="JX139" s="632"/>
      <c r="JY139" s="632"/>
      <c r="JZ139" s="632"/>
      <c r="KA139" s="632"/>
      <c r="KB139" s="632"/>
      <c r="KC139" s="632"/>
      <c r="KD139" s="632"/>
      <c r="KE139" s="632"/>
      <c r="KF139" s="632"/>
      <c r="KG139" s="632"/>
      <c r="KH139" s="632"/>
      <c r="KI139" s="632"/>
      <c r="KJ139" s="632"/>
      <c r="KK139" s="632"/>
      <c r="KL139" s="491"/>
      <c r="KM139" s="491"/>
      <c r="KN139" s="491"/>
      <c r="KO139" s="491"/>
      <c r="KP139" s="491"/>
      <c r="KQ139" s="491"/>
      <c r="KR139" s="491"/>
      <c r="KS139" s="491"/>
      <c r="KT139" s="491"/>
      <c r="KU139" s="491"/>
      <c r="KV139" s="491"/>
      <c r="KW139" s="491"/>
      <c r="KX139" s="491"/>
      <c r="KY139" s="491"/>
      <c r="KZ139" s="491"/>
      <c r="LA139" s="491"/>
      <c r="LB139" s="491"/>
      <c r="LC139" s="491"/>
      <c r="LD139" s="491"/>
      <c r="LE139" s="491"/>
      <c r="LF139" s="491"/>
      <c r="LG139" s="491"/>
      <c r="LH139" s="491"/>
      <c r="LI139" s="491"/>
      <c r="LJ139" s="491"/>
      <c r="LK139" s="491"/>
      <c r="LL139" s="491"/>
      <c r="LM139" s="491"/>
      <c r="LN139" s="632"/>
      <c r="LO139" s="513">
        <v>1</v>
      </c>
      <c r="LP139" s="1456" t="s">
        <v>5203</v>
      </c>
      <c r="LQ139" s="1457"/>
      <c r="LR139" s="1457"/>
      <c r="LS139" s="1457"/>
      <c r="LT139" s="1457"/>
      <c r="LU139" s="1457"/>
      <c r="LV139" s="1457"/>
      <c r="LW139" s="1457"/>
      <c r="LX139" s="1458"/>
      <c r="LY139" s="491"/>
      <c r="LZ139" s="491"/>
      <c r="MA139" s="491"/>
      <c r="MB139" s="491"/>
      <c r="MC139" s="491"/>
      <c r="MD139" s="491"/>
      <c r="ME139" s="491"/>
      <c r="MF139" s="491"/>
      <c r="MG139" s="491"/>
      <c r="MH139" s="491"/>
      <c r="MI139" s="491"/>
      <c r="MJ139" s="564"/>
      <c r="MN139" s="578"/>
      <c r="MO139" s="491"/>
      <c r="MP139" s="1561" t="s">
        <v>2660</v>
      </c>
      <c r="MQ139" s="1561"/>
      <c r="MR139" s="1561"/>
      <c r="MS139" s="1561"/>
      <c r="MT139" s="1561"/>
      <c r="MU139" s="1561"/>
      <c r="MV139" s="1561"/>
      <c r="MW139" s="1561"/>
      <c r="MX139" s="1561"/>
      <c r="MY139" s="1561"/>
      <c r="MZ139" s="491"/>
      <c r="NA139" s="491"/>
      <c r="NB139" s="491"/>
      <c r="NC139" s="1561" t="s">
        <v>4484</v>
      </c>
      <c r="ND139" s="1561"/>
      <c r="NE139" s="1561"/>
      <c r="NF139" s="1561"/>
      <c r="NG139" s="1561"/>
      <c r="NH139" s="1561"/>
      <c r="NI139" s="1561"/>
      <c r="NJ139" s="1561"/>
      <c r="NK139" s="1561"/>
      <c r="NL139" s="1561"/>
      <c r="NM139" s="491"/>
      <c r="NN139" s="491"/>
      <c r="NO139" s="491"/>
      <c r="NP139" s="1518" t="s">
        <v>131</v>
      </c>
      <c r="NQ139" s="1518"/>
      <c r="NR139" s="1518"/>
      <c r="NS139" s="1518"/>
      <c r="NT139" s="1518"/>
      <c r="NU139" s="1518"/>
      <c r="NV139" s="1518"/>
      <c r="NW139" s="1518"/>
      <c r="NX139" s="1518"/>
      <c r="NY139" s="1518"/>
      <c r="NZ139" s="491"/>
      <c r="OA139" s="491"/>
      <c r="OB139" s="491"/>
      <c r="OC139" s="1561" t="s">
        <v>2404</v>
      </c>
      <c r="OD139" s="1561"/>
      <c r="OE139" s="1561"/>
      <c r="OF139" s="1561"/>
      <c r="OG139" s="1561"/>
      <c r="OH139" s="1561"/>
      <c r="OI139" s="1561"/>
      <c r="OJ139" s="1561"/>
      <c r="OK139" s="1561"/>
      <c r="OL139" s="1561"/>
      <c r="OM139" s="491"/>
      <c r="ON139" s="491"/>
      <c r="OO139" s="491"/>
      <c r="OP139" s="639">
        <v>1</v>
      </c>
      <c r="OQ139" s="1519" t="s">
        <v>5269</v>
      </c>
      <c r="OR139" s="1519"/>
      <c r="OS139" s="1519"/>
      <c r="OT139" s="1519"/>
      <c r="OU139" s="1519"/>
      <c r="OV139" s="1519"/>
      <c r="OW139" s="1519"/>
      <c r="OX139" s="1519"/>
      <c r="OY139" s="1519"/>
      <c r="OZ139" s="491"/>
      <c r="PA139" s="491"/>
      <c r="PB139" s="491"/>
      <c r="PC139" s="1561" t="s">
        <v>1772</v>
      </c>
      <c r="PD139" s="1561"/>
      <c r="PE139" s="1561"/>
      <c r="PF139" s="1561"/>
      <c r="PG139" s="1561"/>
      <c r="PH139" s="1561"/>
      <c r="PI139" s="1561"/>
      <c r="PJ139" s="1561"/>
      <c r="PK139" s="1561"/>
      <c r="PL139" s="1561"/>
      <c r="PM139" s="491"/>
      <c r="PN139" s="564"/>
      <c r="PW139" s="482"/>
    </row>
    <row r="140" spans="11:544" ht="12.75" customHeight="1" x14ac:dyDescent="0.35">
      <c r="K140" s="482"/>
      <c r="Q140" s="578"/>
      <c r="AB140" s="491"/>
      <c r="AC140" s="491"/>
      <c r="AD140" s="491"/>
      <c r="AE140" s="491"/>
      <c r="AF140" s="491"/>
      <c r="AG140" s="491"/>
      <c r="AH140" s="491"/>
      <c r="AI140" s="491"/>
      <c r="AJ140" s="491"/>
      <c r="AK140" s="491"/>
      <c r="AL140" s="491"/>
      <c r="AM140" s="491"/>
      <c r="AN140" s="491"/>
      <c r="AO140" s="491"/>
      <c r="AP140" s="491"/>
      <c r="AQ140" s="491"/>
      <c r="AR140" s="491"/>
      <c r="AS140" s="491"/>
      <c r="AT140" s="491"/>
      <c r="AU140" s="491"/>
      <c r="AV140" s="491"/>
      <c r="AW140" s="491"/>
      <c r="AX140" s="491"/>
      <c r="AY140" s="491"/>
      <c r="AZ140" s="564"/>
      <c r="BB140" s="478"/>
      <c r="BC140" s="708"/>
      <c r="BD140" s="491"/>
      <c r="BE140" s="1447" t="s">
        <v>5270</v>
      </c>
      <c r="BF140" s="1448"/>
      <c r="BG140" s="1448"/>
      <c r="BH140" s="1448"/>
      <c r="BI140" s="1448"/>
      <c r="BJ140" s="1448"/>
      <c r="BK140" s="1448"/>
      <c r="BL140" s="1448"/>
      <c r="BM140" s="1448"/>
      <c r="BN140" s="1449"/>
      <c r="BO140" s="719"/>
      <c r="BP140" s="491"/>
      <c r="BQ140" s="1447" t="s">
        <v>5271</v>
      </c>
      <c r="BR140" s="1448"/>
      <c r="BS140" s="1448"/>
      <c r="BT140" s="1448"/>
      <c r="BU140" s="1448"/>
      <c r="BV140" s="1448"/>
      <c r="BW140" s="1448"/>
      <c r="BX140" s="1448"/>
      <c r="BY140" s="1448"/>
      <c r="BZ140" s="1449"/>
      <c r="CA140" s="564"/>
      <c r="CE140" s="578"/>
      <c r="CF140" s="491"/>
      <c r="CG140" s="491"/>
      <c r="CH140" s="491"/>
      <c r="CI140" s="491"/>
      <c r="CJ140" s="491"/>
      <c r="CK140" s="491"/>
      <c r="CL140" s="491"/>
      <c r="CM140" s="491"/>
      <c r="CN140" s="491"/>
      <c r="CO140" s="491"/>
      <c r="CP140" s="491"/>
      <c r="CQ140" s="491"/>
      <c r="CR140" s="513">
        <v>1</v>
      </c>
      <c r="CS140" s="1456" t="s">
        <v>5122</v>
      </c>
      <c r="CT140" s="1457"/>
      <c r="CU140" s="1457"/>
      <c r="CV140" s="1457"/>
      <c r="CW140" s="1457"/>
      <c r="CX140" s="1457"/>
      <c r="CY140" s="1457"/>
      <c r="CZ140" s="1457"/>
      <c r="DA140" s="1458"/>
      <c r="DB140" s="491"/>
      <c r="DC140" s="491"/>
      <c r="DD140" s="513">
        <v>1</v>
      </c>
      <c r="DE140" s="1456" t="s">
        <v>5243</v>
      </c>
      <c r="DF140" s="1457"/>
      <c r="DG140" s="1457"/>
      <c r="DH140" s="1457"/>
      <c r="DI140" s="1457"/>
      <c r="DJ140" s="1457"/>
      <c r="DK140" s="1457"/>
      <c r="DL140" s="1457"/>
      <c r="DM140" s="1458"/>
      <c r="DN140" s="723"/>
      <c r="DO140" s="478"/>
      <c r="DP140" s="478"/>
      <c r="DR140" s="578"/>
      <c r="DS140" s="491"/>
      <c r="DT140" s="491"/>
      <c r="DU140" s="491"/>
      <c r="DV140" s="491"/>
      <c r="DW140" s="491"/>
      <c r="DX140" s="491"/>
      <c r="DY140" s="1485" t="s">
        <v>3202</v>
      </c>
      <c r="DZ140" s="1486"/>
      <c r="EA140" s="1486"/>
      <c r="EB140" s="1486"/>
      <c r="EC140" s="1486"/>
      <c r="ED140" s="1486"/>
      <c r="EE140" s="1486"/>
      <c r="EF140" s="1486"/>
      <c r="EG140" s="1486"/>
      <c r="EH140" s="1487"/>
      <c r="EI140" s="491"/>
      <c r="EJ140" s="491"/>
      <c r="EK140" s="491"/>
      <c r="EL140" s="491"/>
      <c r="EM140" s="491"/>
      <c r="EN140" s="491"/>
      <c r="EO140" s="564"/>
      <c r="ES140" s="578"/>
      <c r="ET140" s="491"/>
      <c r="EU140" s="491"/>
      <c r="EV140" s="725">
        <v>1</v>
      </c>
      <c r="EW140" s="1469" t="s">
        <v>5183</v>
      </c>
      <c r="EX140" s="1469"/>
      <c r="EY140" s="1469"/>
      <c r="EZ140" s="1469"/>
      <c r="FA140" s="1469"/>
      <c r="FB140" s="1469"/>
      <c r="FC140" s="1469"/>
      <c r="FD140" s="1469"/>
      <c r="FE140" s="1469"/>
      <c r="FF140" s="491"/>
      <c r="FG140" s="491"/>
      <c r="FH140" s="491"/>
      <c r="FI140" s="491"/>
      <c r="FJ140" s="491"/>
      <c r="FK140" s="491"/>
      <c r="FL140" s="491"/>
      <c r="FM140" s="491"/>
      <c r="FN140" s="491"/>
      <c r="FO140" s="491"/>
      <c r="FP140" s="491"/>
      <c r="FQ140" s="491"/>
      <c r="FR140" s="491"/>
      <c r="FS140" s="491"/>
      <c r="FT140" s="491"/>
      <c r="FU140" s="491"/>
      <c r="FV140" s="491"/>
      <c r="FW140" s="564"/>
      <c r="FZ140" s="578"/>
      <c r="GA140" s="704"/>
      <c r="GB140" s="704"/>
      <c r="GC140" s="704"/>
      <c r="GD140" s="704"/>
      <c r="GE140" s="704"/>
      <c r="GF140" s="704"/>
      <c r="GG140" s="704"/>
      <c r="GH140" s="704"/>
      <c r="GI140" s="704"/>
      <c r="GJ140" s="704"/>
      <c r="GK140" s="704"/>
      <c r="GL140" s="704"/>
      <c r="GM140" s="710">
        <v>1</v>
      </c>
      <c r="GN140" s="1567" t="s">
        <v>5165</v>
      </c>
      <c r="GO140" s="1568"/>
      <c r="GP140" s="1568"/>
      <c r="GQ140" s="1568"/>
      <c r="GR140" s="1568"/>
      <c r="GS140" s="1568"/>
      <c r="GT140" s="1568"/>
      <c r="GU140" s="1568"/>
      <c r="GV140" s="1569"/>
      <c r="GW140" s="1564"/>
      <c r="GX140" s="1565"/>
      <c r="GY140" s="1566"/>
      <c r="GZ140" s="710">
        <v>1</v>
      </c>
      <c r="HA140" s="1567" t="s">
        <v>5165</v>
      </c>
      <c r="HB140" s="1568"/>
      <c r="HC140" s="1568"/>
      <c r="HD140" s="1568"/>
      <c r="HE140" s="1568"/>
      <c r="HF140" s="1568"/>
      <c r="HG140" s="1568"/>
      <c r="HH140" s="1568"/>
      <c r="HI140" s="1569"/>
      <c r="HJ140" s="1564"/>
      <c r="HK140" s="1565"/>
      <c r="HL140" s="1566"/>
      <c r="HM140" s="710">
        <v>1</v>
      </c>
      <c r="HN140" s="1567" t="s">
        <v>5165</v>
      </c>
      <c r="HO140" s="1568"/>
      <c r="HP140" s="1568"/>
      <c r="HQ140" s="1568"/>
      <c r="HR140" s="1568"/>
      <c r="HS140" s="1568"/>
      <c r="HT140" s="1568"/>
      <c r="HU140" s="1568"/>
      <c r="HV140" s="1569"/>
      <c r="HW140" s="1564"/>
      <c r="HX140" s="1565"/>
      <c r="HY140" s="1566"/>
      <c r="HZ140" s="710">
        <v>1</v>
      </c>
      <c r="IA140" s="1567" t="s">
        <v>5165</v>
      </c>
      <c r="IB140" s="1568"/>
      <c r="IC140" s="1568"/>
      <c r="ID140" s="1568"/>
      <c r="IE140" s="1568"/>
      <c r="IF140" s="1568"/>
      <c r="IG140" s="1568"/>
      <c r="IH140" s="1568"/>
      <c r="II140" s="1569"/>
      <c r="IJ140" s="1564"/>
      <c r="IK140" s="1566"/>
      <c r="IL140" s="710">
        <v>1</v>
      </c>
      <c r="IM140" s="1567" t="s">
        <v>5165</v>
      </c>
      <c r="IN140" s="1568"/>
      <c r="IO140" s="1568"/>
      <c r="IP140" s="1568"/>
      <c r="IQ140" s="1568"/>
      <c r="IR140" s="1568"/>
      <c r="IS140" s="1568"/>
      <c r="IT140" s="1568"/>
      <c r="IU140" s="1569"/>
      <c r="IV140" s="564"/>
      <c r="IZ140" s="578"/>
      <c r="JA140" s="1485" t="s">
        <v>2705</v>
      </c>
      <c r="JB140" s="1486" t="s">
        <v>5267</v>
      </c>
      <c r="JC140" s="1486"/>
      <c r="JD140" s="1486"/>
      <c r="JE140" s="1486"/>
      <c r="JF140" s="1486"/>
      <c r="JG140" s="1486"/>
      <c r="JH140" s="1486"/>
      <c r="JI140" s="1486"/>
      <c r="JJ140" s="1487"/>
      <c r="JK140" s="632"/>
      <c r="JL140" s="1447" t="s">
        <v>4700</v>
      </c>
      <c r="JM140" s="1448"/>
      <c r="JN140" s="1448"/>
      <c r="JO140" s="1448"/>
      <c r="JP140" s="1448"/>
      <c r="JQ140" s="1448"/>
      <c r="JR140" s="1448"/>
      <c r="JS140" s="1448"/>
      <c r="JT140" s="1448"/>
      <c r="JU140" s="1449"/>
      <c r="JV140" s="491"/>
      <c r="JW140" s="632"/>
      <c r="JX140" s="632"/>
      <c r="JY140" s="632"/>
      <c r="JZ140" s="632"/>
      <c r="KA140" s="632"/>
      <c r="KB140" s="632"/>
      <c r="KC140" s="632"/>
      <c r="KD140" s="632"/>
      <c r="KE140" s="632"/>
      <c r="KF140" s="632"/>
      <c r="KG140" s="632"/>
      <c r="KH140" s="632"/>
      <c r="KI140" s="632"/>
      <c r="KJ140" s="632"/>
      <c r="KK140" s="632"/>
      <c r="KL140" s="491"/>
      <c r="KM140" s="491"/>
      <c r="KN140" s="491"/>
      <c r="KO140" s="491"/>
      <c r="KP140" s="491"/>
      <c r="KQ140" s="491"/>
      <c r="KR140" s="491"/>
      <c r="KS140" s="491"/>
      <c r="KT140" s="491"/>
      <c r="KU140" s="491"/>
      <c r="KV140" s="491"/>
      <c r="KW140" s="491"/>
      <c r="KX140" s="491"/>
      <c r="KY140" s="491"/>
      <c r="KZ140" s="491"/>
      <c r="LA140" s="491"/>
      <c r="LB140" s="491"/>
      <c r="LC140" s="491"/>
      <c r="LD140" s="491"/>
      <c r="LE140" s="491"/>
      <c r="LF140" s="491"/>
      <c r="LG140" s="491"/>
      <c r="LH140" s="491"/>
      <c r="LI140" s="491"/>
      <c r="LJ140" s="491"/>
      <c r="LK140" s="491"/>
      <c r="LL140" s="491"/>
      <c r="LM140" s="491"/>
      <c r="LN140" s="632"/>
      <c r="LO140" s="1583" t="s">
        <v>131</v>
      </c>
      <c r="LP140" s="1584"/>
      <c r="LQ140" s="1584"/>
      <c r="LR140" s="1584"/>
      <c r="LS140" s="1584"/>
      <c r="LT140" s="1584"/>
      <c r="LU140" s="1584"/>
      <c r="LV140" s="1584"/>
      <c r="LW140" s="1584"/>
      <c r="LX140" s="1585"/>
      <c r="LY140" s="491"/>
      <c r="LZ140" s="491"/>
      <c r="MA140" s="491"/>
      <c r="MB140" s="491"/>
      <c r="MC140" s="491"/>
      <c r="MD140" s="491"/>
      <c r="ME140" s="491"/>
      <c r="MF140" s="491"/>
      <c r="MG140" s="491"/>
      <c r="MH140" s="491"/>
      <c r="MI140" s="491"/>
      <c r="MJ140" s="564"/>
      <c r="MN140" s="578"/>
      <c r="MO140" s="491"/>
      <c r="MP140" s="513">
        <v>1</v>
      </c>
      <c r="MQ140" s="1469" t="s">
        <v>4982</v>
      </c>
      <c r="MR140" s="1469"/>
      <c r="MS140" s="1469"/>
      <c r="MT140" s="1469"/>
      <c r="MU140" s="1469"/>
      <c r="MV140" s="1469"/>
      <c r="MW140" s="1469"/>
      <c r="MX140" s="1469"/>
      <c r="MY140" s="1469"/>
      <c r="MZ140" s="491"/>
      <c r="NA140" s="491"/>
      <c r="NB140" s="491"/>
      <c r="NC140" s="513">
        <v>1</v>
      </c>
      <c r="ND140" s="1469" t="s">
        <v>4764</v>
      </c>
      <c r="NE140" s="1469"/>
      <c r="NF140" s="1469"/>
      <c r="NG140" s="1469"/>
      <c r="NH140" s="1469"/>
      <c r="NI140" s="1469"/>
      <c r="NJ140" s="1469"/>
      <c r="NK140" s="1469"/>
      <c r="NL140" s="1469"/>
      <c r="NM140" s="491"/>
      <c r="NN140" s="491"/>
      <c r="NO140" s="491"/>
      <c r="NP140" s="513">
        <v>1</v>
      </c>
      <c r="NQ140" s="1469" t="s">
        <v>5272</v>
      </c>
      <c r="NR140" s="1469"/>
      <c r="NS140" s="1469"/>
      <c r="NT140" s="1469"/>
      <c r="NU140" s="1469"/>
      <c r="NV140" s="1469"/>
      <c r="NW140" s="1469"/>
      <c r="NX140" s="1469"/>
      <c r="NY140" s="1469"/>
      <c r="NZ140" s="491"/>
      <c r="OA140" s="491"/>
      <c r="OB140" s="491"/>
      <c r="OC140" s="513">
        <v>1</v>
      </c>
      <c r="OD140" s="1469" t="s">
        <v>172</v>
      </c>
      <c r="OE140" s="1469"/>
      <c r="OF140" s="1469"/>
      <c r="OG140" s="1469"/>
      <c r="OH140" s="1469"/>
      <c r="OI140" s="1469"/>
      <c r="OJ140" s="1469"/>
      <c r="OK140" s="1469"/>
      <c r="OL140" s="1469"/>
      <c r="OM140" s="491"/>
      <c r="ON140" s="491"/>
      <c r="OO140" s="491"/>
      <c r="OP140" s="1605" t="s">
        <v>3488</v>
      </c>
      <c r="OQ140" s="1605"/>
      <c r="OR140" s="1605"/>
      <c r="OS140" s="1605"/>
      <c r="OT140" s="1605"/>
      <c r="OU140" s="1605"/>
      <c r="OV140" s="1605"/>
      <c r="OW140" s="1605"/>
      <c r="OX140" s="1605"/>
      <c r="OY140" s="1605"/>
      <c r="OZ140" s="491"/>
      <c r="PA140" s="491"/>
      <c r="PB140" s="491"/>
      <c r="PC140" s="513">
        <v>1</v>
      </c>
      <c r="PD140" s="1469" t="s">
        <v>5229</v>
      </c>
      <c r="PE140" s="1469"/>
      <c r="PF140" s="1469"/>
      <c r="PG140" s="1469"/>
      <c r="PH140" s="1469"/>
      <c r="PI140" s="1469"/>
      <c r="PJ140" s="1469"/>
      <c r="PK140" s="1469"/>
      <c r="PL140" s="1469"/>
      <c r="PM140" s="491"/>
      <c r="PN140" s="564"/>
      <c r="PW140" s="482"/>
    </row>
    <row r="141" spans="11:544" ht="12.75" customHeight="1" x14ac:dyDescent="0.35">
      <c r="K141" s="482"/>
      <c r="Q141" s="578"/>
      <c r="AB141" s="491"/>
      <c r="AC141" s="491"/>
      <c r="AD141" s="491"/>
      <c r="AE141" s="491"/>
      <c r="AF141" s="491"/>
      <c r="AG141" s="491"/>
      <c r="AH141" s="491"/>
      <c r="AI141" s="491"/>
      <c r="AJ141" s="491"/>
      <c r="AK141" s="491"/>
      <c r="AL141" s="491"/>
      <c r="AM141" s="491"/>
      <c r="AN141" s="491"/>
      <c r="AO141" s="491"/>
      <c r="AP141" s="491"/>
      <c r="AQ141" s="491"/>
      <c r="AR141" s="491"/>
      <c r="AS141" s="491"/>
      <c r="AT141" s="491"/>
      <c r="AU141" s="491"/>
      <c r="AV141" s="491"/>
      <c r="AW141" s="491"/>
      <c r="AX141" s="491"/>
      <c r="AY141" s="491"/>
      <c r="AZ141" s="564"/>
      <c r="BB141" s="483"/>
      <c r="BC141" s="708"/>
      <c r="BD141" s="491"/>
      <c r="BE141" s="513">
        <v>1</v>
      </c>
      <c r="BF141" s="1456" t="s">
        <v>4997</v>
      </c>
      <c r="BG141" s="1457"/>
      <c r="BH141" s="1457"/>
      <c r="BI141" s="1457"/>
      <c r="BJ141" s="1457"/>
      <c r="BK141" s="1457"/>
      <c r="BL141" s="1457"/>
      <c r="BM141" s="1457"/>
      <c r="BN141" s="1458"/>
      <c r="BO141" s="719"/>
      <c r="BP141" s="491"/>
      <c r="BQ141" s="513">
        <v>1</v>
      </c>
      <c r="BR141" s="1456" t="s">
        <v>5007</v>
      </c>
      <c r="BS141" s="1457"/>
      <c r="BT141" s="1457"/>
      <c r="BU141" s="1457"/>
      <c r="BV141" s="1457"/>
      <c r="BW141" s="1457"/>
      <c r="BX141" s="1457"/>
      <c r="BY141" s="1457"/>
      <c r="BZ141" s="1458"/>
      <c r="CA141" s="564"/>
      <c r="CE141" s="578"/>
      <c r="CF141" s="491"/>
      <c r="CG141" s="491"/>
      <c r="CH141" s="491"/>
      <c r="CI141" s="491"/>
      <c r="CJ141" s="491"/>
      <c r="CK141" s="491"/>
      <c r="CL141" s="491"/>
      <c r="CM141" s="491"/>
      <c r="CN141" s="491"/>
      <c r="CO141" s="491"/>
      <c r="CP141" s="491"/>
      <c r="CQ141" s="491"/>
      <c r="CR141" s="1450" t="s">
        <v>4628</v>
      </c>
      <c r="CS141" s="1451"/>
      <c r="CT141" s="1451"/>
      <c r="CU141" s="1451"/>
      <c r="CV141" s="1451"/>
      <c r="CW141" s="1451"/>
      <c r="CX141" s="1451"/>
      <c r="CY141" s="1451"/>
      <c r="CZ141" s="1451"/>
      <c r="DA141" s="1452"/>
      <c r="DB141" s="500"/>
      <c r="DC141" s="498"/>
      <c r="DD141" s="1583" t="s">
        <v>131</v>
      </c>
      <c r="DE141" s="1584"/>
      <c r="DF141" s="1584"/>
      <c r="DG141" s="1584"/>
      <c r="DH141" s="1584"/>
      <c r="DI141" s="1584"/>
      <c r="DJ141" s="1584"/>
      <c r="DK141" s="1584"/>
      <c r="DL141" s="1584"/>
      <c r="DM141" s="1585"/>
      <c r="DN141" s="564"/>
      <c r="DR141" s="578"/>
      <c r="DS141" s="491"/>
      <c r="DT141" s="491"/>
      <c r="DU141" s="491"/>
      <c r="DV141" s="491"/>
      <c r="DW141" s="491"/>
      <c r="DX141" s="491"/>
      <c r="EI141" s="491"/>
      <c r="EJ141" s="491"/>
      <c r="EK141" s="491"/>
      <c r="EL141" s="491"/>
      <c r="EM141" s="491"/>
      <c r="EN141" s="491"/>
      <c r="EO141" s="564"/>
      <c r="ES141" s="578"/>
      <c r="ET141" s="491"/>
      <c r="EU141" s="491"/>
      <c r="EV141" s="1472" t="s">
        <v>3538</v>
      </c>
      <c r="EW141" s="1472"/>
      <c r="EX141" s="1472"/>
      <c r="EY141" s="1472"/>
      <c r="EZ141" s="1472"/>
      <c r="FA141" s="1472"/>
      <c r="FB141" s="1472"/>
      <c r="FC141" s="1472"/>
      <c r="FD141" s="1472"/>
      <c r="FE141" s="1472"/>
      <c r="FF141" s="491"/>
      <c r="FG141" s="491"/>
      <c r="FH141" s="491"/>
      <c r="FI141" s="491"/>
      <c r="FJ141" s="491"/>
      <c r="FK141" s="491"/>
      <c r="FL141" s="491"/>
      <c r="FM141" s="491"/>
      <c r="FN141" s="491"/>
      <c r="FO141" s="491"/>
      <c r="FP141" s="491"/>
      <c r="FQ141" s="491"/>
      <c r="FR141" s="491"/>
      <c r="FS141" s="491"/>
      <c r="FT141" s="491"/>
      <c r="FU141" s="491"/>
      <c r="FV141" s="491"/>
      <c r="FW141" s="564"/>
      <c r="FZ141" s="578"/>
      <c r="GA141" s="704"/>
      <c r="GB141" s="704"/>
      <c r="GC141" s="704"/>
      <c r="GD141" s="704"/>
      <c r="GE141" s="704"/>
      <c r="GF141" s="704"/>
      <c r="GG141" s="704"/>
      <c r="GH141" s="704"/>
      <c r="GI141" s="704"/>
      <c r="GJ141" s="704"/>
      <c r="GK141" s="704"/>
      <c r="GL141" s="704"/>
      <c r="GM141" s="1450" t="s">
        <v>4379</v>
      </c>
      <c r="GN141" s="1451"/>
      <c r="GO141" s="1451"/>
      <c r="GP141" s="1451"/>
      <c r="GQ141" s="1451"/>
      <c r="GR141" s="1451"/>
      <c r="GS141" s="1451"/>
      <c r="GT141" s="1451"/>
      <c r="GU141" s="1451"/>
      <c r="GV141" s="1452"/>
      <c r="GW141" s="1564"/>
      <c r="GX141" s="1565"/>
      <c r="GY141" s="1566"/>
      <c r="GZ141" s="1450" t="s">
        <v>5273</v>
      </c>
      <c r="HA141" s="1451"/>
      <c r="HB141" s="1451"/>
      <c r="HC141" s="1451"/>
      <c r="HD141" s="1451"/>
      <c r="HE141" s="1451"/>
      <c r="HF141" s="1451"/>
      <c r="HG141" s="1451"/>
      <c r="HH141" s="1451"/>
      <c r="HI141" s="1452"/>
      <c r="HJ141" s="1564"/>
      <c r="HK141" s="1565"/>
      <c r="HL141" s="1566"/>
      <c r="HM141" s="1450" t="s">
        <v>2138</v>
      </c>
      <c r="HN141" s="1451"/>
      <c r="HO141" s="1451"/>
      <c r="HP141" s="1451"/>
      <c r="HQ141" s="1451"/>
      <c r="HR141" s="1451"/>
      <c r="HS141" s="1451"/>
      <c r="HT141" s="1451"/>
      <c r="HU141" s="1451"/>
      <c r="HV141" s="1452"/>
      <c r="HW141" s="1564"/>
      <c r="HX141" s="1565"/>
      <c r="HY141" s="1566"/>
      <c r="HZ141" s="1450" t="s">
        <v>3610</v>
      </c>
      <c r="IA141" s="1451"/>
      <c r="IB141" s="1451"/>
      <c r="IC141" s="1451"/>
      <c r="ID141" s="1451"/>
      <c r="IE141" s="1451"/>
      <c r="IF141" s="1451"/>
      <c r="IG141" s="1451"/>
      <c r="IH141" s="1451"/>
      <c r="II141" s="1452"/>
      <c r="IJ141" s="1564"/>
      <c r="IK141" s="1566"/>
      <c r="IL141" s="1450" t="s">
        <v>4321</v>
      </c>
      <c r="IM141" s="1451"/>
      <c r="IN141" s="1451"/>
      <c r="IO141" s="1451"/>
      <c r="IP141" s="1451"/>
      <c r="IQ141" s="1451"/>
      <c r="IR141" s="1451"/>
      <c r="IS141" s="1451"/>
      <c r="IT141" s="1451"/>
      <c r="IU141" s="1452"/>
      <c r="IV141" s="564"/>
      <c r="IZ141" s="578"/>
      <c r="JA141" s="513">
        <v>1</v>
      </c>
      <c r="JB141" s="1456" t="s">
        <v>4757</v>
      </c>
      <c r="JC141" s="1457"/>
      <c r="JD141" s="1457"/>
      <c r="JE141" s="1457"/>
      <c r="JF141" s="1457"/>
      <c r="JG141" s="1457"/>
      <c r="JH141" s="1457"/>
      <c r="JI141" s="1457"/>
      <c r="JJ141" s="1458"/>
      <c r="JK141" s="632"/>
      <c r="JL141" s="711">
        <v>1</v>
      </c>
      <c r="JM141" s="1579" t="s">
        <v>4892</v>
      </c>
      <c r="JN141" s="1580"/>
      <c r="JO141" s="1580"/>
      <c r="JP141" s="1580"/>
      <c r="JQ141" s="1580"/>
      <c r="JR141" s="1580"/>
      <c r="JS141" s="1580"/>
      <c r="JT141" s="1580"/>
      <c r="JU141" s="1581"/>
      <c r="JV141" s="491"/>
      <c r="JW141" s="632"/>
      <c r="JX141" s="632"/>
      <c r="JY141" s="632"/>
      <c r="JZ141" s="632"/>
      <c r="KA141" s="632"/>
      <c r="KB141" s="632"/>
      <c r="KC141" s="632"/>
      <c r="KD141" s="632"/>
      <c r="KE141" s="632"/>
      <c r="KF141" s="632"/>
      <c r="KG141" s="632"/>
      <c r="KH141" s="632"/>
      <c r="KI141" s="632"/>
      <c r="KJ141" s="632"/>
      <c r="KK141" s="632"/>
      <c r="KL141" s="491"/>
      <c r="KM141" s="491"/>
      <c r="KN141" s="491"/>
      <c r="KO141" s="491"/>
      <c r="KP141" s="491"/>
      <c r="KQ141" s="491"/>
      <c r="KR141" s="491"/>
      <c r="KS141" s="491"/>
      <c r="KT141" s="491"/>
      <c r="KU141" s="491"/>
      <c r="KV141" s="491"/>
      <c r="KW141" s="491"/>
      <c r="KX141" s="491"/>
      <c r="KY141" s="491"/>
      <c r="KZ141" s="491"/>
      <c r="LA141" s="491"/>
      <c r="LB141" s="491"/>
      <c r="LC141" s="491"/>
      <c r="LD141" s="491"/>
      <c r="LE141" s="491"/>
      <c r="LF141" s="491"/>
      <c r="LG141" s="491"/>
      <c r="LH141" s="491"/>
      <c r="LI141" s="491"/>
      <c r="LJ141" s="491"/>
      <c r="LK141" s="491"/>
      <c r="LL141" s="491"/>
      <c r="LM141" s="491"/>
      <c r="LN141" s="632"/>
      <c r="LO141" s="513">
        <v>1</v>
      </c>
      <c r="LP141" s="1456" t="s">
        <v>5203</v>
      </c>
      <c r="LQ141" s="1457"/>
      <c r="LR141" s="1457"/>
      <c r="LS141" s="1457"/>
      <c r="LT141" s="1457"/>
      <c r="LU141" s="1457"/>
      <c r="LV141" s="1457"/>
      <c r="LW141" s="1457"/>
      <c r="LX141" s="1458"/>
      <c r="LY141" s="491"/>
      <c r="LZ141" s="491"/>
      <c r="MA141" s="491"/>
      <c r="MB141" s="491"/>
      <c r="MC141" s="491"/>
      <c r="MD141" s="491"/>
      <c r="ME141" s="491"/>
      <c r="MF141" s="491"/>
      <c r="MG141" s="491"/>
      <c r="MH141" s="491"/>
      <c r="MI141" s="491"/>
      <c r="MJ141" s="564"/>
      <c r="MN141" s="578"/>
      <c r="MO141" s="491"/>
      <c r="MP141" s="1561" t="s">
        <v>2927</v>
      </c>
      <c r="MQ141" s="1561"/>
      <c r="MR141" s="1561"/>
      <c r="MS141" s="1561"/>
      <c r="MT141" s="1561"/>
      <c r="MU141" s="1561"/>
      <c r="MV141" s="1561"/>
      <c r="MW141" s="1561"/>
      <c r="MX141" s="1561"/>
      <c r="MY141" s="1561"/>
      <c r="MZ141" s="491"/>
      <c r="NA141" s="491"/>
      <c r="NB141" s="491"/>
      <c r="NC141" s="1476" t="s">
        <v>3184</v>
      </c>
      <c r="ND141" s="1476"/>
      <c r="NE141" s="1476"/>
      <c r="NF141" s="1476"/>
      <c r="NG141" s="1476"/>
      <c r="NH141" s="1476"/>
      <c r="NI141" s="1476"/>
      <c r="NJ141" s="1476"/>
      <c r="NK141" s="1476"/>
      <c r="NL141" s="1476"/>
      <c r="NM141" s="491"/>
      <c r="NN141" s="491"/>
      <c r="NO141" s="491"/>
      <c r="NP141" s="1606" t="s">
        <v>131</v>
      </c>
      <c r="NQ141" s="1606"/>
      <c r="NR141" s="1606"/>
      <c r="NS141" s="1606"/>
      <c r="NT141" s="1606"/>
      <c r="NU141" s="1606"/>
      <c r="NV141" s="1606"/>
      <c r="NW141" s="1606"/>
      <c r="NX141" s="1606"/>
      <c r="NY141" s="1606"/>
      <c r="NZ141" s="491"/>
      <c r="OA141" s="491"/>
      <c r="OB141" s="491"/>
      <c r="OC141" s="1561" t="s">
        <v>3479</v>
      </c>
      <c r="OD141" s="1561"/>
      <c r="OE141" s="1561"/>
      <c r="OF141" s="1561"/>
      <c r="OG141" s="1561"/>
      <c r="OH141" s="1561"/>
      <c r="OI141" s="1561"/>
      <c r="OJ141" s="1561"/>
      <c r="OK141" s="1561"/>
      <c r="OL141" s="1561"/>
      <c r="OM141" s="491"/>
      <c r="ON141" s="491"/>
      <c r="OO141" s="491"/>
      <c r="OP141" s="491"/>
      <c r="OQ141" s="491"/>
      <c r="OR141" s="491"/>
      <c r="OS141" s="491"/>
      <c r="OT141" s="491"/>
      <c r="OU141" s="491"/>
      <c r="OV141" s="491"/>
      <c r="OW141" s="491"/>
      <c r="OX141" s="491"/>
      <c r="OY141" s="491"/>
      <c r="OZ141" s="491"/>
      <c r="PA141" s="491"/>
      <c r="PB141" s="491"/>
      <c r="PC141" s="1561" t="s">
        <v>3088</v>
      </c>
      <c r="PD141" s="1561"/>
      <c r="PE141" s="1561"/>
      <c r="PF141" s="1561"/>
      <c r="PG141" s="1561"/>
      <c r="PH141" s="1561"/>
      <c r="PI141" s="1561"/>
      <c r="PJ141" s="1561"/>
      <c r="PK141" s="1561"/>
      <c r="PL141" s="1561"/>
      <c r="PM141" s="491"/>
      <c r="PN141" s="564"/>
      <c r="PW141" s="482"/>
    </row>
    <row r="142" spans="11:544" ht="12.75" customHeight="1" x14ac:dyDescent="0.35">
      <c r="K142" s="482"/>
      <c r="Q142" s="627"/>
      <c r="R142" s="628"/>
      <c r="S142" s="628"/>
      <c r="T142" s="628"/>
      <c r="U142" s="628"/>
      <c r="V142" s="628"/>
      <c r="W142" s="628"/>
      <c r="X142" s="628"/>
      <c r="Y142" s="628"/>
      <c r="Z142" s="628"/>
      <c r="AA142" s="628"/>
      <c r="AB142" s="628"/>
      <c r="AC142" s="628"/>
      <c r="AD142" s="727"/>
      <c r="AE142" s="728"/>
      <c r="AF142" s="728"/>
      <c r="AG142" s="729"/>
      <c r="AH142" s="729"/>
      <c r="AI142" s="729"/>
      <c r="AJ142" s="729"/>
      <c r="AK142" s="729"/>
      <c r="AL142" s="729"/>
      <c r="AM142" s="729"/>
      <c r="AN142" s="628"/>
      <c r="AO142" s="628"/>
      <c r="AP142" s="628"/>
      <c r="AQ142" s="628"/>
      <c r="AR142" s="628"/>
      <c r="AS142" s="628"/>
      <c r="AT142" s="628"/>
      <c r="AU142" s="628"/>
      <c r="AV142" s="628"/>
      <c r="AW142" s="628"/>
      <c r="AX142" s="628"/>
      <c r="AY142" s="628"/>
      <c r="AZ142" s="629"/>
      <c r="BC142" s="708"/>
      <c r="BD142" s="491"/>
      <c r="BE142" s="1593" t="s">
        <v>5274</v>
      </c>
      <c r="BF142" s="1584"/>
      <c r="BG142" s="1584"/>
      <c r="BH142" s="1584"/>
      <c r="BI142" s="1584"/>
      <c r="BJ142" s="1584"/>
      <c r="BK142" s="1584"/>
      <c r="BL142" s="1584"/>
      <c r="BM142" s="1584"/>
      <c r="BN142" s="1585"/>
      <c r="BO142" s="719"/>
      <c r="BP142" s="491"/>
      <c r="BQ142" s="1447" t="s">
        <v>5275</v>
      </c>
      <c r="BR142" s="1448"/>
      <c r="BS142" s="1448"/>
      <c r="BT142" s="1448"/>
      <c r="BU142" s="1448"/>
      <c r="BV142" s="1448"/>
      <c r="BW142" s="1448"/>
      <c r="BX142" s="1448"/>
      <c r="BY142" s="1448"/>
      <c r="BZ142" s="1449"/>
      <c r="CA142" s="564"/>
      <c r="CD142" s="708"/>
      <c r="CE142" s="491"/>
      <c r="CF142" s="491"/>
      <c r="CG142" s="491"/>
      <c r="CH142" s="491"/>
      <c r="CI142" s="491"/>
      <c r="CJ142" s="491"/>
      <c r="CK142" s="491"/>
      <c r="CL142" s="491"/>
      <c r="CM142" s="491"/>
      <c r="CN142" s="491"/>
      <c r="CO142" s="491"/>
      <c r="CP142" s="491"/>
      <c r="CQ142" s="491"/>
      <c r="CR142" s="491"/>
      <c r="CS142" s="491"/>
      <c r="CT142" s="491"/>
      <c r="CU142" s="491"/>
      <c r="CV142" s="491"/>
      <c r="CW142" s="491"/>
      <c r="CX142" s="491"/>
      <c r="CY142" s="491"/>
      <c r="CZ142" s="491"/>
      <c r="DA142" s="491"/>
      <c r="DB142" s="498"/>
      <c r="DC142" s="500"/>
      <c r="DN142" s="723"/>
      <c r="DO142" s="478"/>
      <c r="DP142" s="478"/>
      <c r="DR142" s="578"/>
      <c r="DS142" s="491"/>
      <c r="DT142" s="491"/>
      <c r="DU142" s="491"/>
      <c r="DV142" s="491"/>
      <c r="DW142" s="491"/>
      <c r="DX142" s="491"/>
      <c r="EI142" s="491"/>
      <c r="EJ142" s="491"/>
      <c r="EK142" s="491"/>
      <c r="EL142" s="491"/>
      <c r="EM142" s="491"/>
      <c r="EN142" s="491"/>
      <c r="EO142" s="564"/>
      <c r="ES142" s="578"/>
      <c r="ET142" s="491"/>
      <c r="EU142" s="491"/>
      <c r="EV142" s="725">
        <v>1</v>
      </c>
      <c r="EW142" s="1469" t="s">
        <v>5163</v>
      </c>
      <c r="EX142" s="1469"/>
      <c r="EY142" s="1469"/>
      <c r="EZ142" s="1469"/>
      <c r="FA142" s="1469"/>
      <c r="FB142" s="1469"/>
      <c r="FC142" s="1469"/>
      <c r="FD142" s="1469"/>
      <c r="FE142" s="1469"/>
      <c r="FF142" s="491"/>
      <c r="FG142" s="491"/>
      <c r="FH142" s="491"/>
      <c r="FI142" s="491"/>
      <c r="FJ142" s="491"/>
      <c r="FK142" s="491"/>
      <c r="FL142" s="491"/>
      <c r="FM142" s="491"/>
      <c r="FN142" s="491"/>
      <c r="FO142" s="491"/>
      <c r="FP142" s="491"/>
      <c r="FQ142" s="491"/>
      <c r="FR142" s="491"/>
      <c r="FS142" s="491"/>
      <c r="FT142" s="491"/>
      <c r="FU142" s="491"/>
      <c r="FV142" s="491"/>
      <c r="FW142" s="564"/>
      <c r="FZ142" s="578"/>
      <c r="GA142" s="704"/>
      <c r="GB142" s="704"/>
      <c r="GC142" s="704"/>
      <c r="GD142" s="704"/>
      <c r="GE142" s="704"/>
      <c r="GF142" s="704"/>
      <c r="GG142" s="704"/>
      <c r="GH142" s="704"/>
      <c r="GI142" s="704"/>
      <c r="GJ142" s="704"/>
      <c r="GK142" s="704"/>
      <c r="GL142" s="704"/>
      <c r="GM142" s="710">
        <v>1</v>
      </c>
      <c r="GN142" s="1567" t="s">
        <v>5165</v>
      </c>
      <c r="GO142" s="1568"/>
      <c r="GP142" s="1568"/>
      <c r="GQ142" s="1568"/>
      <c r="GR142" s="1568"/>
      <c r="GS142" s="1568"/>
      <c r="GT142" s="1568"/>
      <c r="GU142" s="1568"/>
      <c r="GV142" s="1569"/>
      <c r="GW142" s="704"/>
      <c r="GX142" s="704"/>
      <c r="GY142" s="704"/>
      <c r="GZ142" s="513">
        <v>1</v>
      </c>
      <c r="HA142" s="1567" t="s">
        <v>5165</v>
      </c>
      <c r="HB142" s="1568"/>
      <c r="HC142" s="1568"/>
      <c r="HD142" s="1568"/>
      <c r="HE142" s="1568"/>
      <c r="HF142" s="1568"/>
      <c r="HG142" s="1568"/>
      <c r="HH142" s="1568"/>
      <c r="HI142" s="1569"/>
      <c r="HJ142" s="704"/>
      <c r="HK142" s="704"/>
      <c r="HL142" s="704"/>
      <c r="HM142" s="710">
        <v>1</v>
      </c>
      <c r="HN142" s="1567" t="s">
        <v>5165</v>
      </c>
      <c r="HO142" s="1568"/>
      <c r="HP142" s="1568"/>
      <c r="HQ142" s="1568"/>
      <c r="HR142" s="1568"/>
      <c r="HS142" s="1568"/>
      <c r="HT142" s="1568"/>
      <c r="HU142" s="1568"/>
      <c r="HV142" s="1569"/>
      <c r="HW142" s="1564"/>
      <c r="HX142" s="1565"/>
      <c r="HY142" s="1566"/>
      <c r="HZ142" s="710">
        <v>1</v>
      </c>
      <c r="IA142" s="1567" t="s">
        <v>5165</v>
      </c>
      <c r="IB142" s="1568"/>
      <c r="IC142" s="1568"/>
      <c r="ID142" s="1568"/>
      <c r="IE142" s="1568"/>
      <c r="IF142" s="1568"/>
      <c r="IG142" s="1568"/>
      <c r="IH142" s="1568"/>
      <c r="II142" s="1569"/>
      <c r="IJ142" s="1564"/>
      <c r="IK142" s="1565"/>
      <c r="IL142" s="680"/>
      <c r="IV142" s="564"/>
      <c r="IZ142" s="578"/>
      <c r="JA142" s="1447" t="s">
        <v>5276</v>
      </c>
      <c r="JB142" s="1448"/>
      <c r="JC142" s="1448"/>
      <c r="JD142" s="1448"/>
      <c r="JE142" s="1448"/>
      <c r="JF142" s="1448"/>
      <c r="JG142" s="1448"/>
      <c r="JH142" s="1448"/>
      <c r="JI142" s="1448"/>
      <c r="JJ142" s="1449"/>
      <c r="JK142" s="632"/>
      <c r="JL142" s="1485" t="s">
        <v>3519</v>
      </c>
      <c r="JM142" s="1486"/>
      <c r="JN142" s="1486"/>
      <c r="JO142" s="1486"/>
      <c r="JP142" s="1486"/>
      <c r="JQ142" s="1486"/>
      <c r="JR142" s="1486"/>
      <c r="JS142" s="1486"/>
      <c r="JT142" s="1486"/>
      <c r="JU142" s="1487"/>
      <c r="JV142" s="491"/>
      <c r="JW142" s="632"/>
      <c r="JX142" s="632"/>
      <c r="JY142" s="632"/>
      <c r="JZ142" s="632"/>
      <c r="KA142" s="632"/>
      <c r="KB142" s="632"/>
      <c r="KC142" s="632"/>
      <c r="KD142" s="632"/>
      <c r="KE142" s="632"/>
      <c r="KF142" s="632"/>
      <c r="KG142" s="632"/>
      <c r="KH142" s="632"/>
      <c r="KI142" s="632"/>
      <c r="KJ142" s="632"/>
      <c r="KK142" s="632"/>
      <c r="KL142" s="491"/>
      <c r="KM142" s="491"/>
      <c r="KN142" s="491"/>
      <c r="KO142" s="491"/>
      <c r="KP142" s="491"/>
      <c r="KQ142" s="491"/>
      <c r="KR142" s="491"/>
      <c r="KS142" s="491"/>
      <c r="KT142" s="491"/>
      <c r="KU142" s="491"/>
      <c r="KV142" s="491"/>
      <c r="KW142" s="491"/>
      <c r="KX142" s="491"/>
      <c r="KY142" s="491"/>
      <c r="KZ142" s="491"/>
      <c r="LA142" s="491"/>
      <c r="LB142" s="491"/>
      <c r="LC142" s="491"/>
      <c r="LD142" s="491"/>
      <c r="LE142" s="491"/>
      <c r="LF142" s="491"/>
      <c r="LG142" s="491"/>
      <c r="LH142" s="491"/>
      <c r="LI142" s="491"/>
      <c r="LJ142" s="632"/>
      <c r="LK142" s="632"/>
      <c r="LL142" s="632"/>
      <c r="LM142" s="632"/>
      <c r="LN142" s="632"/>
      <c r="LO142" s="1447" t="s">
        <v>1964</v>
      </c>
      <c r="LP142" s="1448"/>
      <c r="LQ142" s="1448"/>
      <c r="LR142" s="1448"/>
      <c r="LS142" s="1448"/>
      <c r="LT142" s="1448"/>
      <c r="LU142" s="1448"/>
      <c r="LV142" s="1448"/>
      <c r="LW142" s="1448"/>
      <c r="LX142" s="1449"/>
      <c r="LY142" s="491"/>
      <c r="LZ142" s="491"/>
      <c r="MA142" s="491"/>
      <c r="MB142" s="491"/>
      <c r="MC142" s="491"/>
      <c r="MD142" s="491"/>
      <c r="ME142" s="491"/>
      <c r="MF142" s="491"/>
      <c r="MG142" s="491"/>
      <c r="MH142" s="491"/>
      <c r="MI142" s="491"/>
      <c r="MJ142" s="564"/>
      <c r="MN142" s="578"/>
      <c r="MO142" s="491"/>
      <c r="MP142" s="513">
        <v>1</v>
      </c>
      <c r="MQ142" s="1469" t="s">
        <v>4982</v>
      </c>
      <c r="MR142" s="1469"/>
      <c r="MS142" s="1469"/>
      <c r="MT142" s="1469"/>
      <c r="MU142" s="1469"/>
      <c r="MV142" s="1469"/>
      <c r="MW142" s="1469"/>
      <c r="MX142" s="1469"/>
      <c r="MY142" s="1469"/>
      <c r="MZ142" s="491"/>
      <c r="NA142" s="491"/>
      <c r="NB142" s="491"/>
      <c r="NC142" s="513">
        <v>1</v>
      </c>
      <c r="ND142" s="1469" t="s">
        <v>4764</v>
      </c>
      <c r="NE142" s="1469"/>
      <c r="NF142" s="1469"/>
      <c r="NG142" s="1469"/>
      <c r="NH142" s="1469"/>
      <c r="NI142" s="1469"/>
      <c r="NJ142" s="1469"/>
      <c r="NK142" s="1469"/>
      <c r="NL142" s="1469"/>
      <c r="NM142" s="491"/>
      <c r="NN142" s="491"/>
      <c r="NO142" s="491"/>
      <c r="NP142" s="639">
        <v>1</v>
      </c>
      <c r="NQ142" s="1519" t="s">
        <v>5268</v>
      </c>
      <c r="NR142" s="1519"/>
      <c r="NS142" s="1519"/>
      <c r="NT142" s="1519"/>
      <c r="NU142" s="1519"/>
      <c r="NV142" s="1519"/>
      <c r="NW142" s="1519"/>
      <c r="NX142" s="1519"/>
      <c r="NY142" s="1519"/>
      <c r="NZ142" s="491"/>
      <c r="OA142" s="491"/>
      <c r="OB142" s="491"/>
      <c r="OC142" s="513">
        <v>1</v>
      </c>
      <c r="OD142" s="1469" t="s">
        <v>172</v>
      </c>
      <c r="OE142" s="1469"/>
      <c r="OF142" s="1469"/>
      <c r="OG142" s="1469"/>
      <c r="OH142" s="1469"/>
      <c r="OI142" s="1469"/>
      <c r="OJ142" s="1469"/>
      <c r="OK142" s="1469"/>
      <c r="OL142" s="1469"/>
      <c r="OM142" s="491"/>
      <c r="ON142" s="491"/>
      <c r="OO142" s="491"/>
      <c r="OP142" s="491"/>
      <c r="OQ142" s="491"/>
      <c r="OR142" s="491"/>
      <c r="OS142" s="491"/>
      <c r="OT142" s="491"/>
      <c r="OU142" s="491"/>
      <c r="OV142" s="491"/>
      <c r="OW142" s="491"/>
      <c r="OX142" s="491"/>
      <c r="OY142" s="491"/>
      <c r="OZ142" s="491"/>
      <c r="PA142" s="491"/>
      <c r="PB142" s="491"/>
      <c r="PC142" s="513">
        <v>1</v>
      </c>
      <c r="PD142" s="1469" t="s">
        <v>5229</v>
      </c>
      <c r="PE142" s="1469"/>
      <c r="PF142" s="1469"/>
      <c r="PG142" s="1469"/>
      <c r="PH142" s="1469"/>
      <c r="PI142" s="1469"/>
      <c r="PJ142" s="1469"/>
      <c r="PK142" s="1469"/>
      <c r="PL142" s="1469"/>
      <c r="PM142" s="491"/>
      <c r="PN142" s="564"/>
      <c r="PW142" s="482"/>
    </row>
    <row r="143" spans="11:544" ht="12.75" customHeight="1" x14ac:dyDescent="0.35">
      <c r="K143" s="482"/>
      <c r="Q143" s="491"/>
      <c r="R143" s="491"/>
      <c r="S143" s="491"/>
      <c r="T143" s="491"/>
      <c r="U143" s="491"/>
      <c r="V143" s="491"/>
      <c r="W143" s="491"/>
      <c r="X143" s="491"/>
      <c r="Y143" s="491"/>
      <c r="Z143" s="491"/>
      <c r="AA143" s="730"/>
      <c r="AB143" s="730"/>
      <c r="AC143" s="730"/>
      <c r="AD143" s="730"/>
      <c r="AE143" s="730"/>
      <c r="AF143" s="730"/>
      <c r="AG143" s="730"/>
      <c r="AH143" s="730"/>
      <c r="AI143" s="730"/>
      <c r="AJ143" s="498"/>
      <c r="AK143" s="498"/>
      <c r="AL143" s="498"/>
      <c r="AM143" s="498"/>
      <c r="AN143" s="491"/>
      <c r="AO143" s="491"/>
      <c r="AP143" s="491"/>
      <c r="AQ143" s="491"/>
      <c r="AR143" s="491"/>
      <c r="AS143" s="491"/>
      <c r="AT143" s="491"/>
      <c r="AU143" s="491"/>
      <c r="AV143" s="491"/>
      <c r="AW143" s="491"/>
      <c r="AX143" s="491"/>
      <c r="AY143" s="491"/>
      <c r="AZ143" s="491"/>
      <c r="BC143" s="708"/>
      <c r="BD143" s="491"/>
      <c r="BE143" s="513">
        <v>1</v>
      </c>
      <c r="BF143" s="1456" t="s">
        <v>5240</v>
      </c>
      <c r="BG143" s="1457"/>
      <c r="BH143" s="1457"/>
      <c r="BI143" s="1457"/>
      <c r="BJ143" s="1457"/>
      <c r="BK143" s="1457"/>
      <c r="BL143" s="1457"/>
      <c r="BM143" s="1457"/>
      <c r="BN143" s="1458"/>
      <c r="BO143" s="719"/>
      <c r="BP143" s="491"/>
      <c r="BQ143" s="491"/>
      <c r="BR143" s="491"/>
      <c r="BS143" s="491"/>
      <c r="BT143" s="491"/>
      <c r="BU143" s="491"/>
      <c r="BV143" s="491"/>
      <c r="BW143" s="491"/>
      <c r="BX143" s="491"/>
      <c r="BY143" s="491"/>
      <c r="BZ143" s="491"/>
      <c r="CA143" s="564"/>
      <c r="CD143" s="708"/>
      <c r="CE143" s="491"/>
      <c r="CF143" s="491"/>
      <c r="CG143" s="491"/>
      <c r="CH143" s="491"/>
      <c r="CI143" s="491"/>
      <c r="CJ143" s="491"/>
      <c r="CK143" s="491"/>
      <c r="CL143" s="491"/>
      <c r="CM143" s="491"/>
      <c r="CN143" s="491"/>
      <c r="CO143" s="491"/>
      <c r="CP143" s="491"/>
      <c r="CQ143" s="491"/>
      <c r="CR143" s="491"/>
      <c r="CS143" s="491"/>
      <c r="CT143" s="491"/>
      <c r="CU143" s="491"/>
      <c r="CV143" s="491"/>
      <c r="CW143" s="491"/>
      <c r="CX143" s="491"/>
      <c r="CY143" s="491"/>
      <c r="CZ143" s="491"/>
      <c r="DA143" s="491"/>
      <c r="DB143" s="491"/>
      <c r="DC143" s="491"/>
      <c r="DN143" s="656"/>
      <c r="DO143" s="483"/>
      <c r="DP143" s="483"/>
      <c r="DR143" s="731"/>
      <c r="DS143" s="628"/>
      <c r="DT143" s="1554"/>
      <c r="DU143" s="1555"/>
      <c r="DV143" s="1555"/>
      <c r="DW143" s="1555"/>
      <c r="DX143" s="1555"/>
      <c r="DY143" s="1555"/>
      <c r="DZ143" s="1555"/>
      <c r="EA143" s="1555"/>
      <c r="EB143" s="1555"/>
      <c r="EC143" s="1556"/>
      <c r="ED143" s="628"/>
      <c r="EE143" s="628"/>
      <c r="EF143" s="628"/>
      <c r="EG143" s="628"/>
      <c r="EH143" s="628"/>
      <c r="EI143" s="628"/>
      <c r="EJ143" s="628"/>
      <c r="EK143" s="628"/>
      <c r="EL143" s="628"/>
      <c r="EM143" s="628"/>
      <c r="EN143" s="628"/>
      <c r="EO143" s="629"/>
      <c r="ES143" s="578"/>
      <c r="ET143" s="491"/>
      <c r="EU143" s="491"/>
      <c r="EV143" s="1472" t="s">
        <v>3907</v>
      </c>
      <c r="EW143" s="1472"/>
      <c r="EX143" s="1472"/>
      <c r="EY143" s="1472"/>
      <c r="EZ143" s="1472"/>
      <c r="FA143" s="1472"/>
      <c r="FB143" s="1472"/>
      <c r="FC143" s="1472"/>
      <c r="FD143" s="1472"/>
      <c r="FE143" s="1472"/>
      <c r="FF143" s="491"/>
      <c r="FG143" s="491"/>
      <c r="FH143" s="491"/>
      <c r="FI143" s="491"/>
      <c r="FJ143" s="491"/>
      <c r="FK143" s="491"/>
      <c r="FL143" s="491"/>
      <c r="FM143" s="491"/>
      <c r="FN143" s="491"/>
      <c r="FO143" s="491"/>
      <c r="FP143" s="491"/>
      <c r="FQ143" s="491"/>
      <c r="FR143" s="491"/>
      <c r="FS143" s="491"/>
      <c r="FT143" s="491"/>
      <c r="FU143" s="491"/>
      <c r="FV143" s="491"/>
      <c r="FW143" s="564"/>
      <c r="FZ143" s="578"/>
      <c r="GA143" s="704"/>
      <c r="GB143" s="704"/>
      <c r="GC143" s="704"/>
      <c r="GD143" s="704"/>
      <c r="GE143" s="704"/>
      <c r="GF143" s="704"/>
      <c r="GG143" s="704"/>
      <c r="GH143" s="704"/>
      <c r="GI143" s="704"/>
      <c r="GJ143" s="704"/>
      <c r="GK143" s="704"/>
      <c r="GL143" s="704"/>
      <c r="GM143" s="1450" t="s">
        <v>3100</v>
      </c>
      <c r="GN143" s="1451"/>
      <c r="GO143" s="1451"/>
      <c r="GP143" s="1451"/>
      <c r="GQ143" s="1451"/>
      <c r="GR143" s="1451"/>
      <c r="GS143" s="1451"/>
      <c r="GT143" s="1451"/>
      <c r="GU143" s="1451"/>
      <c r="GV143" s="1452"/>
      <c r="GW143" s="704"/>
      <c r="GX143" s="704"/>
      <c r="GY143" s="704"/>
      <c r="GZ143" s="1561" t="s">
        <v>2793</v>
      </c>
      <c r="HA143" s="1561"/>
      <c r="HB143" s="1561"/>
      <c r="HC143" s="1561"/>
      <c r="HD143" s="1561"/>
      <c r="HE143" s="1561"/>
      <c r="HF143" s="1561"/>
      <c r="HG143" s="1561"/>
      <c r="HH143" s="1561"/>
      <c r="HI143" s="1561"/>
      <c r="HJ143" s="704"/>
      <c r="HK143" s="704"/>
      <c r="HL143" s="704"/>
      <c r="HM143" s="1450" t="s">
        <v>2295</v>
      </c>
      <c r="HN143" s="1451"/>
      <c r="HO143" s="1451"/>
      <c r="HP143" s="1451"/>
      <c r="HQ143" s="1451"/>
      <c r="HR143" s="1451"/>
      <c r="HS143" s="1451"/>
      <c r="HT143" s="1451"/>
      <c r="HU143" s="1451"/>
      <c r="HV143" s="1452"/>
      <c r="HW143" s="1564"/>
      <c r="HX143" s="1565"/>
      <c r="HY143" s="1566"/>
      <c r="HZ143" s="1450" t="s">
        <v>3640</v>
      </c>
      <c r="IA143" s="1451"/>
      <c r="IB143" s="1451"/>
      <c r="IC143" s="1451"/>
      <c r="ID143" s="1451"/>
      <c r="IE143" s="1451"/>
      <c r="IF143" s="1451"/>
      <c r="IG143" s="1451"/>
      <c r="IH143" s="1451"/>
      <c r="II143" s="1452"/>
      <c r="IJ143" s="1564"/>
      <c r="IK143" s="1565"/>
      <c r="IV143" s="564"/>
      <c r="IZ143" s="578"/>
      <c r="JA143" s="513">
        <v>1</v>
      </c>
      <c r="JB143" s="1456" t="s">
        <v>5007</v>
      </c>
      <c r="JC143" s="1457"/>
      <c r="JD143" s="1457"/>
      <c r="JE143" s="1457"/>
      <c r="JF143" s="1457"/>
      <c r="JG143" s="1457"/>
      <c r="JH143" s="1457"/>
      <c r="JI143" s="1457"/>
      <c r="JJ143" s="1458"/>
      <c r="JK143" s="632"/>
      <c r="JV143" s="491"/>
      <c r="JW143" s="632"/>
      <c r="JX143" s="632"/>
      <c r="JY143" s="632"/>
      <c r="JZ143" s="632"/>
      <c r="KA143" s="632"/>
      <c r="KB143" s="632"/>
      <c r="KC143" s="632"/>
      <c r="KD143" s="632"/>
      <c r="KE143" s="632"/>
      <c r="KF143" s="632"/>
      <c r="KG143" s="632"/>
      <c r="KH143" s="632"/>
      <c r="KI143" s="632"/>
      <c r="KJ143" s="632"/>
      <c r="KK143" s="632"/>
      <c r="KL143" s="632"/>
      <c r="KM143" s="632"/>
      <c r="KN143" s="632"/>
      <c r="KO143" s="632"/>
      <c r="KP143" s="632"/>
      <c r="KQ143" s="632"/>
      <c r="KR143" s="632"/>
      <c r="KS143" s="491"/>
      <c r="KT143" s="491"/>
      <c r="KU143" s="491"/>
      <c r="KV143" s="491"/>
      <c r="KW143" s="491"/>
      <c r="KX143" s="491"/>
      <c r="KY143" s="491"/>
      <c r="KZ143" s="491"/>
      <c r="LA143" s="491"/>
      <c r="LB143" s="491"/>
      <c r="LC143" s="491"/>
      <c r="LD143" s="491"/>
      <c r="LE143" s="491"/>
      <c r="LF143" s="491"/>
      <c r="LG143" s="491"/>
      <c r="LH143" s="491"/>
      <c r="LI143" s="491"/>
      <c r="LJ143" s="632"/>
      <c r="LK143" s="632"/>
      <c r="LL143" s="632"/>
      <c r="LM143" s="632"/>
      <c r="LN143" s="632"/>
      <c r="LO143" s="491"/>
      <c r="LP143" s="491"/>
      <c r="LQ143" s="491"/>
      <c r="LR143" s="491"/>
      <c r="LS143" s="491"/>
      <c r="LT143" s="491"/>
      <c r="LU143" s="491"/>
      <c r="LV143" s="491"/>
      <c r="LW143" s="491"/>
      <c r="LX143" s="491"/>
      <c r="LY143" s="491"/>
      <c r="LZ143" s="491"/>
      <c r="MA143" s="491"/>
      <c r="MB143" s="491"/>
      <c r="MC143" s="491"/>
      <c r="MD143" s="491"/>
      <c r="ME143" s="491"/>
      <c r="MF143" s="491"/>
      <c r="MG143" s="491"/>
      <c r="MH143" s="704"/>
      <c r="MI143" s="491"/>
      <c r="MJ143" s="564"/>
      <c r="MN143" s="578"/>
      <c r="MO143" s="491"/>
      <c r="MP143" s="1594" t="s">
        <v>3175</v>
      </c>
      <c r="MQ143" s="1594"/>
      <c r="MR143" s="1594"/>
      <c r="MS143" s="1594"/>
      <c r="MT143" s="1594"/>
      <c r="MU143" s="1594"/>
      <c r="MV143" s="1594"/>
      <c r="MW143" s="1594"/>
      <c r="MX143" s="1594"/>
      <c r="MY143" s="1594"/>
      <c r="MZ143" s="491"/>
      <c r="NA143" s="491"/>
      <c r="NB143" s="491"/>
      <c r="NC143" s="1609" t="s">
        <v>131</v>
      </c>
      <c r="ND143" s="1609"/>
      <c r="NE143" s="1609"/>
      <c r="NF143" s="1609"/>
      <c r="NG143" s="1609"/>
      <c r="NH143" s="1609"/>
      <c r="NI143" s="1609"/>
      <c r="NJ143" s="1609"/>
      <c r="NK143" s="1609"/>
      <c r="NL143" s="1609"/>
      <c r="NM143" s="491"/>
      <c r="NN143" s="491"/>
      <c r="NO143" s="491"/>
      <c r="NP143" s="1582" t="s">
        <v>1631</v>
      </c>
      <c r="NQ143" s="1582"/>
      <c r="NR143" s="1582"/>
      <c r="NS143" s="1582"/>
      <c r="NT143" s="1582"/>
      <c r="NU143" s="1582"/>
      <c r="NV143" s="1582"/>
      <c r="NW143" s="1582"/>
      <c r="NX143" s="1582"/>
      <c r="NY143" s="1582"/>
      <c r="NZ143" s="491"/>
      <c r="OA143" s="491"/>
      <c r="OB143" s="491"/>
      <c r="OC143" s="1561" t="s">
        <v>3525</v>
      </c>
      <c r="OD143" s="1561"/>
      <c r="OE143" s="1561"/>
      <c r="OF143" s="1561"/>
      <c r="OG143" s="1561"/>
      <c r="OH143" s="1561"/>
      <c r="OI143" s="1561"/>
      <c r="OJ143" s="1561"/>
      <c r="OK143" s="1561"/>
      <c r="OL143" s="1561"/>
      <c r="OM143" s="491"/>
      <c r="ON143" s="491"/>
      <c r="OO143" s="491"/>
      <c r="OP143" s="491"/>
      <c r="OQ143" s="491"/>
      <c r="OR143" s="491"/>
      <c r="OS143" s="491"/>
      <c r="OT143" s="491"/>
      <c r="OU143" s="491"/>
      <c r="OV143" s="491"/>
      <c r="OW143" s="491"/>
      <c r="OX143" s="491"/>
      <c r="OY143" s="491"/>
      <c r="OZ143" s="491"/>
      <c r="PA143" s="491"/>
      <c r="PB143" s="491"/>
      <c r="PC143" s="1561" t="s">
        <v>3643</v>
      </c>
      <c r="PD143" s="1561"/>
      <c r="PE143" s="1561"/>
      <c r="PF143" s="1561"/>
      <c r="PG143" s="1561"/>
      <c r="PH143" s="1561"/>
      <c r="PI143" s="1561"/>
      <c r="PJ143" s="1561"/>
      <c r="PK143" s="1561"/>
      <c r="PL143" s="1561"/>
      <c r="PM143" s="491"/>
      <c r="PN143" s="564"/>
      <c r="PW143" s="482"/>
    </row>
    <row r="144" spans="11:544" ht="12.75" customHeight="1" x14ac:dyDescent="0.35">
      <c r="K144" s="482"/>
      <c r="Q144" s="491"/>
      <c r="R144" s="491"/>
      <c r="S144" s="507"/>
      <c r="T144" s="491"/>
      <c r="U144" s="504"/>
      <c r="V144" s="504"/>
      <c r="W144" s="504"/>
      <c r="X144" s="504"/>
      <c r="Y144" s="504"/>
      <c r="Z144" s="500"/>
      <c r="AA144" s="635"/>
      <c r="AB144" s="500"/>
      <c r="AC144" s="491"/>
      <c r="AD144" s="491"/>
      <c r="AE144" s="507"/>
      <c r="AF144" s="504"/>
      <c r="AG144" s="504"/>
      <c r="AH144" s="501"/>
      <c r="AI144" s="501"/>
      <c r="AJ144" s="501"/>
      <c r="AK144" s="501"/>
      <c r="AL144" s="501"/>
      <c r="AM144" s="501"/>
      <c r="AN144" s="501"/>
      <c r="AO144" s="491"/>
      <c r="AP144" s="511"/>
      <c r="AQ144" s="507"/>
      <c r="AR144" s="504"/>
      <c r="AS144" s="504"/>
      <c r="AT144" s="501"/>
      <c r="AU144" s="501"/>
      <c r="AV144" s="501"/>
      <c r="AW144" s="501"/>
      <c r="AX144" s="501"/>
      <c r="AY144" s="501"/>
      <c r="AZ144" s="501"/>
      <c r="BC144" s="708"/>
      <c r="BD144" s="491"/>
      <c r="BE144" s="1447" t="s">
        <v>5277</v>
      </c>
      <c r="BF144" s="1448"/>
      <c r="BG144" s="1448"/>
      <c r="BH144" s="1448"/>
      <c r="BI144" s="1448"/>
      <c r="BJ144" s="1448"/>
      <c r="BK144" s="1448"/>
      <c r="BL144" s="1448"/>
      <c r="BM144" s="1448"/>
      <c r="BN144" s="1449"/>
      <c r="BO144" s="719"/>
      <c r="BP144" s="491"/>
      <c r="BQ144" s="491"/>
      <c r="BR144" s="491"/>
      <c r="BS144" s="491"/>
      <c r="BT144" s="491"/>
      <c r="BU144" s="491"/>
      <c r="BV144" s="491"/>
      <c r="BW144" s="491"/>
      <c r="BX144" s="491"/>
      <c r="BY144" s="491"/>
      <c r="BZ144" s="491"/>
      <c r="CA144" s="564"/>
      <c r="CD144" s="708"/>
      <c r="CE144" s="491"/>
      <c r="CF144" s="491"/>
      <c r="CG144" s="491"/>
      <c r="CH144" s="491"/>
      <c r="CI144" s="491"/>
      <c r="CJ144" s="491"/>
      <c r="CK144" s="491"/>
      <c r="CL144" s="491"/>
      <c r="CM144" s="491"/>
      <c r="CN144" s="491"/>
      <c r="CO144" s="491"/>
      <c r="CP144" s="491"/>
      <c r="CQ144" s="491"/>
      <c r="CR144" s="491"/>
      <c r="CS144" s="491"/>
      <c r="CT144" s="491"/>
      <c r="CU144" s="491"/>
      <c r="CV144" s="491"/>
      <c r="CW144" s="491"/>
      <c r="CX144" s="491"/>
      <c r="CY144" s="491"/>
      <c r="CZ144" s="491"/>
      <c r="DA144" s="491"/>
      <c r="DB144" s="491"/>
      <c r="DC144" s="491"/>
      <c r="DN144" s="656"/>
      <c r="DO144" s="478"/>
      <c r="DP144" s="478"/>
      <c r="DR144" s="491"/>
      <c r="DS144" s="491"/>
      <c r="DT144" s="491"/>
      <c r="DU144" s="491"/>
      <c r="DV144" s="491"/>
      <c r="DW144" s="491"/>
      <c r="DX144" s="491"/>
      <c r="DY144" s="730"/>
      <c r="DZ144" s="662"/>
      <c r="EA144" s="662"/>
      <c r="EB144" s="662"/>
      <c r="EC144" s="662"/>
      <c r="ED144" s="662"/>
      <c r="EE144" s="662"/>
      <c r="EF144" s="662"/>
      <c r="EG144" s="491"/>
      <c r="EH144" s="491"/>
      <c r="EI144" s="491"/>
      <c r="EJ144" s="491"/>
      <c r="EK144" s="491"/>
      <c r="EL144" s="491"/>
      <c r="EM144" s="491"/>
      <c r="EN144" s="491"/>
      <c r="EO144" s="491"/>
      <c r="ES144" s="578"/>
      <c r="ET144" s="491"/>
      <c r="EU144" s="491"/>
      <c r="EV144" s="725">
        <v>1</v>
      </c>
      <c r="EW144" s="1469" t="s">
        <v>5183</v>
      </c>
      <c r="EX144" s="1469"/>
      <c r="EY144" s="1469"/>
      <c r="EZ144" s="1469"/>
      <c r="FA144" s="1469"/>
      <c r="FB144" s="1469"/>
      <c r="FC144" s="1469"/>
      <c r="FD144" s="1469"/>
      <c r="FE144" s="1469"/>
      <c r="FF144" s="491"/>
      <c r="FG144" s="491"/>
      <c r="FH144" s="491"/>
      <c r="FI144" s="491"/>
      <c r="FJ144" s="491"/>
      <c r="FK144" s="491"/>
      <c r="FL144" s="491"/>
      <c r="FM144" s="491"/>
      <c r="FN144" s="491"/>
      <c r="FO144" s="491"/>
      <c r="FP144" s="491"/>
      <c r="FQ144" s="491"/>
      <c r="FR144" s="491"/>
      <c r="FS144" s="491"/>
      <c r="FT144" s="491"/>
      <c r="FU144" s="491"/>
      <c r="FV144" s="491"/>
      <c r="FW144" s="564"/>
      <c r="FZ144" s="578"/>
      <c r="GA144" s="704"/>
      <c r="GB144" s="704"/>
      <c r="GC144" s="704"/>
      <c r="GD144" s="704"/>
      <c r="GE144" s="704"/>
      <c r="GF144" s="704"/>
      <c r="GG144" s="704"/>
      <c r="GH144" s="704"/>
      <c r="GI144" s="704"/>
      <c r="GJ144" s="704"/>
      <c r="GK144" s="704"/>
      <c r="GL144" s="704"/>
      <c r="GM144" s="710">
        <v>1</v>
      </c>
      <c r="GN144" s="1567" t="s">
        <v>5165</v>
      </c>
      <c r="GO144" s="1568"/>
      <c r="GP144" s="1568"/>
      <c r="GQ144" s="1568"/>
      <c r="GR144" s="1568"/>
      <c r="GS144" s="1568"/>
      <c r="GT144" s="1568"/>
      <c r="GU144" s="1568"/>
      <c r="GV144" s="1569"/>
      <c r="GW144" s="704"/>
      <c r="GX144" s="704"/>
      <c r="GY144" s="704"/>
      <c r="GZ144" s="513">
        <v>1</v>
      </c>
      <c r="HA144" s="1567" t="s">
        <v>5165</v>
      </c>
      <c r="HB144" s="1568"/>
      <c r="HC144" s="1568"/>
      <c r="HD144" s="1568"/>
      <c r="HE144" s="1568"/>
      <c r="HF144" s="1568"/>
      <c r="HG144" s="1568"/>
      <c r="HH144" s="1568"/>
      <c r="HI144" s="1569"/>
      <c r="HJ144" s="704"/>
      <c r="HK144" s="704"/>
      <c r="HL144" s="704"/>
      <c r="HM144" s="710">
        <v>1</v>
      </c>
      <c r="HN144" s="1567" t="s">
        <v>5165</v>
      </c>
      <c r="HO144" s="1568"/>
      <c r="HP144" s="1568"/>
      <c r="HQ144" s="1568"/>
      <c r="HR144" s="1568"/>
      <c r="HS144" s="1568"/>
      <c r="HT144" s="1568"/>
      <c r="HU144" s="1568"/>
      <c r="HV144" s="1569"/>
      <c r="HW144" s="1564"/>
      <c r="HX144" s="1565"/>
      <c r="HY144" s="1566"/>
      <c r="HZ144" s="710">
        <v>1</v>
      </c>
      <c r="IA144" s="1567" t="s">
        <v>5165</v>
      </c>
      <c r="IB144" s="1568"/>
      <c r="IC144" s="1568"/>
      <c r="ID144" s="1568"/>
      <c r="IE144" s="1568"/>
      <c r="IF144" s="1568"/>
      <c r="IG144" s="1568"/>
      <c r="IH144" s="1568"/>
      <c r="II144" s="1569"/>
      <c r="IJ144" s="1564"/>
      <c r="IK144" s="1565"/>
      <c r="IL144" s="1565"/>
      <c r="IM144" s="1565"/>
      <c r="IN144" s="1565"/>
      <c r="IO144" s="1565"/>
      <c r="IP144" s="1565"/>
      <c r="IQ144" s="1565"/>
      <c r="IR144" s="1565"/>
      <c r="IS144" s="1565"/>
      <c r="IT144" s="1565"/>
      <c r="IU144" s="1565"/>
      <c r="IV144" s="564"/>
      <c r="IZ144" s="578"/>
      <c r="JA144" s="1447" t="s">
        <v>2231</v>
      </c>
      <c r="JB144" s="1448" t="s">
        <v>5267</v>
      </c>
      <c r="JC144" s="1448"/>
      <c r="JD144" s="1448"/>
      <c r="JE144" s="1448"/>
      <c r="JF144" s="1448"/>
      <c r="JG144" s="1448"/>
      <c r="JH144" s="1448"/>
      <c r="JI144" s="1448"/>
      <c r="JJ144" s="1449"/>
      <c r="JK144" s="632"/>
      <c r="JV144" s="491"/>
      <c r="JW144" s="632"/>
      <c r="JX144" s="632"/>
      <c r="JY144" s="632"/>
      <c r="JZ144" s="632"/>
      <c r="KA144" s="632"/>
      <c r="KB144" s="632"/>
      <c r="KC144" s="632"/>
      <c r="KD144" s="632"/>
      <c r="KE144" s="632"/>
      <c r="KF144" s="632"/>
      <c r="KG144" s="632"/>
      <c r="KH144" s="632"/>
      <c r="KI144" s="632"/>
      <c r="KJ144" s="632"/>
      <c r="KK144" s="632"/>
      <c r="KL144" s="632"/>
      <c r="KM144" s="632"/>
      <c r="KN144" s="632"/>
      <c r="KO144" s="632"/>
      <c r="KP144" s="632"/>
      <c r="KQ144" s="632"/>
      <c r="KR144" s="632"/>
      <c r="KS144" s="491"/>
      <c r="KT144" s="491"/>
      <c r="KU144" s="491"/>
      <c r="KV144" s="491"/>
      <c r="KW144" s="491"/>
      <c r="KX144" s="491"/>
      <c r="KY144" s="491"/>
      <c r="KZ144" s="491"/>
      <c r="LA144" s="491"/>
      <c r="LB144" s="491"/>
      <c r="LC144" s="491"/>
      <c r="LD144" s="491"/>
      <c r="LE144" s="491"/>
      <c r="LF144" s="491"/>
      <c r="LG144" s="491"/>
      <c r="LH144" s="491"/>
      <c r="LI144" s="491"/>
      <c r="LJ144" s="632"/>
      <c r="LK144" s="632"/>
      <c r="LL144" s="632"/>
      <c r="LM144" s="632"/>
      <c r="LN144" s="632"/>
      <c r="LO144" s="491"/>
      <c r="LP144" s="491"/>
      <c r="LQ144" s="491"/>
      <c r="LR144" s="491"/>
      <c r="LS144" s="491"/>
      <c r="LT144" s="491"/>
      <c r="LU144" s="491"/>
      <c r="LV144" s="491"/>
      <c r="LW144" s="491"/>
      <c r="LX144" s="491"/>
      <c r="LY144" s="491"/>
      <c r="LZ144" s="491"/>
      <c r="MA144" s="491"/>
      <c r="MB144" s="491"/>
      <c r="MC144" s="491"/>
      <c r="MD144" s="491"/>
      <c r="ME144" s="491"/>
      <c r="MF144" s="491"/>
      <c r="MG144" s="491"/>
      <c r="MH144" s="491"/>
      <c r="MI144" s="491"/>
      <c r="MJ144" s="564"/>
      <c r="MN144" s="578"/>
      <c r="MO144" s="491"/>
      <c r="MP144" s="513">
        <v>1</v>
      </c>
      <c r="MQ144" s="1469" t="s">
        <v>5227</v>
      </c>
      <c r="MR144" s="1469"/>
      <c r="MS144" s="1469"/>
      <c r="MT144" s="1469"/>
      <c r="MU144" s="1469"/>
      <c r="MV144" s="1469"/>
      <c r="MW144" s="1469"/>
      <c r="MX144" s="1469"/>
      <c r="MY144" s="1469"/>
      <c r="MZ144" s="491"/>
      <c r="NA144" s="491"/>
      <c r="NB144" s="491"/>
      <c r="NC144" s="513">
        <v>1</v>
      </c>
      <c r="ND144" s="1456" t="s">
        <v>5250</v>
      </c>
      <c r="NE144" s="1457"/>
      <c r="NF144" s="1457"/>
      <c r="NG144" s="1457"/>
      <c r="NH144" s="1457"/>
      <c r="NI144" s="1457"/>
      <c r="NJ144" s="1457"/>
      <c r="NK144" s="1457"/>
      <c r="NL144" s="1458"/>
      <c r="NM144" s="491"/>
      <c r="NN144" s="491"/>
      <c r="NO144" s="491"/>
      <c r="NP144" s="507"/>
      <c r="NQ144" s="1520"/>
      <c r="NR144" s="1520"/>
      <c r="NS144" s="1520"/>
      <c r="NT144" s="1520"/>
      <c r="NU144" s="1520"/>
      <c r="NV144" s="1520"/>
      <c r="NW144" s="1520"/>
      <c r="NX144" s="1520"/>
      <c r="NY144" s="1520"/>
      <c r="NZ144" s="491"/>
      <c r="OA144" s="491"/>
      <c r="OB144" s="491"/>
      <c r="OC144" s="513">
        <v>1</v>
      </c>
      <c r="OD144" s="1469" t="s">
        <v>172</v>
      </c>
      <c r="OE144" s="1469"/>
      <c r="OF144" s="1469"/>
      <c r="OG144" s="1469"/>
      <c r="OH144" s="1469"/>
      <c r="OI144" s="1469"/>
      <c r="OJ144" s="1469"/>
      <c r="OK144" s="1469"/>
      <c r="OL144" s="1469"/>
      <c r="OM144" s="491"/>
      <c r="ON144" s="491"/>
      <c r="OO144" s="491"/>
      <c r="OP144" s="491"/>
      <c r="OQ144" s="491"/>
      <c r="OR144" s="491"/>
      <c r="OS144" s="491"/>
      <c r="OT144" s="491"/>
      <c r="OU144" s="491"/>
      <c r="OV144" s="491"/>
      <c r="OW144" s="491"/>
      <c r="OX144" s="491"/>
      <c r="OY144" s="491"/>
      <c r="OZ144" s="491"/>
      <c r="PA144" s="491"/>
      <c r="PB144" s="491"/>
      <c r="PC144" s="513"/>
      <c r="PD144" s="1469" t="s">
        <v>5229</v>
      </c>
      <c r="PE144" s="1469"/>
      <c r="PF144" s="1469"/>
      <c r="PG144" s="1469"/>
      <c r="PH144" s="1469"/>
      <c r="PI144" s="1469"/>
      <c r="PJ144" s="1469"/>
      <c r="PK144" s="1469"/>
      <c r="PL144" s="1469"/>
      <c r="PM144" s="491"/>
      <c r="PN144" s="564"/>
      <c r="PW144" s="482"/>
    </row>
    <row r="145" spans="11:439" ht="12.75" customHeight="1" x14ac:dyDescent="0.2">
      <c r="K145" s="482"/>
      <c r="Q145" s="491"/>
      <c r="R145" s="491"/>
      <c r="S145" s="491"/>
      <c r="T145" s="491"/>
      <c r="U145" s="491"/>
      <c r="V145" s="491"/>
      <c r="W145" s="491"/>
      <c r="X145" s="491"/>
      <c r="Y145" s="491"/>
      <c r="Z145" s="641"/>
      <c r="AA145" s="641"/>
      <c r="AB145" s="641"/>
      <c r="AC145" s="641"/>
      <c r="AD145" s="491"/>
      <c r="AE145" s="491"/>
      <c r="AF145" s="641"/>
      <c r="AG145" s="491"/>
      <c r="AH145" s="491"/>
      <c r="AI145" s="491"/>
      <c r="AJ145" s="491"/>
      <c r="AK145" s="491"/>
      <c r="AL145" s="491"/>
      <c r="AM145" s="491"/>
      <c r="AN145" s="491"/>
      <c r="AO145" s="491"/>
      <c r="AP145" s="491"/>
      <c r="AQ145" s="491"/>
      <c r="AR145" s="491"/>
      <c r="AS145" s="491"/>
      <c r="AT145" s="491"/>
      <c r="AU145" s="491"/>
      <c r="AV145" s="491"/>
      <c r="AW145" s="491"/>
      <c r="AX145" s="491"/>
      <c r="AY145" s="491"/>
      <c r="AZ145" s="491"/>
      <c r="BC145" s="708"/>
      <c r="BD145" s="491"/>
      <c r="BE145" s="491"/>
      <c r="BF145" s="491"/>
      <c r="BG145" s="491"/>
      <c r="BH145" s="491"/>
      <c r="BI145" s="491"/>
      <c r="BJ145" s="494"/>
      <c r="BK145" s="494"/>
      <c r="BL145" s="494"/>
      <c r="BM145" s="494"/>
      <c r="BN145" s="494"/>
      <c r="BO145" s="600"/>
      <c r="BP145" s="494"/>
      <c r="BQ145" s="494"/>
      <c r="BR145" s="494"/>
      <c r="BS145" s="494"/>
      <c r="BT145" s="494"/>
      <c r="BU145" s="491"/>
      <c r="BV145" s="491"/>
      <c r="BW145" s="491"/>
      <c r="BX145" s="491"/>
      <c r="BY145" s="491"/>
      <c r="BZ145" s="491"/>
      <c r="CA145" s="564"/>
      <c r="CD145" s="708"/>
      <c r="CE145" s="491"/>
      <c r="CF145" s="491"/>
      <c r="CG145" s="491"/>
      <c r="CH145" s="491"/>
      <c r="CI145" s="491"/>
      <c r="CJ145" s="491"/>
      <c r="CK145" s="491"/>
      <c r="CL145" s="491"/>
      <c r="CM145" s="491"/>
      <c r="CN145" s="491"/>
      <c r="CO145" s="491"/>
      <c r="CP145" s="491"/>
      <c r="CQ145" s="491"/>
      <c r="CR145" s="491"/>
      <c r="CS145" s="491"/>
      <c r="CT145" s="491"/>
      <c r="CU145" s="491"/>
      <c r="CV145" s="491"/>
      <c r="CW145" s="491"/>
      <c r="CX145" s="491"/>
      <c r="CY145" s="491"/>
      <c r="CZ145" s="491"/>
      <c r="DA145" s="491"/>
      <c r="DB145" s="491"/>
      <c r="DC145" s="491"/>
      <c r="DN145" s="656"/>
      <c r="DO145" s="483"/>
      <c r="DP145" s="483"/>
      <c r="DR145" s="491"/>
      <c r="DS145" s="491"/>
      <c r="DT145" s="491"/>
      <c r="DU145" s="491"/>
      <c r="DV145" s="491"/>
      <c r="DW145" s="491"/>
      <c r="DX145" s="491"/>
      <c r="DY145" s="491"/>
      <c r="DZ145" s="491"/>
      <c r="EA145" s="491"/>
      <c r="EB145" s="491"/>
      <c r="EC145" s="491"/>
      <c r="ED145" s="491"/>
      <c r="EE145" s="491"/>
      <c r="EF145" s="491"/>
      <c r="EG145" s="491"/>
      <c r="EH145" s="491"/>
      <c r="EI145" s="491"/>
      <c r="EJ145" s="491"/>
      <c r="EK145" s="491"/>
      <c r="EL145" s="491"/>
      <c r="EM145" s="491"/>
      <c r="EN145" s="491"/>
      <c r="EO145" s="491"/>
      <c r="ES145" s="578"/>
      <c r="ET145" s="491"/>
      <c r="EU145" s="491"/>
      <c r="EV145" s="1472" t="s">
        <v>3928</v>
      </c>
      <c r="EW145" s="1472"/>
      <c r="EX145" s="1472"/>
      <c r="EY145" s="1472"/>
      <c r="EZ145" s="1472"/>
      <c r="FA145" s="1472"/>
      <c r="FB145" s="1472"/>
      <c r="FC145" s="1472"/>
      <c r="FD145" s="1472"/>
      <c r="FE145" s="1472"/>
      <c r="FF145" s="491"/>
      <c r="FG145" s="491"/>
      <c r="FH145" s="491"/>
      <c r="FI145" s="491"/>
      <c r="FJ145" s="491"/>
      <c r="FK145" s="491"/>
      <c r="FL145" s="491"/>
      <c r="FM145" s="491"/>
      <c r="FN145" s="491"/>
      <c r="FO145" s="491"/>
      <c r="FP145" s="491"/>
      <c r="FQ145" s="491"/>
      <c r="FR145" s="491"/>
      <c r="FS145" s="491"/>
      <c r="FT145" s="491"/>
      <c r="FU145" s="491"/>
      <c r="FV145" s="491"/>
      <c r="FW145" s="564"/>
      <c r="FZ145" s="578"/>
      <c r="GA145" s="704"/>
      <c r="GB145" s="704"/>
      <c r="GC145" s="704"/>
      <c r="GD145" s="704"/>
      <c r="GE145" s="704"/>
      <c r="GF145" s="704"/>
      <c r="GG145" s="704"/>
      <c r="GH145" s="704"/>
      <c r="GI145" s="704"/>
      <c r="GJ145" s="704"/>
      <c r="GK145" s="704"/>
      <c r="GL145" s="704"/>
      <c r="GM145" s="1450" t="s">
        <v>3310</v>
      </c>
      <c r="GN145" s="1451"/>
      <c r="GO145" s="1451"/>
      <c r="GP145" s="1451"/>
      <c r="GQ145" s="1451"/>
      <c r="GR145" s="1451"/>
      <c r="GS145" s="1451"/>
      <c r="GT145" s="1451"/>
      <c r="GU145" s="1451"/>
      <c r="GV145" s="1452"/>
      <c r="GW145" s="704"/>
      <c r="GX145" s="704"/>
      <c r="GY145" s="704"/>
      <c r="GZ145" s="1608" t="s">
        <v>177</v>
      </c>
      <c r="HA145" s="1518"/>
      <c r="HB145" s="1518"/>
      <c r="HC145" s="1518"/>
      <c r="HD145" s="1518"/>
      <c r="HE145" s="1518"/>
      <c r="HF145" s="1518"/>
      <c r="HG145" s="1518"/>
      <c r="HH145" s="1518"/>
      <c r="HI145" s="1518"/>
      <c r="HJ145" s="704"/>
      <c r="HK145" s="704"/>
      <c r="HL145" s="704"/>
      <c r="HM145" s="1450" t="s">
        <v>2675</v>
      </c>
      <c r="HN145" s="1451"/>
      <c r="HO145" s="1451"/>
      <c r="HP145" s="1451"/>
      <c r="HQ145" s="1451"/>
      <c r="HR145" s="1451"/>
      <c r="HS145" s="1451"/>
      <c r="HT145" s="1451"/>
      <c r="HU145" s="1451"/>
      <c r="HV145" s="1452"/>
      <c r="HW145" s="1564"/>
      <c r="HX145" s="1565"/>
      <c r="HY145" s="1566"/>
      <c r="HZ145" s="1512" t="s">
        <v>3106</v>
      </c>
      <c r="IA145" s="1513"/>
      <c r="IB145" s="1513"/>
      <c r="IC145" s="1513"/>
      <c r="ID145" s="1513"/>
      <c r="IE145" s="1513"/>
      <c r="IF145" s="1513"/>
      <c r="IG145" s="1513"/>
      <c r="IH145" s="1513"/>
      <c r="II145" s="1514"/>
      <c r="IJ145" s="1564"/>
      <c r="IK145" s="1565"/>
      <c r="IL145" s="1565"/>
      <c r="IM145" s="1565"/>
      <c r="IN145" s="1565"/>
      <c r="IO145" s="1565"/>
      <c r="IP145" s="1565"/>
      <c r="IQ145" s="1565"/>
      <c r="IR145" s="1565"/>
      <c r="IS145" s="1565"/>
      <c r="IT145" s="1565"/>
      <c r="IU145" s="1565"/>
      <c r="IV145" s="564"/>
      <c r="IZ145" s="578"/>
      <c r="JA145" s="732"/>
      <c r="JB145" s="732"/>
      <c r="JC145" s="732"/>
      <c r="JD145" s="732"/>
      <c r="JE145" s="732"/>
      <c r="JF145" s="732"/>
      <c r="JG145" s="732"/>
      <c r="JH145" s="732"/>
      <c r="JI145" s="732"/>
      <c r="JJ145" s="732"/>
      <c r="JK145" s="732"/>
      <c r="JV145" s="491"/>
      <c r="JW145" s="732"/>
      <c r="JX145" s="732"/>
      <c r="JY145" s="732"/>
      <c r="JZ145" s="732"/>
      <c r="KA145" s="732"/>
      <c r="KB145" s="732"/>
      <c r="KC145" s="732"/>
      <c r="KD145" s="732"/>
      <c r="KE145" s="732"/>
      <c r="KF145" s="732"/>
      <c r="KG145" s="732"/>
      <c r="KH145" s="732"/>
      <c r="KI145" s="732"/>
      <c r="KJ145" s="732"/>
      <c r="KK145" s="732"/>
      <c r="KL145" s="732"/>
      <c r="KM145" s="732"/>
      <c r="KN145" s="732"/>
      <c r="KO145" s="732"/>
      <c r="KP145" s="732"/>
      <c r="KQ145" s="732"/>
      <c r="KR145" s="732"/>
      <c r="KS145" s="491"/>
      <c r="KT145" s="491"/>
      <c r="KU145" s="491"/>
      <c r="KV145" s="491"/>
      <c r="KW145" s="491"/>
      <c r="KX145" s="491"/>
      <c r="KY145" s="491"/>
      <c r="KZ145" s="491"/>
      <c r="LA145" s="491"/>
      <c r="LB145" s="491"/>
      <c r="LC145" s="491"/>
      <c r="LD145" s="491"/>
      <c r="LE145" s="491"/>
      <c r="LF145" s="491"/>
      <c r="LG145" s="491"/>
      <c r="LH145" s="491"/>
      <c r="LI145" s="491"/>
      <c r="LJ145" s="732"/>
      <c r="LK145" s="732"/>
      <c r="LL145" s="732"/>
      <c r="LM145" s="732"/>
      <c r="LN145" s="732"/>
      <c r="LO145" s="491"/>
      <c r="LP145" s="491"/>
      <c r="LQ145" s="491"/>
      <c r="LR145" s="491"/>
      <c r="LS145" s="491"/>
      <c r="LT145" s="491"/>
      <c r="LU145" s="491"/>
      <c r="LV145" s="491"/>
      <c r="LW145" s="491"/>
      <c r="LX145" s="491"/>
      <c r="LY145" s="491"/>
      <c r="LZ145" s="491"/>
      <c r="MA145" s="491"/>
      <c r="MB145" s="491"/>
      <c r="MC145" s="491"/>
      <c r="MD145" s="491"/>
      <c r="ME145" s="491"/>
      <c r="MF145" s="491"/>
      <c r="MG145" s="491"/>
      <c r="MH145" s="491"/>
      <c r="MI145" s="491"/>
      <c r="MJ145" s="564"/>
      <c r="MN145" s="578"/>
      <c r="MO145" s="491"/>
      <c r="MP145" s="1561" t="s">
        <v>4064</v>
      </c>
      <c r="MQ145" s="1561"/>
      <c r="MR145" s="1561"/>
      <c r="MS145" s="1561"/>
      <c r="MT145" s="1561"/>
      <c r="MU145" s="1561"/>
      <c r="MV145" s="1561"/>
      <c r="MW145" s="1561"/>
      <c r="MX145" s="1561"/>
      <c r="MY145" s="1561"/>
      <c r="MZ145" s="491"/>
      <c r="NA145" s="491"/>
      <c r="NB145" s="491"/>
      <c r="NC145" s="1611" t="s">
        <v>5278</v>
      </c>
      <c r="ND145" s="1612"/>
      <c r="NE145" s="1612"/>
      <c r="NF145" s="1612"/>
      <c r="NG145" s="1612"/>
      <c r="NH145" s="1612"/>
      <c r="NI145" s="1612"/>
      <c r="NJ145" s="1612"/>
      <c r="NK145" s="1612"/>
      <c r="NL145" s="1613"/>
      <c r="NM145" s="491"/>
      <c r="NN145" s="491"/>
      <c r="NO145" s="491"/>
      <c r="NP145" s="1529"/>
      <c r="NQ145" s="1529"/>
      <c r="NR145" s="1529"/>
      <c r="NS145" s="1529"/>
      <c r="NT145" s="1529"/>
      <c r="NU145" s="1529"/>
      <c r="NV145" s="1529"/>
      <c r="NW145" s="1529"/>
      <c r="NX145" s="1529"/>
      <c r="NY145" s="1529"/>
      <c r="NZ145" s="491"/>
      <c r="OA145" s="491"/>
      <c r="OB145" s="491"/>
      <c r="OC145" s="1561" t="s">
        <v>2304</v>
      </c>
      <c r="OD145" s="1561"/>
      <c r="OE145" s="1561"/>
      <c r="OF145" s="1561"/>
      <c r="OG145" s="1561"/>
      <c r="OH145" s="1561"/>
      <c r="OI145" s="1561"/>
      <c r="OJ145" s="1561"/>
      <c r="OK145" s="1561"/>
      <c r="OL145" s="1561"/>
      <c r="OM145" s="491"/>
      <c r="ON145" s="491"/>
      <c r="OO145" s="491"/>
      <c r="OP145" s="491"/>
      <c r="OQ145" s="491"/>
      <c r="OR145" s="491"/>
      <c r="OS145" s="491"/>
      <c r="OT145" s="491"/>
      <c r="OU145" s="491"/>
      <c r="OV145" s="491"/>
      <c r="OW145" s="491"/>
      <c r="OX145" s="491"/>
      <c r="OY145" s="491"/>
      <c r="OZ145" s="491"/>
      <c r="PA145" s="491"/>
      <c r="PB145" s="491"/>
      <c r="PC145" s="1610" t="s">
        <v>263</v>
      </c>
      <c r="PD145" s="1610"/>
      <c r="PE145" s="1610"/>
      <c r="PF145" s="1610"/>
      <c r="PG145" s="1610"/>
      <c r="PH145" s="1610"/>
      <c r="PI145" s="1610"/>
      <c r="PJ145" s="1610"/>
      <c r="PK145" s="1610"/>
      <c r="PL145" s="1610"/>
      <c r="PM145" s="491"/>
      <c r="PN145" s="564"/>
      <c r="PW145" s="482"/>
    </row>
    <row r="146" spans="11:439" ht="12.75" customHeight="1" x14ac:dyDescent="0.2">
      <c r="K146" s="482"/>
      <c r="Q146" s="491"/>
      <c r="R146" s="491"/>
      <c r="S146" s="491"/>
      <c r="T146" s="491"/>
      <c r="U146" s="491"/>
      <c r="V146" s="491"/>
      <c r="W146" s="491"/>
      <c r="X146" s="491"/>
      <c r="Y146" s="491"/>
      <c r="Z146" s="491"/>
      <c r="AA146" s="491"/>
      <c r="AB146" s="491"/>
      <c r="AC146" s="491"/>
      <c r="AD146" s="491"/>
      <c r="AE146" s="491"/>
      <c r="AF146" s="491"/>
      <c r="AG146" s="491"/>
      <c r="AH146" s="491"/>
      <c r="AI146" s="491"/>
      <c r="AJ146" s="491"/>
      <c r="AK146" s="491"/>
      <c r="AL146" s="491"/>
      <c r="AM146" s="491"/>
      <c r="AN146" s="491"/>
      <c r="AO146" s="491"/>
      <c r="AP146" s="511"/>
      <c r="AQ146" s="491"/>
      <c r="AR146" s="491"/>
      <c r="AS146" s="491"/>
      <c r="AT146" s="491"/>
      <c r="AU146" s="491"/>
      <c r="AV146" s="491"/>
      <c r="AW146" s="491"/>
      <c r="AX146" s="491"/>
      <c r="AY146" s="491"/>
      <c r="AZ146" s="491"/>
      <c r="BC146" s="708"/>
      <c r="BD146" s="501"/>
      <c r="BE146" s="491"/>
      <c r="BF146" s="491"/>
      <c r="BG146" s="491"/>
      <c r="BH146" s="491"/>
      <c r="BI146" s="553"/>
      <c r="BJ146" s="491"/>
      <c r="BK146" s="491"/>
      <c r="BL146" s="491"/>
      <c r="BM146" s="491"/>
      <c r="BN146" s="491"/>
      <c r="BO146" s="491"/>
      <c r="BP146" s="491"/>
      <c r="BQ146" s="491"/>
      <c r="BR146" s="491"/>
      <c r="BS146" s="491"/>
      <c r="BT146" s="733"/>
      <c r="BU146" s="491"/>
      <c r="BV146" s="491"/>
      <c r="BW146" s="491"/>
      <c r="BX146" s="491"/>
      <c r="BY146" s="491"/>
      <c r="BZ146" s="491"/>
      <c r="CA146" s="564"/>
      <c r="CD146" s="708"/>
      <c r="CE146" s="627"/>
      <c r="CF146" s="628"/>
      <c r="CG146" s="628"/>
      <c r="CH146" s="628"/>
      <c r="CI146" s="628"/>
      <c r="CJ146" s="628"/>
      <c r="CK146" s="628"/>
      <c r="CL146" s="628"/>
      <c r="CM146" s="628"/>
      <c r="CN146" s="628"/>
      <c r="CO146" s="628"/>
      <c r="CP146" s="628"/>
      <c r="CQ146" s="628"/>
      <c r="CR146" s="628"/>
      <c r="CS146" s="628"/>
      <c r="CT146" s="628"/>
      <c r="CU146" s="628"/>
      <c r="CV146" s="628"/>
      <c r="CW146" s="628"/>
      <c r="CX146" s="628"/>
      <c r="CY146" s="628"/>
      <c r="CZ146" s="628"/>
      <c r="DA146" s="628"/>
      <c r="DB146" s="654"/>
      <c r="DC146" s="729"/>
      <c r="DD146" s="729"/>
      <c r="DE146" s="729"/>
      <c r="DF146" s="628"/>
      <c r="DG146" s="628"/>
      <c r="DH146" s="628"/>
      <c r="DI146" s="628"/>
      <c r="DJ146" s="628"/>
      <c r="DK146" s="628"/>
      <c r="DL146" s="628"/>
      <c r="DM146" s="628"/>
      <c r="DN146" s="629"/>
      <c r="ES146" s="578"/>
      <c r="ET146" s="491"/>
      <c r="EU146" s="491"/>
      <c r="EV146" s="725">
        <v>1</v>
      </c>
      <c r="EW146" s="1607" t="s">
        <v>5279</v>
      </c>
      <c r="EX146" s="1607"/>
      <c r="EY146" s="1607"/>
      <c r="EZ146" s="1607"/>
      <c r="FA146" s="1607"/>
      <c r="FB146" s="1607"/>
      <c r="FC146" s="1607"/>
      <c r="FD146" s="1607"/>
      <c r="FE146" s="1607"/>
      <c r="FF146" s="491"/>
      <c r="FG146" s="491"/>
      <c r="FH146" s="491"/>
      <c r="FI146" s="491"/>
      <c r="FJ146" s="491"/>
      <c r="FK146" s="491"/>
      <c r="FL146" s="491"/>
      <c r="FM146" s="491"/>
      <c r="FN146" s="491"/>
      <c r="FO146" s="491"/>
      <c r="FP146" s="491"/>
      <c r="FQ146" s="491"/>
      <c r="FR146" s="491"/>
      <c r="FS146" s="491"/>
      <c r="FT146" s="491"/>
      <c r="FU146" s="491"/>
      <c r="FV146" s="491"/>
      <c r="FW146" s="564"/>
      <c r="FZ146" s="578"/>
      <c r="GA146" s="704"/>
      <c r="GB146" s="704"/>
      <c r="GC146" s="704"/>
      <c r="GD146" s="704"/>
      <c r="GE146" s="704"/>
      <c r="GF146" s="704"/>
      <c r="GG146" s="704"/>
      <c r="GH146" s="704"/>
      <c r="GI146" s="704"/>
      <c r="GJ146" s="704"/>
      <c r="GK146" s="704"/>
      <c r="GL146" s="704"/>
      <c r="GM146" s="710">
        <v>1</v>
      </c>
      <c r="GN146" s="1567" t="s">
        <v>5165</v>
      </c>
      <c r="GO146" s="1568"/>
      <c r="GP146" s="1568"/>
      <c r="GQ146" s="1568"/>
      <c r="GR146" s="1568"/>
      <c r="GS146" s="1568"/>
      <c r="GT146" s="1568"/>
      <c r="GU146" s="1568"/>
      <c r="GV146" s="1569"/>
      <c r="GW146" s="704"/>
      <c r="GX146" s="704"/>
      <c r="GY146" s="704"/>
      <c r="GZ146" s="513">
        <v>1</v>
      </c>
      <c r="HA146" s="1567" t="s">
        <v>5165</v>
      </c>
      <c r="HB146" s="1568"/>
      <c r="HC146" s="1568"/>
      <c r="HD146" s="1568"/>
      <c r="HE146" s="1568"/>
      <c r="HF146" s="1568"/>
      <c r="HG146" s="1568"/>
      <c r="HH146" s="1568"/>
      <c r="HI146" s="1569"/>
      <c r="HJ146" s="704"/>
      <c r="HK146" s="704"/>
      <c r="HL146" s="704"/>
      <c r="HM146" s="710">
        <v>1</v>
      </c>
      <c r="HN146" s="1567" t="s">
        <v>5165</v>
      </c>
      <c r="HO146" s="1568"/>
      <c r="HP146" s="1568"/>
      <c r="HQ146" s="1568"/>
      <c r="HR146" s="1568"/>
      <c r="HS146" s="1568"/>
      <c r="HT146" s="1568"/>
      <c r="HU146" s="1568"/>
      <c r="HV146" s="1569"/>
      <c r="HW146" s="1564"/>
      <c r="HX146" s="1565"/>
      <c r="HY146" s="1566"/>
      <c r="HZ146" s="710">
        <v>1</v>
      </c>
      <c r="IA146" s="1567" t="s">
        <v>5165</v>
      </c>
      <c r="IB146" s="1568"/>
      <c r="IC146" s="1568"/>
      <c r="ID146" s="1568"/>
      <c r="IE146" s="1568"/>
      <c r="IF146" s="1568"/>
      <c r="IG146" s="1568"/>
      <c r="IH146" s="1568"/>
      <c r="II146" s="1569"/>
      <c r="IJ146" s="1564"/>
      <c r="IK146" s="1565"/>
      <c r="IL146" s="1565"/>
      <c r="IM146" s="1565"/>
      <c r="IN146" s="1565"/>
      <c r="IO146" s="1565"/>
      <c r="IP146" s="1565"/>
      <c r="IQ146" s="1565"/>
      <c r="IR146" s="1565"/>
      <c r="IS146" s="1565"/>
      <c r="IT146" s="1565"/>
      <c r="IU146" s="1565"/>
      <c r="IV146" s="564"/>
      <c r="IZ146" s="578"/>
      <c r="JA146" s="732"/>
      <c r="JB146" s="732"/>
      <c r="JC146" s="732"/>
      <c r="JD146" s="732"/>
      <c r="JE146" s="732"/>
      <c r="JF146" s="732"/>
      <c r="JG146" s="732"/>
      <c r="JH146" s="732"/>
      <c r="JI146" s="732"/>
      <c r="JJ146" s="732"/>
      <c r="JK146" s="732"/>
      <c r="JV146" s="491"/>
      <c r="JW146" s="732"/>
      <c r="JX146" s="732"/>
      <c r="JY146" s="732"/>
      <c r="JZ146" s="732"/>
      <c r="KA146" s="732"/>
      <c r="KB146" s="732"/>
      <c r="KC146" s="732"/>
      <c r="KD146" s="732"/>
      <c r="KE146" s="732"/>
      <c r="KF146" s="732"/>
      <c r="KG146" s="732"/>
      <c r="KH146" s="732"/>
      <c r="KI146" s="732"/>
      <c r="KJ146" s="732"/>
      <c r="KK146" s="732"/>
      <c r="KL146" s="732"/>
      <c r="KM146" s="732"/>
      <c r="KN146" s="732"/>
      <c r="KO146" s="732"/>
      <c r="KP146" s="732"/>
      <c r="KQ146" s="732"/>
      <c r="KR146" s="732"/>
      <c r="KS146" s="491"/>
      <c r="KT146" s="491"/>
      <c r="KU146" s="491"/>
      <c r="KV146" s="491"/>
      <c r="KW146" s="491"/>
      <c r="KX146" s="491"/>
      <c r="KY146" s="491"/>
      <c r="KZ146" s="491"/>
      <c r="LA146" s="491"/>
      <c r="LB146" s="491"/>
      <c r="LC146" s="491"/>
      <c r="LD146" s="491"/>
      <c r="LE146" s="491"/>
      <c r="LF146" s="491"/>
      <c r="LG146" s="491"/>
      <c r="LH146" s="491"/>
      <c r="LI146" s="491"/>
      <c r="LJ146" s="491"/>
      <c r="LK146" s="491"/>
      <c r="LL146" s="491"/>
      <c r="LM146" s="491"/>
      <c r="LN146" s="491"/>
      <c r="LO146" s="491"/>
      <c r="LP146" s="491"/>
      <c r="LQ146" s="491"/>
      <c r="LR146" s="491"/>
      <c r="LS146" s="491"/>
      <c r="LT146" s="491"/>
      <c r="LU146" s="491"/>
      <c r="LV146" s="491"/>
      <c r="LW146" s="491"/>
      <c r="LX146" s="491"/>
      <c r="LY146" s="491"/>
      <c r="LZ146" s="491"/>
      <c r="MA146" s="491"/>
      <c r="MB146" s="491"/>
      <c r="MC146" s="491"/>
      <c r="MD146" s="491"/>
      <c r="ME146" s="491"/>
      <c r="MF146" s="491"/>
      <c r="MG146" s="491"/>
      <c r="MH146" s="491"/>
      <c r="MI146" s="491"/>
      <c r="MJ146" s="564"/>
      <c r="MN146" s="578"/>
      <c r="MO146" s="491"/>
      <c r="MP146" s="513">
        <v>1</v>
      </c>
      <c r="MQ146" s="1469" t="s">
        <v>172</v>
      </c>
      <c r="MR146" s="1469"/>
      <c r="MS146" s="1469"/>
      <c r="MT146" s="1469"/>
      <c r="MU146" s="1469"/>
      <c r="MV146" s="1469"/>
      <c r="MW146" s="1469"/>
      <c r="MX146" s="1469"/>
      <c r="MY146" s="1469"/>
      <c r="MZ146" s="491"/>
      <c r="NA146" s="491"/>
      <c r="NB146" s="491"/>
      <c r="NC146" s="513">
        <v>1</v>
      </c>
      <c r="ND146" s="1469" t="s">
        <v>172</v>
      </c>
      <c r="NE146" s="1469"/>
      <c r="NF146" s="1469"/>
      <c r="NG146" s="1469"/>
      <c r="NH146" s="1469"/>
      <c r="NI146" s="1469"/>
      <c r="NJ146" s="1469"/>
      <c r="NK146" s="1469"/>
      <c r="NL146" s="1469"/>
      <c r="NM146" s="491"/>
      <c r="NN146" s="491"/>
      <c r="NO146" s="491"/>
      <c r="NP146" s="507"/>
      <c r="NQ146" s="1520"/>
      <c r="NR146" s="1520"/>
      <c r="NS146" s="1520"/>
      <c r="NT146" s="1520"/>
      <c r="NU146" s="1520"/>
      <c r="NV146" s="1520"/>
      <c r="NW146" s="1520"/>
      <c r="NX146" s="1520"/>
      <c r="NY146" s="1520"/>
      <c r="NZ146" s="491"/>
      <c r="OA146" s="491"/>
      <c r="OB146" s="491"/>
      <c r="OC146" s="513">
        <v>1</v>
      </c>
      <c r="OD146" s="1469" t="s">
        <v>172</v>
      </c>
      <c r="OE146" s="1469"/>
      <c r="OF146" s="1469"/>
      <c r="OG146" s="1469"/>
      <c r="OH146" s="1469"/>
      <c r="OI146" s="1469"/>
      <c r="OJ146" s="1469"/>
      <c r="OK146" s="1469"/>
      <c r="OL146" s="1469"/>
      <c r="OM146" s="491"/>
      <c r="ON146" s="491"/>
      <c r="OO146" s="491"/>
      <c r="OP146" s="491"/>
      <c r="OQ146" s="491"/>
      <c r="OR146" s="491"/>
      <c r="OS146" s="491"/>
      <c r="OT146" s="491"/>
      <c r="OU146" s="491"/>
      <c r="OV146" s="491"/>
      <c r="OW146" s="491"/>
      <c r="OX146" s="491"/>
      <c r="OY146" s="491"/>
      <c r="OZ146" s="491"/>
      <c r="PA146" s="491"/>
      <c r="PB146" s="491"/>
      <c r="PC146" s="639">
        <v>1</v>
      </c>
      <c r="PD146" s="1519" t="s">
        <v>5229</v>
      </c>
      <c r="PE146" s="1519"/>
      <c r="PF146" s="1519"/>
      <c r="PG146" s="1519"/>
      <c r="PH146" s="1519"/>
      <c r="PI146" s="1519"/>
      <c r="PJ146" s="1519"/>
      <c r="PK146" s="1519"/>
      <c r="PL146" s="1519"/>
      <c r="PM146" s="491"/>
      <c r="PN146" s="564"/>
      <c r="PW146" s="482"/>
    </row>
    <row r="147" spans="11:439" ht="12.75" customHeight="1" x14ac:dyDescent="0.35">
      <c r="K147" s="482"/>
      <c r="Q147" s="491"/>
      <c r="R147" s="491"/>
      <c r="S147" s="491"/>
      <c r="T147" s="491"/>
      <c r="U147" s="491"/>
      <c r="V147" s="491"/>
      <c r="W147" s="491"/>
      <c r="X147" s="491"/>
      <c r="Y147" s="491"/>
      <c r="Z147" s="491"/>
      <c r="AA147" s="491"/>
      <c r="AB147" s="491"/>
      <c r="AC147" s="491"/>
      <c r="AD147" s="491"/>
      <c r="AE147" s="491"/>
      <c r="AF147" s="491"/>
      <c r="AG147" s="491"/>
      <c r="AH147" s="491"/>
      <c r="AI147" s="491"/>
      <c r="AJ147" s="491"/>
      <c r="AK147" s="491"/>
      <c r="AL147" s="491"/>
      <c r="AM147" s="491"/>
      <c r="AN147" s="491"/>
      <c r="AO147" s="491"/>
      <c r="AP147" s="491"/>
      <c r="AQ147" s="491"/>
      <c r="AR147" s="491"/>
      <c r="AS147" s="491"/>
      <c r="AT147" s="491"/>
      <c r="AU147" s="491"/>
      <c r="AV147" s="491"/>
      <c r="AW147" s="491"/>
      <c r="AX147" s="491"/>
      <c r="AY147" s="491"/>
      <c r="AZ147" s="491"/>
      <c r="BC147" s="708"/>
      <c r="BD147" s="491"/>
      <c r="BE147" s="513">
        <v>1</v>
      </c>
      <c r="BF147" s="1456" t="s">
        <v>218</v>
      </c>
      <c r="BG147" s="1457"/>
      <c r="BH147" s="1457"/>
      <c r="BI147" s="1457"/>
      <c r="BJ147" s="1457"/>
      <c r="BK147" s="1457"/>
      <c r="BL147" s="1457"/>
      <c r="BM147" s="1457"/>
      <c r="BN147" s="1458"/>
      <c r="BO147" s="491"/>
      <c r="BP147" s="519"/>
      <c r="BQ147" s="517">
        <v>1</v>
      </c>
      <c r="BR147" s="1456" t="s">
        <v>218</v>
      </c>
      <c r="BS147" s="1457"/>
      <c r="BT147" s="1457"/>
      <c r="BU147" s="1457"/>
      <c r="BV147" s="1457"/>
      <c r="BW147" s="1457"/>
      <c r="BX147" s="1457"/>
      <c r="BY147" s="1457"/>
      <c r="BZ147" s="1458"/>
      <c r="CA147" s="564"/>
      <c r="CE147" s="491"/>
      <c r="CF147" s="491"/>
      <c r="CG147" s="491"/>
      <c r="CH147" s="491"/>
      <c r="CI147" s="491"/>
      <c r="CJ147" s="491"/>
      <c r="CK147" s="491"/>
      <c r="CL147" s="491"/>
      <c r="CM147" s="491"/>
      <c r="CN147" s="491"/>
      <c r="CO147" s="734"/>
      <c r="CP147" s="734"/>
      <c r="CQ147" s="734"/>
      <c r="CR147" s="734"/>
      <c r="CS147" s="734"/>
      <c r="CT147" s="734"/>
      <c r="CU147" s="734"/>
      <c r="CV147" s="734"/>
      <c r="CW147" s="734"/>
      <c r="CX147" s="491"/>
      <c r="CY147" s="491"/>
      <c r="CZ147" s="491"/>
      <c r="DA147" s="491"/>
      <c r="DB147" s="491"/>
      <c r="DC147" s="491"/>
      <c r="DD147" s="491"/>
      <c r="DE147" s="491"/>
      <c r="DF147" s="491"/>
      <c r="DG147" s="491"/>
      <c r="DH147" s="491"/>
      <c r="DI147" s="491"/>
      <c r="DJ147" s="491"/>
      <c r="DK147" s="491"/>
      <c r="DL147" s="491"/>
      <c r="DM147" s="491"/>
      <c r="DN147" s="491"/>
      <c r="ES147" s="578"/>
      <c r="ET147" s="491"/>
      <c r="EU147" s="491"/>
      <c r="EV147" s="1472" t="s">
        <v>4457</v>
      </c>
      <c r="EW147" s="1472"/>
      <c r="EX147" s="1472"/>
      <c r="EY147" s="1472"/>
      <c r="EZ147" s="1472"/>
      <c r="FA147" s="1472"/>
      <c r="FB147" s="1472"/>
      <c r="FC147" s="1472"/>
      <c r="FD147" s="1472"/>
      <c r="FE147" s="1472"/>
      <c r="FF147" s="491"/>
      <c r="FG147" s="491"/>
      <c r="FH147" s="491"/>
      <c r="FI147" s="491"/>
      <c r="FJ147" s="491"/>
      <c r="FK147" s="491"/>
      <c r="FL147" s="491"/>
      <c r="FM147" s="491"/>
      <c r="FN147" s="491"/>
      <c r="FO147" s="491"/>
      <c r="FP147" s="491"/>
      <c r="FQ147" s="491"/>
      <c r="FR147" s="491"/>
      <c r="FS147" s="491"/>
      <c r="FT147" s="491"/>
      <c r="FU147" s="491"/>
      <c r="FV147" s="491"/>
      <c r="FW147" s="564"/>
      <c r="FZ147" s="578"/>
      <c r="GA147" s="704"/>
      <c r="GB147" s="704"/>
      <c r="GC147" s="704"/>
      <c r="GD147" s="704"/>
      <c r="GE147" s="704"/>
      <c r="GF147" s="704"/>
      <c r="GG147" s="704"/>
      <c r="GH147" s="704"/>
      <c r="GI147" s="704"/>
      <c r="GJ147" s="704"/>
      <c r="GK147" s="704"/>
      <c r="GL147" s="704"/>
      <c r="GM147" s="1450" t="s">
        <v>3344</v>
      </c>
      <c r="GN147" s="1451"/>
      <c r="GO147" s="1451"/>
      <c r="GP147" s="1451"/>
      <c r="GQ147" s="1451"/>
      <c r="GR147" s="1451"/>
      <c r="GS147" s="1451"/>
      <c r="GT147" s="1451"/>
      <c r="GU147" s="1451"/>
      <c r="GV147" s="1452"/>
      <c r="GW147" s="704"/>
      <c r="GX147" s="704"/>
      <c r="GY147" s="704"/>
      <c r="GZ147" s="1615" t="s">
        <v>2741</v>
      </c>
      <c r="HA147" s="1616"/>
      <c r="HB147" s="1616"/>
      <c r="HC147" s="1616"/>
      <c r="HD147" s="1616"/>
      <c r="HE147" s="1616"/>
      <c r="HF147" s="1616"/>
      <c r="HG147" s="1616"/>
      <c r="HH147" s="1616"/>
      <c r="HI147" s="1616"/>
      <c r="HJ147" s="704"/>
      <c r="HK147" s="704"/>
      <c r="HL147" s="704"/>
      <c r="HM147" s="1450" t="s">
        <v>3136</v>
      </c>
      <c r="HN147" s="1451"/>
      <c r="HO147" s="1451"/>
      <c r="HP147" s="1451"/>
      <c r="HQ147" s="1451"/>
      <c r="HR147" s="1451"/>
      <c r="HS147" s="1451"/>
      <c r="HT147" s="1451"/>
      <c r="HU147" s="1451"/>
      <c r="HV147" s="1452"/>
      <c r="HW147" s="1564"/>
      <c r="HX147" s="1565"/>
      <c r="HY147" s="1566"/>
      <c r="HZ147" s="1450" t="s">
        <v>5280</v>
      </c>
      <c r="IA147" s="1451"/>
      <c r="IB147" s="1451"/>
      <c r="IC147" s="1451"/>
      <c r="ID147" s="1451"/>
      <c r="IE147" s="1451"/>
      <c r="IF147" s="1451"/>
      <c r="IG147" s="1451"/>
      <c r="IH147" s="1451"/>
      <c r="II147" s="1452"/>
      <c r="IJ147" s="1564"/>
      <c r="IK147" s="1565"/>
      <c r="IL147" s="1565"/>
      <c r="IM147" s="1565"/>
      <c r="IN147" s="1565"/>
      <c r="IO147" s="1565"/>
      <c r="IP147" s="1565"/>
      <c r="IQ147" s="1565"/>
      <c r="IR147" s="1565"/>
      <c r="IS147" s="1565"/>
      <c r="IT147" s="1565"/>
      <c r="IU147" s="1565"/>
      <c r="IV147" s="564"/>
      <c r="IZ147" s="578"/>
      <c r="JA147" s="491"/>
      <c r="JB147" s="491"/>
      <c r="JC147" s="491"/>
      <c r="JD147" s="491"/>
      <c r="JE147" s="491"/>
      <c r="JF147" s="491"/>
      <c r="JG147" s="491"/>
      <c r="JH147" s="491"/>
      <c r="JI147" s="491"/>
      <c r="JJ147" s="491"/>
      <c r="JK147" s="491"/>
      <c r="JL147" s="491"/>
      <c r="JM147" s="491"/>
      <c r="JN147" s="491"/>
      <c r="JO147" s="491"/>
      <c r="JP147" s="491"/>
      <c r="JQ147" s="491"/>
      <c r="JR147" s="491"/>
      <c r="JS147" s="491"/>
      <c r="JT147" s="491"/>
      <c r="JU147" s="491"/>
      <c r="JV147" s="491"/>
      <c r="JW147" s="491"/>
      <c r="JX147" s="491"/>
      <c r="JY147" s="491"/>
      <c r="JZ147" s="491"/>
      <c r="KA147" s="491"/>
      <c r="KB147" s="491"/>
      <c r="KC147" s="491"/>
      <c r="KD147" s="491"/>
      <c r="KE147" s="491"/>
      <c r="KF147" s="491"/>
      <c r="KG147" s="491"/>
      <c r="KH147" s="491"/>
      <c r="KI147" s="491"/>
      <c r="KJ147" s="491"/>
      <c r="KK147" s="491"/>
      <c r="KL147" s="491"/>
      <c r="KM147" s="491"/>
      <c r="KN147" s="491"/>
      <c r="KO147" s="491"/>
      <c r="KP147" s="491"/>
      <c r="KQ147" s="491"/>
      <c r="KR147" s="491"/>
      <c r="KS147" s="491"/>
      <c r="KT147" s="491"/>
      <c r="KU147" s="491"/>
      <c r="KV147" s="491"/>
      <c r="KW147" s="491"/>
      <c r="KX147" s="491"/>
      <c r="KY147" s="491"/>
      <c r="KZ147" s="491"/>
      <c r="LA147" s="491"/>
      <c r="LB147" s="491"/>
      <c r="LC147" s="491"/>
      <c r="LD147" s="491"/>
      <c r="LE147" s="491"/>
      <c r="LF147" s="491"/>
      <c r="LG147" s="491"/>
      <c r="LH147" s="491"/>
      <c r="LI147" s="491"/>
      <c r="LJ147" s="491"/>
      <c r="LK147" s="491"/>
      <c r="LL147" s="491"/>
      <c r="LM147" s="491"/>
      <c r="LN147" s="491"/>
      <c r="LO147" s="491"/>
      <c r="LP147" s="491"/>
      <c r="LQ147" s="491"/>
      <c r="LR147" s="491"/>
      <c r="LS147" s="491"/>
      <c r="LT147" s="491"/>
      <c r="LU147" s="491"/>
      <c r="LV147" s="491"/>
      <c r="LW147" s="491"/>
      <c r="LX147" s="491"/>
      <c r="LY147" s="491"/>
      <c r="LZ147" s="491"/>
      <c r="MA147" s="491"/>
      <c r="MB147" s="491"/>
      <c r="MC147" s="491"/>
      <c r="MD147" s="491"/>
      <c r="ME147" s="491"/>
      <c r="MF147" s="491"/>
      <c r="MG147" s="491"/>
      <c r="MH147" s="491"/>
      <c r="MI147" s="491"/>
      <c r="MJ147" s="564"/>
      <c r="MN147" s="578"/>
      <c r="MO147" s="491"/>
      <c r="MP147" s="1476" t="s">
        <v>5281</v>
      </c>
      <c r="MQ147" s="1476"/>
      <c r="MR147" s="1476"/>
      <c r="MS147" s="1476"/>
      <c r="MT147" s="1476"/>
      <c r="MU147" s="1476"/>
      <c r="MV147" s="1476"/>
      <c r="MW147" s="1476"/>
      <c r="MX147" s="1476"/>
      <c r="MY147" s="1476"/>
      <c r="MZ147" s="491"/>
      <c r="NA147" s="491"/>
      <c r="NB147" s="491"/>
      <c r="NC147" s="1561" t="s">
        <v>5282</v>
      </c>
      <c r="ND147" s="1561"/>
      <c r="NE147" s="1561"/>
      <c r="NF147" s="1561"/>
      <c r="NG147" s="1561"/>
      <c r="NH147" s="1561"/>
      <c r="NI147" s="1561"/>
      <c r="NJ147" s="1561"/>
      <c r="NK147" s="1561"/>
      <c r="NL147" s="1561"/>
      <c r="NM147" s="491"/>
      <c r="NN147" s="491"/>
      <c r="NO147" s="491"/>
      <c r="NP147" s="1614"/>
      <c r="NQ147" s="1614"/>
      <c r="NR147" s="1614"/>
      <c r="NS147" s="1614"/>
      <c r="NT147" s="1614"/>
      <c r="NU147" s="1614"/>
      <c r="NV147" s="1614"/>
      <c r="NW147" s="1614"/>
      <c r="NX147" s="1614"/>
      <c r="NY147" s="1614"/>
      <c r="NZ147" s="491"/>
      <c r="OA147" s="491"/>
      <c r="OB147" s="491"/>
      <c r="OC147" s="1561" t="s">
        <v>5283</v>
      </c>
      <c r="OD147" s="1561"/>
      <c r="OE147" s="1561"/>
      <c r="OF147" s="1561"/>
      <c r="OG147" s="1561"/>
      <c r="OH147" s="1561"/>
      <c r="OI147" s="1561"/>
      <c r="OJ147" s="1561"/>
      <c r="OK147" s="1561"/>
      <c r="OL147" s="1561"/>
      <c r="OM147" s="491"/>
      <c r="ON147" s="491"/>
      <c r="OO147" s="491"/>
      <c r="OP147" s="491"/>
      <c r="OQ147" s="491"/>
      <c r="OR147" s="491"/>
      <c r="OS147" s="491"/>
      <c r="OT147" s="491"/>
      <c r="OU147" s="491"/>
      <c r="OV147" s="491"/>
      <c r="OW147" s="491"/>
      <c r="OX147" s="491"/>
      <c r="OY147" s="491"/>
      <c r="OZ147" s="491"/>
      <c r="PA147" s="491"/>
      <c r="PB147" s="491"/>
      <c r="PC147" s="1582" t="s">
        <v>4004</v>
      </c>
      <c r="PD147" s="1582"/>
      <c r="PE147" s="1582"/>
      <c r="PF147" s="1582"/>
      <c r="PG147" s="1582"/>
      <c r="PH147" s="1582"/>
      <c r="PI147" s="1582"/>
      <c r="PJ147" s="1582"/>
      <c r="PK147" s="1582"/>
      <c r="PL147" s="1582"/>
      <c r="PM147" s="491"/>
      <c r="PN147" s="564"/>
      <c r="PW147" s="482"/>
    </row>
    <row r="148" spans="11:439" ht="12.75" customHeight="1" x14ac:dyDescent="0.35">
      <c r="K148" s="482"/>
      <c r="BD148" s="726"/>
      <c r="BE148" s="1447" t="s">
        <v>5284</v>
      </c>
      <c r="BF148" s="1448"/>
      <c r="BG148" s="1448"/>
      <c r="BH148" s="1448"/>
      <c r="BI148" s="1448"/>
      <c r="BJ148" s="1448"/>
      <c r="BK148" s="1448"/>
      <c r="BL148" s="1448"/>
      <c r="BM148" s="1448"/>
      <c r="BN148" s="1449"/>
      <c r="BO148" s="491"/>
      <c r="BP148" s="519"/>
      <c r="BQ148" s="1447" t="s">
        <v>1946</v>
      </c>
      <c r="BR148" s="1448"/>
      <c r="BS148" s="1448"/>
      <c r="BT148" s="1448"/>
      <c r="BU148" s="1448"/>
      <c r="BV148" s="1448"/>
      <c r="BW148" s="1448"/>
      <c r="BX148" s="1448"/>
      <c r="BY148" s="1448"/>
      <c r="BZ148" s="1449"/>
      <c r="CA148" s="564"/>
      <c r="CO148" s="476"/>
      <c r="CP148" s="476"/>
      <c r="CQ148" s="476"/>
      <c r="CR148" s="476"/>
      <c r="CS148" s="476"/>
      <c r="CT148" s="476"/>
      <c r="CU148" s="476"/>
      <c r="CV148" s="476"/>
      <c r="CW148" s="476"/>
      <c r="ES148" s="578"/>
      <c r="ET148" s="491"/>
      <c r="EU148" s="491"/>
      <c r="EV148" s="725">
        <v>1</v>
      </c>
      <c r="EW148" s="1469" t="s">
        <v>5163</v>
      </c>
      <c r="EX148" s="1469"/>
      <c r="EY148" s="1469"/>
      <c r="EZ148" s="1469"/>
      <c r="FA148" s="1469"/>
      <c r="FB148" s="1469"/>
      <c r="FC148" s="1469"/>
      <c r="FD148" s="1469"/>
      <c r="FE148" s="1469"/>
      <c r="FF148" s="491"/>
      <c r="FG148" s="491"/>
      <c r="FH148" s="491"/>
      <c r="FI148" s="491"/>
      <c r="FJ148" s="491"/>
      <c r="FK148" s="491"/>
      <c r="FL148" s="491"/>
      <c r="FM148" s="491"/>
      <c r="FN148" s="491"/>
      <c r="FO148" s="491"/>
      <c r="FP148" s="491"/>
      <c r="FQ148" s="491"/>
      <c r="FR148" s="491"/>
      <c r="FS148" s="491"/>
      <c r="FT148" s="491"/>
      <c r="FU148" s="491"/>
      <c r="FV148" s="491"/>
      <c r="FW148" s="564"/>
      <c r="FZ148" s="578"/>
      <c r="GA148" s="704"/>
      <c r="GB148" s="704"/>
      <c r="GC148" s="704"/>
      <c r="GD148" s="704"/>
      <c r="GE148" s="704"/>
      <c r="GF148" s="704"/>
      <c r="GG148" s="704"/>
      <c r="GH148" s="704"/>
      <c r="GI148" s="704"/>
      <c r="GJ148" s="704"/>
      <c r="GK148" s="704"/>
      <c r="GL148" s="704"/>
      <c r="GM148" s="710">
        <v>1</v>
      </c>
      <c r="GN148" s="1567" t="s">
        <v>5165</v>
      </c>
      <c r="GO148" s="1568"/>
      <c r="GP148" s="1568"/>
      <c r="GQ148" s="1568"/>
      <c r="GR148" s="1568"/>
      <c r="GS148" s="1568"/>
      <c r="GT148" s="1568"/>
      <c r="GU148" s="1568"/>
      <c r="GV148" s="1569"/>
      <c r="GW148" s="704"/>
      <c r="GX148" s="704"/>
      <c r="GY148" s="704"/>
      <c r="GZ148" s="513">
        <v>1</v>
      </c>
      <c r="HA148" s="1567" t="s">
        <v>5165</v>
      </c>
      <c r="HB148" s="1568"/>
      <c r="HC148" s="1568"/>
      <c r="HD148" s="1568"/>
      <c r="HE148" s="1568"/>
      <c r="HF148" s="1568"/>
      <c r="HG148" s="1568"/>
      <c r="HH148" s="1568"/>
      <c r="HI148" s="1569"/>
      <c r="HJ148" s="704"/>
      <c r="HK148" s="704"/>
      <c r="HL148" s="704"/>
      <c r="HM148" s="710">
        <v>1</v>
      </c>
      <c r="HN148" s="1567" t="s">
        <v>5165</v>
      </c>
      <c r="HO148" s="1568"/>
      <c r="HP148" s="1568"/>
      <c r="HQ148" s="1568"/>
      <c r="HR148" s="1568"/>
      <c r="HS148" s="1568"/>
      <c r="HT148" s="1568"/>
      <c r="HU148" s="1568"/>
      <c r="HV148" s="1569"/>
      <c r="HW148" s="1564"/>
      <c r="HX148" s="1565"/>
      <c r="HY148" s="1566"/>
      <c r="HZ148" s="710">
        <v>1</v>
      </c>
      <c r="IA148" s="1567" t="s">
        <v>5165</v>
      </c>
      <c r="IB148" s="1568"/>
      <c r="IC148" s="1568"/>
      <c r="ID148" s="1568"/>
      <c r="IE148" s="1568"/>
      <c r="IF148" s="1568"/>
      <c r="IG148" s="1568"/>
      <c r="IH148" s="1568"/>
      <c r="II148" s="1569"/>
      <c r="IJ148" s="1564"/>
      <c r="IK148" s="1565"/>
      <c r="IL148" s="1565"/>
      <c r="IM148" s="1565"/>
      <c r="IN148" s="1565"/>
      <c r="IO148" s="1565"/>
      <c r="IP148" s="1565"/>
      <c r="IQ148" s="1565"/>
      <c r="IR148" s="1565"/>
      <c r="IS148" s="1565"/>
      <c r="IT148" s="1565"/>
      <c r="IU148" s="1565"/>
      <c r="IV148" s="564"/>
      <c r="IZ148" s="578"/>
      <c r="JA148" s="491"/>
      <c r="JB148" s="491"/>
      <c r="JC148" s="491"/>
      <c r="JD148" s="491"/>
      <c r="JE148" s="491"/>
      <c r="JF148" s="491"/>
      <c r="JG148" s="491"/>
      <c r="JH148" s="491"/>
      <c r="JI148" s="491"/>
      <c r="JJ148" s="491"/>
      <c r="JK148" s="491"/>
      <c r="JL148" s="491"/>
      <c r="JM148" s="491"/>
      <c r="JN148" s="491"/>
      <c r="JO148" s="491"/>
      <c r="JP148" s="491"/>
      <c r="JQ148" s="491"/>
      <c r="JR148" s="491"/>
      <c r="JS148" s="491"/>
      <c r="JT148" s="491"/>
      <c r="JU148" s="491"/>
      <c r="JV148" s="491"/>
      <c r="JW148" s="491"/>
      <c r="JX148" s="491"/>
      <c r="JY148" s="491"/>
      <c r="JZ148" s="491"/>
      <c r="KA148" s="491"/>
      <c r="KB148" s="491"/>
      <c r="KC148" s="491"/>
      <c r="KD148" s="491"/>
      <c r="KE148" s="491"/>
      <c r="KF148" s="491"/>
      <c r="KG148" s="491"/>
      <c r="KH148" s="491"/>
      <c r="KI148" s="491"/>
      <c r="KJ148" s="491"/>
      <c r="KK148" s="491"/>
      <c r="KL148" s="491"/>
      <c r="KM148" s="491"/>
      <c r="KN148" s="491"/>
      <c r="KO148" s="491"/>
      <c r="KP148" s="491"/>
      <c r="KQ148" s="491"/>
      <c r="KR148" s="491"/>
      <c r="KS148" s="491"/>
      <c r="KT148" s="491"/>
      <c r="KU148" s="491"/>
      <c r="KV148" s="491"/>
      <c r="KW148" s="491"/>
      <c r="KX148" s="491"/>
      <c r="KY148" s="491"/>
      <c r="KZ148" s="491"/>
      <c r="LA148" s="491"/>
      <c r="LB148" s="491"/>
      <c r="LC148" s="491"/>
      <c r="LD148" s="491"/>
      <c r="LE148" s="491"/>
      <c r="LF148" s="491"/>
      <c r="LG148" s="491"/>
      <c r="LH148" s="491"/>
      <c r="LI148" s="491"/>
      <c r="LJ148" s="491"/>
      <c r="LK148" s="491"/>
      <c r="LL148" s="491"/>
      <c r="LM148" s="491"/>
      <c r="LN148" s="491"/>
      <c r="LO148" s="491"/>
      <c r="LP148" s="491"/>
      <c r="LQ148" s="491"/>
      <c r="LR148" s="491"/>
      <c r="LS148" s="491"/>
      <c r="LT148" s="491"/>
      <c r="LU148" s="491"/>
      <c r="LV148" s="491"/>
      <c r="LW148" s="491"/>
      <c r="LX148" s="491"/>
      <c r="LY148" s="491"/>
      <c r="LZ148" s="491"/>
      <c r="MA148" s="491"/>
      <c r="MB148" s="491"/>
      <c r="MC148" s="491"/>
      <c r="MD148" s="491"/>
      <c r="ME148" s="491"/>
      <c r="MF148" s="491"/>
      <c r="MG148" s="491"/>
      <c r="MH148" s="491"/>
      <c r="MI148" s="491"/>
      <c r="MJ148" s="564"/>
      <c r="MN148" s="578"/>
      <c r="MO148" s="491"/>
      <c r="MP148" s="513">
        <v>1</v>
      </c>
      <c r="MQ148" s="1469" t="s">
        <v>172</v>
      </c>
      <c r="MR148" s="1469"/>
      <c r="MS148" s="1469"/>
      <c r="MT148" s="1469"/>
      <c r="MU148" s="1469"/>
      <c r="MV148" s="1469"/>
      <c r="MW148" s="1469"/>
      <c r="MX148" s="1469"/>
      <c r="MY148" s="1469"/>
      <c r="MZ148" s="491"/>
      <c r="NA148" s="491"/>
      <c r="NB148" s="491"/>
      <c r="NC148" s="513">
        <v>1</v>
      </c>
      <c r="ND148" s="1469" t="s">
        <v>4764</v>
      </c>
      <c r="NE148" s="1469"/>
      <c r="NF148" s="1469"/>
      <c r="NG148" s="1469"/>
      <c r="NH148" s="1469"/>
      <c r="NI148" s="1469"/>
      <c r="NJ148" s="1469"/>
      <c r="NK148" s="1469"/>
      <c r="NL148" s="1469"/>
      <c r="NM148" s="491"/>
      <c r="NN148" s="491"/>
      <c r="NO148" s="491"/>
      <c r="NP148" s="491"/>
      <c r="NQ148" s="491"/>
      <c r="NR148" s="491"/>
      <c r="NS148" s="491"/>
      <c r="NT148" s="491"/>
      <c r="NU148" s="491"/>
      <c r="NV148" s="491"/>
      <c r="NW148" s="491"/>
      <c r="NX148" s="491"/>
      <c r="NY148" s="491"/>
      <c r="NZ148" s="491"/>
      <c r="OA148" s="491"/>
      <c r="OB148" s="491"/>
      <c r="OC148" s="513">
        <v>1</v>
      </c>
      <c r="OD148" s="1469" t="s">
        <v>5250</v>
      </c>
      <c r="OE148" s="1469"/>
      <c r="OF148" s="1469"/>
      <c r="OG148" s="1469"/>
      <c r="OH148" s="1469"/>
      <c r="OI148" s="1469"/>
      <c r="OJ148" s="1469"/>
      <c r="OK148" s="1469"/>
      <c r="OL148" s="1469"/>
      <c r="OM148" s="491"/>
      <c r="ON148" s="491"/>
      <c r="OO148" s="491"/>
      <c r="OP148" s="491"/>
      <c r="OQ148" s="491"/>
      <c r="OR148" s="491"/>
      <c r="OS148" s="491"/>
      <c r="OT148" s="491"/>
      <c r="OU148" s="491"/>
      <c r="OV148" s="491"/>
      <c r="OW148" s="491"/>
      <c r="OX148" s="491"/>
      <c r="OY148" s="491"/>
      <c r="OZ148" s="491"/>
      <c r="PA148" s="491"/>
      <c r="PB148" s="491"/>
      <c r="PC148" s="507"/>
      <c r="PD148" s="1520"/>
      <c r="PE148" s="1520"/>
      <c r="PF148" s="1520"/>
      <c r="PG148" s="1520"/>
      <c r="PH148" s="1520"/>
      <c r="PI148" s="1520"/>
      <c r="PJ148" s="1520"/>
      <c r="PK148" s="1520"/>
      <c r="PL148" s="1520"/>
      <c r="PM148" s="491"/>
      <c r="PN148" s="564"/>
      <c r="PW148" s="482"/>
    </row>
    <row r="149" spans="11:439" ht="12.75" customHeight="1" x14ac:dyDescent="0.35">
      <c r="K149" s="482"/>
      <c r="BD149" s="735"/>
      <c r="BE149" s="513">
        <v>1</v>
      </c>
      <c r="BF149" s="1456" t="s">
        <v>5285</v>
      </c>
      <c r="BG149" s="1457"/>
      <c r="BH149" s="1457"/>
      <c r="BI149" s="1457"/>
      <c r="BJ149" s="1457"/>
      <c r="BK149" s="1457"/>
      <c r="BL149" s="1457"/>
      <c r="BM149" s="1457"/>
      <c r="BN149" s="1458"/>
      <c r="BO149" s="491"/>
      <c r="BP149" s="519"/>
      <c r="BQ149" s="513">
        <v>1</v>
      </c>
      <c r="BR149" s="1456" t="s">
        <v>5285</v>
      </c>
      <c r="BS149" s="1457"/>
      <c r="BT149" s="1457"/>
      <c r="BU149" s="1457"/>
      <c r="BV149" s="1457"/>
      <c r="BW149" s="1457"/>
      <c r="BX149" s="1457"/>
      <c r="BY149" s="1457"/>
      <c r="BZ149" s="1458"/>
      <c r="CA149" s="564"/>
      <c r="ES149" s="578"/>
      <c r="ET149" s="491"/>
      <c r="EU149" s="491"/>
      <c r="EV149" s="1472" t="s">
        <v>4607</v>
      </c>
      <c r="EW149" s="1472"/>
      <c r="EX149" s="1472"/>
      <c r="EY149" s="1472"/>
      <c r="EZ149" s="1472"/>
      <c r="FA149" s="1472"/>
      <c r="FB149" s="1472"/>
      <c r="FC149" s="1472"/>
      <c r="FD149" s="1472"/>
      <c r="FE149" s="1472"/>
      <c r="FF149" s="491"/>
      <c r="FG149" s="491"/>
      <c r="FH149" s="491"/>
      <c r="FI149" s="491"/>
      <c r="FJ149" s="491"/>
      <c r="FK149" s="491"/>
      <c r="FL149" s="491"/>
      <c r="FM149" s="491"/>
      <c r="FN149" s="491"/>
      <c r="FO149" s="491"/>
      <c r="FP149" s="491"/>
      <c r="FQ149" s="491"/>
      <c r="FR149" s="491"/>
      <c r="FS149" s="491"/>
      <c r="FT149" s="491"/>
      <c r="FU149" s="491"/>
      <c r="FV149" s="491"/>
      <c r="FW149" s="564"/>
      <c r="FZ149" s="578"/>
      <c r="GA149" s="704"/>
      <c r="GB149" s="704"/>
      <c r="GC149" s="704"/>
      <c r="GD149" s="704"/>
      <c r="GE149" s="704"/>
      <c r="GF149" s="704"/>
      <c r="GG149" s="704"/>
      <c r="GH149" s="704"/>
      <c r="GI149" s="704"/>
      <c r="GJ149" s="704"/>
      <c r="GK149" s="704"/>
      <c r="GL149" s="704"/>
      <c r="GM149" s="1450" t="s">
        <v>3595</v>
      </c>
      <c r="GN149" s="1451"/>
      <c r="GO149" s="1451"/>
      <c r="GP149" s="1451"/>
      <c r="GQ149" s="1451"/>
      <c r="GR149" s="1451"/>
      <c r="GS149" s="1451"/>
      <c r="GT149" s="1451"/>
      <c r="GU149" s="1451"/>
      <c r="GV149" s="1452"/>
      <c r="GW149" s="705"/>
      <c r="GX149" s="704"/>
      <c r="GY149" s="704"/>
      <c r="GZ149" s="1617" t="s">
        <v>177</v>
      </c>
      <c r="HA149" s="1618"/>
      <c r="HB149" s="1618"/>
      <c r="HC149" s="1618"/>
      <c r="HD149" s="1618"/>
      <c r="HE149" s="1618"/>
      <c r="HF149" s="1618"/>
      <c r="HG149" s="1618"/>
      <c r="HH149" s="1618"/>
      <c r="HI149" s="1618"/>
      <c r="HJ149" s="704"/>
      <c r="HK149" s="704"/>
      <c r="HL149" s="706"/>
      <c r="HM149" s="1619" t="s">
        <v>177</v>
      </c>
      <c r="HN149" s="1620"/>
      <c r="HO149" s="1620"/>
      <c r="HP149" s="1620"/>
      <c r="HQ149" s="1620"/>
      <c r="HR149" s="1620"/>
      <c r="HS149" s="1620"/>
      <c r="HT149" s="1620"/>
      <c r="HU149" s="1620"/>
      <c r="HV149" s="1621"/>
      <c r="HW149" s="1564"/>
      <c r="HX149" s="1565"/>
      <c r="HY149" s="1566"/>
      <c r="HZ149" s="1450" t="s">
        <v>3861</v>
      </c>
      <c r="IA149" s="1451"/>
      <c r="IB149" s="1451"/>
      <c r="IC149" s="1451"/>
      <c r="ID149" s="1451"/>
      <c r="IE149" s="1451"/>
      <c r="IF149" s="1451"/>
      <c r="IG149" s="1451"/>
      <c r="IH149" s="1451"/>
      <c r="II149" s="1452"/>
      <c r="IJ149" s="1565"/>
      <c r="IK149" s="1565"/>
      <c r="IL149" s="1565"/>
      <c r="IM149" s="1565"/>
      <c r="IN149" s="1565"/>
      <c r="IO149" s="1565"/>
      <c r="IP149" s="1565"/>
      <c r="IQ149" s="1565"/>
      <c r="IR149" s="1565"/>
      <c r="IS149" s="1565"/>
      <c r="IT149" s="1565"/>
      <c r="IU149" s="1565"/>
      <c r="IV149" s="564"/>
      <c r="IZ149" s="578"/>
      <c r="JA149" s="491"/>
      <c r="JB149" s="491"/>
      <c r="JC149" s="491"/>
      <c r="JD149" s="491"/>
      <c r="JE149" s="491"/>
      <c r="JF149" s="491"/>
      <c r="JG149" s="491"/>
      <c r="JH149" s="491"/>
      <c r="JI149" s="491"/>
      <c r="JJ149" s="491"/>
      <c r="JK149" s="491"/>
      <c r="JL149" s="491"/>
      <c r="JM149" s="491"/>
      <c r="JN149" s="491"/>
      <c r="JO149" s="491"/>
      <c r="JP149" s="491"/>
      <c r="JQ149" s="491"/>
      <c r="JR149" s="491"/>
      <c r="JS149" s="491"/>
      <c r="JT149" s="491"/>
      <c r="JU149" s="491"/>
      <c r="JV149" s="491"/>
      <c r="JW149" s="491"/>
      <c r="JX149" s="491"/>
      <c r="JY149" s="491"/>
      <c r="JZ149" s="491"/>
      <c r="KA149" s="491"/>
      <c r="KB149" s="491"/>
      <c r="KC149" s="491"/>
      <c r="KD149" s="491"/>
      <c r="KE149" s="491"/>
      <c r="KF149" s="491"/>
      <c r="KG149" s="491"/>
      <c r="KH149" s="491"/>
      <c r="KI149" s="491"/>
      <c r="KJ149" s="491"/>
      <c r="KK149" s="491"/>
      <c r="KL149" s="491"/>
      <c r="KM149" s="491"/>
      <c r="KN149" s="491"/>
      <c r="KO149" s="491"/>
      <c r="KP149" s="491"/>
      <c r="KQ149" s="491"/>
      <c r="KR149" s="491"/>
      <c r="KS149" s="491"/>
      <c r="KT149" s="491"/>
      <c r="KU149" s="491"/>
      <c r="KV149" s="491"/>
      <c r="KW149" s="491"/>
      <c r="KX149" s="491"/>
      <c r="KY149" s="491"/>
      <c r="KZ149" s="491"/>
      <c r="LA149" s="491"/>
      <c r="LB149" s="491"/>
      <c r="LC149" s="491"/>
      <c r="LD149" s="491"/>
      <c r="LE149" s="491"/>
      <c r="LF149" s="491"/>
      <c r="LG149" s="491"/>
      <c r="LH149" s="491"/>
      <c r="LI149" s="491"/>
      <c r="LJ149" s="491"/>
      <c r="LK149" s="491"/>
      <c r="LL149" s="491"/>
      <c r="LM149" s="491"/>
      <c r="LN149" s="491"/>
      <c r="LO149" s="491"/>
      <c r="LP149" s="491"/>
      <c r="LQ149" s="491"/>
      <c r="LR149" s="491"/>
      <c r="LS149" s="491"/>
      <c r="LT149" s="491"/>
      <c r="LU149" s="491"/>
      <c r="LV149" s="491"/>
      <c r="LW149" s="491"/>
      <c r="LX149" s="491"/>
      <c r="LY149" s="491"/>
      <c r="LZ149" s="491"/>
      <c r="MA149" s="491"/>
      <c r="MB149" s="491"/>
      <c r="MC149" s="491"/>
      <c r="MD149" s="491"/>
      <c r="ME149" s="491"/>
      <c r="MF149" s="491"/>
      <c r="MG149" s="491"/>
      <c r="MH149" s="491"/>
      <c r="MI149" s="491"/>
      <c r="MJ149" s="564"/>
      <c r="MN149" s="578"/>
      <c r="MO149" s="491"/>
      <c r="MP149" s="1518" t="s">
        <v>131</v>
      </c>
      <c r="MQ149" s="1518"/>
      <c r="MR149" s="1518"/>
      <c r="MS149" s="1518"/>
      <c r="MT149" s="1518"/>
      <c r="MU149" s="1518"/>
      <c r="MV149" s="1518"/>
      <c r="MW149" s="1518"/>
      <c r="MX149" s="1518"/>
      <c r="MY149" s="1518"/>
      <c r="MZ149" s="491"/>
      <c r="NA149" s="491"/>
      <c r="NB149" s="491"/>
      <c r="NC149" s="1561" t="s">
        <v>5286</v>
      </c>
      <c r="ND149" s="1561"/>
      <c r="NE149" s="1561"/>
      <c r="NF149" s="1561"/>
      <c r="NG149" s="1561"/>
      <c r="NH149" s="1561"/>
      <c r="NI149" s="1561"/>
      <c r="NJ149" s="1561"/>
      <c r="NK149" s="1561"/>
      <c r="NL149" s="1561"/>
      <c r="NM149" s="491"/>
      <c r="NN149" s="491"/>
      <c r="NO149" s="491"/>
      <c r="NP149" s="491"/>
      <c r="NQ149" s="491"/>
      <c r="NR149" s="491"/>
      <c r="NS149" s="491"/>
      <c r="NT149" s="491"/>
      <c r="NU149" s="491"/>
      <c r="NV149" s="491"/>
      <c r="NW149" s="491"/>
      <c r="NX149" s="491"/>
      <c r="NY149" s="491"/>
      <c r="NZ149" s="491"/>
      <c r="OA149" s="491"/>
      <c r="OB149" s="491"/>
      <c r="OC149" s="1561" t="s">
        <v>4661</v>
      </c>
      <c r="OD149" s="1561"/>
      <c r="OE149" s="1561"/>
      <c r="OF149" s="1561"/>
      <c r="OG149" s="1561"/>
      <c r="OH149" s="1561"/>
      <c r="OI149" s="1561"/>
      <c r="OJ149" s="1561"/>
      <c r="OK149" s="1561"/>
      <c r="OL149" s="1561"/>
      <c r="OM149" s="491"/>
      <c r="ON149" s="491"/>
      <c r="OO149" s="491"/>
      <c r="OP149" s="491"/>
      <c r="OQ149" s="491"/>
      <c r="OR149" s="491"/>
      <c r="OS149" s="491"/>
      <c r="OT149" s="491"/>
      <c r="OU149" s="491"/>
      <c r="OV149" s="491"/>
      <c r="OW149" s="491"/>
      <c r="OX149" s="491"/>
      <c r="OY149" s="491"/>
      <c r="OZ149" s="491"/>
      <c r="PA149" s="491"/>
      <c r="PB149" s="491"/>
      <c r="PC149" s="1529"/>
      <c r="PD149" s="1529"/>
      <c r="PE149" s="1529"/>
      <c r="PF149" s="1529"/>
      <c r="PG149" s="1529"/>
      <c r="PH149" s="1529"/>
      <c r="PI149" s="1529"/>
      <c r="PJ149" s="1529"/>
      <c r="PK149" s="1529"/>
      <c r="PL149" s="1529"/>
      <c r="PM149" s="491"/>
      <c r="PN149" s="564"/>
      <c r="PW149" s="482"/>
    </row>
    <row r="150" spans="11:439" ht="12.75" customHeight="1" x14ac:dyDescent="0.35">
      <c r="K150" s="482"/>
      <c r="BD150" s="726"/>
      <c r="BE150" s="1447" t="s">
        <v>2497</v>
      </c>
      <c r="BF150" s="1448"/>
      <c r="BG150" s="1448"/>
      <c r="BH150" s="1448"/>
      <c r="BI150" s="1448"/>
      <c r="BJ150" s="1448"/>
      <c r="BK150" s="1448"/>
      <c r="BL150" s="1448"/>
      <c r="BM150" s="1448"/>
      <c r="BN150" s="1449"/>
      <c r="BO150" s="491"/>
      <c r="BP150" s="491"/>
      <c r="BQ150" s="1561" t="s">
        <v>4137</v>
      </c>
      <c r="BR150" s="1561"/>
      <c r="BS150" s="1561"/>
      <c r="BT150" s="1561"/>
      <c r="BU150" s="1561"/>
      <c r="BV150" s="1561"/>
      <c r="BW150" s="1561"/>
      <c r="BX150" s="1561"/>
      <c r="BY150" s="1561"/>
      <c r="BZ150" s="1561"/>
      <c r="CA150" s="564"/>
      <c r="ES150" s="578"/>
      <c r="ET150" s="491"/>
      <c r="EU150" s="491"/>
      <c r="EV150" s="725">
        <v>1</v>
      </c>
      <c r="EW150" s="1469" t="s">
        <v>5183</v>
      </c>
      <c r="EX150" s="1469"/>
      <c r="EY150" s="1469"/>
      <c r="EZ150" s="1469"/>
      <c r="FA150" s="1469"/>
      <c r="FB150" s="1469"/>
      <c r="FC150" s="1469"/>
      <c r="FD150" s="1469"/>
      <c r="FE150" s="1469"/>
      <c r="FF150" s="491"/>
      <c r="FG150" s="491"/>
      <c r="FH150" s="491"/>
      <c r="FI150" s="491"/>
      <c r="FJ150" s="491"/>
      <c r="FK150" s="491"/>
      <c r="FL150" s="491"/>
      <c r="FM150" s="491"/>
      <c r="FN150" s="491"/>
      <c r="FO150" s="491"/>
      <c r="FP150" s="491"/>
      <c r="FQ150" s="491"/>
      <c r="FR150" s="491"/>
      <c r="FS150" s="491"/>
      <c r="FT150" s="491"/>
      <c r="FU150" s="491"/>
      <c r="FV150" s="491"/>
      <c r="FW150" s="564"/>
      <c r="FZ150" s="578"/>
      <c r="GA150" s="704"/>
      <c r="GB150" s="704"/>
      <c r="GC150" s="704"/>
      <c r="GD150" s="704"/>
      <c r="GE150" s="704"/>
      <c r="GF150" s="704"/>
      <c r="GG150" s="704"/>
      <c r="GH150" s="704"/>
      <c r="GI150" s="704"/>
      <c r="GJ150" s="704"/>
      <c r="GK150" s="704"/>
      <c r="GL150" s="704"/>
      <c r="GM150" s="710">
        <v>1</v>
      </c>
      <c r="GN150" s="1567" t="s">
        <v>5165</v>
      </c>
      <c r="GO150" s="1568"/>
      <c r="GP150" s="1568"/>
      <c r="GQ150" s="1568"/>
      <c r="GR150" s="1568"/>
      <c r="GS150" s="1568"/>
      <c r="GT150" s="1568"/>
      <c r="GU150" s="1568"/>
      <c r="GV150" s="1569"/>
      <c r="GW150" s="705"/>
      <c r="GX150" s="704"/>
      <c r="GY150" s="704"/>
      <c r="GZ150" s="513">
        <v>1</v>
      </c>
      <c r="HA150" s="1567" t="s">
        <v>5165</v>
      </c>
      <c r="HB150" s="1568"/>
      <c r="HC150" s="1568"/>
      <c r="HD150" s="1568"/>
      <c r="HE150" s="1568"/>
      <c r="HF150" s="1568"/>
      <c r="HG150" s="1568"/>
      <c r="HH150" s="1568"/>
      <c r="HI150" s="1569"/>
      <c r="HJ150" s="704"/>
      <c r="HK150" s="704"/>
      <c r="HL150" s="706"/>
      <c r="HM150" s="710">
        <v>1</v>
      </c>
      <c r="HN150" s="1567" t="s">
        <v>5165</v>
      </c>
      <c r="HO150" s="1568"/>
      <c r="HP150" s="1568"/>
      <c r="HQ150" s="1568"/>
      <c r="HR150" s="1568"/>
      <c r="HS150" s="1568"/>
      <c r="HT150" s="1568"/>
      <c r="HU150" s="1568"/>
      <c r="HV150" s="1569"/>
      <c r="HW150" s="1564"/>
      <c r="HX150" s="1565"/>
      <c r="HY150" s="1566"/>
      <c r="HZ150" s="710">
        <v>1</v>
      </c>
      <c r="IA150" s="1567" t="s">
        <v>5165</v>
      </c>
      <c r="IB150" s="1568"/>
      <c r="IC150" s="1568"/>
      <c r="ID150" s="1568"/>
      <c r="IE150" s="1568"/>
      <c r="IF150" s="1568"/>
      <c r="IG150" s="1568"/>
      <c r="IH150" s="1568"/>
      <c r="II150" s="1569"/>
      <c r="IJ150" s="1565"/>
      <c r="IK150" s="1565"/>
      <c r="IL150" s="1565"/>
      <c r="IM150" s="1565"/>
      <c r="IN150" s="1565"/>
      <c r="IO150" s="1565"/>
      <c r="IP150" s="1565"/>
      <c r="IQ150" s="1565"/>
      <c r="IR150" s="1565"/>
      <c r="IS150" s="1565"/>
      <c r="IT150" s="1565"/>
      <c r="IU150" s="1565"/>
      <c r="IV150" s="564"/>
      <c r="IZ150" s="627"/>
      <c r="JA150" s="628"/>
      <c r="JB150" s="628"/>
      <c r="JC150" s="628"/>
      <c r="JD150" s="628"/>
      <c r="JE150" s="628"/>
      <c r="JF150" s="628"/>
      <c r="JG150" s="628"/>
      <c r="JH150" s="628"/>
      <c r="JI150" s="628"/>
      <c r="JJ150" s="628"/>
      <c r="JK150" s="628"/>
      <c r="JL150" s="628"/>
      <c r="JM150" s="628"/>
      <c r="JN150" s="628"/>
      <c r="JO150" s="628"/>
      <c r="JP150" s="628"/>
      <c r="JQ150" s="628"/>
      <c r="JR150" s="628"/>
      <c r="JS150" s="628"/>
      <c r="JT150" s="628"/>
      <c r="JU150" s="628"/>
      <c r="JV150" s="628"/>
      <c r="JW150" s="628"/>
      <c r="JX150" s="628"/>
      <c r="JY150" s="628"/>
      <c r="JZ150" s="628"/>
      <c r="KA150" s="628"/>
      <c r="KB150" s="628"/>
      <c r="KC150" s="628"/>
      <c r="KD150" s="628"/>
      <c r="KE150" s="628"/>
      <c r="KF150" s="628"/>
      <c r="KG150" s="628"/>
      <c r="KH150" s="628"/>
      <c r="KI150" s="628"/>
      <c r="KJ150" s="628"/>
      <c r="KK150" s="628"/>
      <c r="KL150" s="628"/>
      <c r="KM150" s="628"/>
      <c r="KN150" s="628"/>
      <c r="KO150" s="628"/>
      <c r="KP150" s="628"/>
      <c r="KQ150" s="628"/>
      <c r="KR150" s="628"/>
      <c r="KS150" s="628"/>
      <c r="KT150" s="628"/>
      <c r="KU150" s="628"/>
      <c r="KV150" s="628"/>
      <c r="KW150" s="628"/>
      <c r="KX150" s="628"/>
      <c r="KY150" s="628"/>
      <c r="KZ150" s="628"/>
      <c r="LA150" s="628"/>
      <c r="LB150" s="628"/>
      <c r="LC150" s="628"/>
      <c r="LD150" s="628"/>
      <c r="LE150" s="628"/>
      <c r="LF150" s="628"/>
      <c r="LG150" s="628"/>
      <c r="LH150" s="628"/>
      <c r="LI150" s="628"/>
      <c r="LJ150" s="628"/>
      <c r="LK150" s="628"/>
      <c r="LL150" s="628"/>
      <c r="LM150" s="628"/>
      <c r="LN150" s="628"/>
      <c r="LO150" s="628"/>
      <c r="LP150" s="628"/>
      <c r="LQ150" s="628"/>
      <c r="LR150" s="628"/>
      <c r="LS150" s="628"/>
      <c r="LT150" s="628"/>
      <c r="LU150" s="628"/>
      <c r="LV150" s="628"/>
      <c r="LW150" s="628"/>
      <c r="LX150" s="628"/>
      <c r="LY150" s="628"/>
      <c r="LZ150" s="628"/>
      <c r="MA150" s="628"/>
      <c r="MB150" s="628"/>
      <c r="MC150" s="628"/>
      <c r="MD150" s="628"/>
      <c r="ME150" s="628"/>
      <c r="MF150" s="628"/>
      <c r="MG150" s="628"/>
      <c r="MH150" s="628"/>
      <c r="MI150" s="628"/>
      <c r="MJ150" s="629"/>
      <c r="MN150" s="578"/>
      <c r="MO150" s="491"/>
      <c r="MP150" s="513">
        <v>1</v>
      </c>
      <c r="MQ150" s="1469" t="s">
        <v>5250</v>
      </c>
      <c r="MR150" s="1469"/>
      <c r="MS150" s="1469"/>
      <c r="MT150" s="1469"/>
      <c r="MU150" s="1469"/>
      <c r="MV150" s="1469"/>
      <c r="MW150" s="1469"/>
      <c r="MX150" s="1469"/>
      <c r="MY150" s="1469"/>
      <c r="MZ150" s="491"/>
      <c r="NA150" s="491"/>
      <c r="NB150" s="491"/>
      <c r="NC150" s="513">
        <v>1</v>
      </c>
      <c r="ND150" s="1469" t="s">
        <v>5250</v>
      </c>
      <c r="NE150" s="1469"/>
      <c r="NF150" s="1469"/>
      <c r="NG150" s="1469"/>
      <c r="NH150" s="1469"/>
      <c r="NI150" s="1469"/>
      <c r="NJ150" s="1469"/>
      <c r="NK150" s="1469"/>
      <c r="NL150" s="1469"/>
      <c r="NM150" s="491"/>
      <c r="NN150" s="491"/>
      <c r="NO150" s="491"/>
      <c r="NP150" s="491"/>
      <c r="NQ150" s="491"/>
      <c r="NR150" s="491"/>
      <c r="NS150" s="491"/>
      <c r="NT150" s="491"/>
      <c r="NU150" s="491"/>
      <c r="NV150" s="491"/>
      <c r="NW150" s="491"/>
      <c r="NX150" s="491"/>
      <c r="NY150" s="491"/>
      <c r="NZ150" s="491"/>
      <c r="OA150" s="491"/>
      <c r="OB150" s="491"/>
      <c r="OC150" s="513">
        <v>1</v>
      </c>
      <c r="OD150" s="1469" t="s">
        <v>5250</v>
      </c>
      <c r="OE150" s="1469"/>
      <c r="OF150" s="1469"/>
      <c r="OG150" s="1469"/>
      <c r="OH150" s="1469"/>
      <c r="OI150" s="1469"/>
      <c r="OJ150" s="1469"/>
      <c r="OK150" s="1469"/>
      <c r="OL150" s="1469"/>
      <c r="OM150" s="491"/>
      <c r="ON150" s="491"/>
      <c r="OO150" s="491"/>
      <c r="OP150" s="491"/>
      <c r="OQ150" s="491"/>
      <c r="OR150" s="491"/>
      <c r="OS150" s="491"/>
      <c r="OT150" s="491"/>
      <c r="OU150" s="491"/>
      <c r="OV150" s="491"/>
      <c r="OW150" s="491"/>
      <c r="OX150" s="491"/>
      <c r="OY150" s="491"/>
      <c r="OZ150" s="491"/>
      <c r="PA150" s="491"/>
      <c r="PB150" s="491"/>
      <c r="PC150" s="639">
        <v>1</v>
      </c>
      <c r="PD150" s="1519" t="s">
        <v>5250</v>
      </c>
      <c r="PE150" s="1519"/>
      <c r="PF150" s="1519"/>
      <c r="PG150" s="1519"/>
      <c r="PH150" s="1519"/>
      <c r="PI150" s="1519"/>
      <c r="PJ150" s="1519"/>
      <c r="PK150" s="1519"/>
      <c r="PL150" s="1519"/>
      <c r="PM150" s="491"/>
      <c r="PN150" s="564"/>
      <c r="PW150" s="482"/>
    </row>
    <row r="151" spans="11:439" ht="12.75" customHeight="1" x14ac:dyDescent="0.35">
      <c r="K151" s="482"/>
      <c r="BD151" s="627"/>
      <c r="BE151" s="736"/>
      <c r="BF151" s="736"/>
      <c r="BG151" s="736"/>
      <c r="BH151" s="736"/>
      <c r="BI151" s="736"/>
      <c r="BJ151" s="736"/>
      <c r="BK151" s="736"/>
      <c r="BL151" s="736"/>
      <c r="BM151" s="628"/>
      <c r="BN151" s="628"/>
      <c r="BO151" s="628"/>
      <c r="BP151" s="628"/>
      <c r="BQ151" s="628"/>
      <c r="BR151" s="628"/>
      <c r="BS151" s="628"/>
      <c r="BT151" s="628"/>
      <c r="BU151" s="628"/>
      <c r="BV151" s="628"/>
      <c r="BW151" s="628"/>
      <c r="BX151" s="628"/>
      <c r="BY151" s="628"/>
      <c r="BZ151" s="628"/>
      <c r="CA151" s="629"/>
      <c r="ES151" s="578"/>
      <c r="ET151" s="491"/>
      <c r="EU151" s="491"/>
      <c r="EV151" s="1472" t="s">
        <v>4173</v>
      </c>
      <c r="EW151" s="1472"/>
      <c r="EX151" s="1472"/>
      <c r="EY151" s="1472"/>
      <c r="EZ151" s="1472"/>
      <c r="FA151" s="1472"/>
      <c r="FB151" s="1472"/>
      <c r="FC151" s="1472"/>
      <c r="FD151" s="1472"/>
      <c r="FE151" s="1472"/>
      <c r="FF151" s="491"/>
      <c r="FG151" s="491"/>
      <c r="FH151" s="491"/>
      <c r="FI151" s="491"/>
      <c r="FJ151" s="491"/>
      <c r="FK151" s="491"/>
      <c r="FL151" s="491"/>
      <c r="FM151" s="491"/>
      <c r="FN151" s="491"/>
      <c r="FO151" s="491"/>
      <c r="FP151" s="491"/>
      <c r="FQ151" s="491"/>
      <c r="FR151" s="491"/>
      <c r="FS151" s="491"/>
      <c r="FT151" s="491"/>
      <c r="FU151" s="491"/>
      <c r="FV151" s="491"/>
      <c r="FW151" s="564"/>
      <c r="FZ151" s="578"/>
      <c r="GA151" s="704"/>
      <c r="GB151" s="704"/>
      <c r="GC151" s="704"/>
      <c r="GD151" s="704"/>
      <c r="GE151" s="704"/>
      <c r="GF151" s="704"/>
      <c r="GG151" s="704"/>
      <c r="GH151" s="704"/>
      <c r="GI151" s="704"/>
      <c r="GJ151" s="704"/>
      <c r="GK151" s="704"/>
      <c r="GL151" s="704"/>
      <c r="GM151" s="1450" t="s">
        <v>3757</v>
      </c>
      <c r="GN151" s="1451"/>
      <c r="GO151" s="1451"/>
      <c r="GP151" s="1451"/>
      <c r="GQ151" s="1451"/>
      <c r="GR151" s="1451"/>
      <c r="GS151" s="1451"/>
      <c r="GT151" s="1451"/>
      <c r="GU151" s="1451"/>
      <c r="GV151" s="1452"/>
      <c r="GW151" s="705"/>
      <c r="GX151" s="704"/>
      <c r="GY151" s="704"/>
      <c r="GZ151" s="1625" t="s">
        <v>3070</v>
      </c>
      <c r="HA151" s="1523"/>
      <c r="HB151" s="1523"/>
      <c r="HC151" s="1523"/>
      <c r="HD151" s="1523"/>
      <c r="HE151" s="1523"/>
      <c r="HF151" s="1523"/>
      <c r="HG151" s="1523"/>
      <c r="HH151" s="1523"/>
      <c r="HI151" s="1523"/>
      <c r="HJ151" s="704"/>
      <c r="HK151" s="704"/>
      <c r="HL151" s="706"/>
      <c r="HM151" s="1626" t="s">
        <v>4382</v>
      </c>
      <c r="HN151" s="1627"/>
      <c r="HO151" s="1627"/>
      <c r="HP151" s="1627"/>
      <c r="HQ151" s="1627"/>
      <c r="HR151" s="1627"/>
      <c r="HS151" s="1627"/>
      <c r="HT151" s="1627"/>
      <c r="HU151" s="1627"/>
      <c r="HV151" s="1628"/>
      <c r="HW151" s="1565"/>
      <c r="HX151" s="1565"/>
      <c r="HY151" s="1566"/>
      <c r="HZ151" s="1450" t="s">
        <v>5287</v>
      </c>
      <c r="IA151" s="1451"/>
      <c r="IB151" s="1451"/>
      <c r="IC151" s="1451"/>
      <c r="ID151" s="1451"/>
      <c r="IE151" s="1451"/>
      <c r="IF151" s="1451"/>
      <c r="IG151" s="1451"/>
      <c r="IH151" s="1451"/>
      <c r="II151" s="1452"/>
      <c r="IJ151" s="1565"/>
      <c r="IK151" s="1565"/>
      <c r="IL151" s="1565"/>
      <c r="IM151" s="1565"/>
      <c r="IN151" s="1565"/>
      <c r="IO151" s="1565"/>
      <c r="IP151" s="1565"/>
      <c r="IQ151" s="1565"/>
      <c r="IR151" s="1565"/>
      <c r="IS151" s="1565"/>
      <c r="IT151" s="1565"/>
      <c r="IU151" s="1565"/>
      <c r="IV151" s="564"/>
      <c r="IZ151" s="491"/>
      <c r="JA151" s="491"/>
      <c r="JB151" s="491"/>
      <c r="JC151" s="491"/>
      <c r="JD151" s="491"/>
      <c r="JE151" s="491"/>
      <c r="JF151" s="491"/>
      <c r="JG151" s="491"/>
      <c r="JH151" s="491"/>
      <c r="JI151" s="491"/>
      <c r="JJ151" s="491"/>
      <c r="JK151" s="491"/>
      <c r="JL151" s="491"/>
      <c r="JM151" s="491"/>
      <c r="JN151" s="491"/>
      <c r="JO151" s="491"/>
      <c r="JP151" s="491"/>
      <c r="JQ151" s="491"/>
      <c r="JR151" s="491"/>
      <c r="JS151" s="491"/>
      <c r="JT151" s="491"/>
      <c r="JU151" s="491"/>
      <c r="JV151" s="491"/>
      <c r="JW151" s="491"/>
      <c r="JX151" s="491"/>
      <c r="JY151" s="491"/>
      <c r="JZ151" s="491"/>
      <c r="KA151" s="491"/>
      <c r="KB151" s="491"/>
      <c r="KC151" s="491"/>
      <c r="KD151" s="491"/>
      <c r="KE151" s="491"/>
      <c r="KF151" s="491"/>
      <c r="KG151" s="491"/>
      <c r="KH151" s="491"/>
      <c r="KI151" s="491"/>
      <c r="KJ151" s="491"/>
      <c r="KK151" s="491"/>
      <c r="KL151" s="491"/>
      <c r="KM151" s="730"/>
      <c r="KN151" s="730"/>
      <c r="KO151" s="730"/>
      <c r="KP151" s="730"/>
      <c r="KQ151" s="730"/>
      <c r="KR151" s="730"/>
      <c r="KS151" s="730"/>
      <c r="KT151" s="730"/>
      <c r="KU151" s="662"/>
      <c r="KV151" s="662"/>
      <c r="KW151" s="662"/>
      <c r="KX151" s="662"/>
      <c r="KY151" s="491"/>
      <c r="KZ151" s="491"/>
      <c r="LA151" s="491"/>
      <c r="LB151" s="491"/>
      <c r="LC151" s="491"/>
      <c r="LD151" s="491"/>
      <c r="LE151" s="491"/>
      <c r="LF151" s="491"/>
      <c r="LG151" s="491"/>
      <c r="LH151" s="491"/>
      <c r="LI151" s="491"/>
      <c r="LJ151" s="491"/>
      <c r="LK151" s="491"/>
      <c r="LL151" s="491"/>
      <c r="LM151" s="491"/>
      <c r="LN151" s="491"/>
      <c r="LO151" s="491"/>
      <c r="LP151" s="491"/>
      <c r="LQ151" s="491"/>
      <c r="LR151" s="491"/>
      <c r="LS151" s="491"/>
      <c r="LT151" s="491"/>
      <c r="LU151" s="491"/>
      <c r="LV151" s="491"/>
      <c r="LW151" s="491"/>
      <c r="LX151" s="491"/>
      <c r="LY151" s="491"/>
      <c r="LZ151" s="491"/>
      <c r="MA151" s="491"/>
      <c r="MB151" s="491"/>
      <c r="MC151" s="491"/>
      <c r="MD151" s="491"/>
      <c r="ME151" s="491"/>
      <c r="MF151" s="491"/>
      <c r="MG151" s="491"/>
      <c r="MH151" s="491"/>
      <c r="MI151" s="491"/>
      <c r="MJ151" s="491"/>
      <c r="MN151" s="578"/>
      <c r="MO151" s="491"/>
      <c r="MP151" s="1594" t="s">
        <v>5288</v>
      </c>
      <c r="MQ151" s="1594"/>
      <c r="MR151" s="1594"/>
      <c r="MS151" s="1594"/>
      <c r="MT151" s="1594"/>
      <c r="MU151" s="1594"/>
      <c r="MV151" s="1594"/>
      <c r="MW151" s="1594"/>
      <c r="MX151" s="1594"/>
      <c r="MY151" s="1594"/>
      <c r="MZ151" s="491"/>
      <c r="NA151" s="491"/>
      <c r="NB151" s="491"/>
      <c r="NC151" s="1561" t="s">
        <v>2017</v>
      </c>
      <c r="ND151" s="1561"/>
      <c r="NE151" s="1561"/>
      <c r="NF151" s="1561"/>
      <c r="NG151" s="1561"/>
      <c r="NH151" s="1561"/>
      <c r="NI151" s="1561"/>
      <c r="NJ151" s="1561"/>
      <c r="NK151" s="1561"/>
      <c r="NL151" s="1561"/>
      <c r="NM151" s="491"/>
      <c r="NN151" s="491"/>
      <c r="NO151" s="491"/>
      <c r="NP151" s="491"/>
      <c r="NQ151" s="491"/>
      <c r="NR151" s="491"/>
      <c r="NS151" s="491"/>
      <c r="NT151" s="491"/>
      <c r="NU151" s="491"/>
      <c r="NV151" s="491"/>
      <c r="NW151" s="491"/>
      <c r="NX151" s="491"/>
      <c r="NY151" s="491"/>
      <c r="NZ151" s="491"/>
      <c r="OA151" s="491"/>
      <c r="OB151" s="491"/>
      <c r="OC151" s="1561" t="s">
        <v>5289</v>
      </c>
      <c r="OD151" s="1561"/>
      <c r="OE151" s="1561"/>
      <c r="OF151" s="1561"/>
      <c r="OG151" s="1561"/>
      <c r="OH151" s="1561"/>
      <c r="OI151" s="1561"/>
      <c r="OJ151" s="1561"/>
      <c r="OK151" s="1561"/>
      <c r="OL151" s="1561"/>
      <c r="OM151" s="491"/>
      <c r="ON151" s="491"/>
      <c r="OO151" s="491"/>
      <c r="OP151" s="491"/>
      <c r="OQ151" s="491"/>
      <c r="OR151" s="491"/>
      <c r="OS151" s="491"/>
      <c r="OT151" s="491"/>
      <c r="OU151" s="491"/>
      <c r="OV151" s="491"/>
      <c r="OW151" s="491"/>
      <c r="OX151" s="491"/>
      <c r="OY151" s="491"/>
      <c r="OZ151" s="491"/>
      <c r="PA151" s="491"/>
      <c r="PB151" s="491"/>
      <c r="PC151" s="1582" t="s">
        <v>2729</v>
      </c>
      <c r="PD151" s="1582"/>
      <c r="PE151" s="1582"/>
      <c r="PF151" s="1582"/>
      <c r="PG151" s="1582"/>
      <c r="PH151" s="1582"/>
      <c r="PI151" s="1582"/>
      <c r="PJ151" s="1582"/>
      <c r="PK151" s="1582"/>
      <c r="PL151" s="1582"/>
      <c r="PM151" s="491"/>
      <c r="PN151" s="564"/>
      <c r="PW151" s="482"/>
    </row>
    <row r="152" spans="11:439" ht="12.75" customHeight="1" x14ac:dyDescent="0.35">
      <c r="K152" s="482"/>
      <c r="ES152" s="627"/>
      <c r="ET152" s="628"/>
      <c r="EU152" s="628"/>
      <c r="EV152" s="628"/>
      <c r="EW152" s="628"/>
      <c r="EX152" s="628"/>
      <c r="EY152" s="628"/>
      <c r="EZ152" s="628"/>
      <c r="FA152" s="628"/>
      <c r="FB152" s="628"/>
      <c r="FC152" s="628"/>
      <c r="FD152" s="628"/>
      <c r="FE152" s="628"/>
      <c r="FF152" s="628"/>
      <c r="FG152" s="628"/>
      <c r="FH152" s="628"/>
      <c r="FI152" s="628"/>
      <c r="FJ152" s="628"/>
      <c r="FK152" s="628"/>
      <c r="FL152" s="628"/>
      <c r="FM152" s="628"/>
      <c r="FN152" s="628"/>
      <c r="FO152" s="628"/>
      <c r="FP152" s="628"/>
      <c r="FQ152" s="628"/>
      <c r="FR152" s="628"/>
      <c r="FS152" s="628"/>
      <c r="FT152" s="628"/>
      <c r="FU152" s="628"/>
      <c r="FV152" s="628"/>
      <c r="FW152" s="629"/>
      <c r="FZ152" s="578"/>
      <c r="GA152" s="704"/>
      <c r="GB152" s="704"/>
      <c r="GC152" s="704"/>
      <c r="GD152" s="704"/>
      <c r="GE152" s="704"/>
      <c r="GF152" s="704"/>
      <c r="GG152" s="704"/>
      <c r="GH152" s="704"/>
      <c r="GI152" s="704"/>
      <c r="GJ152" s="704"/>
      <c r="GK152" s="704"/>
      <c r="GL152" s="704"/>
      <c r="GM152" s="710">
        <v>1</v>
      </c>
      <c r="GN152" s="1567" t="s">
        <v>5174</v>
      </c>
      <c r="GO152" s="1568"/>
      <c r="GP152" s="1568"/>
      <c r="GQ152" s="1568"/>
      <c r="GR152" s="1568"/>
      <c r="GS152" s="1568"/>
      <c r="GT152" s="1568"/>
      <c r="GU152" s="1568"/>
      <c r="GV152" s="1569"/>
      <c r="GW152" s="705"/>
      <c r="GX152" s="704"/>
      <c r="GY152" s="704"/>
      <c r="GZ152" s="615">
        <v>1</v>
      </c>
      <c r="HA152" s="1622" t="s">
        <v>5165</v>
      </c>
      <c r="HB152" s="1623"/>
      <c r="HC152" s="1623"/>
      <c r="HD152" s="1623"/>
      <c r="HE152" s="1623"/>
      <c r="HF152" s="1623"/>
      <c r="HG152" s="1623"/>
      <c r="HH152" s="1623"/>
      <c r="HI152" s="1624"/>
      <c r="HJ152" s="704"/>
      <c r="HK152" s="704"/>
      <c r="HL152" s="706"/>
      <c r="HM152" s="710">
        <v>1</v>
      </c>
      <c r="HN152" s="1567" t="s">
        <v>5165</v>
      </c>
      <c r="HO152" s="1568"/>
      <c r="HP152" s="1568"/>
      <c r="HQ152" s="1568"/>
      <c r="HR152" s="1568"/>
      <c r="HS152" s="1568"/>
      <c r="HT152" s="1568"/>
      <c r="HU152" s="1568"/>
      <c r="HV152" s="1569"/>
      <c r="HW152" s="1564"/>
      <c r="HX152" s="1565"/>
      <c r="HY152" s="1566"/>
      <c r="HZ152" s="710">
        <v>1</v>
      </c>
      <c r="IA152" s="1567" t="s">
        <v>5165</v>
      </c>
      <c r="IB152" s="1568"/>
      <c r="IC152" s="1568"/>
      <c r="ID152" s="1568"/>
      <c r="IE152" s="1568"/>
      <c r="IF152" s="1568"/>
      <c r="IG152" s="1568"/>
      <c r="IH152" s="1568"/>
      <c r="II152" s="1569"/>
      <c r="IJ152" s="1565"/>
      <c r="IK152" s="1565"/>
      <c r="IL152" s="1565"/>
      <c r="IM152" s="1565"/>
      <c r="IN152" s="1565"/>
      <c r="IO152" s="1565"/>
      <c r="IP152" s="1565"/>
      <c r="IQ152" s="1565"/>
      <c r="IR152" s="1565"/>
      <c r="IS152" s="1565"/>
      <c r="IT152" s="1565"/>
      <c r="IU152" s="1565"/>
      <c r="IV152" s="564"/>
      <c r="IZ152" s="491"/>
      <c r="JA152" s="491"/>
      <c r="JB152" s="491"/>
      <c r="JC152" s="491"/>
      <c r="JD152" s="491"/>
      <c r="JE152" s="491"/>
      <c r="JF152" s="491"/>
      <c r="JG152" s="491"/>
      <c r="JH152" s="491"/>
      <c r="JI152" s="491"/>
      <c r="JJ152" s="491"/>
      <c r="JK152" s="491"/>
      <c r="JL152" s="491"/>
      <c r="JM152" s="491"/>
      <c r="JN152" s="491"/>
      <c r="JO152" s="491"/>
      <c r="JP152" s="491"/>
      <c r="JQ152" s="491"/>
      <c r="JR152" s="491"/>
      <c r="JS152" s="491"/>
      <c r="JT152" s="491"/>
      <c r="JU152" s="491"/>
      <c r="JV152" s="491"/>
      <c r="JW152" s="491"/>
      <c r="JX152" s="491"/>
      <c r="JY152" s="491"/>
      <c r="JZ152" s="491"/>
      <c r="KA152" s="491"/>
      <c r="KB152" s="491"/>
      <c r="KC152" s="491"/>
      <c r="KD152" s="491"/>
      <c r="KE152" s="491"/>
      <c r="KF152" s="491"/>
      <c r="KG152" s="491"/>
      <c r="KH152" s="491"/>
      <c r="KI152" s="491"/>
      <c r="KJ152" s="491"/>
      <c r="KK152" s="491"/>
      <c r="KL152" s="491"/>
      <c r="KM152" s="491"/>
      <c r="KN152" s="491"/>
      <c r="KO152" s="491"/>
      <c r="KP152" s="491"/>
      <c r="KQ152" s="491"/>
      <c r="KR152" s="491"/>
      <c r="KS152" s="491"/>
      <c r="KT152" s="491"/>
      <c r="KU152" s="491"/>
      <c r="KV152" s="491"/>
      <c r="KW152" s="491"/>
      <c r="KX152" s="491"/>
      <c r="KY152" s="491"/>
      <c r="KZ152" s="491"/>
      <c r="LA152" s="491"/>
      <c r="LB152" s="491"/>
      <c r="LC152" s="491"/>
      <c r="LD152" s="491"/>
      <c r="LE152" s="491"/>
      <c r="LF152" s="491"/>
      <c r="LG152" s="491"/>
      <c r="LH152" s="491"/>
      <c r="LI152" s="491"/>
      <c r="LJ152" s="491"/>
      <c r="LK152" s="491"/>
      <c r="LL152" s="491"/>
      <c r="LM152" s="491"/>
      <c r="LN152" s="491"/>
      <c r="LO152" s="491"/>
      <c r="LP152" s="491"/>
      <c r="LQ152" s="491"/>
      <c r="LR152" s="491"/>
      <c r="LS152" s="491"/>
      <c r="LT152" s="491"/>
      <c r="LU152" s="491"/>
      <c r="LV152" s="491"/>
      <c r="LW152" s="491"/>
      <c r="LX152" s="491"/>
      <c r="LY152" s="491"/>
      <c r="LZ152" s="491"/>
      <c r="MA152" s="491"/>
      <c r="MB152" s="491"/>
      <c r="MC152" s="491"/>
      <c r="MD152" s="491"/>
      <c r="ME152" s="491"/>
      <c r="MF152" s="491"/>
      <c r="MG152" s="491"/>
      <c r="MH152" s="491"/>
      <c r="MI152" s="491"/>
      <c r="MJ152" s="491"/>
      <c r="MN152" s="578"/>
      <c r="MO152" s="491"/>
      <c r="MP152" s="513">
        <v>1</v>
      </c>
      <c r="MQ152" s="1469" t="s">
        <v>5250</v>
      </c>
      <c r="MR152" s="1469"/>
      <c r="MS152" s="1469"/>
      <c r="MT152" s="1469"/>
      <c r="MU152" s="1469"/>
      <c r="MV152" s="1469"/>
      <c r="MW152" s="1469"/>
      <c r="MX152" s="1469"/>
      <c r="MY152" s="1469"/>
      <c r="MZ152" s="491"/>
      <c r="NA152" s="491"/>
      <c r="NB152" s="491"/>
      <c r="NC152" s="513">
        <v>1</v>
      </c>
      <c r="ND152" s="1469" t="s">
        <v>4764</v>
      </c>
      <c r="NE152" s="1469"/>
      <c r="NF152" s="1469"/>
      <c r="NG152" s="1469"/>
      <c r="NH152" s="1469"/>
      <c r="NI152" s="1469"/>
      <c r="NJ152" s="1469"/>
      <c r="NK152" s="1469"/>
      <c r="NL152" s="1469"/>
      <c r="NM152" s="491"/>
      <c r="NN152" s="491"/>
      <c r="NO152" s="491"/>
      <c r="NP152" s="491"/>
      <c r="NQ152" s="491"/>
      <c r="NR152" s="491"/>
      <c r="NS152" s="491"/>
      <c r="NT152" s="491"/>
      <c r="NU152" s="491"/>
      <c r="NV152" s="491"/>
      <c r="NW152" s="491"/>
      <c r="NX152" s="491"/>
      <c r="NY152" s="491"/>
      <c r="NZ152" s="491"/>
      <c r="OA152" s="491"/>
      <c r="OB152" s="491"/>
      <c r="OC152" s="513">
        <v>1</v>
      </c>
      <c r="OD152" s="1469" t="s">
        <v>5250</v>
      </c>
      <c r="OE152" s="1469"/>
      <c r="OF152" s="1469"/>
      <c r="OG152" s="1469"/>
      <c r="OH152" s="1469"/>
      <c r="OI152" s="1469"/>
      <c r="OJ152" s="1469"/>
      <c r="OK152" s="1469"/>
      <c r="OL152" s="1469"/>
      <c r="OM152" s="491"/>
      <c r="ON152" s="491"/>
      <c r="OO152" s="491"/>
      <c r="OP152" s="491"/>
      <c r="OQ152" s="491"/>
      <c r="OR152" s="491"/>
      <c r="OS152" s="491"/>
      <c r="OT152" s="491"/>
      <c r="OU152" s="491"/>
      <c r="OV152" s="491"/>
      <c r="OW152" s="491"/>
      <c r="OX152" s="491"/>
      <c r="OY152" s="491"/>
      <c r="OZ152" s="491"/>
      <c r="PA152" s="491"/>
      <c r="PB152" s="491"/>
      <c r="PC152" s="711">
        <v>1</v>
      </c>
      <c r="PD152" s="1629" t="s">
        <v>218</v>
      </c>
      <c r="PE152" s="1629"/>
      <c r="PF152" s="1629"/>
      <c r="PG152" s="1629"/>
      <c r="PH152" s="1629"/>
      <c r="PI152" s="1629"/>
      <c r="PJ152" s="1629"/>
      <c r="PK152" s="1629"/>
      <c r="PL152" s="1629"/>
      <c r="PM152" s="491"/>
      <c r="PN152" s="564"/>
      <c r="PW152" s="482"/>
    </row>
    <row r="153" spans="11:439" ht="12.75" customHeight="1" x14ac:dyDescent="0.35">
      <c r="K153" s="482"/>
      <c r="BH153" s="476"/>
      <c r="BI153" s="737"/>
      <c r="BJ153" s="476"/>
      <c r="BK153" s="476"/>
      <c r="BL153" s="476"/>
      <c r="BM153" s="476"/>
      <c r="BN153" s="476"/>
      <c r="BO153" s="476"/>
      <c r="BP153" s="476"/>
      <c r="EZ153" s="491"/>
      <c r="FA153" s="491"/>
      <c r="FB153" s="491"/>
      <c r="FC153" s="730"/>
      <c r="FD153" s="491"/>
      <c r="FE153" s="491"/>
      <c r="FF153" s="491"/>
      <c r="FG153" s="491"/>
      <c r="FH153" s="491"/>
      <c r="FI153" s="491"/>
      <c r="FJ153" s="491"/>
      <c r="FK153" s="491"/>
      <c r="FL153" s="491"/>
      <c r="FM153" s="491"/>
      <c r="FN153" s="491"/>
      <c r="FO153" s="491"/>
      <c r="FP153" s="491"/>
      <c r="FZ153" s="578"/>
      <c r="GA153" s="704"/>
      <c r="GB153" s="704"/>
      <c r="GC153" s="704"/>
      <c r="GD153" s="704"/>
      <c r="GE153" s="704"/>
      <c r="GF153" s="704"/>
      <c r="GG153" s="704"/>
      <c r="GH153" s="704"/>
      <c r="GI153" s="704"/>
      <c r="GJ153" s="704"/>
      <c r="GK153" s="704"/>
      <c r="GL153" s="704"/>
      <c r="GM153" s="1450" t="s">
        <v>4200</v>
      </c>
      <c r="GN153" s="1451"/>
      <c r="GO153" s="1451"/>
      <c r="GP153" s="1451"/>
      <c r="GQ153" s="1451"/>
      <c r="GR153" s="1451"/>
      <c r="GS153" s="1451"/>
      <c r="GT153" s="1451"/>
      <c r="GU153" s="1451"/>
      <c r="GV153" s="1452"/>
      <c r="GW153" s="705"/>
      <c r="GX153" s="704"/>
      <c r="GY153" s="704"/>
      <c r="GZ153" s="1605" t="s">
        <v>2781</v>
      </c>
      <c r="HA153" s="1605"/>
      <c r="HB153" s="1605"/>
      <c r="HC153" s="1605"/>
      <c r="HD153" s="1605"/>
      <c r="HE153" s="1605"/>
      <c r="HF153" s="1605"/>
      <c r="HG153" s="1605"/>
      <c r="HH153" s="1605"/>
      <c r="HI153" s="1605"/>
      <c r="HJ153" s="704"/>
      <c r="HK153" s="704"/>
      <c r="HL153" s="706"/>
      <c r="HM153" s="1450" t="s">
        <v>3139</v>
      </c>
      <c r="HN153" s="1451"/>
      <c r="HO153" s="1451"/>
      <c r="HP153" s="1451"/>
      <c r="HQ153" s="1451"/>
      <c r="HR153" s="1451"/>
      <c r="HS153" s="1451"/>
      <c r="HT153" s="1451"/>
      <c r="HU153" s="1451"/>
      <c r="HV153" s="1452"/>
      <c r="HW153" s="1565"/>
      <c r="HX153" s="1565"/>
      <c r="HY153" s="1566"/>
      <c r="HZ153" s="1512" t="s">
        <v>1318</v>
      </c>
      <c r="IA153" s="1513"/>
      <c r="IB153" s="1513"/>
      <c r="IC153" s="1513"/>
      <c r="ID153" s="1513"/>
      <c r="IE153" s="1513"/>
      <c r="IF153" s="1513"/>
      <c r="IG153" s="1513"/>
      <c r="IH153" s="1513"/>
      <c r="II153" s="1514"/>
      <c r="IJ153" s="1565"/>
      <c r="IK153" s="1565"/>
      <c r="IL153" s="1565"/>
      <c r="IM153" s="1565"/>
      <c r="IN153" s="1565"/>
      <c r="IO153" s="1565"/>
      <c r="IP153" s="1565"/>
      <c r="IQ153" s="1565"/>
      <c r="IR153" s="1565"/>
      <c r="IS153" s="1565"/>
      <c r="IT153" s="1565"/>
      <c r="IU153" s="1565"/>
      <c r="IV153" s="564"/>
      <c r="MN153" s="578"/>
      <c r="MO153" s="491"/>
      <c r="MP153" s="1594" t="s">
        <v>5290</v>
      </c>
      <c r="MQ153" s="1594"/>
      <c r="MR153" s="1594"/>
      <c r="MS153" s="1594"/>
      <c r="MT153" s="1594"/>
      <c r="MU153" s="1594"/>
      <c r="MV153" s="1594"/>
      <c r="MW153" s="1594"/>
      <c r="MX153" s="1594"/>
      <c r="MY153" s="1594"/>
      <c r="MZ153" s="491"/>
      <c r="NA153" s="491"/>
      <c r="NB153" s="491"/>
      <c r="NC153" s="1561" t="s">
        <v>5291</v>
      </c>
      <c r="ND153" s="1561"/>
      <c r="NE153" s="1561"/>
      <c r="NF153" s="1561"/>
      <c r="NG153" s="1561"/>
      <c r="NH153" s="1561"/>
      <c r="NI153" s="1561"/>
      <c r="NJ153" s="1561"/>
      <c r="NK153" s="1561"/>
      <c r="NL153" s="1561"/>
      <c r="NM153" s="491"/>
      <c r="NN153" s="491"/>
      <c r="NO153" s="491"/>
      <c r="NP153" s="491"/>
      <c r="NQ153" s="491"/>
      <c r="NR153" s="491"/>
      <c r="NS153" s="491"/>
      <c r="NT153" s="491"/>
      <c r="NU153" s="491"/>
      <c r="NV153" s="491"/>
      <c r="NW153" s="491"/>
      <c r="NX153" s="491"/>
      <c r="NY153" s="491"/>
      <c r="NZ153" s="491"/>
      <c r="OA153" s="491"/>
      <c r="OB153" s="491"/>
      <c r="OC153" s="1561" t="s">
        <v>5292</v>
      </c>
      <c r="OD153" s="1561"/>
      <c r="OE153" s="1561"/>
      <c r="OF153" s="1561"/>
      <c r="OG153" s="1561"/>
      <c r="OH153" s="1561"/>
      <c r="OI153" s="1561"/>
      <c r="OJ153" s="1561"/>
      <c r="OK153" s="1561"/>
      <c r="OL153" s="1561"/>
      <c r="OM153" s="491"/>
      <c r="ON153" s="491"/>
      <c r="OO153" s="491"/>
      <c r="OP153" s="491"/>
      <c r="OQ153" s="491"/>
      <c r="OR153" s="491"/>
      <c r="OS153" s="491"/>
      <c r="OT153" s="491"/>
      <c r="OU153" s="491"/>
      <c r="OV153" s="491"/>
      <c r="OW153" s="491"/>
      <c r="OX153" s="491"/>
      <c r="OY153" s="491"/>
      <c r="OZ153" s="491"/>
      <c r="PA153" s="491"/>
      <c r="PB153" s="491"/>
      <c r="PC153" s="1561" t="s">
        <v>2422</v>
      </c>
      <c r="PD153" s="1561"/>
      <c r="PE153" s="1561"/>
      <c r="PF153" s="1561"/>
      <c r="PG153" s="1561"/>
      <c r="PH153" s="1561"/>
      <c r="PI153" s="1561"/>
      <c r="PJ153" s="1561"/>
      <c r="PK153" s="1561"/>
      <c r="PL153" s="1561"/>
      <c r="PM153" s="491"/>
      <c r="PN153" s="564"/>
      <c r="PW153" s="482"/>
    </row>
    <row r="154" spans="11:439" ht="12.75" customHeight="1" x14ac:dyDescent="0.35">
      <c r="K154" s="482"/>
      <c r="EZ154" s="491"/>
      <c r="FA154" s="491"/>
      <c r="FB154" s="491"/>
      <c r="FC154" s="488"/>
      <c r="FD154" s="491"/>
      <c r="FE154" s="491"/>
      <c r="FF154" s="491"/>
      <c r="FG154" s="491"/>
      <c r="FH154" s="491"/>
      <c r="FI154" s="491"/>
      <c r="FJ154" s="491"/>
      <c r="FK154" s="491"/>
      <c r="FL154" s="491"/>
      <c r="FM154" s="491"/>
      <c r="FN154" s="491"/>
      <c r="FO154" s="491"/>
      <c r="FP154" s="491"/>
      <c r="FZ154" s="578"/>
      <c r="GA154" s="704"/>
      <c r="GB154" s="704"/>
      <c r="GC154" s="704"/>
      <c r="GD154" s="704"/>
      <c r="GE154" s="704"/>
      <c r="GF154" s="704"/>
      <c r="GG154" s="704"/>
      <c r="GH154" s="704"/>
      <c r="GI154" s="704"/>
      <c r="GJ154" s="704"/>
      <c r="GK154" s="704"/>
      <c r="GL154" s="704"/>
      <c r="GM154" s="710">
        <v>1</v>
      </c>
      <c r="GN154" s="1567" t="s">
        <v>5165</v>
      </c>
      <c r="GO154" s="1568"/>
      <c r="GP154" s="1568"/>
      <c r="GQ154" s="1568"/>
      <c r="GR154" s="1568"/>
      <c r="GS154" s="1568"/>
      <c r="GT154" s="1568"/>
      <c r="GU154" s="1568"/>
      <c r="GV154" s="1569"/>
      <c r="GW154" s="1564"/>
      <c r="GX154" s="1565"/>
      <c r="GY154" s="1565"/>
      <c r="GZ154" s="1565"/>
      <c r="HA154" s="1565"/>
      <c r="HB154" s="1565"/>
      <c r="HC154" s="1565"/>
      <c r="HD154" s="1565"/>
      <c r="HE154" s="1565"/>
      <c r="HF154" s="1565"/>
      <c r="HG154" s="1565"/>
      <c r="HH154" s="1565"/>
      <c r="HM154" s="710">
        <v>1</v>
      </c>
      <c r="HN154" s="1567" t="s">
        <v>5165</v>
      </c>
      <c r="HO154" s="1568"/>
      <c r="HP154" s="1568"/>
      <c r="HQ154" s="1568"/>
      <c r="HR154" s="1568"/>
      <c r="HS154" s="1568"/>
      <c r="HT154" s="1568"/>
      <c r="HU154" s="1568"/>
      <c r="HV154" s="1569"/>
      <c r="HW154" s="1564"/>
      <c r="HX154" s="1565"/>
      <c r="HY154" s="1566"/>
      <c r="HZ154" s="710">
        <v>1</v>
      </c>
      <c r="IA154" s="1567" t="s">
        <v>5165</v>
      </c>
      <c r="IB154" s="1568"/>
      <c r="IC154" s="1568"/>
      <c r="ID154" s="1568"/>
      <c r="IE154" s="1568"/>
      <c r="IF154" s="1568"/>
      <c r="IG154" s="1568"/>
      <c r="IH154" s="1568"/>
      <c r="II154" s="1569"/>
      <c r="IJ154" s="1565"/>
      <c r="IK154" s="1565"/>
      <c r="IL154" s="1565"/>
      <c r="IM154" s="1565"/>
      <c r="IN154" s="1565"/>
      <c r="IO154" s="1565"/>
      <c r="IP154" s="1565"/>
      <c r="IQ154" s="1565"/>
      <c r="IR154" s="1565"/>
      <c r="IS154" s="1565"/>
      <c r="IT154" s="1565"/>
      <c r="IU154" s="1565"/>
      <c r="IV154" s="564"/>
      <c r="MN154" s="578"/>
      <c r="MO154" s="491"/>
      <c r="MZ154" s="491"/>
      <c r="NA154" s="491"/>
      <c r="NB154" s="491"/>
      <c r="NC154" s="513">
        <v>1</v>
      </c>
      <c r="ND154" s="1469" t="s">
        <v>4764</v>
      </c>
      <c r="NE154" s="1469"/>
      <c r="NF154" s="1469"/>
      <c r="NG154" s="1469"/>
      <c r="NH154" s="1469"/>
      <c r="NI154" s="1469"/>
      <c r="NJ154" s="1469"/>
      <c r="NK154" s="1469"/>
      <c r="NL154" s="1469"/>
      <c r="NM154" s="491"/>
      <c r="NN154" s="491"/>
      <c r="NO154" s="491"/>
      <c r="NP154" s="491"/>
      <c r="NQ154" s="491"/>
      <c r="NR154" s="491"/>
      <c r="NS154" s="491"/>
      <c r="NT154" s="491"/>
      <c r="NU154" s="491"/>
      <c r="NV154" s="491"/>
      <c r="NW154" s="491"/>
      <c r="NX154" s="491"/>
      <c r="NY154" s="491"/>
      <c r="NZ154" s="491"/>
      <c r="OA154" s="491"/>
      <c r="OB154" s="491"/>
      <c r="OC154" s="513">
        <v>1</v>
      </c>
      <c r="OD154" s="1469" t="s">
        <v>5250</v>
      </c>
      <c r="OE154" s="1469"/>
      <c r="OF154" s="1469"/>
      <c r="OG154" s="1469"/>
      <c r="OH154" s="1469"/>
      <c r="OI154" s="1469"/>
      <c r="OJ154" s="1469"/>
      <c r="OK154" s="1469"/>
      <c r="OL154" s="1469"/>
      <c r="OM154" s="491"/>
      <c r="ON154" s="491"/>
      <c r="OO154" s="491"/>
      <c r="OP154" s="491"/>
      <c r="OQ154" s="491"/>
      <c r="OR154" s="491"/>
      <c r="OS154" s="491"/>
      <c r="OT154" s="491"/>
      <c r="OU154" s="491"/>
      <c r="OV154" s="491"/>
      <c r="OW154" s="491"/>
      <c r="OX154" s="491"/>
      <c r="OY154" s="491"/>
      <c r="OZ154" s="491"/>
      <c r="PA154" s="491"/>
      <c r="PB154" s="491"/>
      <c r="PC154" s="513">
        <v>1</v>
      </c>
      <c r="PD154" s="1469" t="s">
        <v>172</v>
      </c>
      <c r="PE154" s="1469"/>
      <c r="PF154" s="1469"/>
      <c r="PG154" s="1469"/>
      <c r="PH154" s="1469"/>
      <c r="PI154" s="1469"/>
      <c r="PJ154" s="1469"/>
      <c r="PK154" s="1469"/>
      <c r="PL154" s="1469"/>
      <c r="PM154" s="491"/>
      <c r="PN154" s="564"/>
      <c r="PW154" s="482"/>
    </row>
    <row r="155" spans="11:439" ht="12.75" customHeight="1" x14ac:dyDescent="0.35">
      <c r="K155" s="482"/>
      <c r="EZ155" s="491"/>
      <c r="FA155" s="491"/>
      <c r="FB155" s="491"/>
      <c r="FC155" s="491"/>
      <c r="FD155" s="491"/>
      <c r="FE155" s="491"/>
      <c r="FF155" s="491"/>
      <c r="FG155" s="491"/>
      <c r="FH155" s="491"/>
      <c r="FI155" s="491"/>
      <c r="FJ155" s="491"/>
      <c r="FK155" s="491"/>
      <c r="FL155" s="491"/>
      <c r="FM155" s="491"/>
      <c r="FN155" s="491"/>
      <c r="FO155" s="491"/>
      <c r="FP155" s="491"/>
      <c r="FZ155" s="578"/>
      <c r="GA155" s="704"/>
      <c r="GB155" s="704"/>
      <c r="GC155" s="704"/>
      <c r="GD155" s="704"/>
      <c r="GE155" s="704"/>
      <c r="GF155" s="704"/>
      <c r="GG155" s="704"/>
      <c r="GH155" s="704"/>
      <c r="GI155" s="704"/>
      <c r="GJ155" s="704"/>
      <c r="GK155" s="704"/>
      <c r="GL155" s="704"/>
      <c r="GM155" s="1450" t="s">
        <v>3816</v>
      </c>
      <c r="GN155" s="1451"/>
      <c r="GO155" s="1451"/>
      <c r="GP155" s="1451"/>
      <c r="GQ155" s="1451"/>
      <c r="GR155" s="1451"/>
      <c r="GS155" s="1451"/>
      <c r="GT155" s="1451"/>
      <c r="GU155" s="1451"/>
      <c r="GV155" s="1452"/>
      <c r="GW155" s="1564"/>
      <c r="GX155" s="1565"/>
      <c r="GY155" s="1565"/>
      <c r="GZ155" s="1565"/>
      <c r="HA155" s="1565"/>
      <c r="HB155" s="1565"/>
      <c r="HC155" s="1565"/>
      <c r="HD155" s="1565"/>
      <c r="HE155" s="1565"/>
      <c r="HF155" s="1565"/>
      <c r="HG155" s="1565"/>
      <c r="HH155" s="1565"/>
      <c r="HI155" s="1565"/>
      <c r="HJ155" s="1565"/>
      <c r="HK155" s="1565"/>
      <c r="HL155" s="1566"/>
      <c r="HM155" s="1450" t="s">
        <v>3485</v>
      </c>
      <c r="HN155" s="1451"/>
      <c r="HO155" s="1451"/>
      <c r="HP155" s="1451"/>
      <c r="HQ155" s="1451"/>
      <c r="HR155" s="1451"/>
      <c r="HS155" s="1451"/>
      <c r="HT155" s="1451"/>
      <c r="HU155" s="1451"/>
      <c r="HV155" s="1452"/>
      <c r="HW155" s="1565"/>
      <c r="HX155" s="1565"/>
      <c r="HY155" s="1566"/>
      <c r="HZ155" s="1450" t="s">
        <v>5293</v>
      </c>
      <c r="IA155" s="1451"/>
      <c r="IB155" s="1451"/>
      <c r="IC155" s="1451"/>
      <c r="ID155" s="1451"/>
      <c r="IE155" s="1451"/>
      <c r="IF155" s="1451"/>
      <c r="IG155" s="1451"/>
      <c r="IH155" s="1451"/>
      <c r="II155" s="1452"/>
      <c r="IJ155" s="1565"/>
      <c r="IK155" s="1565"/>
      <c r="IL155" s="1565"/>
      <c r="IM155" s="1565"/>
      <c r="IN155" s="1565"/>
      <c r="IO155" s="1565"/>
      <c r="IP155" s="1565"/>
      <c r="IQ155" s="1565"/>
      <c r="IR155" s="1565"/>
      <c r="IS155" s="1565"/>
      <c r="IT155" s="1565"/>
      <c r="IU155" s="1565"/>
      <c r="IV155" s="564"/>
      <c r="MN155" s="578"/>
      <c r="MO155" s="491"/>
      <c r="MZ155" s="491"/>
      <c r="NA155" s="491"/>
      <c r="NB155" s="491"/>
      <c r="NC155" s="1561" t="s">
        <v>1851</v>
      </c>
      <c r="ND155" s="1561"/>
      <c r="NE155" s="1561"/>
      <c r="NF155" s="1561"/>
      <c r="NG155" s="1561"/>
      <c r="NH155" s="1561"/>
      <c r="NI155" s="1561"/>
      <c r="NJ155" s="1561"/>
      <c r="NK155" s="1561"/>
      <c r="NL155" s="1561"/>
      <c r="NM155" s="491"/>
      <c r="NN155" s="491"/>
      <c r="NO155" s="491"/>
      <c r="NP155" s="491"/>
      <c r="NQ155" s="491"/>
      <c r="NR155" s="491"/>
      <c r="NS155" s="491"/>
      <c r="NT155" s="491"/>
      <c r="NU155" s="491"/>
      <c r="NV155" s="491"/>
      <c r="NW155" s="491"/>
      <c r="NX155" s="491"/>
      <c r="NY155" s="491"/>
      <c r="NZ155" s="491"/>
      <c r="OA155" s="491"/>
      <c r="OB155" s="491"/>
      <c r="OC155" s="1561" t="s">
        <v>4565</v>
      </c>
      <c r="OD155" s="1561"/>
      <c r="OE155" s="1561"/>
      <c r="OF155" s="1561"/>
      <c r="OG155" s="1561"/>
      <c r="OH155" s="1561"/>
      <c r="OI155" s="1561"/>
      <c r="OJ155" s="1561"/>
      <c r="OK155" s="1561"/>
      <c r="OL155" s="1561"/>
      <c r="OM155" s="491"/>
      <c r="ON155" s="491"/>
      <c r="OO155" s="491"/>
      <c r="OP155" s="491"/>
      <c r="OQ155" s="491"/>
      <c r="OR155" s="491"/>
      <c r="OS155" s="491"/>
      <c r="OT155" s="491"/>
      <c r="OU155" s="491"/>
      <c r="OV155" s="491"/>
      <c r="OW155" s="491"/>
      <c r="OX155" s="491"/>
      <c r="OY155" s="491"/>
      <c r="OZ155" s="491"/>
      <c r="PA155" s="491"/>
      <c r="PB155" s="491"/>
      <c r="PC155" s="1561" t="s">
        <v>4140</v>
      </c>
      <c r="PD155" s="1561"/>
      <c r="PE155" s="1561"/>
      <c r="PF155" s="1561"/>
      <c r="PG155" s="1561"/>
      <c r="PH155" s="1561"/>
      <c r="PI155" s="1561"/>
      <c r="PJ155" s="1561"/>
      <c r="PK155" s="1561"/>
      <c r="PL155" s="1561"/>
      <c r="PM155" s="491"/>
      <c r="PN155" s="564"/>
      <c r="PW155" s="482"/>
    </row>
    <row r="156" spans="11:439" ht="12.75" customHeight="1" x14ac:dyDescent="0.25">
      <c r="K156" s="482"/>
      <c r="FZ156" s="578"/>
      <c r="GA156" s="704"/>
      <c r="GB156" s="704"/>
      <c r="GC156" s="704"/>
      <c r="GD156" s="704"/>
      <c r="GE156" s="704"/>
      <c r="GF156" s="704"/>
      <c r="GG156" s="704"/>
      <c r="GH156" s="704"/>
      <c r="GI156" s="704"/>
      <c r="GJ156" s="704"/>
      <c r="GK156" s="704"/>
      <c r="GL156" s="704"/>
      <c r="GM156" s="710">
        <v>1</v>
      </c>
      <c r="GN156" s="1567" t="s">
        <v>5165</v>
      </c>
      <c r="GO156" s="1568"/>
      <c r="GP156" s="1568"/>
      <c r="GQ156" s="1568"/>
      <c r="GR156" s="1568"/>
      <c r="GS156" s="1568"/>
      <c r="GT156" s="1568"/>
      <c r="GU156" s="1568"/>
      <c r="GV156" s="1569"/>
      <c r="GW156" s="1564"/>
      <c r="GX156" s="1565"/>
      <c r="GY156" s="1565"/>
      <c r="GZ156" s="1565"/>
      <c r="HA156" s="1565"/>
      <c r="HB156" s="1565"/>
      <c r="HC156" s="1565"/>
      <c r="HD156" s="1565"/>
      <c r="HE156" s="1565"/>
      <c r="HF156" s="1565"/>
      <c r="HG156" s="1565"/>
      <c r="HH156" s="1565"/>
      <c r="HI156" s="1565"/>
      <c r="HJ156" s="1565"/>
      <c r="HK156" s="1565"/>
      <c r="HL156" s="1566"/>
      <c r="HM156" s="710">
        <v>1</v>
      </c>
      <c r="HN156" s="1567" t="s">
        <v>5165</v>
      </c>
      <c r="HO156" s="1568"/>
      <c r="HP156" s="1568"/>
      <c r="HQ156" s="1568"/>
      <c r="HR156" s="1568"/>
      <c r="HS156" s="1568"/>
      <c r="HT156" s="1568"/>
      <c r="HU156" s="1568"/>
      <c r="HV156" s="1569"/>
      <c r="HW156" s="705"/>
      <c r="HX156" s="704"/>
      <c r="HY156" s="704"/>
      <c r="HZ156" s="710">
        <v>1</v>
      </c>
      <c r="IA156" s="1567" t="s">
        <v>5165</v>
      </c>
      <c r="IB156" s="1568"/>
      <c r="IC156" s="1568"/>
      <c r="ID156" s="1568"/>
      <c r="IE156" s="1568"/>
      <c r="IF156" s="1568"/>
      <c r="IG156" s="1568"/>
      <c r="IH156" s="1568"/>
      <c r="II156" s="1569"/>
      <c r="IJ156" s="704"/>
      <c r="IK156" s="704"/>
      <c r="IL156" s="704"/>
      <c r="IM156" s="704"/>
      <c r="IN156" s="704"/>
      <c r="IO156" s="704"/>
      <c r="IP156" s="704"/>
      <c r="IQ156" s="704"/>
      <c r="IR156" s="704"/>
      <c r="IS156" s="704"/>
      <c r="IT156" s="704"/>
      <c r="IU156" s="704"/>
      <c r="IV156" s="564"/>
      <c r="LT156" s="738"/>
      <c r="MN156" s="578"/>
      <c r="MO156" s="491"/>
      <c r="MZ156" s="491"/>
      <c r="NA156" s="491"/>
      <c r="NB156" s="491"/>
      <c r="NC156" s="513">
        <v>1</v>
      </c>
      <c r="ND156" s="1469" t="s">
        <v>4764</v>
      </c>
      <c r="NE156" s="1469"/>
      <c r="NF156" s="1469"/>
      <c r="NG156" s="1469"/>
      <c r="NH156" s="1469"/>
      <c r="NI156" s="1469"/>
      <c r="NJ156" s="1469"/>
      <c r="NK156" s="1469"/>
      <c r="NL156" s="1469"/>
      <c r="NM156" s="491"/>
      <c r="NN156" s="491"/>
      <c r="NO156" s="491"/>
      <c r="NP156" s="491"/>
      <c r="NQ156" s="491"/>
      <c r="NR156" s="491"/>
      <c r="NS156" s="491"/>
      <c r="NT156" s="491"/>
      <c r="NU156" s="491"/>
      <c r="NV156" s="491"/>
      <c r="NW156" s="491"/>
      <c r="NX156" s="491"/>
      <c r="NY156" s="491"/>
      <c r="NZ156" s="491"/>
      <c r="OA156" s="491"/>
      <c r="OB156" s="491"/>
      <c r="OC156" s="513">
        <v>1</v>
      </c>
      <c r="OD156" s="1469" t="s">
        <v>5250</v>
      </c>
      <c r="OE156" s="1469"/>
      <c r="OF156" s="1469"/>
      <c r="OG156" s="1469"/>
      <c r="OH156" s="1469"/>
      <c r="OI156" s="1469"/>
      <c r="OJ156" s="1469"/>
      <c r="OK156" s="1469"/>
      <c r="OL156" s="1469"/>
      <c r="OM156" s="491"/>
      <c r="ON156" s="491"/>
      <c r="OO156" s="491"/>
      <c r="OP156" s="491"/>
      <c r="OQ156" s="491"/>
      <c r="OR156" s="491"/>
      <c r="OS156" s="491"/>
      <c r="OT156" s="491"/>
      <c r="OU156" s="491"/>
      <c r="OV156" s="491"/>
      <c r="OW156" s="491"/>
      <c r="OX156" s="491"/>
      <c r="OY156" s="491"/>
      <c r="OZ156" s="491"/>
      <c r="PA156" s="491"/>
      <c r="PB156" s="491"/>
      <c r="PC156" s="513">
        <v>1</v>
      </c>
      <c r="PD156" s="1469" t="s">
        <v>5250</v>
      </c>
      <c r="PE156" s="1469"/>
      <c r="PF156" s="1469"/>
      <c r="PG156" s="1469"/>
      <c r="PH156" s="1469"/>
      <c r="PI156" s="1469"/>
      <c r="PJ156" s="1469"/>
      <c r="PK156" s="1469"/>
      <c r="PL156" s="1469"/>
      <c r="PM156" s="491"/>
      <c r="PN156" s="564"/>
      <c r="PW156" s="482"/>
    </row>
    <row r="157" spans="11:439" ht="12.75" customHeight="1" x14ac:dyDescent="0.25">
      <c r="K157" s="482"/>
      <c r="FZ157" s="578"/>
      <c r="GA157" s="704"/>
      <c r="GB157" s="704"/>
      <c r="GC157" s="704"/>
      <c r="GD157" s="704"/>
      <c r="GE157" s="704"/>
      <c r="GF157" s="704"/>
      <c r="GG157" s="704"/>
      <c r="GH157" s="704"/>
      <c r="GI157" s="704"/>
      <c r="GJ157" s="704"/>
      <c r="GK157" s="704"/>
      <c r="GL157" s="704"/>
      <c r="GM157" s="1512" t="s">
        <v>2735</v>
      </c>
      <c r="GN157" s="1513"/>
      <c r="GO157" s="1513"/>
      <c r="GP157" s="1513"/>
      <c r="GQ157" s="1513"/>
      <c r="GR157" s="1513"/>
      <c r="GS157" s="1513"/>
      <c r="GT157" s="1513"/>
      <c r="GU157" s="1513"/>
      <c r="GV157" s="1514"/>
      <c r="GW157" s="1564"/>
      <c r="GX157" s="1565"/>
      <c r="GY157" s="1565"/>
      <c r="GZ157" s="1565"/>
      <c r="HA157" s="1565"/>
      <c r="HB157" s="1565"/>
      <c r="HC157" s="1565"/>
      <c r="HD157" s="1565"/>
      <c r="HE157" s="1565"/>
      <c r="HF157" s="1565"/>
      <c r="HG157" s="1565"/>
      <c r="HH157" s="1565"/>
      <c r="HI157" s="1565"/>
      <c r="HJ157" s="1565"/>
      <c r="HK157" s="1565"/>
      <c r="HL157" s="1566"/>
      <c r="HM157" s="1450" t="s">
        <v>3619</v>
      </c>
      <c r="HN157" s="1451"/>
      <c r="HO157" s="1451"/>
      <c r="HP157" s="1451"/>
      <c r="HQ157" s="1451"/>
      <c r="HR157" s="1451"/>
      <c r="HS157" s="1451"/>
      <c r="HT157" s="1451"/>
      <c r="HU157" s="1451"/>
      <c r="HV157" s="1452"/>
      <c r="HW157" s="705"/>
      <c r="HX157" s="704"/>
      <c r="HY157" s="704"/>
      <c r="HZ157" s="1450" t="s">
        <v>3769</v>
      </c>
      <c r="IA157" s="1451"/>
      <c r="IB157" s="1451"/>
      <c r="IC157" s="1451"/>
      <c r="ID157" s="1451"/>
      <c r="IE157" s="1451"/>
      <c r="IF157" s="1451"/>
      <c r="IG157" s="1451"/>
      <c r="IH157" s="1451"/>
      <c r="II157" s="1452"/>
      <c r="IJ157" s="704"/>
      <c r="IK157" s="704"/>
      <c r="IL157" s="704"/>
      <c r="IM157" s="704"/>
      <c r="IN157" s="704"/>
      <c r="IO157" s="704"/>
      <c r="IP157" s="704"/>
      <c r="IQ157" s="704"/>
      <c r="IR157" s="704"/>
      <c r="IS157" s="704"/>
      <c r="IT157" s="704"/>
      <c r="IU157" s="704"/>
      <c r="IV157" s="564"/>
      <c r="LT157" s="738"/>
      <c r="MN157" s="578"/>
      <c r="MO157" s="491"/>
      <c r="MZ157" s="491"/>
      <c r="NA157" s="491"/>
      <c r="NB157" s="491"/>
      <c r="NC157" s="1561" t="s">
        <v>3461</v>
      </c>
      <c r="ND157" s="1561"/>
      <c r="NE157" s="1561"/>
      <c r="NF157" s="1561"/>
      <c r="NG157" s="1561"/>
      <c r="NH157" s="1561"/>
      <c r="NI157" s="1561"/>
      <c r="NJ157" s="1561"/>
      <c r="NK157" s="1561"/>
      <c r="NL157" s="1561"/>
      <c r="NM157" s="491"/>
      <c r="NN157" s="491"/>
      <c r="NO157" s="491"/>
      <c r="NP157" s="491"/>
      <c r="NQ157" s="491"/>
      <c r="NR157" s="491"/>
      <c r="NS157" s="491"/>
      <c r="NT157" s="491"/>
      <c r="NU157" s="491"/>
      <c r="NV157" s="491"/>
      <c r="NW157" s="491"/>
      <c r="NX157" s="491"/>
      <c r="NY157" s="491"/>
      <c r="NZ157" s="491"/>
      <c r="OA157" s="491"/>
      <c r="OB157" s="491"/>
      <c r="OC157" s="1630" t="s">
        <v>4613</v>
      </c>
      <c r="OD157" s="1630"/>
      <c r="OE157" s="1630"/>
      <c r="OF157" s="1630"/>
      <c r="OG157" s="1630"/>
      <c r="OH157" s="1630"/>
      <c r="OI157" s="1630"/>
      <c r="OJ157" s="1630"/>
      <c r="OK157" s="1630"/>
      <c r="OL157" s="1630"/>
      <c r="OM157" s="491"/>
      <c r="ON157" s="491"/>
      <c r="OO157" s="491"/>
      <c r="OP157" s="491"/>
      <c r="OQ157" s="491"/>
      <c r="OR157" s="491"/>
      <c r="OS157" s="491"/>
      <c r="OT157" s="491"/>
      <c r="OU157" s="491"/>
      <c r="OV157" s="491"/>
      <c r="OW157" s="491"/>
      <c r="OX157" s="491"/>
      <c r="OY157" s="491"/>
      <c r="OZ157" s="491"/>
      <c r="PA157" s="491"/>
      <c r="PB157" s="491"/>
      <c r="PC157" s="1523" t="s">
        <v>4116</v>
      </c>
      <c r="PD157" s="1523"/>
      <c r="PE157" s="1523"/>
      <c r="PF157" s="1523"/>
      <c r="PG157" s="1523"/>
      <c r="PH157" s="1523"/>
      <c r="PI157" s="1523"/>
      <c r="PJ157" s="1523"/>
      <c r="PK157" s="1523"/>
      <c r="PL157" s="1523"/>
      <c r="PM157" s="491"/>
      <c r="PN157" s="564"/>
      <c r="PW157" s="482"/>
    </row>
    <row r="158" spans="11:439" ht="12.75" customHeight="1" x14ac:dyDescent="0.25">
      <c r="K158" s="482"/>
      <c r="FZ158" s="578"/>
      <c r="GA158" s="704"/>
      <c r="GB158" s="704"/>
      <c r="GC158" s="704"/>
      <c r="GD158" s="704"/>
      <c r="GE158" s="704"/>
      <c r="GF158" s="704"/>
      <c r="GG158" s="704"/>
      <c r="GH158" s="704"/>
      <c r="GI158" s="704"/>
      <c r="GJ158" s="704"/>
      <c r="GK158" s="704"/>
      <c r="GL158" s="704"/>
      <c r="GM158" s="710">
        <v>1</v>
      </c>
      <c r="GN158" s="1567" t="s">
        <v>5165</v>
      </c>
      <c r="GO158" s="1568"/>
      <c r="GP158" s="1568"/>
      <c r="GQ158" s="1568"/>
      <c r="GR158" s="1568"/>
      <c r="GS158" s="1568"/>
      <c r="GT158" s="1568"/>
      <c r="GU158" s="1568"/>
      <c r="GV158" s="1569"/>
      <c r="GW158" s="1564"/>
      <c r="GX158" s="1565"/>
      <c r="GY158" s="1565"/>
      <c r="GZ158" s="1565"/>
      <c r="HA158" s="1565"/>
      <c r="HB158" s="1565"/>
      <c r="HC158" s="1565"/>
      <c r="HD158" s="1565"/>
      <c r="HE158" s="1565"/>
      <c r="HF158" s="1565"/>
      <c r="HG158" s="1565"/>
      <c r="HH158" s="1565"/>
      <c r="HI158" s="1565"/>
      <c r="HJ158" s="1565"/>
      <c r="HK158" s="1565"/>
      <c r="HL158" s="1566"/>
      <c r="HM158" s="710">
        <v>1</v>
      </c>
      <c r="HN158" s="1567" t="s">
        <v>5165</v>
      </c>
      <c r="HO158" s="1568"/>
      <c r="HP158" s="1568"/>
      <c r="HQ158" s="1568"/>
      <c r="HR158" s="1568"/>
      <c r="HS158" s="1568"/>
      <c r="HT158" s="1568"/>
      <c r="HU158" s="1568"/>
      <c r="HV158" s="1569"/>
      <c r="HW158" s="705"/>
      <c r="HX158" s="704"/>
      <c r="HY158" s="704"/>
      <c r="HZ158" s="491"/>
      <c r="IA158" s="491"/>
      <c r="IB158" s="491"/>
      <c r="IC158" s="491"/>
      <c r="ID158" s="491"/>
      <c r="IE158" s="491"/>
      <c r="IF158" s="491"/>
      <c r="IG158" s="491"/>
      <c r="IH158" s="491"/>
      <c r="II158" s="491"/>
      <c r="IJ158" s="704"/>
      <c r="IK158" s="704"/>
      <c r="IL158" s="704"/>
      <c r="IM158" s="704"/>
      <c r="IN158" s="704"/>
      <c r="IO158" s="704"/>
      <c r="IP158" s="704"/>
      <c r="IQ158" s="704"/>
      <c r="IR158" s="704"/>
      <c r="IS158" s="704"/>
      <c r="IT158" s="704"/>
      <c r="IU158" s="704"/>
      <c r="IV158" s="564"/>
      <c r="LT158" s="738"/>
      <c r="MN158" s="578"/>
      <c r="MO158" s="491"/>
      <c r="MP158" s="491"/>
      <c r="MQ158" s="491"/>
      <c r="MR158" s="491"/>
      <c r="MS158" s="491"/>
      <c r="MT158" s="491"/>
      <c r="MU158" s="491"/>
      <c r="MV158" s="491"/>
      <c r="MW158" s="491"/>
      <c r="MX158" s="491"/>
      <c r="MY158" s="491"/>
      <c r="MZ158" s="491"/>
      <c r="NA158" s="491"/>
      <c r="NB158" s="491"/>
      <c r="NC158" s="513">
        <v>1</v>
      </c>
      <c r="ND158" s="1469" t="s">
        <v>4764</v>
      </c>
      <c r="NE158" s="1469"/>
      <c r="NF158" s="1469"/>
      <c r="NG158" s="1469"/>
      <c r="NH158" s="1469"/>
      <c r="NI158" s="1469"/>
      <c r="NJ158" s="1469"/>
      <c r="NK158" s="1469"/>
      <c r="NL158" s="1469"/>
      <c r="NM158" s="491"/>
      <c r="NN158" s="491"/>
      <c r="NO158" s="491"/>
      <c r="NP158" s="491"/>
      <c r="NQ158" s="491"/>
      <c r="NR158" s="491"/>
      <c r="NS158" s="491"/>
      <c r="NT158" s="491"/>
      <c r="NU158" s="491"/>
      <c r="NV158" s="491"/>
      <c r="NW158" s="491"/>
      <c r="NX158" s="491"/>
      <c r="NY158" s="491"/>
      <c r="NZ158" s="491"/>
      <c r="OA158" s="491"/>
      <c r="OB158" s="491"/>
      <c r="OC158" s="639">
        <v>1</v>
      </c>
      <c r="OD158" s="1519" t="s">
        <v>5250</v>
      </c>
      <c r="OE158" s="1519"/>
      <c r="OF158" s="1519"/>
      <c r="OG158" s="1519"/>
      <c r="OH158" s="1519"/>
      <c r="OI158" s="1519"/>
      <c r="OJ158" s="1519"/>
      <c r="OK158" s="1519"/>
      <c r="OL158" s="1519"/>
      <c r="OM158" s="491"/>
      <c r="ON158" s="491"/>
      <c r="OO158" s="491"/>
      <c r="OP158" s="491"/>
      <c r="OQ158" s="491"/>
      <c r="OR158" s="491"/>
      <c r="OS158" s="491"/>
      <c r="OT158" s="491"/>
      <c r="OU158" s="491"/>
      <c r="OV158" s="491"/>
      <c r="OW158" s="491"/>
      <c r="OX158" s="491"/>
      <c r="OY158" s="491"/>
      <c r="OZ158" s="491"/>
      <c r="PA158" s="491"/>
      <c r="PB158" s="491"/>
      <c r="PC158" s="513"/>
      <c r="PD158" s="1469" t="s">
        <v>5250</v>
      </c>
      <c r="PE158" s="1469"/>
      <c r="PF158" s="1469"/>
      <c r="PG158" s="1469"/>
      <c r="PH158" s="1469"/>
      <c r="PI158" s="1469"/>
      <c r="PJ158" s="1469"/>
      <c r="PK158" s="1469"/>
      <c r="PL158" s="1469"/>
      <c r="PM158" s="491"/>
      <c r="PN158" s="564"/>
      <c r="PW158" s="482"/>
    </row>
    <row r="159" spans="11:439" ht="12.75" customHeight="1" x14ac:dyDescent="0.25">
      <c r="K159" s="482"/>
      <c r="FZ159" s="578"/>
      <c r="GA159" s="704"/>
      <c r="GB159" s="704"/>
      <c r="GC159" s="704"/>
      <c r="GD159" s="704"/>
      <c r="GE159" s="704"/>
      <c r="GF159" s="704"/>
      <c r="GG159" s="704"/>
      <c r="GH159" s="704"/>
      <c r="GI159" s="704"/>
      <c r="GJ159" s="704"/>
      <c r="GK159" s="704"/>
      <c r="GL159" s="704"/>
      <c r="GM159" s="1450" t="s">
        <v>3205</v>
      </c>
      <c r="GN159" s="1451"/>
      <c r="GO159" s="1451"/>
      <c r="GP159" s="1451"/>
      <c r="GQ159" s="1451"/>
      <c r="GR159" s="1451"/>
      <c r="GS159" s="1451"/>
      <c r="GT159" s="1451"/>
      <c r="GU159" s="1451"/>
      <c r="GV159" s="1452"/>
      <c r="GW159" s="1564"/>
      <c r="GX159" s="1565"/>
      <c r="GY159" s="1565"/>
      <c r="GZ159" s="1565"/>
      <c r="HA159" s="1565"/>
      <c r="HB159" s="1565"/>
      <c r="HC159" s="1565"/>
      <c r="HD159" s="1565"/>
      <c r="HE159" s="1565"/>
      <c r="HF159" s="1565"/>
      <c r="HG159" s="1565"/>
      <c r="HH159" s="1565"/>
      <c r="HI159" s="1565"/>
      <c r="HJ159" s="1565"/>
      <c r="HK159" s="1565"/>
      <c r="HL159" s="1566"/>
      <c r="HM159" s="1626" t="s">
        <v>1107</v>
      </c>
      <c r="HN159" s="1627"/>
      <c r="HO159" s="1627"/>
      <c r="HP159" s="1627"/>
      <c r="HQ159" s="1627"/>
      <c r="HR159" s="1627"/>
      <c r="HS159" s="1627"/>
      <c r="HT159" s="1627"/>
      <c r="HU159" s="1627"/>
      <c r="HV159" s="1628"/>
      <c r="HW159" s="704"/>
      <c r="HX159" s="704"/>
      <c r="HY159" s="704"/>
      <c r="HZ159" s="491"/>
      <c r="IA159" s="491"/>
      <c r="IB159" s="491"/>
      <c r="IC159" s="491"/>
      <c r="ID159" s="491"/>
      <c r="IE159" s="491"/>
      <c r="IF159" s="491"/>
      <c r="IG159" s="491"/>
      <c r="IH159" s="491"/>
      <c r="II159" s="491"/>
      <c r="IJ159" s="704"/>
      <c r="IK159" s="704"/>
      <c r="IL159" s="704"/>
      <c r="IM159" s="704"/>
      <c r="IN159" s="704"/>
      <c r="IO159" s="704"/>
      <c r="IP159" s="704"/>
      <c r="IQ159" s="704"/>
      <c r="IR159" s="704"/>
      <c r="IS159" s="704"/>
      <c r="IT159" s="704"/>
      <c r="IU159" s="704"/>
      <c r="IV159" s="564"/>
      <c r="LT159" s="738"/>
      <c r="MN159" s="578"/>
      <c r="MO159" s="491"/>
      <c r="MP159" s="491"/>
      <c r="MQ159" s="491"/>
      <c r="MR159" s="491"/>
      <c r="MS159" s="491"/>
      <c r="MT159" s="491"/>
      <c r="MU159" s="491"/>
      <c r="MV159" s="491"/>
      <c r="MW159" s="491"/>
      <c r="MX159" s="491"/>
      <c r="MY159" s="491"/>
      <c r="MZ159" s="491"/>
      <c r="NA159" s="491"/>
      <c r="NB159" s="491"/>
      <c r="NC159" s="1561" t="s">
        <v>5294</v>
      </c>
      <c r="ND159" s="1561"/>
      <c r="NE159" s="1561"/>
      <c r="NF159" s="1561"/>
      <c r="NG159" s="1561"/>
      <c r="NH159" s="1561"/>
      <c r="NI159" s="1561"/>
      <c r="NJ159" s="1561"/>
      <c r="NK159" s="1561"/>
      <c r="NL159" s="1561"/>
      <c r="NM159" s="491"/>
      <c r="NN159" s="491"/>
      <c r="NO159" s="491"/>
      <c r="NP159" s="491"/>
      <c r="NQ159" s="491"/>
      <c r="NR159" s="491"/>
      <c r="NS159" s="491"/>
      <c r="NT159" s="491"/>
      <c r="NU159" s="491"/>
      <c r="NV159" s="491"/>
      <c r="NW159" s="491"/>
      <c r="NX159" s="491"/>
      <c r="NY159" s="491"/>
      <c r="NZ159" s="491"/>
      <c r="OA159" s="491"/>
      <c r="OB159" s="491"/>
      <c r="OC159" s="1582" t="s">
        <v>5295</v>
      </c>
      <c r="OD159" s="1582"/>
      <c r="OE159" s="1582"/>
      <c r="OF159" s="1582"/>
      <c r="OG159" s="1582"/>
      <c r="OH159" s="1582"/>
      <c r="OI159" s="1582"/>
      <c r="OJ159" s="1582"/>
      <c r="OK159" s="1582"/>
      <c r="OL159" s="1582"/>
      <c r="OM159" s="491"/>
      <c r="ON159" s="491"/>
      <c r="OO159" s="491"/>
      <c r="OP159" s="491"/>
      <c r="OQ159" s="491"/>
      <c r="OR159" s="491"/>
      <c r="OS159" s="491"/>
      <c r="OT159" s="491"/>
      <c r="OU159" s="491"/>
      <c r="OV159" s="491"/>
      <c r="OW159" s="491"/>
      <c r="OX159" s="491"/>
      <c r="OY159" s="491"/>
      <c r="OZ159" s="491"/>
      <c r="PA159" s="491"/>
      <c r="PB159" s="491"/>
      <c r="PC159" s="1631" t="s">
        <v>263</v>
      </c>
      <c r="PD159" s="1631"/>
      <c r="PE159" s="1631"/>
      <c r="PF159" s="1631"/>
      <c r="PG159" s="1631"/>
      <c r="PH159" s="1631"/>
      <c r="PI159" s="1631"/>
      <c r="PJ159" s="1631"/>
      <c r="PK159" s="1631"/>
      <c r="PL159" s="1631"/>
      <c r="PM159" s="491"/>
      <c r="PN159" s="564"/>
      <c r="PW159" s="482"/>
    </row>
    <row r="160" spans="11:439" ht="12.75" customHeight="1" x14ac:dyDescent="0.25">
      <c r="K160" s="482"/>
      <c r="FZ160" s="578"/>
      <c r="GA160" s="704"/>
      <c r="GB160" s="704"/>
      <c r="GC160" s="704"/>
      <c r="GD160" s="704"/>
      <c r="GE160" s="704"/>
      <c r="GF160" s="704"/>
      <c r="GG160" s="704"/>
      <c r="GH160" s="704"/>
      <c r="GI160" s="704"/>
      <c r="GJ160" s="704"/>
      <c r="GK160" s="704"/>
      <c r="GL160" s="704"/>
      <c r="GM160" s="710">
        <v>1</v>
      </c>
      <c r="GN160" s="1567" t="s">
        <v>5165</v>
      </c>
      <c r="GO160" s="1568"/>
      <c r="GP160" s="1568"/>
      <c r="GQ160" s="1568"/>
      <c r="GR160" s="1568"/>
      <c r="GS160" s="1568"/>
      <c r="GT160" s="1568"/>
      <c r="GU160" s="1568"/>
      <c r="GV160" s="1569"/>
      <c r="GW160" s="1564"/>
      <c r="GX160" s="1565"/>
      <c r="GY160" s="1565"/>
      <c r="GZ160" s="1565"/>
      <c r="HA160" s="1565"/>
      <c r="HB160" s="1565"/>
      <c r="HC160" s="1565"/>
      <c r="HD160" s="1565"/>
      <c r="HE160" s="1565"/>
      <c r="HF160" s="1565"/>
      <c r="HG160" s="1565"/>
      <c r="HH160" s="1565"/>
      <c r="HI160" s="1565"/>
      <c r="HJ160" s="1565"/>
      <c r="HK160" s="1565"/>
      <c r="HL160" s="1565"/>
      <c r="HM160" s="710">
        <v>1</v>
      </c>
      <c r="HN160" s="1567" t="s">
        <v>5165</v>
      </c>
      <c r="HO160" s="1568"/>
      <c r="HP160" s="1568"/>
      <c r="HQ160" s="1568"/>
      <c r="HR160" s="1568"/>
      <c r="HS160" s="1568"/>
      <c r="HT160" s="1568"/>
      <c r="HU160" s="1568"/>
      <c r="HV160" s="1569"/>
      <c r="HW160" s="704"/>
      <c r="HX160" s="704"/>
      <c r="HY160" s="704"/>
      <c r="HZ160" s="704"/>
      <c r="IA160" s="704"/>
      <c r="IB160" s="704"/>
      <c r="IC160" s="704"/>
      <c r="ID160" s="704"/>
      <c r="IE160" s="704"/>
      <c r="IF160" s="704" t="s">
        <v>5296</v>
      </c>
      <c r="IG160" s="704"/>
      <c r="IH160" s="704"/>
      <c r="II160" s="704"/>
      <c r="IJ160" s="704"/>
      <c r="IK160" s="704"/>
      <c r="IL160" s="704"/>
      <c r="IM160" s="704"/>
      <c r="IN160" s="704"/>
      <c r="IO160" s="704"/>
      <c r="IP160" s="704"/>
      <c r="IQ160" s="704"/>
      <c r="IR160" s="704"/>
      <c r="IS160" s="704"/>
      <c r="IT160" s="704"/>
      <c r="IU160" s="704"/>
      <c r="IV160" s="564"/>
      <c r="LT160" s="738"/>
      <c r="MN160" s="578"/>
      <c r="MO160" s="491"/>
      <c r="MP160" s="491"/>
      <c r="MQ160" s="491"/>
      <c r="MR160" s="491"/>
      <c r="MS160" s="491"/>
      <c r="MT160" s="491"/>
      <c r="MU160" s="491"/>
      <c r="MV160" s="491"/>
      <c r="MW160" s="491"/>
      <c r="MX160" s="491"/>
      <c r="MY160" s="491"/>
      <c r="MZ160" s="491"/>
      <c r="NA160" s="491"/>
      <c r="NB160" s="491"/>
      <c r="NC160" s="513">
        <v>1</v>
      </c>
      <c r="ND160" s="1469" t="s">
        <v>5250</v>
      </c>
      <c r="NE160" s="1469"/>
      <c r="NF160" s="1469"/>
      <c r="NG160" s="1469"/>
      <c r="NH160" s="1469"/>
      <c r="NI160" s="1469"/>
      <c r="NJ160" s="1469"/>
      <c r="NK160" s="1469"/>
      <c r="NL160" s="1469"/>
      <c r="NM160" s="491"/>
      <c r="NN160" s="491"/>
      <c r="NO160" s="491"/>
      <c r="NP160" s="491"/>
      <c r="NQ160" s="491"/>
      <c r="NR160" s="491"/>
      <c r="NS160" s="491"/>
      <c r="NT160" s="491"/>
      <c r="NU160" s="491"/>
      <c r="NV160" s="491"/>
      <c r="NW160" s="491"/>
      <c r="NX160" s="491"/>
      <c r="NY160" s="491"/>
      <c r="NZ160" s="491"/>
      <c r="OA160" s="491"/>
      <c r="OB160" s="491"/>
      <c r="OC160" s="507"/>
      <c r="OD160" s="1520"/>
      <c r="OE160" s="1520"/>
      <c r="OF160" s="1520"/>
      <c r="OG160" s="1520"/>
      <c r="OH160" s="1520"/>
      <c r="OI160" s="1520"/>
      <c r="OJ160" s="1520"/>
      <c r="OK160" s="1520"/>
      <c r="OL160" s="1520"/>
      <c r="OM160" s="491"/>
      <c r="ON160" s="491"/>
      <c r="OO160" s="491"/>
      <c r="OP160" s="491"/>
      <c r="OQ160" s="491"/>
      <c r="OR160" s="491"/>
      <c r="OS160" s="491"/>
      <c r="OT160" s="491"/>
      <c r="OU160" s="491"/>
      <c r="OV160" s="491"/>
      <c r="OW160" s="491"/>
      <c r="OX160" s="491"/>
      <c r="OY160" s="491"/>
      <c r="OZ160" s="491"/>
      <c r="PA160" s="491"/>
      <c r="PB160" s="491"/>
      <c r="PC160" s="513">
        <v>1</v>
      </c>
      <c r="PD160" s="1469" t="s">
        <v>5250</v>
      </c>
      <c r="PE160" s="1469"/>
      <c r="PF160" s="1469"/>
      <c r="PG160" s="1469"/>
      <c r="PH160" s="1469"/>
      <c r="PI160" s="1469"/>
      <c r="PJ160" s="1469"/>
      <c r="PK160" s="1469"/>
      <c r="PL160" s="1469"/>
      <c r="PM160" s="491"/>
      <c r="PN160" s="564"/>
      <c r="PW160" s="482"/>
    </row>
    <row r="161" spans="11:439" ht="12.75" customHeight="1" x14ac:dyDescent="0.25">
      <c r="K161" s="482"/>
      <c r="FZ161" s="578"/>
      <c r="GA161" s="704"/>
      <c r="GB161" s="704"/>
      <c r="GC161" s="704"/>
      <c r="GD161" s="704"/>
      <c r="GE161" s="704"/>
      <c r="GF161" s="704"/>
      <c r="GG161" s="704"/>
      <c r="GH161" s="704"/>
      <c r="GI161" s="704"/>
      <c r="GJ161" s="704"/>
      <c r="GK161" s="704"/>
      <c r="GL161" s="704"/>
      <c r="GM161" s="1571" t="s">
        <v>177</v>
      </c>
      <c r="GN161" s="1572"/>
      <c r="GO161" s="1572"/>
      <c r="GP161" s="1572"/>
      <c r="GQ161" s="1572"/>
      <c r="GR161" s="1572"/>
      <c r="GS161" s="1572"/>
      <c r="GT161" s="1572"/>
      <c r="GU161" s="1572"/>
      <c r="GV161" s="1573"/>
      <c r="GW161" s="1564"/>
      <c r="GX161" s="1565"/>
      <c r="GY161" s="1565"/>
      <c r="GZ161" s="1565"/>
      <c r="HA161" s="1565"/>
      <c r="HB161" s="1565"/>
      <c r="HC161" s="1565"/>
      <c r="HD161" s="1565"/>
      <c r="HE161" s="1565"/>
      <c r="HF161" s="1565"/>
      <c r="HG161" s="1565"/>
      <c r="HH161" s="1565"/>
      <c r="HI161" s="1565"/>
      <c r="HJ161" s="1565"/>
      <c r="HK161" s="1565"/>
      <c r="HL161" s="1565"/>
      <c r="HM161" s="1632" t="s">
        <v>4357</v>
      </c>
      <c r="HN161" s="1633"/>
      <c r="HO161" s="1633"/>
      <c r="HP161" s="1633"/>
      <c r="HQ161" s="1633"/>
      <c r="HR161" s="1633"/>
      <c r="HS161" s="1633"/>
      <c r="HT161" s="1633"/>
      <c r="HU161" s="1633"/>
      <c r="HV161" s="1634"/>
      <c r="HW161" s="704"/>
      <c r="HX161" s="704"/>
      <c r="HY161" s="704"/>
      <c r="HZ161" s="704"/>
      <c r="IA161" s="704"/>
      <c r="IB161" s="704"/>
      <c r="IC161" s="704"/>
      <c r="ID161" s="704"/>
      <c r="IE161" s="704"/>
      <c r="IF161" s="704"/>
      <c r="IG161" s="704"/>
      <c r="IH161" s="704"/>
      <c r="II161" s="704"/>
      <c r="IJ161" s="704"/>
      <c r="IK161" s="704"/>
      <c r="IL161" s="704"/>
      <c r="IM161" s="704"/>
      <c r="IN161" s="704"/>
      <c r="IO161" s="704"/>
      <c r="IP161" s="704"/>
      <c r="IQ161" s="704"/>
      <c r="IR161" s="704"/>
      <c r="IS161" s="704"/>
      <c r="IT161" s="704"/>
      <c r="IU161" s="704"/>
      <c r="IV161" s="564"/>
      <c r="LT161" s="738"/>
      <c r="MN161" s="578"/>
      <c r="MO161" s="491"/>
      <c r="MP161" s="491"/>
      <c r="MQ161" s="491"/>
      <c r="MR161" s="491"/>
      <c r="MS161" s="491"/>
      <c r="MT161" s="491"/>
      <c r="MU161" s="491"/>
      <c r="MV161" s="491"/>
      <c r="MW161" s="491"/>
      <c r="MX161" s="491"/>
      <c r="MY161" s="491"/>
      <c r="MZ161" s="491"/>
      <c r="NA161" s="491"/>
      <c r="NB161" s="491"/>
      <c r="NC161" s="1518" t="s">
        <v>131</v>
      </c>
      <c r="ND161" s="1518"/>
      <c r="NE161" s="1518"/>
      <c r="NF161" s="1518"/>
      <c r="NG161" s="1518"/>
      <c r="NH161" s="1518"/>
      <c r="NI161" s="1518"/>
      <c r="NJ161" s="1518"/>
      <c r="NK161" s="1518"/>
      <c r="NL161" s="1518"/>
      <c r="NM161" s="491"/>
      <c r="NN161" s="491"/>
      <c r="NO161" s="491"/>
      <c r="NP161" s="491"/>
      <c r="NQ161" s="491"/>
      <c r="NR161" s="491"/>
      <c r="NS161" s="491"/>
      <c r="NT161" s="491"/>
      <c r="NU161" s="491"/>
      <c r="NV161" s="491"/>
      <c r="NW161" s="491"/>
      <c r="NX161" s="491"/>
      <c r="NY161" s="491"/>
      <c r="NZ161" s="491"/>
      <c r="OA161" s="491"/>
      <c r="OB161" s="491"/>
      <c r="OC161" s="1604"/>
      <c r="OD161" s="1604"/>
      <c r="OE161" s="1604"/>
      <c r="OF161" s="1604"/>
      <c r="OG161" s="1604"/>
      <c r="OH161" s="1604"/>
      <c r="OI161" s="1604"/>
      <c r="OJ161" s="1604"/>
      <c r="OK161" s="1604"/>
      <c r="OL161" s="1604"/>
      <c r="OM161" s="491"/>
      <c r="ON161" s="491"/>
      <c r="OO161" s="491"/>
      <c r="OP161" s="491"/>
      <c r="OQ161" s="491"/>
      <c r="OR161" s="491"/>
      <c r="OS161" s="491"/>
      <c r="OT161" s="491"/>
      <c r="OU161" s="491"/>
      <c r="OV161" s="491"/>
      <c r="OW161" s="491"/>
      <c r="OX161" s="491"/>
      <c r="OY161" s="491"/>
      <c r="OZ161" s="491"/>
      <c r="PA161" s="491"/>
      <c r="PB161" s="491"/>
      <c r="PC161" s="1561" t="s">
        <v>2973</v>
      </c>
      <c r="PD161" s="1561"/>
      <c r="PE161" s="1561"/>
      <c r="PF161" s="1561"/>
      <c r="PG161" s="1561"/>
      <c r="PH161" s="1561"/>
      <c r="PI161" s="1561"/>
      <c r="PJ161" s="1561"/>
      <c r="PK161" s="1561"/>
      <c r="PL161" s="1561"/>
      <c r="PM161" s="491"/>
      <c r="PN161" s="564"/>
      <c r="PW161" s="482"/>
    </row>
    <row r="162" spans="11:439" ht="12.75" customHeight="1" x14ac:dyDescent="0.25">
      <c r="K162" s="482"/>
      <c r="FZ162" s="578"/>
      <c r="GA162" s="704"/>
      <c r="GB162" s="704"/>
      <c r="GC162" s="704"/>
      <c r="GD162" s="704"/>
      <c r="GE162" s="704"/>
      <c r="GF162" s="704"/>
      <c r="GG162" s="704"/>
      <c r="GH162" s="704"/>
      <c r="GI162" s="704"/>
      <c r="GJ162" s="704"/>
      <c r="GK162" s="704"/>
      <c r="GL162" s="704"/>
      <c r="GM162" s="710">
        <v>1</v>
      </c>
      <c r="GN162" s="1567" t="s">
        <v>5165</v>
      </c>
      <c r="GO162" s="1568"/>
      <c r="GP162" s="1568"/>
      <c r="GQ162" s="1568"/>
      <c r="GR162" s="1568"/>
      <c r="GS162" s="1568"/>
      <c r="GT162" s="1568"/>
      <c r="GU162" s="1568"/>
      <c r="GV162" s="1569"/>
      <c r="GW162" s="1564"/>
      <c r="GX162" s="1565"/>
      <c r="GY162" s="1565"/>
      <c r="GZ162" s="1565"/>
      <c r="HA162" s="1565"/>
      <c r="HB162" s="1565"/>
      <c r="HC162" s="1565"/>
      <c r="HD162" s="1565"/>
      <c r="HE162" s="1565"/>
      <c r="HF162" s="1565"/>
      <c r="HG162" s="1565"/>
      <c r="HH162" s="1565"/>
      <c r="HI162" s="1565"/>
      <c r="HJ162" s="1565"/>
      <c r="HK162" s="1565"/>
      <c r="HL162" s="1565"/>
      <c r="HW162" s="704"/>
      <c r="HX162" s="704"/>
      <c r="HY162" s="704"/>
      <c r="HZ162" s="704"/>
      <c r="IA162" s="704"/>
      <c r="IB162" s="704"/>
      <c r="IC162" s="704"/>
      <c r="ID162" s="704"/>
      <c r="IE162" s="704"/>
      <c r="IF162" s="704"/>
      <c r="IG162" s="704"/>
      <c r="IH162" s="704"/>
      <c r="II162" s="704"/>
      <c r="IJ162" s="704"/>
      <c r="IK162" s="704"/>
      <c r="IL162" s="704"/>
      <c r="IM162" s="704"/>
      <c r="IN162" s="704"/>
      <c r="IO162" s="704"/>
      <c r="IP162" s="704"/>
      <c r="IQ162" s="704"/>
      <c r="IR162" s="704"/>
      <c r="IS162" s="704"/>
      <c r="IT162" s="704"/>
      <c r="IU162" s="704"/>
      <c r="IV162" s="564"/>
      <c r="LT162" s="738"/>
      <c r="MN162" s="578"/>
      <c r="MO162" s="491"/>
      <c r="MP162" s="491"/>
      <c r="MQ162" s="491"/>
      <c r="MR162" s="491"/>
      <c r="MS162" s="491"/>
      <c r="MT162" s="491"/>
      <c r="MU162" s="491"/>
      <c r="MV162" s="491"/>
      <c r="MW162" s="491"/>
      <c r="MX162" s="491"/>
      <c r="MY162" s="491"/>
      <c r="MZ162" s="491"/>
      <c r="NA162" s="491"/>
      <c r="NB162" s="491"/>
      <c r="NC162" s="513">
        <v>1</v>
      </c>
      <c r="ND162" s="1469" t="s">
        <v>5250</v>
      </c>
      <c r="NE162" s="1469"/>
      <c r="NF162" s="1469"/>
      <c r="NG162" s="1469"/>
      <c r="NH162" s="1469"/>
      <c r="NI162" s="1469"/>
      <c r="NJ162" s="1469"/>
      <c r="NK162" s="1469"/>
      <c r="NL162" s="1469"/>
      <c r="NM162" s="491"/>
      <c r="NN162" s="491"/>
      <c r="NO162" s="491"/>
      <c r="NP162" s="491"/>
      <c r="NQ162" s="491"/>
      <c r="NR162" s="491"/>
      <c r="NS162" s="491"/>
      <c r="NT162" s="491"/>
      <c r="NU162" s="491"/>
      <c r="NV162" s="491"/>
      <c r="NW162" s="491"/>
      <c r="NX162" s="491"/>
      <c r="NY162" s="491"/>
      <c r="NZ162" s="491"/>
      <c r="OA162" s="491"/>
      <c r="OB162" s="491"/>
      <c r="OC162" s="639">
        <v>1</v>
      </c>
      <c r="OD162" s="1519" t="s">
        <v>5250</v>
      </c>
      <c r="OE162" s="1519"/>
      <c r="OF162" s="1519"/>
      <c r="OG162" s="1519"/>
      <c r="OH162" s="1519"/>
      <c r="OI162" s="1519"/>
      <c r="OJ162" s="1519"/>
      <c r="OK162" s="1519"/>
      <c r="OL162" s="1519"/>
      <c r="OM162" s="491"/>
      <c r="ON162" s="491"/>
      <c r="OO162" s="491"/>
      <c r="OP162" s="491"/>
      <c r="OQ162" s="491"/>
      <c r="OR162" s="491"/>
      <c r="OS162" s="491"/>
      <c r="OT162" s="491"/>
      <c r="OU162" s="491"/>
      <c r="OV162" s="491"/>
      <c r="OW162" s="491"/>
      <c r="OX162" s="491"/>
      <c r="OY162" s="491"/>
      <c r="OZ162" s="491"/>
      <c r="PA162" s="491"/>
      <c r="PB162" s="491"/>
      <c r="PC162" s="513">
        <v>1</v>
      </c>
      <c r="PD162" s="1469" t="s">
        <v>5250</v>
      </c>
      <c r="PE162" s="1469"/>
      <c r="PF162" s="1469"/>
      <c r="PG162" s="1469"/>
      <c r="PH162" s="1469"/>
      <c r="PI162" s="1469"/>
      <c r="PJ162" s="1469"/>
      <c r="PK162" s="1469"/>
      <c r="PL162" s="1469"/>
      <c r="PM162" s="491"/>
      <c r="PN162" s="564"/>
      <c r="PW162" s="482"/>
    </row>
    <row r="163" spans="11:439" ht="12.75" customHeight="1" x14ac:dyDescent="0.25">
      <c r="K163" s="482"/>
      <c r="FZ163" s="578"/>
      <c r="GA163" s="704"/>
      <c r="GB163" s="704"/>
      <c r="GC163" s="704"/>
      <c r="GD163" s="704"/>
      <c r="GE163" s="704"/>
      <c r="GF163" s="704"/>
      <c r="GG163" s="704"/>
      <c r="GH163" s="704"/>
      <c r="GI163" s="704"/>
      <c r="GJ163" s="704"/>
      <c r="GK163" s="704"/>
      <c r="GL163" s="704"/>
      <c r="GM163" s="1450" t="s">
        <v>2123</v>
      </c>
      <c r="GN163" s="1451"/>
      <c r="GO163" s="1451"/>
      <c r="GP163" s="1451"/>
      <c r="GQ163" s="1451"/>
      <c r="GR163" s="1451"/>
      <c r="GS163" s="1451"/>
      <c r="GT163" s="1451"/>
      <c r="GU163" s="1451"/>
      <c r="GV163" s="1452"/>
      <c r="GW163" s="1564"/>
      <c r="GX163" s="1565"/>
      <c r="GY163" s="1565"/>
      <c r="GZ163" s="1565"/>
      <c r="HA163" s="1565"/>
      <c r="HB163" s="1565"/>
      <c r="HC163" s="1565"/>
      <c r="HD163" s="1565"/>
      <c r="HE163" s="1565"/>
      <c r="HF163" s="1565"/>
      <c r="HG163" s="1565"/>
      <c r="HH163" s="1565"/>
      <c r="HI163" s="1565"/>
      <c r="HJ163" s="1565"/>
      <c r="HK163" s="1565"/>
      <c r="HL163" s="1565"/>
      <c r="HW163" s="704"/>
      <c r="HX163" s="704"/>
      <c r="HY163" s="704"/>
      <c r="HZ163" s="704"/>
      <c r="IA163" s="704"/>
      <c r="IB163" s="704"/>
      <c r="IC163" s="704"/>
      <c r="ID163" s="704"/>
      <c r="IE163" s="704"/>
      <c r="IF163" s="704"/>
      <c r="IG163" s="704"/>
      <c r="IH163" s="704"/>
      <c r="II163" s="704"/>
      <c r="IJ163" s="704"/>
      <c r="IK163" s="704"/>
      <c r="IL163" s="704"/>
      <c r="IM163" s="704"/>
      <c r="IN163" s="704"/>
      <c r="IO163" s="704"/>
      <c r="IP163" s="704"/>
      <c r="IQ163" s="704"/>
      <c r="IR163" s="704"/>
      <c r="IS163" s="704"/>
      <c r="IT163" s="704"/>
      <c r="IU163" s="704"/>
      <c r="IV163" s="564"/>
      <c r="LT163" s="738"/>
      <c r="MN163" s="578"/>
      <c r="MO163" s="491"/>
      <c r="MP163" s="491"/>
      <c r="MQ163" s="491"/>
      <c r="MR163" s="491"/>
      <c r="MS163" s="491"/>
      <c r="MT163" s="491"/>
      <c r="MU163" s="491"/>
      <c r="MV163" s="491"/>
      <c r="MW163" s="491"/>
      <c r="MX163" s="491"/>
      <c r="MY163" s="491"/>
      <c r="MZ163" s="491"/>
      <c r="NA163" s="491"/>
      <c r="NB163" s="491"/>
      <c r="NC163" s="1570" t="s">
        <v>1628</v>
      </c>
      <c r="ND163" s="1570"/>
      <c r="NE163" s="1570"/>
      <c r="NF163" s="1570"/>
      <c r="NG163" s="1570"/>
      <c r="NH163" s="1570"/>
      <c r="NI163" s="1570"/>
      <c r="NJ163" s="1570"/>
      <c r="NK163" s="1570"/>
      <c r="NL163" s="1570"/>
      <c r="NM163" s="491"/>
      <c r="NN163" s="491"/>
      <c r="NO163" s="491"/>
      <c r="NP163" s="491"/>
      <c r="NQ163" s="491"/>
      <c r="NR163" s="491"/>
      <c r="NS163" s="491"/>
      <c r="NT163" s="491"/>
      <c r="NU163" s="491"/>
      <c r="NV163" s="491"/>
      <c r="NW163" s="491"/>
      <c r="NX163" s="491"/>
      <c r="NY163" s="491"/>
      <c r="NZ163" s="491"/>
      <c r="OA163" s="491"/>
      <c r="OB163" s="491"/>
      <c r="OC163" s="1582" t="s">
        <v>4297</v>
      </c>
      <c r="OD163" s="1582"/>
      <c r="OE163" s="1582"/>
      <c r="OF163" s="1582"/>
      <c r="OG163" s="1582"/>
      <c r="OH163" s="1582"/>
      <c r="OI163" s="1582"/>
      <c r="OJ163" s="1582"/>
      <c r="OK163" s="1582"/>
      <c r="OL163" s="1582"/>
      <c r="OM163" s="491"/>
      <c r="ON163" s="491"/>
      <c r="OO163" s="491"/>
      <c r="OP163" s="491"/>
      <c r="OQ163" s="491"/>
      <c r="OR163" s="491"/>
      <c r="OS163" s="491"/>
      <c r="OT163" s="491"/>
      <c r="OU163" s="491"/>
      <c r="OV163" s="491"/>
      <c r="OW163" s="491"/>
      <c r="OX163" s="491"/>
      <c r="OY163" s="491"/>
      <c r="OZ163" s="491"/>
      <c r="PA163" s="491"/>
      <c r="PB163" s="491"/>
      <c r="PC163" s="1561" t="s">
        <v>3742</v>
      </c>
      <c r="PD163" s="1561"/>
      <c r="PE163" s="1561"/>
      <c r="PF163" s="1561"/>
      <c r="PG163" s="1561"/>
      <c r="PH163" s="1561"/>
      <c r="PI163" s="1561"/>
      <c r="PJ163" s="1561"/>
      <c r="PK163" s="1561"/>
      <c r="PL163" s="1561"/>
      <c r="PM163" s="491"/>
      <c r="PN163" s="564"/>
      <c r="PW163" s="482"/>
    </row>
    <row r="164" spans="11:439" ht="12.75" customHeight="1" x14ac:dyDescent="0.25">
      <c r="K164" s="482"/>
      <c r="FZ164" s="578"/>
      <c r="GA164" s="704"/>
      <c r="GB164" s="704"/>
      <c r="GC164" s="704"/>
      <c r="GD164" s="704"/>
      <c r="GE164" s="704"/>
      <c r="GF164" s="704"/>
      <c r="GG164" s="704"/>
      <c r="GH164" s="704"/>
      <c r="GI164" s="704"/>
      <c r="GJ164" s="704"/>
      <c r="GK164" s="704"/>
      <c r="GL164" s="704"/>
      <c r="GM164" s="710">
        <v>1</v>
      </c>
      <c r="GN164" s="1567" t="s">
        <v>5165</v>
      </c>
      <c r="GO164" s="1568"/>
      <c r="GP164" s="1568"/>
      <c r="GQ164" s="1568"/>
      <c r="GR164" s="1568"/>
      <c r="GS164" s="1568"/>
      <c r="GT164" s="1568"/>
      <c r="GU164" s="1568"/>
      <c r="GV164" s="1569"/>
      <c r="GW164" s="704"/>
      <c r="GX164" s="704"/>
      <c r="GY164" s="704"/>
      <c r="GZ164" s="704"/>
      <c r="HA164" s="704"/>
      <c r="HB164" s="704"/>
      <c r="HC164" s="704"/>
      <c r="HD164" s="704"/>
      <c r="HE164" s="704"/>
      <c r="HF164" s="704"/>
      <c r="HG164" s="704"/>
      <c r="HH164" s="704"/>
      <c r="HI164" s="704"/>
      <c r="HJ164" s="704"/>
      <c r="HK164" s="704"/>
      <c r="HL164" s="704"/>
      <c r="HW164" s="704"/>
      <c r="HX164" s="704"/>
      <c r="HY164" s="704"/>
      <c r="HZ164" s="704"/>
      <c r="IA164" s="704"/>
      <c r="IB164" s="704"/>
      <c r="IC164" s="704"/>
      <c r="ID164" s="704"/>
      <c r="IE164" s="704"/>
      <c r="IF164" s="704"/>
      <c r="IG164" s="704"/>
      <c r="IH164" s="704"/>
      <c r="II164" s="704"/>
      <c r="IJ164" s="704"/>
      <c r="IK164" s="704"/>
      <c r="IL164" s="704"/>
      <c r="IM164" s="704"/>
      <c r="IN164" s="704"/>
      <c r="IO164" s="704"/>
      <c r="IP164" s="704"/>
      <c r="IQ164" s="704"/>
      <c r="IR164" s="704"/>
      <c r="IS164" s="704"/>
      <c r="IT164" s="704"/>
      <c r="IU164" s="704"/>
      <c r="IV164" s="564"/>
      <c r="LT164" s="738"/>
      <c r="MN164" s="578"/>
      <c r="MO164" s="491"/>
      <c r="MP164" s="491"/>
      <c r="MQ164" s="491"/>
      <c r="MR164" s="491"/>
      <c r="MS164" s="491"/>
      <c r="MT164" s="491"/>
      <c r="MU164" s="491"/>
      <c r="MV164" s="491"/>
      <c r="MW164" s="491"/>
      <c r="MX164" s="491"/>
      <c r="MY164" s="491"/>
      <c r="MZ164" s="491"/>
      <c r="NA164" s="491"/>
      <c r="NB164" s="491"/>
      <c r="NC164" s="513">
        <v>1</v>
      </c>
      <c r="ND164" s="1469" t="s">
        <v>5250</v>
      </c>
      <c r="NE164" s="1469"/>
      <c r="NF164" s="1469"/>
      <c r="NG164" s="1469"/>
      <c r="NH164" s="1469"/>
      <c r="NI164" s="1469"/>
      <c r="NJ164" s="1469"/>
      <c r="NK164" s="1469"/>
      <c r="NL164" s="1469"/>
      <c r="NM164" s="491"/>
      <c r="NN164" s="491"/>
      <c r="NO164" s="491"/>
      <c r="NP164" s="491"/>
      <c r="NQ164" s="491"/>
      <c r="NR164" s="491"/>
      <c r="NS164" s="491"/>
      <c r="NT164" s="491"/>
      <c r="NU164" s="491"/>
      <c r="NV164" s="491"/>
      <c r="NW164" s="491"/>
      <c r="NX164" s="491"/>
      <c r="NY164" s="491"/>
      <c r="NZ164" s="491"/>
      <c r="OA164" s="491"/>
      <c r="OB164" s="491"/>
      <c r="OC164" s="639">
        <v>1</v>
      </c>
      <c r="OD164" s="1519" t="s">
        <v>172</v>
      </c>
      <c r="OE164" s="1519"/>
      <c r="OF164" s="1519"/>
      <c r="OG164" s="1519"/>
      <c r="OH164" s="1519"/>
      <c r="OI164" s="1519"/>
      <c r="OJ164" s="1519"/>
      <c r="OK164" s="1519"/>
      <c r="OL164" s="1519"/>
      <c r="OM164" s="491"/>
      <c r="ON164" s="491"/>
      <c r="OO164" s="491"/>
      <c r="OP164" s="491"/>
      <c r="OQ164" s="491"/>
      <c r="OR164" s="491"/>
      <c r="OS164" s="491"/>
      <c r="OT164" s="491"/>
      <c r="OU164" s="491"/>
      <c r="OV164" s="491"/>
      <c r="OW164" s="491"/>
      <c r="OX164" s="491"/>
      <c r="OY164" s="491"/>
      <c r="OZ164" s="491"/>
      <c r="PA164" s="491"/>
      <c r="PB164" s="491"/>
      <c r="PC164" s="513"/>
      <c r="PD164" s="1469" t="s">
        <v>5250</v>
      </c>
      <c r="PE164" s="1469"/>
      <c r="PF164" s="1469"/>
      <c r="PG164" s="1469"/>
      <c r="PH164" s="1469"/>
      <c r="PI164" s="1469"/>
      <c r="PJ164" s="1469"/>
      <c r="PK164" s="1469"/>
      <c r="PL164" s="1469"/>
      <c r="PM164" s="491"/>
      <c r="PN164" s="564"/>
      <c r="PW164" s="482"/>
    </row>
    <row r="165" spans="11:439" ht="12.75" customHeight="1" x14ac:dyDescent="0.25">
      <c r="K165" s="482"/>
      <c r="FZ165" s="578"/>
      <c r="GA165" s="491"/>
      <c r="GB165" s="491"/>
      <c r="GC165" s="491"/>
      <c r="GD165" s="491"/>
      <c r="GE165" s="491"/>
      <c r="GF165" s="491"/>
      <c r="GG165" s="491"/>
      <c r="GH165" s="491"/>
      <c r="GI165" s="491"/>
      <c r="GJ165" s="491"/>
      <c r="GK165" s="491"/>
      <c r="GL165" s="491"/>
      <c r="GM165" s="1450" t="s">
        <v>1827</v>
      </c>
      <c r="GN165" s="1451"/>
      <c r="GO165" s="1451"/>
      <c r="GP165" s="1451"/>
      <c r="GQ165" s="1451"/>
      <c r="GR165" s="1451"/>
      <c r="GS165" s="1451"/>
      <c r="GT165" s="1451"/>
      <c r="GU165" s="1451"/>
      <c r="GV165" s="1452"/>
      <c r="GW165" s="491"/>
      <c r="GX165" s="491"/>
      <c r="GY165" s="491"/>
      <c r="GZ165" s="491"/>
      <c r="HA165" s="491"/>
      <c r="HB165" s="491"/>
      <c r="HC165" s="491"/>
      <c r="HD165" s="491"/>
      <c r="HE165" s="491"/>
      <c r="HF165" s="491"/>
      <c r="HG165" s="491"/>
      <c r="HH165" s="491"/>
      <c r="HI165" s="491"/>
      <c r="HJ165" s="491"/>
      <c r="HK165" s="491"/>
      <c r="HL165" s="491"/>
      <c r="HW165" s="491"/>
      <c r="HX165" s="491"/>
      <c r="HY165" s="491"/>
      <c r="HZ165" s="491"/>
      <c r="IA165" s="491"/>
      <c r="IB165" s="491"/>
      <c r="IC165" s="491"/>
      <c r="ID165" s="491"/>
      <c r="IE165" s="491"/>
      <c r="IF165" s="491"/>
      <c r="IG165" s="491"/>
      <c r="IH165" s="491"/>
      <c r="II165" s="491"/>
      <c r="IJ165" s="491"/>
      <c r="IK165" s="491"/>
      <c r="IL165" s="491"/>
      <c r="IM165" s="491"/>
      <c r="IN165" s="491"/>
      <c r="IO165" s="491"/>
      <c r="IP165" s="491"/>
      <c r="IQ165" s="491"/>
      <c r="IR165" s="491"/>
      <c r="IS165" s="491"/>
      <c r="IT165" s="491"/>
      <c r="IU165" s="491"/>
      <c r="IV165" s="564"/>
      <c r="LT165" s="738"/>
      <c r="MN165" s="578"/>
      <c r="MO165" s="491"/>
      <c r="MP165" s="491"/>
      <c r="MQ165" s="491"/>
      <c r="MR165" s="491"/>
      <c r="MS165" s="491"/>
      <c r="MT165" s="491"/>
      <c r="MU165" s="491"/>
      <c r="MV165" s="491"/>
      <c r="MW165" s="491"/>
      <c r="MX165" s="491"/>
      <c r="MY165" s="491"/>
      <c r="MZ165" s="491"/>
      <c r="NA165" s="491"/>
      <c r="NB165" s="491"/>
      <c r="NC165" s="1561" t="s">
        <v>3166</v>
      </c>
      <c r="ND165" s="1561"/>
      <c r="NE165" s="1561"/>
      <c r="NF165" s="1561"/>
      <c r="NG165" s="1561"/>
      <c r="NH165" s="1561"/>
      <c r="NI165" s="1561"/>
      <c r="NJ165" s="1561"/>
      <c r="NK165" s="1561"/>
      <c r="NL165" s="1561"/>
      <c r="NM165" s="491"/>
      <c r="NN165" s="491"/>
      <c r="NO165" s="491"/>
      <c r="NP165" s="491"/>
      <c r="NQ165" s="491"/>
      <c r="NR165" s="491"/>
      <c r="NS165" s="491"/>
      <c r="NT165" s="491"/>
      <c r="NU165" s="491"/>
      <c r="NV165" s="491"/>
      <c r="NW165" s="491"/>
      <c r="NX165" s="491"/>
      <c r="NY165" s="491"/>
      <c r="NZ165" s="491"/>
      <c r="OA165" s="491"/>
      <c r="OB165" s="491"/>
      <c r="OC165" s="1595" t="s">
        <v>1209</v>
      </c>
      <c r="OD165" s="1595"/>
      <c r="OE165" s="1595"/>
      <c r="OF165" s="1595"/>
      <c r="OG165" s="1595"/>
      <c r="OH165" s="1595"/>
      <c r="OI165" s="1595"/>
      <c r="OJ165" s="1595"/>
      <c r="OK165" s="1595"/>
      <c r="OL165" s="1595"/>
      <c r="OM165" s="491"/>
      <c r="ON165" s="491"/>
      <c r="OO165" s="491"/>
      <c r="OP165" s="491"/>
      <c r="OQ165" s="491"/>
      <c r="OR165" s="491"/>
      <c r="OS165" s="491"/>
      <c r="OT165" s="491"/>
      <c r="OU165" s="491"/>
      <c r="OV165" s="491"/>
      <c r="OW165" s="491"/>
      <c r="OX165" s="491"/>
      <c r="OY165" s="491"/>
      <c r="OZ165" s="491"/>
      <c r="PA165" s="491"/>
      <c r="PB165" s="491"/>
      <c r="PC165" s="1635" t="s">
        <v>263</v>
      </c>
      <c r="PD165" s="1635"/>
      <c r="PE165" s="1635"/>
      <c r="PF165" s="1635"/>
      <c r="PG165" s="1635"/>
      <c r="PH165" s="1635"/>
      <c r="PI165" s="1635"/>
      <c r="PJ165" s="1635"/>
      <c r="PK165" s="1635"/>
      <c r="PL165" s="1635"/>
      <c r="PM165" s="491"/>
      <c r="PN165" s="564"/>
      <c r="PW165" s="482"/>
    </row>
    <row r="166" spans="11:439" ht="12.75" customHeight="1" x14ac:dyDescent="0.25">
      <c r="K166" s="482"/>
      <c r="FZ166" s="578"/>
      <c r="GA166" s="491"/>
      <c r="GB166" s="491"/>
      <c r="GC166" s="491"/>
      <c r="GD166" s="491"/>
      <c r="GE166" s="491"/>
      <c r="GF166" s="491"/>
      <c r="GG166" s="491"/>
      <c r="GH166" s="491"/>
      <c r="GI166" s="491"/>
      <c r="GJ166" s="491"/>
      <c r="GK166" s="491"/>
      <c r="GL166" s="491"/>
      <c r="GM166" s="710">
        <v>1</v>
      </c>
      <c r="GN166" s="1567" t="s">
        <v>5165</v>
      </c>
      <c r="GO166" s="1568"/>
      <c r="GP166" s="1568"/>
      <c r="GQ166" s="1568"/>
      <c r="GR166" s="1568"/>
      <c r="GS166" s="1568"/>
      <c r="GT166" s="1568"/>
      <c r="GU166" s="1568"/>
      <c r="GV166" s="1569"/>
      <c r="GW166" s="491"/>
      <c r="GX166" s="491"/>
      <c r="GY166" s="491"/>
      <c r="GZ166" s="491"/>
      <c r="HA166" s="491"/>
      <c r="HB166" s="491"/>
      <c r="HC166" s="491"/>
      <c r="HD166" s="491"/>
      <c r="HE166" s="491"/>
      <c r="HF166" s="491"/>
      <c r="HG166" s="491"/>
      <c r="HH166" s="491"/>
      <c r="HI166" s="491"/>
      <c r="HJ166" s="491"/>
      <c r="HK166" s="491"/>
      <c r="HL166" s="491"/>
      <c r="HW166" s="491"/>
      <c r="HX166" s="491"/>
      <c r="HY166" s="491"/>
      <c r="HZ166" s="491"/>
      <c r="IA166" s="491"/>
      <c r="IB166" s="491"/>
      <c r="IC166" s="491"/>
      <c r="ID166" s="491"/>
      <c r="IE166" s="491"/>
      <c r="IF166" s="491"/>
      <c r="IG166" s="491"/>
      <c r="IH166" s="491"/>
      <c r="II166" s="491"/>
      <c r="IJ166" s="491"/>
      <c r="IK166" s="491"/>
      <c r="IL166" s="491"/>
      <c r="IM166" s="491"/>
      <c r="IN166" s="491"/>
      <c r="IO166" s="491"/>
      <c r="IP166" s="491"/>
      <c r="IQ166" s="491"/>
      <c r="IR166" s="491"/>
      <c r="IS166" s="491"/>
      <c r="IT166" s="491"/>
      <c r="IU166" s="491"/>
      <c r="IV166" s="564"/>
      <c r="LT166" s="738"/>
      <c r="MN166" s="578"/>
      <c r="MO166" s="491"/>
      <c r="MP166" s="491"/>
      <c r="MQ166" s="491"/>
      <c r="MR166" s="491"/>
      <c r="MS166" s="491"/>
      <c r="MT166" s="491"/>
      <c r="MU166" s="491"/>
      <c r="MV166" s="491"/>
      <c r="MW166" s="491"/>
      <c r="MX166" s="491"/>
      <c r="MY166" s="491"/>
      <c r="MZ166" s="491"/>
      <c r="NA166" s="491"/>
      <c r="NB166" s="491"/>
      <c r="NC166" s="513">
        <v>1</v>
      </c>
      <c r="ND166" s="1469" t="s">
        <v>5250</v>
      </c>
      <c r="NE166" s="1469"/>
      <c r="NF166" s="1469"/>
      <c r="NG166" s="1469"/>
      <c r="NH166" s="1469"/>
      <c r="NI166" s="1469"/>
      <c r="NJ166" s="1469"/>
      <c r="NK166" s="1469"/>
      <c r="NL166" s="1469"/>
      <c r="NM166" s="491"/>
      <c r="NN166" s="491"/>
      <c r="NO166" s="491"/>
      <c r="NP166" s="491"/>
      <c r="NQ166" s="491"/>
      <c r="NR166" s="491"/>
      <c r="NS166" s="491"/>
      <c r="NT166" s="491"/>
      <c r="NU166" s="491"/>
      <c r="NV166" s="491"/>
      <c r="NW166" s="491"/>
      <c r="NX166" s="491"/>
      <c r="NY166" s="491"/>
      <c r="NZ166" s="491"/>
      <c r="OA166" s="491"/>
      <c r="OB166" s="491"/>
      <c r="OC166" s="513">
        <v>1</v>
      </c>
      <c r="OD166" s="1469" t="s">
        <v>172</v>
      </c>
      <c r="OE166" s="1469"/>
      <c r="OF166" s="1469"/>
      <c r="OG166" s="1469"/>
      <c r="OH166" s="1469"/>
      <c r="OI166" s="1469"/>
      <c r="OJ166" s="1469"/>
      <c r="OK166" s="1469"/>
      <c r="OL166" s="1469"/>
      <c r="OM166" s="491"/>
      <c r="ON166" s="491"/>
      <c r="OO166" s="491"/>
      <c r="OP166" s="491"/>
      <c r="OQ166" s="491"/>
      <c r="OR166" s="491"/>
      <c r="OS166" s="491"/>
      <c r="OT166" s="491"/>
      <c r="OU166" s="491"/>
      <c r="OV166" s="491"/>
      <c r="OW166" s="491"/>
      <c r="OX166" s="491"/>
      <c r="OY166" s="491"/>
      <c r="OZ166" s="491"/>
      <c r="PA166" s="491"/>
      <c r="PB166" s="491"/>
      <c r="PM166" s="491"/>
      <c r="PN166" s="564"/>
      <c r="PW166" s="482"/>
    </row>
    <row r="167" spans="11:439" ht="12.75" customHeight="1" x14ac:dyDescent="0.25">
      <c r="K167" s="482"/>
      <c r="FZ167" s="578"/>
      <c r="GA167" s="491"/>
      <c r="GB167" s="491"/>
      <c r="GC167" s="491"/>
      <c r="GD167" s="491"/>
      <c r="GE167" s="491"/>
      <c r="GF167" s="491"/>
      <c r="GG167" s="491"/>
      <c r="GH167" s="491"/>
      <c r="GI167" s="491"/>
      <c r="GJ167" s="491"/>
      <c r="GK167" s="491"/>
      <c r="GL167" s="491"/>
      <c r="GM167" s="1619" t="s">
        <v>177</v>
      </c>
      <c r="GN167" s="1620"/>
      <c r="GO167" s="1620"/>
      <c r="GP167" s="1620"/>
      <c r="GQ167" s="1620"/>
      <c r="GR167" s="1620"/>
      <c r="GS167" s="1620"/>
      <c r="GT167" s="1620"/>
      <c r="GU167" s="1620"/>
      <c r="GV167" s="1621"/>
      <c r="GW167" s="491"/>
      <c r="GX167" s="491"/>
      <c r="GY167" s="491"/>
      <c r="GZ167" s="491"/>
      <c r="HA167" s="491"/>
      <c r="HB167" s="491"/>
      <c r="HC167" s="491"/>
      <c r="HD167" s="491"/>
      <c r="HE167" s="491"/>
      <c r="HF167" s="491"/>
      <c r="HG167" s="491"/>
      <c r="HH167" s="491"/>
      <c r="HI167" s="491"/>
      <c r="HJ167" s="491"/>
      <c r="HK167" s="491"/>
      <c r="HL167" s="491"/>
      <c r="HW167" s="491"/>
      <c r="HX167" s="491"/>
      <c r="HY167" s="491"/>
      <c r="HZ167" s="491"/>
      <c r="IA167" s="491"/>
      <c r="IB167" s="491"/>
      <c r="IC167" s="491"/>
      <c r="ID167" s="491"/>
      <c r="IE167" s="491"/>
      <c r="IF167" s="491"/>
      <c r="IG167" s="491"/>
      <c r="IH167" s="491"/>
      <c r="II167" s="491"/>
      <c r="IJ167" s="491"/>
      <c r="IK167" s="491"/>
      <c r="IL167" s="491"/>
      <c r="IM167" s="491"/>
      <c r="IN167" s="491"/>
      <c r="IO167" s="491"/>
      <c r="IP167" s="491"/>
      <c r="IQ167" s="491"/>
      <c r="IR167" s="491"/>
      <c r="IS167" s="491"/>
      <c r="IT167" s="491"/>
      <c r="IU167" s="491"/>
      <c r="IV167" s="564"/>
      <c r="LT167" s="738"/>
      <c r="MN167" s="578"/>
      <c r="MO167" s="491"/>
      <c r="MP167" s="491"/>
      <c r="MQ167" s="491"/>
      <c r="MR167" s="491"/>
      <c r="MS167" s="491"/>
      <c r="MT167" s="491"/>
      <c r="MU167" s="491"/>
      <c r="MV167" s="491"/>
      <c r="MW167" s="491"/>
      <c r="MX167" s="491"/>
      <c r="MY167" s="491"/>
      <c r="MZ167" s="491"/>
      <c r="NA167" s="491"/>
      <c r="NB167" s="491"/>
      <c r="NC167" s="1570" t="s">
        <v>1284</v>
      </c>
      <c r="ND167" s="1570"/>
      <c r="NE167" s="1570"/>
      <c r="NF167" s="1570"/>
      <c r="NG167" s="1570"/>
      <c r="NH167" s="1570"/>
      <c r="NI167" s="1570"/>
      <c r="NJ167" s="1570"/>
      <c r="NK167" s="1570"/>
      <c r="NL167" s="1570"/>
      <c r="NM167" s="491"/>
      <c r="NN167" s="491"/>
      <c r="NO167" s="491"/>
      <c r="NP167" s="491"/>
      <c r="NQ167" s="491"/>
      <c r="NR167" s="491"/>
      <c r="NS167" s="491"/>
      <c r="NT167" s="491"/>
      <c r="NU167" s="491"/>
      <c r="NV167" s="491"/>
      <c r="NW167" s="491"/>
      <c r="NX167" s="491"/>
      <c r="NY167" s="491"/>
      <c r="NZ167" s="491"/>
      <c r="OA167" s="491"/>
      <c r="OB167" s="491"/>
      <c r="OC167" s="1561" t="s">
        <v>5297</v>
      </c>
      <c r="OD167" s="1561"/>
      <c r="OE167" s="1561"/>
      <c r="OF167" s="1561"/>
      <c r="OG167" s="1561"/>
      <c r="OH167" s="1561"/>
      <c r="OI167" s="1561"/>
      <c r="OJ167" s="1561"/>
      <c r="OK167" s="1561"/>
      <c r="OL167" s="1561"/>
      <c r="OM167" s="491"/>
      <c r="ON167" s="491"/>
      <c r="OO167" s="491"/>
      <c r="OP167" s="491"/>
      <c r="OQ167" s="491"/>
      <c r="OR167" s="491"/>
      <c r="OS167" s="491"/>
      <c r="OT167" s="491"/>
      <c r="OU167" s="491"/>
      <c r="OV167" s="491"/>
      <c r="OW167" s="491"/>
      <c r="OX167" s="491"/>
      <c r="OY167" s="491"/>
      <c r="OZ167" s="491"/>
      <c r="PA167" s="491"/>
      <c r="PB167" s="491"/>
      <c r="PM167" s="491"/>
      <c r="PN167" s="564"/>
      <c r="PW167" s="482"/>
    </row>
    <row r="168" spans="11:439" ht="12.75" customHeight="1" x14ac:dyDescent="0.25">
      <c r="K168" s="482"/>
      <c r="FZ168" s="578"/>
      <c r="GA168" s="491"/>
      <c r="GB168" s="491"/>
      <c r="GC168" s="491"/>
      <c r="GD168" s="491"/>
      <c r="GE168" s="491"/>
      <c r="GF168" s="491"/>
      <c r="GG168" s="491"/>
      <c r="GH168" s="491"/>
      <c r="GI168" s="491"/>
      <c r="GJ168" s="491"/>
      <c r="GK168" s="491"/>
      <c r="GL168" s="491"/>
      <c r="GM168" s="710">
        <v>1</v>
      </c>
      <c r="GN168" s="1567" t="s">
        <v>5165</v>
      </c>
      <c r="GO168" s="1568"/>
      <c r="GP168" s="1568"/>
      <c r="GQ168" s="1568"/>
      <c r="GR168" s="1568"/>
      <c r="GS168" s="1568"/>
      <c r="GT168" s="1568"/>
      <c r="GU168" s="1568"/>
      <c r="GV168" s="1569"/>
      <c r="GW168" s="491"/>
      <c r="GX168" s="491"/>
      <c r="GY168" s="491"/>
      <c r="GZ168" s="491"/>
      <c r="HA168" s="491"/>
      <c r="HB168" s="491"/>
      <c r="HC168" s="491"/>
      <c r="HD168" s="491"/>
      <c r="HE168" s="491"/>
      <c r="HF168" s="491"/>
      <c r="HG168" s="491"/>
      <c r="HH168" s="491"/>
      <c r="HI168" s="491"/>
      <c r="HJ168" s="491"/>
      <c r="HK168" s="491"/>
      <c r="HL168" s="491"/>
      <c r="HM168" s="491"/>
      <c r="HN168" s="491"/>
      <c r="HO168" s="491"/>
      <c r="HP168" s="491"/>
      <c r="HQ168" s="491"/>
      <c r="HR168" s="491"/>
      <c r="HS168" s="491"/>
      <c r="HT168" s="491"/>
      <c r="HU168" s="491"/>
      <c r="HV168" s="491"/>
      <c r="HW168" s="491"/>
      <c r="HX168" s="491"/>
      <c r="HY168" s="491"/>
      <c r="HZ168" s="491"/>
      <c r="IA168" s="491"/>
      <c r="IB168" s="491"/>
      <c r="IC168" s="491"/>
      <c r="ID168" s="491"/>
      <c r="IE168" s="491"/>
      <c r="IF168" s="491"/>
      <c r="IG168" s="491"/>
      <c r="IH168" s="491"/>
      <c r="II168" s="491"/>
      <c r="IJ168" s="491"/>
      <c r="IK168" s="491"/>
      <c r="IL168" s="491"/>
      <c r="IM168" s="491"/>
      <c r="IN168" s="491"/>
      <c r="IO168" s="491"/>
      <c r="IP168" s="491"/>
      <c r="IQ168" s="491"/>
      <c r="IR168" s="491"/>
      <c r="IS168" s="491"/>
      <c r="IT168" s="491"/>
      <c r="IU168" s="491"/>
      <c r="IV168" s="564"/>
      <c r="LT168" s="738"/>
      <c r="MN168" s="578"/>
      <c r="MO168" s="491"/>
      <c r="MP168" s="491"/>
      <c r="MQ168" s="491"/>
      <c r="MR168" s="491"/>
      <c r="MS168" s="491"/>
      <c r="MT168" s="491"/>
      <c r="MU168" s="491"/>
      <c r="MV168" s="491"/>
      <c r="MW168" s="491"/>
      <c r="MX168" s="491"/>
      <c r="MY168" s="491"/>
      <c r="MZ168" s="491"/>
      <c r="NA168" s="491"/>
      <c r="NB168" s="491"/>
      <c r="NC168" s="513">
        <v>1</v>
      </c>
      <c r="ND168" s="1469" t="s">
        <v>5250</v>
      </c>
      <c r="NE168" s="1469"/>
      <c r="NF168" s="1469"/>
      <c r="NG168" s="1469"/>
      <c r="NH168" s="1469"/>
      <c r="NI168" s="1469"/>
      <c r="NJ168" s="1469"/>
      <c r="NK168" s="1469"/>
      <c r="NL168" s="1469"/>
      <c r="NM168" s="491"/>
      <c r="NN168" s="491"/>
      <c r="NO168" s="491"/>
      <c r="NP168" s="491"/>
      <c r="NQ168" s="491"/>
      <c r="NR168" s="491"/>
      <c r="NS168" s="491"/>
      <c r="NT168" s="491"/>
      <c r="NU168" s="491"/>
      <c r="NV168" s="491"/>
      <c r="NW168" s="491"/>
      <c r="NX168" s="491"/>
      <c r="NY168" s="491"/>
      <c r="NZ168" s="491"/>
      <c r="OA168" s="491"/>
      <c r="OB168" s="491"/>
      <c r="OC168" s="513">
        <v>1</v>
      </c>
      <c r="OD168" s="1469" t="s">
        <v>5250</v>
      </c>
      <c r="OE168" s="1469"/>
      <c r="OF168" s="1469"/>
      <c r="OG168" s="1469"/>
      <c r="OH168" s="1469"/>
      <c r="OI168" s="1469"/>
      <c r="OJ168" s="1469"/>
      <c r="OK168" s="1469"/>
      <c r="OL168" s="1469"/>
      <c r="OM168" s="491"/>
      <c r="ON168" s="491"/>
      <c r="OO168" s="491"/>
      <c r="OP168" s="491"/>
      <c r="OQ168" s="491"/>
      <c r="OR168" s="491"/>
      <c r="OS168" s="491"/>
      <c r="OT168" s="491"/>
      <c r="OU168" s="491"/>
      <c r="OV168" s="491"/>
      <c r="OW168" s="491"/>
      <c r="OX168" s="491"/>
      <c r="OY168" s="491"/>
      <c r="OZ168" s="491"/>
      <c r="PA168" s="491"/>
      <c r="PB168" s="491"/>
      <c r="PM168" s="491"/>
      <c r="PN168" s="491"/>
      <c r="PO168" s="541"/>
      <c r="PW168" s="482"/>
    </row>
    <row r="169" spans="11:439" ht="12.75" customHeight="1" x14ac:dyDescent="0.25">
      <c r="K169" s="482"/>
      <c r="FZ169" s="578"/>
      <c r="GA169" s="491"/>
      <c r="GB169" s="491"/>
      <c r="GC169" s="491"/>
      <c r="GD169" s="491"/>
      <c r="GE169" s="491"/>
      <c r="GF169" s="491"/>
      <c r="GG169" s="491"/>
      <c r="GH169" s="491"/>
      <c r="GI169" s="491"/>
      <c r="GJ169" s="491"/>
      <c r="GK169" s="491"/>
      <c r="GL169" s="491"/>
      <c r="GM169" s="1636" t="s">
        <v>2431</v>
      </c>
      <c r="GN169" s="1572"/>
      <c r="GO169" s="1572"/>
      <c r="GP169" s="1572"/>
      <c r="GQ169" s="1572"/>
      <c r="GR169" s="1572"/>
      <c r="GS169" s="1572"/>
      <c r="GT169" s="1572"/>
      <c r="GU169" s="1572"/>
      <c r="GV169" s="1573"/>
      <c r="GW169" s="491"/>
      <c r="GX169" s="491"/>
      <c r="GY169" s="491"/>
      <c r="GZ169" s="491"/>
      <c r="HA169" s="491"/>
      <c r="HB169" s="491"/>
      <c r="HC169" s="491"/>
      <c r="HD169" s="491"/>
      <c r="HE169" s="491"/>
      <c r="HF169" s="491"/>
      <c r="HG169" s="491"/>
      <c r="HH169" s="491"/>
      <c r="HI169" s="491"/>
      <c r="HJ169" s="491"/>
      <c r="HK169" s="491"/>
      <c r="HL169" s="491"/>
      <c r="HM169" s="491"/>
      <c r="HN169" s="491"/>
      <c r="HO169" s="491"/>
      <c r="HP169" s="491"/>
      <c r="HQ169" s="491"/>
      <c r="HR169" s="491"/>
      <c r="HS169" s="491"/>
      <c r="HT169" s="491"/>
      <c r="HU169" s="491"/>
      <c r="HV169" s="491"/>
      <c r="HW169" s="491"/>
      <c r="HX169" s="491"/>
      <c r="HY169" s="491"/>
      <c r="HZ169" s="491"/>
      <c r="IA169" s="491"/>
      <c r="IB169" s="491"/>
      <c r="IC169" s="491"/>
      <c r="ID169" s="491"/>
      <c r="IE169" s="491"/>
      <c r="IF169" s="491"/>
      <c r="IG169" s="491"/>
      <c r="IH169" s="491"/>
      <c r="II169" s="491"/>
      <c r="IJ169" s="491"/>
      <c r="IK169" s="491"/>
      <c r="IL169" s="491"/>
      <c r="IM169" s="491"/>
      <c r="IN169" s="491"/>
      <c r="IO169" s="491"/>
      <c r="IP169" s="491"/>
      <c r="IQ169" s="491"/>
      <c r="IR169" s="491"/>
      <c r="IS169" s="491"/>
      <c r="IT169" s="491"/>
      <c r="IU169" s="491"/>
      <c r="IV169" s="564"/>
      <c r="LT169" s="738"/>
      <c r="MN169" s="578"/>
      <c r="MO169" s="491"/>
      <c r="MP169" s="491"/>
      <c r="MQ169" s="491"/>
      <c r="MR169" s="491"/>
      <c r="MS169" s="491"/>
      <c r="MT169" s="491"/>
      <c r="MU169" s="491"/>
      <c r="MV169" s="491"/>
      <c r="MW169" s="491"/>
      <c r="MX169" s="491"/>
      <c r="MY169" s="491"/>
      <c r="MZ169" s="491"/>
      <c r="NA169" s="491"/>
      <c r="NB169" s="491"/>
      <c r="NC169" s="1570" t="s">
        <v>2255</v>
      </c>
      <c r="ND169" s="1570"/>
      <c r="NE169" s="1570"/>
      <c r="NF169" s="1570"/>
      <c r="NG169" s="1570"/>
      <c r="NH169" s="1570"/>
      <c r="NI169" s="1570"/>
      <c r="NJ169" s="1570"/>
      <c r="NK169" s="1570"/>
      <c r="NL169" s="1570"/>
      <c r="NM169" s="491"/>
      <c r="NN169" s="491"/>
      <c r="NO169" s="491"/>
      <c r="NP169" s="491"/>
      <c r="NQ169" s="491"/>
      <c r="NR169" s="491"/>
      <c r="NS169" s="491"/>
      <c r="NT169" s="491"/>
      <c r="NU169" s="491"/>
      <c r="NV169" s="491"/>
      <c r="NW169" s="491"/>
      <c r="NX169" s="491"/>
      <c r="NY169" s="491"/>
      <c r="NZ169" s="491"/>
      <c r="OA169" s="491"/>
      <c r="OB169" s="491"/>
      <c r="OC169" s="1561" t="s">
        <v>5298</v>
      </c>
      <c r="OD169" s="1561"/>
      <c r="OE169" s="1561"/>
      <c r="OF169" s="1561"/>
      <c r="OG169" s="1561"/>
      <c r="OH169" s="1561"/>
      <c r="OI169" s="1561"/>
      <c r="OJ169" s="1561"/>
      <c r="OK169" s="1561"/>
      <c r="OL169" s="1561"/>
      <c r="OM169" s="491"/>
      <c r="ON169" s="491"/>
      <c r="OO169" s="491"/>
      <c r="OP169" s="491"/>
      <c r="OQ169" s="491"/>
      <c r="OR169" s="491"/>
      <c r="OS169" s="491"/>
      <c r="OT169" s="491"/>
      <c r="OU169" s="491"/>
      <c r="OV169" s="491"/>
      <c r="OW169" s="491"/>
      <c r="OX169" s="491"/>
      <c r="OY169" s="491"/>
      <c r="OZ169" s="491"/>
      <c r="PA169" s="491"/>
      <c r="PB169" s="491"/>
      <c r="PM169" s="491"/>
      <c r="PN169" s="491"/>
      <c r="PO169" s="541"/>
      <c r="PW169" s="482"/>
    </row>
    <row r="170" spans="11:439" ht="12.75" customHeight="1" x14ac:dyDescent="0.25">
      <c r="K170" s="482"/>
      <c r="FZ170" s="578"/>
      <c r="GA170" s="491"/>
      <c r="GB170" s="491"/>
      <c r="GC170" s="491"/>
      <c r="GD170" s="491"/>
      <c r="GE170" s="491"/>
      <c r="GF170" s="491"/>
      <c r="GG170" s="491"/>
      <c r="GH170" s="491"/>
      <c r="GI170" s="491"/>
      <c r="GJ170" s="491"/>
      <c r="GK170" s="491"/>
      <c r="GL170" s="491"/>
      <c r="GM170" s="710">
        <v>1</v>
      </c>
      <c r="GN170" s="1567" t="s">
        <v>5165</v>
      </c>
      <c r="GO170" s="1568"/>
      <c r="GP170" s="1568"/>
      <c r="GQ170" s="1568"/>
      <c r="GR170" s="1568"/>
      <c r="GS170" s="1568"/>
      <c r="GT170" s="1568"/>
      <c r="GU170" s="1568"/>
      <c r="GV170" s="1569"/>
      <c r="GW170" s="491"/>
      <c r="GX170" s="491"/>
      <c r="GY170" s="491"/>
      <c r="GZ170" s="491"/>
      <c r="HA170" s="491"/>
      <c r="HB170" s="491"/>
      <c r="HC170" s="491"/>
      <c r="HD170" s="491"/>
      <c r="HE170" s="491"/>
      <c r="HF170" s="491"/>
      <c r="HG170" s="491"/>
      <c r="HH170" s="491"/>
      <c r="HI170" s="491"/>
      <c r="HJ170" s="491"/>
      <c r="HK170" s="491"/>
      <c r="HL170" s="491"/>
      <c r="HM170" s="491"/>
      <c r="HN170" s="491"/>
      <c r="HO170" s="491"/>
      <c r="HP170" s="491"/>
      <c r="HQ170" s="491"/>
      <c r="HR170" s="491"/>
      <c r="HS170" s="491"/>
      <c r="HT170" s="491"/>
      <c r="HU170" s="491"/>
      <c r="HV170" s="491"/>
      <c r="HW170" s="491"/>
      <c r="HX170" s="491"/>
      <c r="HY170" s="491"/>
      <c r="HZ170" s="491"/>
      <c r="IA170" s="491"/>
      <c r="IB170" s="491"/>
      <c r="IC170" s="491"/>
      <c r="ID170" s="491"/>
      <c r="IE170" s="491"/>
      <c r="IF170" s="491"/>
      <c r="IG170" s="491"/>
      <c r="IH170" s="491"/>
      <c r="II170" s="491"/>
      <c r="IJ170" s="491"/>
      <c r="IK170" s="491"/>
      <c r="IL170" s="491"/>
      <c r="IM170" s="491"/>
      <c r="IN170" s="491"/>
      <c r="IO170" s="491"/>
      <c r="IP170" s="491"/>
      <c r="IQ170" s="491"/>
      <c r="IR170" s="491"/>
      <c r="IS170" s="491"/>
      <c r="IT170" s="491"/>
      <c r="IU170" s="491"/>
      <c r="IV170" s="564"/>
      <c r="LT170" s="738"/>
      <c r="MN170" s="578"/>
      <c r="MO170" s="491"/>
      <c r="MP170" s="491"/>
      <c r="MQ170" s="491"/>
      <c r="MR170" s="491"/>
      <c r="MS170" s="491"/>
      <c r="MT170" s="491"/>
      <c r="MU170" s="491"/>
      <c r="MV170" s="491"/>
      <c r="MW170" s="491"/>
      <c r="MX170" s="491"/>
      <c r="MY170" s="491"/>
      <c r="MZ170" s="491"/>
      <c r="NA170" s="491"/>
      <c r="NB170" s="491"/>
      <c r="NC170" s="513">
        <v>1</v>
      </c>
      <c r="ND170" s="1469" t="s">
        <v>5250</v>
      </c>
      <c r="NE170" s="1469"/>
      <c r="NF170" s="1469"/>
      <c r="NG170" s="1469"/>
      <c r="NH170" s="1469"/>
      <c r="NI170" s="1469"/>
      <c r="NJ170" s="1469"/>
      <c r="NK170" s="1469"/>
      <c r="NL170" s="1469"/>
      <c r="NM170" s="491"/>
      <c r="NN170" s="491"/>
      <c r="NO170" s="491"/>
      <c r="NP170" s="491"/>
      <c r="NQ170" s="491"/>
      <c r="NR170" s="491"/>
      <c r="NS170" s="491"/>
      <c r="NT170" s="491"/>
      <c r="NU170" s="491"/>
      <c r="NV170" s="491"/>
      <c r="NW170" s="491"/>
      <c r="NX170" s="491"/>
      <c r="NY170" s="491"/>
      <c r="NZ170" s="491"/>
      <c r="OA170" s="491"/>
      <c r="OB170" s="491"/>
      <c r="OC170" s="513">
        <v>1</v>
      </c>
      <c r="OD170" s="1469" t="s">
        <v>172</v>
      </c>
      <c r="OE170" s="1469"/>
      <c r="OF170" s="1469"/>
      <c r="OG170" s="1469"/>
      <c r="OH170" s="1469"/>
      <c r="OI170" s="1469"/>
      <c r="OJ170" s="1469"/>
      <c r="OK170" s="1469"/>
      <c r="OL170" s="1469"/>
      <c r="OM170" s="491"/>
      <c r="ON170" s="491"/>
      <c r="OO170" s="491"/>
      <c r="OP170" s="491"/>
      <c r="OQ170" s="491"/>
      <c r="OR170" s="491"/>
      <c r="OS170" s="491"/>
      <c r="OT170" s="491"/>
      <c r="OU170" s="491"/>
      <c r="OV170" s="491"/>
      <c r="OW170" s="491"/>
      <c r="OX170" s="491"/>
      <c r="OY170" s="491"/>
      <c r="OZ170" s="491"/>
      <c r="PA170" s="491"/>
      <c r="PB170" s="491"/>
      <c r="PC170" s="491"/>
      <c r="PD170" s="491"/>
      <c r="PE170" s="491"/>
      <c r="PF170" s="491"/>
      <c r="PG170" s="491"/>
      <c r="PH170" s="491"/>
      <c r="PI170" s="491"/>
      <c r="PJ170" s="491"/>
      <c r="PK170" s="491"/>
      <c r="PL170" s="491"/>
      <c r="PM170" s="491"/>
      <c r="PN170" s="491"/>
      <c r="PO170" s="541"/>
      <c r="PW170" s="482"/>
    </row>
    <row r="171" spans="11:439" ht="12.75" customHeight="1" x14ac:dyDescent="0.25">
      <c r="K171" s="482"/>
      <c r="FZ171" s="578"/>
      <c r="GA171" s="491"/>
      <c r="GB171" s="491"/>
      <c r="GC171" s="491"/>
      <c r="GD171" s="491"/>
      <c r="GE171" s="491"/>
      <c r="GF171" s="491"/>
      <c r="GG171" s="491"/>
      <c r="GH171" s="491"/>
      <c r="GI171" s="491"/>
      <c r="GJ171" s="491"/>
      <c r="GK171" s="491"/>
      <c r="GL171" s="491"/>
      <c r="GM171" s="1450" t="s">
        <v>1392</v>
      </c>
      <c r="GN171" s="1451"/>
      <c r="GO171" s="1451"/>
      <c r="GP171" s="1451"/>
      <c r="GQ171" s="1451"/>
      <c r="GR171" s="1451"/>
      <c r="GS171" s="1451"/>
      <c r="GT171" s="1451"/>
      <c r="GU171" s="1451"/>
      <c r="GV171" s="1452"/>
      <c r="GW171" s="491"/>
      <c r="GX171" s="491"/>
      <c r="GY171" s="491"/>
      <c r="GZ171" s="491"/>
      <c r="HA171" s="491"/>
      <c r="HB171" s="491"/>
      <c r="HC171" s="491"/>
      <c r="HD171" s="491"/>
      <c r="HE171" s="491"/>
      <c r="HF171" s="491"/>
      <c r="HG171" s="491"/>
      <c r="HH171" s="491"/>
      <c r="HI171" s="491"/>
      <c r="HJ171" s="491"/>
      <c r="HK171" s="491"/>
      <c r="HL171" s="491"/>
      <c r="HM171" s="491"/>
      <c r="HN171" s="491"/>
      <c r="HO171" s="491"/>
      <c r="HP171" s="491"/>
      <c r="HQ171" s="491"/>
      <c r="HR171" s="491"/>
      <c r="HS171" s="491"/>
      <c r="HT171" s="491"/>
      <c r="HU171" s="491"/>
      <c r="HV171" s="491"/>
      <c r="HW171" s="491"/>
      <c r="HX171" s="491"/>
      <c r="HY171" s="491"/>
      <c r="HZ171" s="491"/>
      <c r="IA171" s="491"/>
      <c r="IB171" s="491"/>
      <c r="IC171" s="491"/>
      <c r="ID171" s="491"/>
      <c r="IE171" s="491"/>
      <c r="IF171" s="491"/>
      <c r="IG171" s="491"/>
      <c r="IH171" s="491"/>
      <c r="II171" s="491"/>
      <c r="IJ171" s="491"/>
      <c r="IK171" s="491"/>
      <c r="IL171" s="491"/>
      <c r="IM171" s="491"/>
      <c r="IN171" s="491"/>
      <c r="IO171" s="491"/>
      <c r="IP171" s="491"/>
      <c r="IQ171" s="491"/>
      <c r="IR171" s="491"/>
      <c r="IS171" s="491"/>
      <c r="IT171" s="491"/>
      <c r="IU171" s="491"/>
      <c r="IV171" s="564"/>
      <c r="LT171" s="738"/>
      <c r="MN171" s="578"/>
      <c r="MO171" s="491"/>
      <c r="MP171" s="491"/>
      <c r="MQ171" s="491"/>
      <c r="MR171" s="491"/>
      <c r="MS171" s="491"/>
      <c r="MT171" s="491"/>
      <c r="MU171" s="491"/>
      <c r="MV171" s="491"/>
      <c r="MW171" s="491"/>
      <c r="MX171" s="491"/>
      <c r="MY171" s="491"/>
      <c r="MZ171" s="491"/>
      <c r="NA171" s="491"/>
      <c r="NB171" s="491"/>
      <c r="NC171" s="1512" t="s">
        <v>3292</v>
      </c>
      <c r="ND171" s="1513"/>
      <c r="NE171" s="1513"/>
      <c r="NF171" s="1513"/>
      <c r="NG171" s="1513"/>
      <c r="NH171" s="1513"/>
      <c r="NI171" s="1513"/>
      <c r="NJ171" s="1513"/>
      <c r="NK171" s="1513"/>
      <c r="NL171" s="1514"/>
      <c r="NM171" s="491"/>
      <c r="NN171" s="491"/>
      <c r="NO171" s="491"/>
      <c r="NP171" s="491"/>
      <c r="NQ171" s="491"/>
      <c r="NR171" s="491"/>
      <c r="NS171" s="491"/>
      <c r="NT171" s="491"/>
      <c r="NU171" s="491"/>
      <c r="NV171" s="491"/>
      <c r="NW171" s="491"/>
      <c r="NX171" s="491"/>
      <c r="NY171" s="491"/>
      <c r="NZ171" s="491"/>
      <c r="OA171" s="491"/>
      <c r="OB171" s="491"/>
      <c r="OC171" s="1561" t="s">
        <v>2609</v>
      </c>
      <c r="OD171" s="1561"/>
      <c r="OE171" s="1561"/>
      <c r="OF171" s="1561"/>
      <c r="OG171" s="1561"/>
      <c r="OH171" s="1561"/>
      <c r="OI171" s="1561"/>
      <c r="OJ171" s="1561"/>
      <c r="OK171" s="1561"/>
      <c r="OL171" s="1561"/>
      <c r="OM171" s="491"/>
      <c r="ON171" s="491"/>
      <c r="OO171" s="491"/>
      <c r="OP171" s="491"/>
      <c r="OQ171" s="491"/>
      <c r="OR171" s="491"/>
      <c r="OS171" s="491"/>
      <c r="OT171" s="491"/>
      <c r="OU171" s="491"/>
      <c r="OV171" s="491"/>
      <c r="OW171" s="491"/>
      <c r="OX171" s="491"/>
      <c r="OY171" s="491"/>
      <c r="OZ171" s="491"/>
      <c r="PA171" s="491"/>
      <c r="PB171" s="491"/>
      <c r="PC171" s="491"/>
      <c r="PD171" s="491"/>
      <c r="PE171" s="491"/>
      <c r="PF171" s="491"/>
      <c r="PG171" s="491"/>
      <c r="PH171" s="491"/>
      <c r="PI171" s="491"/>
      <c r="PJ171" s="491"/>
      <c r="PK171" s="491"/>
      <c r="PL171" s="491"/>
      <c r="PM171" s="491"/>
      <c r="PN171" s="491"/>
      <c r="PO171" s="541"/>
      <c r="PW171" s="482"/>
    </row>
    <row r="172" spans="11:439" ht="12.75" customHeight="1" x14ac:dyDescent="0.25">
      <c r="K172" s="482"/>
      <c r="FZ172" s="578"/>
      <c r="GA172" s="491"/>
      <c r="GB172" s="491"/>
      <c r="GC172" s="491"/>
      <c r="GD172" s="491"/>
      <c r="GE172" s="491"/>
      <c r="GF172" s="491"/>
      <c r="GG172" s="491"/>
      <c r="GH172" s="491"/>
      <c r="GI172" s="491"/>
      <c r="GJ172" s="491"/>
      <c r="GK172" s="491"/>
      <c r="GL172" s="491"/>
      <c r="GM172" s="710">
        <v>1</v>
      </c>
      <c r="GN172" s="1567" t="s">
        <v>5165</v>
      </c>
      <c r="GO172" s="1568"/>
      <c r="GP172" s="1568"/>
      <c r="GQ172" s="1568"/>
      <c r="GR172" s="1568"/>
      <c r="GS172" s="1568"/>
      <c r="GT172" s="1568"/>
      <c r="GU172" s="1568"/>
      <c r="GV172" s="1569"/>
      <c r="GW172" s="491"/>
      <c r="GX172" s="491"/>
      <c r="GY172" s="491"/>
      <c r="GZ172" s="491"/>
      <c r="HA172" s="491"/>
      <c r="HB172" s="491"/>
      <c r="HC172" s="491"/>
      <c r="HD172" s="491"/>
      <c r="HE172" s="491"/>
      <c r="HF172" s="491"/>
      <c r="HG172" s="491"/>
      <c r="HH172" s="491"/>
      <c r="HI172" s="491"/>
      <c r="HJ172" s="491"/>
      <c r="HK172" s="491"/>
      <c r="HL172" s="491"/>
      <c r="HM172" s="491"/>
      <c r="HN172" s="491"/>
      <c r="HO172" s="491"/>
      <c r="HP172" s="491"/>
      <c r="HQ172" s="491"/>
      <c r="HR172" s="491"/>
      <c r="HS172" s="491"/>
      <c r="HT172" s="491"/>
      <c r="HU172" s="491"/>
      <c r="HV172" s="491"/>
      <c r="HW172" s="491"/>
      <c r="HX172" s="491"/>
      <c r="HY172" s="491"/>
      <c r="HZ172" s="491"/>
      <c r="IA172" s="491"/>
      <c r="IB172" s="491"/>
      <c r="IC172" s="491"/>
      <c r="ID172" s="491"/>
      <c r="IE172" s="491"/>
      <c r="IF172" s="491"/>
      <c r="IG172" s="491"/>
      <c r="IH172" s="491"/>
      <c r="II172" s="491"/>
      <c r="IJ172" s="491"/>
      <c r="IK172" s="491"/>
      <c r="IL172" s="491"/>
      <c r="IM172" s="491"/>
      <c r="IN172" s="491"/>
      <c r="IO172" s="491"/>
      <c r="IP172" s="491"/>
      <c r="IQ172" s="491"/>
      <c r="IR172" s="491"/>
      <c r="IS172" s="491"/>
      <c r="IT172" s="491"/>
      <c r="IU172" s="491"/>
      <c r="IV172" s="564"/>
      <c r="LT172" s="738"/>
      <c r="MN172" s="578"/>
      <c r="MO172" s="491"/>
      <c r="MP172" s="491"/>
      <c r="MQ172" s="491"/>
      <c r="MR172" s="491"/>
      <c r="MS172" s="491"/>
      <c r="MT172" s="491"/>
      <c r="MU172" s="491"/>
      <c r="MV172" s="491"/>
      <c r="MW172" s="491"/>
      <c r="MX172" s="491"/>
      <c r="MY172" s="491"/>
      <c r="MZ172" s="491"/>
      <c r="NA172" s="491"/>
      <c r="NB172" s="491"/>
      <c r="NM172" s="491"/>
      <c r="NN172" s="491"/>
      <c r="NO172" s="491"/>
      <c r="NP172" s="491"/>
      <c r="NQ172" s="491"/>
      <c r="NR172" s="491"/>
      <c r="NS172" s="491"/>
      <c r="NT172" s="491"/>
      <c r="NU172" s="491"/>
      <c r="NV172" s="491"/>
      <c r="NW172" s="491"/>
      <c r="NX172" s="491"/>
      <c r="NY172" s="491"/>
      <c r="NZ172" s="491"/>
      <c r="OA172" s="491"/>
      <c r="OB172" s="491"/>
      <c r="OC172" s="513">
        <v>1</v>
      </c>
      <c r="OD172" s="1469" t="s">
        <v>5250</v>
      </c>
      <c r="OE172" s="1469"/>
      <c r="OF172" s="1469"/>
      <c r="OG172" s="1469"/>
      <c r="OH172" s="1469"/>
      <c r="OI172" s="1469"/>
      <c r="OJ172" s="1469"/>
      <c r="OK172" s="1469"/>
      <c r="OL172" s="1469"/>
      <c r="OM172" s="491"/>
      <c r="ON172" s="491"/>
      <c r="OO172" s="491"/>
      <c r="OP172" s="491"/>
      <c r="OQ172" s="491"/>
      <c r="OR172" s="491"/>
      <c r="OS172" s="491"/>
      <c r="OT172" s="491"/>
      <c r="OU172" s="491"/>
      <c r="OV172" s="491"/>
      <c r="OW172" s="491"/>
      <c r="OX172" s="491"/>
      <c r="OY172" s="491"/>
      <c r="OZ172" s="491"/>
      <c r="PA172" s="491"/>
      <c r="PB172" s="491"/>
      <c r="PC172" s="491"/>
      <c r="PD172" s="491"/>
      <c r="PE172" s="491"/>
      <c r="PF172" s="491"/>
      <c r="PG172" s="491"/>
      <c r="PH172" s="491"/>
      <c r="PI172" s="491"/>
      <c r="PJ172" s="491"/>
      <c r="PK172" s="491"/>
      <c r="PL172" s="491"/>
      <c r="PM172" s="491"/>
      <c r="PN172" s="491"/>
      <c r="PO172" s="541"/>
      <c r="PW172" s="482"/>
    </row>
    <row r="173" spans="11:439" ht="12.75" customHeight="1" x14ac:dyDescent="0.25">
      <c r="K173" s="482"/>
      <c r="FZ173" s="578"/>
      <c r="GA173" s="491"/>
      <c r="GB173" s="491"/>
      <c r="GC173" s="491"/>
      <c r="GD173" s="491"/>
      <c r="GE173" s="491"/>
      <c r="GF173" s="491"/>
      <c r="GG173" s="491"/>
      <c r="GH173" s="491"/>
      <c r="GI173" s="491"/>
      <c r="GJ173" s="491"/>
      <c r="GK173" s="491"/>
      <c r="GL173" s="491"/>
      <c r="GM173" s="1450" t="s">
        <v>3301</v>
      </c>
      <c r="GN173" s="1451"/>
      <c r="GO173" s="1451"/>
      <c r="GP173" s="1451"/>
      <c r="GQ173" s="1451"/>
      <c r="GR173" s="1451"/>
      <c r="GS173" s="1451"/>
      <c r="GT173" s="1451"/>
      <c r="GU173" s="1451"/>
      <c r="GV173" s="1452"/>
      <c r="GW173" s="491"/>
      <c r="GX173" s="491"/>
      <c r="GY173" s="491"/>
      <c r="GZ173" s="491"/>
      <c r="HA173" s="491"/>
      <c r="HB173" s="491"/>
      <c r="HC173" s="491"/>
      <c r="HD173" s="491"/>
      <c r="HE173" s="491"/>
      <c r="HF173" s="491"/>
      <c r="HG173" s="491"/>
      <c r="HH173" s="491"/>
      <c r="HI173" s="491"/>
      <c r="HJ173" s="491"/>
      <c r="HK173" s="491"/>
      <c r="HL173" s="491"/>
      <c r="HM173" s="491"/>
      <c r="HN173" s="491"/>
      <c r="HO173" s="491"/>
      <c r="HP173" s="491"/>
      <c r="HQ173" s="491"/>
      <c r="HR173" s="491"/>
      <c r="HS173" s="491"/>
      <c r="HT173" s="491"/>
      <c r="HU173" s="491"/>
      <c r="HV173" s="491"/>
      <c r="HW173" s="491"/>
      <c r="HX173" s="491"/>
      <c r="HY173" s="491"/>
      <c r="HZ173" s="491"/>
      <c r="IA173" s="491"/>
      <c r="IB173" s="491"/>
      <c r="IC173" s="491"/>
      <c r="ID173" s="491"/>
      <c r="IE173" s="491"/>
      <c r="IF173" s="491"/>
      <c r="IG173" s="491"/>
      <c r="IH173" s="491"/>
      <c r="II173" s="491"/>
      <c r="IJ173" s="491"/>
      <c r="IK173" s="491"/>
      <c r="IL173" s="491"/>
      <c r="IM173" s="491"/>
      <c r="IN173" s="491"/>
      <c r="IO173" s="491"/>
      <c r="IP173" s="491"/>
      <c r="IQ173" s="491"/>
      <c r="IR173" s="491"/>
      <c r="IS173" s="491"/>
      <c r="IT173" s="491"/>
      <c r="IU173" s="491"/>
      <c r="IV173" s="564"/>
      <c r="LT173" s="738"/>
      <c r="MN173" s="578"/>
      <c r="MO173" s="491"/>
      <c r="MP173" s="491"/>
      <c r="MQ173" s="491"/>
      <c r="MR173" s="491"/>
      <c r="MS173" s="491"/>
      <c r="MT173" s="491"/>
      <c r="MU173" s="491"/>
      <c r="MV173" s="491"/>
      <c r="MW173" s="491"/>
      <c r="MX173" s="491"/>
      <c r="MY173" s="491"/>
      <c r="MZ173" s="491"/>
      <c r="NA173" s="491"/>
      <c r="NB173" s="491"/>
      <c r="NM173" s="491"/>
      <c r="NN173" s="491"/>
      <c r="NO173" s="491"/>
      <c r="NP173" s="491"/>
      <c r="NQ173" s="491"/>
      <c r="NR173" s="491"/>
      <c r="NS173" s="491"/>
      <c r="NT173" s="491"/>
      <c r="NU173" s="491"/>
      <c r="NV173" s="491"/>
      <c r="NW173" s="491"/>
      <c r="NX173" s="491"/>
      <c r="NY173" s="491"/>
      <c r="NZ173" s="491"/>
      <c r="OA173" s="491"/>
      <c r="OB173" s="491"/>
      <c r="OC173" s="1594" t="s">
        <v>4688</v>
      </c>
      <c r="OD173" s="1594"/>
      <c r="OE173" s="1594"/>
      <c r="OF173" s="1594"/>
      <c r="OG173" s="1594"/>
      <c r="OH173" s="1594"/>
      <c r="OI173" s="1594"/>
      <c r="OJ173" s="1594"/>
      <c r="OK173" s="1594"/>
      <c r="OL173" s="1594"/>
      <c r="OM173" s="491"/>
      <c r="ON173" s="491"/>
      <c r="OO173" s="491"/>
      <c r="OP173" s="491"/>
      <c r="OQ173" s="491"/>
      <c r="OR173" s="491"/>
      <c r="OS173" s="491"/>
      <c r="OT173" s="491"/>
      <c r="OU173" s="491"/>
      <c r="OV173" s="491"/>
      <c r="OW173" s="491"/>
      <c r="OX173" s="491"/>
      <c r="OY173" s="491"/>
      <c r="OZ173" s="491"/>
      <c r="PA173" s="491"/>
      <c r="PB173" s="491"/>
      <c r="PC173" s="491"/>
      <c r="PD173" s="491"/>
      <c r="PE173" s="491"/>
      <c r="PF173" s="491"/>
      <c r="PG173" s="491"/>
      <c r="PH173" s="491"/>
      <c r="PI173" s="491"/>
      <c r="PJ173" s="491"/>
      <c r="PK173" s="491"/>
      <c r="PL173" s="491"/>
      <c r="PM173" s="491"/>
      <c r="PN173" s="491"/>
      <c r="PO173" s="541"/>
      <c r="PW173" s="482"/>
    </row>
    <row r="174" spans="11:439" ht="12.75" customHeight="1" x14ac:dyDescent="0.25">
      <c r="K174" s="482"/>
      <c r="FZ174" s="578"/>
      <c r="GA174" s="491"/>
      <c r="GB174" s="491"/>
      <c r="GC174" s="491"/>
      <c r="GD174" s="491"/>
      <c r="GE174" s="491"/>
      <c r="GF174" s="491"/>
      <c r="GG174" s="491"/>
      <c r="GH174" s="491"/>
      <c r="GI174" s="491"/>
      <c r="GJ174" s="491"/>
      <c r="GK174" s="491"/>
      <c r="GL174" s="491"/>
      <c r="GW174" s="491"/>
      <c r="GX174" s="491"/>
      <c r="GY174" s="491"/>
      <c r="GZ174" s="491"/>
      <c r="HA174" s="491"/>
      <c r="HB174" s="491"/>
      <c r="HC174" s="491"/>
      <c r="HD174" s="491"/>
      <c r="HE174" s="491"/>
      <c r="HF174" s="491"/>
      <c r="HG174" s="491"/>
      <c r="HH174" s="491"/>
      <c r="HI174" s="491"/>
      <c r="HJ174" s="491"/>
      <c r="HK174" s="491"/>
      <c r="HL174" s="491"/>
      <c r="HM174" s="491"/>
      <c r="HN174" s="491"/>
      <c r="HO174" s="491"/>
      <c r="HP174" s="491"/>
      <c r="HQ174" s="491"/>
      <c r="HR174" s="491"/>
      <c r="HS174" s="491"/>
      <c r="HT174" s="491"/>
      <c r="HU174" s="491"/>
      <c r="HV174" s="491"/>
      <c r="HW174" s="491"/>
      <c r="HX174" s="491"/>
      <c r="HY174" s="491"/>
      <c r="HZ174" s="491"/>
      <c r="IA174" s="491"/>
      <c r="IB174" s="491"/>
      <c r="IC174" s="491"/>
      <c r="ID174" s="491"/>
      <c r="IE174" s="491"/>
      <c r="IF174" s="491"/>
      <c r="IG174" s="491"/>
      <c r="IH174" s="491"/>
      <c r="II174" s="491"/>
      <c r="IJ174" s="491"/>
      <c r="IK174" s="491"/>
      <c r="IL174" s="491"/>
      <c r="IM174" s="491"/>
      <c r="IN174" s="491"/>
      <c r="IO174" s="491"/>
      <c r="IP174" s="491"/>
      <c r="IQ174" s="491"/>
      <c r="IR174" s="491"/>
      <c r="IS174" s="491"/>
      <c r="IT174" s="491"/>
      <c r="IU174" s="491"/>
      <c r="IV174" s="564"/>
      <c r="LT174" s="738"/>
      <c r="MN174" s="578"/>
      <c r="MO174" s="491"/>
      <c r="MP174" s="491"/>
      <c r="MQ174" s="491"/>
      <c r="MR174" s="491"/>
      <c r="MS174" s="491"/>
      <c r="MT174" s="491"/>
      <c r="MU174" s="491"/>
      <c r="MV174" s="491"/>
      <c r="MW174" s="491"/>
      <c r="MX174" s="491"/>
      <c r="MY174" s="491"/>
      <c r="MZ174" s="491"/>
      <c r="NA174" s="491"/>
      <c r="NB174" s="491"/>
      <c r="NM174" s="491"/>
      <c r="NN174" s="491"/>
      <c r="NO174" s="491"/>
      <c r="NP174" s="491"/>
      <c r="NQ174" s="491"/>
      <c r="NR174" s="491"/>
      <c r="NS174" s="491"/>
      <c r="NT174" s="491"/>
      <c r="NU174" s="491"/>
      <c r="NV174" s="491"/>
      <c r="NW174" s="491"/>
      <c r="NX174" s="491"/>
      <c r="NY174" s="491"/>
      <c r="NZ174" s="491"/>
      <c r="OA174" s="491"/>
      <c r="OB174" s="491"/>
      <c r="OC174" s="491"/>
      <c r="OD174" s="491"/>
      <c r="OE174" s="491"/>
      <c r="OF174" s="491"/>
      <c r="OG174" s="491"/>
      <c r="OH174" s="491"/>
      <c r="OI174" s="491"/>
      <c r="OJ174" s="491"/>
      <c r="OK174" s="491"/>
      <c r="OL174" s="491"/>
      <c r="OM174" s="491"/>
      <c r="ON174" s="491"/>
      <c r="OO174" s="491"/>
      <c r="OP174" s="491"/>
      <c r="OQ174" s="491"/>
      <c r="OR174" s="491"/>
      <c r="OS174" s="491"/>
      <c r="OT174" s="491"/>
      <c r="OU174" s="491"/>
      <c r="OV174" s="491"/>
      <c r="OW174" s="491"/>
      <c r="OX174" s="491"/>
      <c r="OY174" s="491"/>
      <c r="OZ174" s="491"/>
      <c r="PA174" s="491"/>
      <c r="PB174" s="491"/>
      <c r="PC174" s="491"/>
      <c r="PD174" s="491"/>
      <c r="PE174" s="491"/>
      <c r="PF174" s="491"/>
      <c r="PG174" s="491"/>
      <c r="PH174" s="491"/>
      <c r="PI174" s="491"/>
      <c r="PJ174" s="491"/>
      <c r="PK174" s="491"/>
      <c r="PL174" s="491"/>
      <c r="PM174" s="491"/>
      <c r="PN174" s="491"/>
      <c r="PO174" s="541"/>
      <c r="PW174" s="482"/>
    </row>
    <row r="175" spans="11:439" ht="12.75" customHeight="1" x14ac:dyDescent="0.25">
      <c r="K175" s="482"/>
      <c r="FZ175" s="578"/>
      <c r="GA175" s="491"/>
      <c r="GB175" s="491"/>
      <c r="GC175" s="491"/>
      <c r="GD175" s="491"/>
      <c r="GE175" s="491"/>
      <c r="GF175" s="491"/>
      <c r="GG175" s="491"/>
      <c r="GH175" s="491"/>
      <c r="GI175" s="491"/>
      <c r="GJ175" s="491"/>
      <c r="GK175" s="491"/>
      <c r="GL175" s="491"/>
      <c r="GW175" s="491"/>
      <c r="GX175" s="491"/>
      <c r="GY175" s="491"/>
      <c r="GZ175" s="491"/>
      <c r="HA175" s="491"/>
      <c r="HB175" s="491"/>
      <c r="HC175" s="491"/>
      <c r="HD175" s="491"/>
      <c r="HE175" s="491"/>
      <c r="HF175" s="491"/>
      <c r="HG175" s="491"/>
      <c r="HH175" s="491"/>
      <c r="HI175" s="491"/>
      <c r="HJ175" s="491"/>
      <c r="HK175" s="491"/>
      <c r="HL175" s="491"/>
      <c r="HM175" s="491"/>
      <c r="HN175" s="491"/>
      <c r="HO175" s="491"/>
      <c r="HP175" s="491"/>
      <c r="HQ175" s="491"/>
      <c r="HR175" s="491"/>
      <c r="HS175" s="491"/>
      <c r="HT175" s="491"/>
      <c r="HU175" s="491"/>
      <c r="HV175" s="491"/>
      <c r="HW175" s="491"/>
      <c r="HX175" s="491"/>
      <c r="HY175" s="491"/>
      <c r="HZ175" s="491"/>
      <c r="IA175" s="491"/>
      <c r="IB175" s="491"/>
      <c r="IC175" s="491"/>
      <c r="ID175" s="491"/>
      <c r="IE175" s="491"/>
      <c r="IF175" s="491"/>
      <c r="IG175" s="491"/>
      <c r="IH175" s="491"/>
      <c r="II175" s="491"/>
      <c r="IJ175" s="491"/>
      <c r="IK175" s="491"/>
      <c r="IL175" s="491"/>
      <c r="IM175" s="491"/>
      <c r="IN175" s="491"/>
      <c r="IO175" s="491"/>
      <c r="IP175" s="491"/>
      <c r="IQ175" s="491"/>
      <c r="IR175" s="491"/>
      <c r="IS175" s="491"/>
      <c r="IT175" s="491"/>
      <c r="IU175" s="491"/>
      <c r="IV175" s="564"/>
      <c r="LT175" s="738"/>
      <c r="MN175" s="578"/>
      <c r="MO175" s="491"/>
      <c r="MP175" s="491"/>
      <c r="MQ175" s="491"/>
      <c r="MR175" s="491"/>
      <c r="MS175" s="491"/>
      <c r="MT175" s="491"/>
      <c r="MU175" s="491"/>
      <c r="MV175" s="491"/>
      <c r="MW175" s="491"/>
      <c r="MX175" s="491"/>
      <c r="MY175" s="491"/>
      <c r="MZ175" s="491"/>
      <c r="NA175" s="491"/>
      <c r="NB175" s="491"/>
      <c r="NM175" s="491"/>
      <c r="NN175" s="491"/>
      <c r="NO175" s="491"/>
      <c r="NP175" s="491"/>
      <c r="NQ175" s="491"/>
      <c r="NR175" s="491"/>
      <c r="NS175" s="491"/>
      <c r="NT175" s="491"/>
      <c r="NU175" s="491"/>
      <c r="NV175" s="491"/>
      <c r="NW175" s="491"/>
      <c r="NX175" s="491"/>
      <c r="NY175" s="491"/>
      <c r="NZ175" s="491"/>
      <c r="OA175" s="491"/>
      <c r="OB175" s="491"/>
      <c r="OC175" s="491"/>
      <c r="OD175" s="491"/>
      <c r="OE175" s="491"/>
      <c r="OF175" s="491"/>
      <c r="OG175" s="491"/>
      <c r="OH175" s="491"/>
      <c r="OI175" s="491"/>
      <c r="OJ175" s="491"/>
      <c r="OK175" s="491"/>
      <c r="OL175" s="491"/>
      <c r="OM175" s="491"/>
      <c r="ON175" s="491"/>
      <c r="OO175" s="491"/>
      <c r="OP175" s="491"/>
      <c r="OQ175" s="491"/>
      <c r="OR175" s="491"/>
      <c r="OS175" s="491"/>
      <c r="OT175" s="491"/>
      <c r="OU175" s="491"/>
      <c r="OV175" s="491"/>
      <c r="OW175" s="491"/>
      <c r="OX175" s="491"/>
      <c r="OY175" s="491"/>
      <c r="OZ175" s="491"/>
      <c r="PA175" s="491"/>
      <c r="PB175" s="491"/>
      <c r="PC175" s="491"/>
      <c r="PD175" s="491"/>
      <c r="PE175" s="491"/>
      <c r="PF175" s="491"/>
      <c r="PG175" s="491"/>
      <c r="PH175" s="491"/>
      <c r="PI175" s="491"/>
      <c r="PJ175" s="491"/>
      <c r="PK175" s="491"/>
      <c r="PL175" s="491"/>
      <c r="PM175" s="491"/>
      <c r="PN175" s="491"/>
      <c r="PO175" s="541"/>
      <c r="PW175" s="482"/>
    </row>
    <row r="176" spans="11:439" ht="12.75" customHeight="1" x14ac:dyDescent="0.25">
      <c r="K176" s="482"/>
      <c r="FZ176" s="578"/>
      <c r="GA176" s="491"/>
      <c r="GB176" s="491"/>
      <c r="GC176" s="491"/>
      <c r="GD176" s="491"/>
      <c r="GE176" s="491"/>
      <c r="GF176" s="491"/>
      <c r="GG176" s="491"/>
      <c r="GH176" s="491"/>
      <c r="GI176" s="491"/>
      <c r="GJ176" s="491"/>
      <c r="GK176" s="491"/>
      <c r="GL176" s="491"/>
      <c r="GW176" s="491"/>
      <c r="GX176" s="491"/>
      <c r="GY176" s="491"/>
      <c r="GZ176" s="491"/>
      <c r="HA176" s="491"/>
      <c r="HB176" s="491"/>
      <c r="HC176" s="491"/>
      <c r="HD176" s="491"/>
      <c r="HE176" s="491"/>
      <c r="HF176" s="491"/>
      <c r="HG176" s="491"/>
      <c r="HH176" s="491"/>
      <c r="HI176" s="491"/>
      <c r="HJ176" s="491"/>
      <c r="HK176" s="491"/>
      <c r="HL176" s="491"/>
      <c r="HM176" s="491"/>
      <c r="HN176" s="491"/>
      <c r="HO176" s="491"/>
      <c r="HP176" s="491"/>
      <c r="HQ176" s="491"/>
      <c r="HR176" s="491"/>
      <c r="HS176" s="491"/>
      <c r="HT176" s="491"/>
      <c r="HU176" s="491"/>
      <c r="HV176" s="491"/>
      <c r="HW176" s="491"/>
      <c r="HX176" s="491"/>
      <c r="HY176" s="491"/>
      <c r="HZ176" s="491"/>
      <c r="IA176" s="491"/>
      <c r="IB176" s="491"/>
      <c r="IC176" s="491"/>
      <c r="ID176" s="491"/>
      <c r="IE176" s="491"/>
      <c r="IF176" s="491"/>
      <c r="IG176" s="491"/>
      <c r="IH176" s="491"/>
      <c r="II176" s="491"/>
      <c r="IJ176" s="491"/>
      <c r="IK176" s="491"/>
      <c r="IL176" s="491"/>
      <c r="IM176" s="491"/>
      <c r="IN176" s="491"/>
      <c r="IO176" s="491"/>
      <c r="IP176" s="491"/>
      <c r="IQ176" s="491"/>
      <c r="IR176" s="491"/>
      <c r="IS176" s="491"/>
      <c r="IT176" s="491"/>
      <c r="IU176" s="491"/>
      <c r="IV176" s="564"/>
      <c r="LT176" s="738"/>
      <c r="MN176" s="578"/>
      <c r="MO176" s="491"/>
      <c r="MP176" s="491"/>
      <c r="MQ176" s="491"/>
      <c r="MR176" s="491"/>
      <c r="MS176" s="491"/>
      <c r="MT176" s="491"/>
      <c r="MU176" s="491"/>
      <c r="MV176" s="491"/>
      <c r="MW176" s="491"/>
      <c r="MX176" s="491"/>
      <c r="MY176" s="491"/>
      <c r="MZ176" s="491"/>
      <c r="NA176" s="491"/>
      <c r="NB176" s="491"/>
      <c r="NM176" s="491"/>
      <c r="NN176" s="491"/>
      <c r="NO176" s="491"/>
      <c r="NP176" s="491"/>
      <c r="NQ176" s="491"/>
      <c r="NR176" s="491"/>
      <c r="NS176" s="491"/>
      <c r="NT176" s="491"/>
      <c r="NU176" s="491"/>
      <c r="NV176" s="491"/>
      <c r="NW176" s="491"/>
      <c r="NX176" s="491"/>
      <c r="NY176" s="491"/>
      <c r="NZ176" s="491"/>
      <c r="OA176" s="491"/>
      <c r="OB176" s="491"/>
      <c r="OC176" s="491"/>
      <c r="OD176" s="491"/>
      <c r="OE176" s="491"/>
      <c r="OF176" s="491"/>
      <c r="OG176" s="491"/>
      <c r="OH176" s="491"/>
      <c r="OI176" s="491"/>
      <c r="OJ176" s="491"/>
      <c r="OK176" s="491"/>
      <c r="OL176" s="491"/>
      <c r="OM176" s="491"/>
      <c r="ON176" s="491"/>
      <c r="OO176" s="491"/>
      <c r="OP176" s="491"/>
      <c r="OQ176" s="491"/>
      <c r="OR176" s="491"/>
      <c r="OS176" s="491"/>
      <c r="OT176" s="491"/>
      <c r="OU176" s="491"/>
      <c r="OV176" s="491"/>
      <c r="OW176" s="491"/>
      <c r="OX176" s="491"/>
      <c r="OY176" s="491"/>
      <c r="OZ176" s="491"/>
      <c r="PA176" s="491"/>
      <c r="PB176" s="491"/>
      <c r="PC176" s="491"/>
      <c r="PD176" s="491"/>
      <c r="PE176" s="491"/>
      <c r="PF176" s="491"/>
      <c r="PG176" s="491"/>
      <c r="PH176" s="491"/>
      <c r="PI176" s="491"/>
      <c r="PJ176" s="491"/>
      <c r="PK176" s="491"/>
      <c r="PL176" s="491"/>
      <c r="PM176" s="491"/>
      <c r="PN176" s="491"/>
      <c r="PO176" s="541"/>
      <c r="PW176" s="482"/>
    </row>
    <row r="177" spans="11:439" ht="12.75" customHeight="1" x14ac:dyDescent="0.25">
      <c r="K177" s="482"/>
      <c r="FZ177" s="578"/>
      <c r="GA177" s="491"/>
      <c r="GB177" s="491"/>
      <c r="GC177" s="491"/>
      <c r="GD177" s="491"/>
      <c r="GE177" s="491"/>
      <c r="GF177" s="491"/>
      <c r="GG177" s="491"/>
      <c r="GH177" s="491"/>
      <c r="GI177" s="491"/>
      <c r="GJ177" s="491"/>
      <c r="GK177" s="491"/>
      <c r="GL177" s="491"/>
      <c r="GW177" s="491"/>
      <c r="GX177" s="491"/>
      <c r="GY177" s="491"/>
      <c r="GZ177" s="491"/>
      <c r="HA177" s="491"/>
      <c r="HB177" s="491"/>
      <c r="HC177" s="491"/>
      <c r="HD177" s="491"/>
      <c r="HE177" s="491"/>
      <c r="HF177" s="491"/>
      <c r="HG177" s="491"/>
      <c r="HH177" s="491"/>
      <c r="HI177" s="491"/>
      <c r="HJ177" s="491"/>
      <c r="HK177" s="491"/>
      <c r="HL177" s="491"/>
      <c r="HM177" s="491"/>
      <c r="HN177" s="491"/>
      <c r="HO177" s="491"/>
      <c r="HP177" s="491"/>
      <c r="HQ177" s="491"/>
      <c r="HR177" s="491"/>
      <c r="HS177" s="491"/>
      <c r="HT177" s="491"/>
      <c r="HU177" s="491"/>
      <c r="HV177" s="491"/>
      <c r="HW177" s="491"/>
      <c r="HX177" s="491"/>
      <c r="HY177" s="491"/>
      <c r="HZ177" s="491"/>
      <c r="IA177" s="491"/>
      <c r="IB177" s="491"/>
      <c r="IC177" s="491"/>
      <c r="ID177" s="491"/>
      <c r="IE177" s="491"/>
      <c r="IF177" s="491"/>
      <c r="IG177" s="491"/>
      <c r="IH177" s="491"/>
      <c r="II177" s="491"/>
      <c r="IJ177" s="491"/>
      <c r="IK177" s="491"/>
      <c r="IL177" s="491"/>
      <c r="IM177" s="491"/>
      <c r="IN177" s="491"/>
      <c r="IO177" s="491"/>
      <c r="IP177" s="491"/>
      <c r="IQ177" s="491"/>
      <c r="IR177" s="491"/>
      <c r="IS177" s="491"/>
      <c r="IT177" s="491"/>
      <c r="IU177" s="491"/>
      <c r="IV177" s="564"/>
      <c r="LM177" s="738"/>
      <c r="LT177" s="738"/>
      <c r="MN177" s="578"/>
      <c r="MO177" s="491"/>
      <c r="MP177" s="491"/>
      <c r="MQ177" s="491"/>
      <c r="MR177" s="491"/>
      <c r="MS177" s="491"/>
      <c r="MT177" s="491"/>
      <c r="MU177" s="491"/>
      <c r="MV177" s="491"/>
      <c r="MW177" s="491"/>
      <c r="MX177" s="491"/>
      <c r="MY177" s="491"/>
      <c r="MZ177" s="491"/>
      <c r="NA177" s="491"/>
      <c r="NB177" s="491"/>
      <c r="NM177" s="491"/>
      <c r="NN177" s="491"/>
      <c r="NO177" s="491"/>
      <c r="NP177" s="491"/>
      <c r="NQ177" s="491"/>
      <c r="NR177" s="491"/>
      <c r="NS177" s="491"/>
      <c r="NT177" s="491"/>
      <c r="NU177" s="491"/>
      <c r="NV177" s="491"/>
      <c r="NW177" s="491"/>
      <c r="NX177" s="491"/>
      <c r="NY177" s="491"/>
      <c r="NZ177" s="491"/>
      <c r="OA177" s="491"/>
      <c r="OB177" s="491"/>
      <c r="OC177" s="491"/>
      <c r="OD177" s="491"/>
      <c r="OE177" s="491"/>
      <c r="OF177" s="491"/>
      <c r="OG177" s="491"/>
      <c r="OH177" s="491"/>
      <c r="OI177" s="491"/>
      <c r="OJ177" s="491"/>
      <c r="OK177" s="491"/>
      <c r="OL177" s="491"/>
      <c r="OM177" s="491"/>
      <c r="ON177" s="491"/>
      <c r="OO177" s="491"/>
      <c r="OP177" s="491"/>
      <c r="OQ177" s="491"/>
      <c r="OR177" s="491"/>
      <c r="OS177" s="491"/>
      <c r="OT177" s="491"/>
      <c r="OU177" s="491"/>
      <c r="OV177" s="491"/>
      <c r="OW177" s="491"/>
      <c r="OX177" s="491"/>
      <c r="OY177" s="491"/>
      <c r="OZ177" s="491"/>
      <c r="PA177" s="491"/>
      <c r="PB177" s="491"/>
      <c r="PC177" s="491"/>
      <c r="PD177" s="491"/>
      <c r="PE177" s="491"/>
      <c r="PF177" s="491"/>
      <c r="PG177" s="491"/>
      <c r="PH177" s="491"/>
      <c r="PI177" s="491"/>
      <c r="PJ177" s="491"/>
      <c r="PK177" s="491"/>
      <c r="PL177" s="491"/>
      <c r="PM177" s="491"/>
      <c r="PN177" s="564"/>
      <c r="PW177" s="482"/>
    </row>
    <row r="178" spans="11:439" ht="12.75" customHeight="1" x14ac:dyDescent="0.25">
      <c r="K178" s="482"/>
      <c r="FZ178" s="578"/>
      <c r="GA178" s="491"/>
      <c r="GB178" s="491"/>
      <c r="GC178" s="491"/>
      <c r="GD178" s="491"/>
      <c r="GE178" s="491"/>
      <c r="GF178" s="491"/>
      <c r="GG178" s="491"/>
      <c r="GH178" s="491"/>
      <c r="GI178" s="491"/>
      <c r="GJ178" s="491"/>
      <c r="GK178" s="491"/>
      <c r="GL178" s="491"/>
      <c r="GW178" s="491"/>
      <c r="GX178" s="491"/>
      <c r="GY178" s="491"/>
      <c r="GZ178" s="491"/>
      <c r="HA178" s="491"/>
      <c r="HB178" s="491"/>
      <c r="HC178" s="491"/>
      <c r="HD178" s="491"/>
      <c r="HE178" s="491"/>
      <c r="HF178" s="491"/>
      <c r="HG178" s="491"/>
      <c r="HH178" s="491"/>
      <c r="HI178" s="491"/>
      <c r="HJ178" s="491"/>
      <c r="HK178" s="491"/>
      <c r="HL178" s="491"/>
      <c r="HM178" s="491"/>
      <c r="HN178" s="491"/>
      <c r="HO178" s="491"/>
      <c r="HP178" s="491"/>
      <c r="HQ178" s="491"/>
      <c r="HR178" s="491"/>
      <c r="HS178" s="491"/>
      <c r="HT178" s="491"/>
      <c r="HU178" s="491"/>
      <c r="HV178" s="491"/>
      <c r="HW178" s="491"/>
      <c r="HX178" s="491"/>
      <c r="HY178" s="491"/>
      <c r="HZ178" s="491"/>
      <c r="IA178" s="491"/>
      <c r="IB178" s="491"/>
      <c r="IC178" s="491"/>
      <c r="ID178" s="491"/>
      <c r="IE178" s="491"/>
      <c r="IF178" s="491"/>
      <c r="IG178" s="491"/>
      <c r="IH178" s="491"/>
      <c r="II178" s="491"/>
      <c r="IJ178" s="491"/>
      <c r="IK178" s="491"/>
      <c r="IL178" s="491"/>
      <c r="IM178" s="491"/>
      <c r="IN178" s="491"/>
      <c r="IO178" s="491"/>
      <c r="IP178" s="491"/>
      <c r="IQ178" s="491"/>
      <c r="IR178" s="491"/>
      <c r="IS178" s="491"/>
      <c r="IT178" s="491"/>
      <c r="IU178" s="491"/>
      <c r="IV178" s="491"/>
      <c r="IW178" s="541"/>
      <c r="LM178" s="738"/>
      <c r="LT178" s="738"/>
      <c r="MN178" s="627"/>
      <c r="MO178" s="628"/>
      <c r="MP178" s="628"/>
      <c r="MQ178" s="628"/>
      <c r="MR178" s="628"/>
      <c r="MS178" s="628"/>
      <c r="MT178" s="628"/>
      <c r="MU178" s="628"/>
      <c r="MV178" s="628"/>
      <c r="MW178" s="628"/>
      <c r="MX178" s="628"/>
      <c r="MY178" s="628"/>
      <c r="MZ178" s="628"/>
      <c r="NA178" s="628"/>
      <c r="NB178" s="628"/>
      <c r="NC178" s="628"/>
      <c r="ND178" s="628"/>
      <c r="NE178" s="628"/>
      <c r="NF178" s="628"/>
      <c r="NG178" s="628"/>
      <c r="NH178" s="628"/>
      <c r="NI178" s="628"/>
      <c r="NJ178" s="628"/>
      <c r="NK178" s="628"/>
      <c r="NL178" s="628"/>
      <c r="NM178" s="628"/>
      <c r="NN178" s="628"/>
      <c r="NO178" s="628"/>
      <c r="NP178" s="628"/>
      <c r="NQ178" s="628"/>
      <c r="NR178" s="628"/>
      <c r="NS178" s="628"/>
      <c r="NT178" s="628"/>
      <c r="NU178" s="628"/>
      <c r="NV178" s="628"/>
      <c r="NW178" s="628"/>
      <c r="NX178" s="628"/>
      <c r="NY178" s="628"/>
      <c r="NZ178" s="628"/>
      <c r="OA178" s="628"/>
      <c r="OB178" s="628"/>
      <c r="OC178" s="628"/>
      <c r="OD178" s="628"/>
      <c r="OE178" s="628"/>
      <c r="OF178" s="628"/>
      <c r="OG178" s="628"/>
      <c r="OH178" s="628"/>
      <c r="OI178" s="628"/>
      <c r="OJ178" s="628"/>
      <c r="OK178" s="628"/>
      <c r="OL178" s="628"/>
      <c r="OM178" s="628"/>
      <c r="ON178" s="628"/>
      <c r="OO178" s="628"/>
      <c r="OP178" s="628"/>
      <c r="OQ178" s="628"/>
      <c r="OR178" s="628"/>
      <c r="OS178" s="628"/>
      <c r="OT178" s="628"/>
      <c r="OU178" s="628"/>
      <c r="OV178" s="628"/>
      <c r="OW178" s="628"/>
      <c r="OX178" s="628"/>
      <c r="OY178" s="628"/>
      <c r="OZ178" s="628"/>
      <c r="PA178" s="628"/>
      <c r="PB178" s="628"/>
      <c r="PC178" s="628"/>
      <c r="PD178" s="628"/>
      <c r="PE178" s="628"/>
      <c r="PF178" s="628"/>
      <c r="PG178" s="628"/>
      <c r="PH178" s="628"/>
      <c r="PI178" s="628"/>
      <c r="PJ178" s="628"/>
      <c r="PK178" s="628"/>
      <c r="PL178" s="628"/>
      <c r="PM178" s="628"/>
      <c r="PN178" s="629"/>
      <c r="PW178" s="482"/>
    </row>
    <row r="179" spans="11:439" ht="12.75" customHeight="1" x14ac:dyDescent="0.25">
      <c r="K179" s="482"/>
      <c r="FZ179" s="578"/>
      <c r="GA179" s="491"/>
      <c r="GB179" s="491"/>
      <c r="GC179" s="491"/>
      <c r="GD179" s="491"/>
      <c r="GE179" s="491"/>
      <c r="GF179" s="491"/>
      <c r="GG179" s="491"/>
      <c r="GH179" s="491"/>
      <c r="GI179" s="491"/>
      <c r="GJ179" s="491"/>
      <c r="GK179" s="491"/>
      <c r="GL179" s="491"/>
      <c r="GW179" s="491"/>
      <c r="GX179" s="491"/>
      <c r="GY179" s="491"/>
      <c r="GZ179" s="491"/>
      <c r="HA179" s="491"/>
      <c r="HB179" s="491"/>
      <c r="HC179" s="491"/>
      <c r="HD179" s="491"/>
      <c r="HE179" s="491"/>
      <c r="HF179" s="491"/>
      <c r="HG179" s="491"/>
      <c r="HH179" s="491"/>
      <c r="HI179" s="491"/>
      <c r="HJ179" s="491"/>
      <c r="HK179" s="491"/>
      <c r="HL179" s="491"/>
      <c r="HM179" s="491"/>
      <c r="HN179" s="491"/>
      <c r="HO179" s="491"/>
      <c r="HP179" s="491"/>
      <c r="HQ179" s="491"/>
      <c r="HR179" s="491"/>
      <c r="HS179" s="491"/>
      <c r="HT179" s="491"/>
      <c r="HU179" s="491"/>
      <c r="HV179" s="491"/>
      <c r="HW179" s="491"/>
      <c r="HX179" s="491"/>
      <c r="HY179" s="491"/>
      <c r="HZ179" s="491"/>
      <c r="IA179" s="491"/>
      <c r="IB179" s="491"/>
      <c r="IC179" s="491"/>
      <c r="ID179" s="491"/>
      <c r="IE179" s="491"/>
      <c r="IF179" s="491"/>
      <c r="IG179" s="491"/>
      <c r="IH179" s="491"/>
      <c r="II179" s="491"/>
      <c r="IJ179" s="491"/>
      <c r="IK179" s="491"/>
      <c r="IL179" s="491"/>
      <c r="IM179" s="491"/>
      <c r="IN179" s="491"/>
      <c r="IO179" s="491"/>
      <c r="IP179" s="491"/>
      <c r="IQ179" s="491"/>
      <c r="IR179" s="491"/>
      <c r="IS179" s="491"/>
      <c r="IT179" s="491"/>
      <c r="IU179" s="491"/>
      <c r="IV179" s="491"/>
      <c r="IW179" s="541"/>
      <c r="LT179" s="738"/>
      <c r="MN179" s="491"/>
      <c r="MO179" s="491"/>
      <c r="MP179" s="491"/>
      <c r="MQ179" s="491"/>
      <c r="MR179" s="491"/>
      <c r="MS179" s="491"/>
      <c r="MT179" s="491"/>
      <c r="MU179" s="491"/>
      <c r="MV179" s="491"/>
      <c r="MW179" s="491"/>
      <c r="MX179" s="491"/>
      <c r="MY179" s="491"/>
      <c r="MZ179" s="491"/>
      <c r="NA179" s="491"/>
      <c r="NB179" s="491"/>
      <c r="NC179" s="491"/>
      <c r="ND179" s="491"/>
      <c r="NE179" s="491"/>
      <c r="NF179" s="491"/>
      <c r="NG179" s="491"/>
      <c r="NH179" s="491"/>
      <c r="NI179" s="491"/>
      <c r="NJ179" s="491"/>
      <c r="NK179" s="491"/>
      <c r="NL179" s="491"/>
      <c r="NM179" s="491"/>
      <c r="NN179" s="491"/>
      <c r="NO179" s="491"/>
      <c r="NP179" s="491"/>
      <c r="NQ179" s="491"/>
      <c r="NR179" s="734"/>
      <c r="NS179" s="734"/>
      <c r="NT179" s="734"/>
      <c r="NU179" s="734"/>
      <c r="NV179" s="734"/>
      <c r="NW179" s="734"/>
      <c r="NX179" s="734"/>
      <c r="NY179" s="491"/>
      <c r="NZ179" s="491"/>
      <c r="OA179" s="491"/>
      <c r="OB179" s="491"/>
      <c r="OC179" s="491"/>
      <c r="OD179" s="491"/>
      <c r="OE179" s="491"/>
      <c r="OF179" s="491"/>
      <c r="OG179" s="491"/>
      <c r="OH179" s="491"/>
      <c r="OI179" s="491"/>
      <c r="OJ179" s="491"/>
      <c r="OK179" s="491"/>
      <c r="OL179" s="491"/>
      <c r="OM179" s="491"/>
      <c r="ON179" s="491"/>
      <c r="OO179" s="491"/>
      <c r="OP179" s="491"/>
      <c r="OQ179" s="491"/>
      <c r="OR179" s="491"/>
      <c r="OS179" s="491"/>
      <c r="OT179" s="491"/>
      <c r="OU179" s="491"/>
      <c r="OV179" s="491"/>
      <c r="OW179" s="491"/>
      <c r="OX179" s="491"/>
      <c r="OY179" s="491"/>
      <c r="OZ179" s="491"/>
      <c r="PA179" s="491"/>
      <c r="PB179" s="491"/>
      <c r="PC179" s="491"/>
      <c r="PD179" s="491"/>
      <c r="PE179" s="491"/>
      <c r="PF179" s="491"/>
      <c r="PG179" s="491"/>
      <c r="PH179" s="491"/>
      <c r="PI179" s="491"/>
      <c r="PJ179" s="491"/>
      <c r="PK179" s="491"/>
      <c r="PL179" s="491"/>
      <c r="PM179" s="491"/>
      <c r="PN179" s="491"/>
      <c r="PW179" s="482"/>
    </row>
    <row r="180" spans="11:439" ht="12.75" customHeight="1" x14ac:dyDescent="0.25">
      <c r="K180" s="482"/>
      <c r="FZ180" s="627"/>
      <c r="GA180" s="628"/>
      <c r="GB180" s="628"/>
      <c r="GC180" s="628"/>
      <c r="GD180" s="628"/>
      <c r="GE180" s="628"/>
      <c r="GF180" s="628"/>
      <c r="GG180" s="628"/>
      <c r="GH180" s="628"/>
      <c r="GI180" s="628"/>
      <c r="GJ180" s="628"/>
      <c r="GK180" s="628"/>
      <c r="GL180" s="628"/>
      <c r="GM180" s="628"/>
      <c r="GN180" s="628"/>
      <c r="GO180" s="628"/>
      <c r="GP180" s="628"/>
      <c r="GQ180" s="628"/>
      <c r="GR180" s="628"/>
      <c r="GS180" s="628"/>
      <c r="GT180" s="628"/>
      <c r="GU180" s="628"/>
      <c r="GV180" s="628"/>
      <c r="GW180" s="628"/>
      <c r="GX180" s="628"/>
      <c r="GY180" s="628"/>
      <c r="GZ180" s="628"/>
      <c r="HA180" s="628"/>
      <c r="HB180" s="628"/>
      <c r="HC180" s="628"/>
      <c r="HD180" s="628"/>
      <c r="HE180" s="628"/>
      <c r="HF180" s="628"/>
      <c r="HG180" s="628"/>
      <c r="HH180" s="628"/>
      <c r="HI180" s="628"/>
      <c r="HJ180" s="628"/>
      <c r="HK180" s="628"/>
      <c r="HL180" s="628"/>
      <c r="HM180" s="628"/>
      <c r="HN180" s="628"/>
      <c r="HO180" s="628"/>
      <c r="HP180" s="628"/>
      <c r="HQ180" s="628"/>
      <c r="HR180" s="628"/>
      <c r="HS180" s="628"/>
      <c r="HT180" s="628"/>
      <c r="HU180" s="628"/>
      <c r="HV180" s="628"/>
      <c r="HW180" s="628"/>
      <c r="HX180" s="628"/>
      <c r="HY180" s="628"/>
      <c r="HZ180" s="628"/>
      <c r="IA180" s="628"/>
      <c r="IB180" s="628"/>
      <c r="IC180" s="628"/>
      <c r="ID180" s="628"/>
      <c r="IE180" s="628"/>
      <c r="IF180" s="628"/>
      <c r="IG180" s="628"/>
      <c r="IH180" s="628"/>
      <c r="II180" s="628"/>
      <c r="IJ180" s="628"/>
      <c r="IK180" s="628"/>
      <c r="IL180" s="628"/>
      <c r="IM180" s="628"/>
      <c r="IN180" s="628"/>
      <c r="IO180" s="628"/>
      <c r="IP180" s="628"/>
      <c r="IQ180" s="628"/>
      <c r="IR180" s="628"/>
      <c r="IS180" s="628"/>
      <c r="IT180" s="628"/>
      <c r="IU180" s="628"/>
      <c r="IV180" s="629"/>
      <c r="LT180" s="738"/>
      <c r="MN180" s="491"/>
      <c r="MO180" s="491"/>
      <c r="MP180" s="491"/>
      <c r="MQ180" s="491"/>
      <c r="MR180" s="491"/>
      <c r="MS180" s="491"/>
      <c r="MT180" s="491"/>
      <c r="MU180" s="491"/>
      <c r="MV180" s="491"/>
      <c r="MW180" s="491"/>
      <c r="MX180" s="491"/>
      <c r="MY180" s="491"/>
      <c r="MZ180" s="491"/>
      <c r="NA180" s="491"/>
      <c r="NB180" s="491"/>
      <c r="NC180" s="491"/>
      <c r="ND180" s="491"/>
      <c r="NE180" s="491"/>
      <c r="NF180" s="491"/>
      <c r="NG180" s="491"/>
      <c r="NH180" s="491"/>
      <c r="NI180" s="491"/>
      <c r="NJ180" s="491"/>
      <c r="NK180" s="491"/>
      <c r="NL180" s="491"/>
      <c r="NM180" s="491"/>
      <c r="NN180" s="491"/>
      <c r="NO180" s="491"/>
      <c r="NP180" s="491"/>
      <c r="NQ180" s="491"/>
      <c r="NR180" s="491"/>
      <c r="NS180" s="491"/>
      <c r="NT180" s="491"/>
      <c r="NU180" s="491"/>
      <c r="NV180" s="491"/>
      <c r="NW180" s="491"/>
      <c r="NX180" s="491"/>
      <c r="NY180" s="491"/>
      <c r="NZ180" s="491"/>
      <c r="OA180" s="491"/>
      <c r="OB180" s="491"/>
      <c r="OC180" s="491"/>
      <c r="OD180" s="491"/>
      <c r="OE180" s="491"/>
      <c r="OF180" s="491"/>
      <c r="OG180" s="491"/>
      <c r="OH180" s="491"/>
      <c r="OI180" s="491"/>
      <c r="OJ180" s="491"/>
      <c r="OK180" s="491"/>
      <c r="OL180" s="491"/>
      <c r="OM180" s="491"/>
      <c r="ON180" s="491"/>
      <c r="OO180" s="491"/>
      <c r="OP180" s="491"/>
      <c r="OQ180" s="491"/>
      <c r="OR180" s="491"/>
      <c r="OS180" s="491"/>
      <c r="OT180" s="491"/>
      <c r="OU180" s="491"/>
      <c r="OV180" s="491"/>
      <c r="OW180" s="491"/>
      <c r="OX180" s="491"/>
      <c r="OY180" s="491"/>
      <c r="OZ180" s="491"/>
      <c r="PA180" s="491"/>
      <c r="PB180" s="491"/>
      <c r="PC180" s="491"/>
      <c r="PD180" s="491"/>
      <c r="PE180" s="491"/>
      <c r="PF180" s="491"/>
      <c r="PG180" s="491"/>
      <c r="PH180" s="491"/>
      <c r="PI180" s="491"/>
      <c r="PJ180" s="491"/>
      <c r="PK180" s="491"/>
      <c r="PL180" s="491"/>
      <c r="PM180" s="491"/>
      <c r="PN180" s="491"/>
      <c r="PW180" s="482"/>
    </row>
    <row r="181" spans="11:439" ht="12.75" customHeight="1" x14ac:dyDescent="0.25">
      <c r="K181" s="482"/>
      <c r="FZ181" s="491"/>
      <c r="GA181" s="491"/>
      <c r="GB181" s="491"/>
      <c r="GC181" s="491"/>
      <c r="GD181" s="491"/>
      <c r="GE181" s="491"/>
      <c r="GF181" s="491"/>
      <c r="GG181" s="491"/>
      <c r="GH181" s="491"/>
      <c r="GI181" s="491"/>
      <c r="GJ181" s="491"/>
      <c r="GK181" s="491"/>
      <c r="GL181" s="491"/>
      <c r="GM181" s="491"/>
      <c r="GN181" s="491"/>
      <c r="GO181" s="491"/>
      <c r="GP181" s="491"/>
      <c r="GQ181" s="491"/>
      <c r="GR181" s="491"/>
      <c r="GS181" s="491"/>
      <c r="GT181" s="491"/>
      <c r="GU181" s="491"/>
      <c r="GV181" s="491"/>
      <c r="GW181" s="491"/>
      <c r="GX181" s="491"/>
      <c r="GY181" s="491"/>
      <c r="GZ181" s="491"/>
      <c r="HA181" s="734"/>
      <c r="HB181" s="734"/>
      <c r="HC181" s="734"/>
      <c r="HD181" s="734"/>
      <c r="HE181" s="734"/>
      <c r="HF181" s="734"/>
      <c r="HG181" s="734"/>
      <c r="HH181" s="734"/>
      <c r="HI181" s="491"/>
      <c r="HJ181" s="491"/>
      <c r="HK181" s="491"/>
      <c r="HL181" s="491"/>
      <c r="HM181" s="491"/>
      <c r="HN181" s="491"/>
      <c r="HO181" s="491"/>
      <c r="HP181" s="491"/>
      <c r="HQ181" s="491"/>
      <c r="HR181" s="491"/>
      <c r="HS181" s="491"/>
      <c r="HT181" s="491"/>
      <c r="HU181" s="491"/>
      <c r="HV181" s="491"/>
      <c r="HW181" s="491"/>
      <c r="HX181" s="491"/>
      <c r="HY181" s="491"/>
      <c r="HZ181" s="491"/>
      <c r="IA181" s="491"/>
      <c r="IB181" s="491"/>
      <c r="IC181" s="491"/>
      <c r="ID181" s="491"/>
      <c r="IE181" s="491"/>
      <c r="IF181" s="491"/>
      <c r="IG181" s="491"/>
      <c r="IH181" s="491"/>
      <c r="II181" s="491"/>
      <c r="IJ181" s="491"/>
      <c r="IK181" s="491"/>
      <c r="IL181" s="491"/>
      <c r="IM181" s="491"/>
      <c r="IN181" s="491"/>
      <c r="IO181" s="491"/>
      <c r="IP181" s="491"/>
      <c r="IQ181" s="491"/>
      <c r="IR181" s="491"/>
      <c r="IS181" s="491"/>
      <c r="IT181" s="491"/>
      <c r="IU181" s="491"/>
      <c r="IV181" s="491"/>
      <c r="LT181" s="738"/>
      <c r="MN181" s="491"/>
      <c r="MO181" s="491"/>
      <c r="MP181" s="491"/>
      <c r="MQ181" s="491"/>
      <c r="MR181" s="491"/>
      <c r="MS181" s="491"/>
      <c r="MT181" s="491"/>
      <c r="MU181" s="491"/>
      <c r="MV181" s="491"/>
      <c r="MW181" s="491"/>
      <c r="MX181" s="491"/>
      <c r="MY181" s="491"/>
      <c r="MZ181" s="491"/>
      <c r="NA181" s="491"/>
      <c r="NB181" s="491"/>
      <c r="NC181" s="491"/>
      <c r="ND181" s="491"/>
      <c r="NE181" s="491"/>
      <c r="NF181" s="491"/>
      <c r="NG181" s="491"/>
      <c r="NH181" s="491"/>
      <c r="NI181" s="491"/>
      <c r="NJ181" s="491"/>
      <c r="NK181" s="491"/>
      <c r="NL181" s="491"/>
      <c r="NM181" s="491"/>
      <c r="NN181" s="491"/>
      <c r="NO181" s="491"/>
      <c r="NP181" s="491"/>
      <c r="NQ181" s="491"/>
      <c r="NR181" s="491"/>
      <c r="NS181" s="491"/>
      <c r="NT181" s="491"/>
      <c r="NU181" s="491"/>
      <c r="NV181" s="491"/>
      <c r="NW181" s="491"/>
      <c r="NX181" s="491"/>
      <c r="NY181" s="491"/>
      <c r="NZ181" s="491"/>
      <c r="OA181" s="491"/>
      <c r="OB181" s="491"/>
      <c r="OC181" s="491"/>
      <c r="OD181" s="491"/>
      <c r="OE181" s="491"/>
      <c r="OF181" s="491"/>
      <c r="OG181" s="491"/>
      <c r="OH181" s="491"/>
      <c r="OI181" s="491"/>
      <c r="OJ181" s="491"/>
      <c r="OK181" s="491"/>
      <c r="OL181" s="491"/>
      <c r="OM181" s="491"/>
      <c r="ON181" s="491"/>
      <c r="OO181" s="491"/>
      <c r="OP181" s="491"/>
      <c r="OQ181" s="491"/>
      <c r="OR181" s="491"/>
      <c r="OS181" s="491"/>
      <c r="OT181" s="491"/>
      <c r="OU181" s="491"/>
      <c r="OV181" s="491"/>
      <c r="OW181" s="491"/>
      <c r="OX181" s="491"/>
      <c r="OY181" s="491"/>
      <c r="OZ181" s="491"/>
      <c r="PA181" s="491"/>
      <c r="PB181" s="491"/>
      <c r="PC181" s="491"/>
      <c r="PD181" s="491"/>
      <c r="PE181" s="491"/>
      <c r="PF181" s="491"/>
      <c r="PG181" s="491"/>
      <c r="PH181" s="491"/>
      <c r="PI181" s="491"/>
      <c r="PJ181" s="491"/>
      <c r="PK181" s="491"/>
      <c r="PL181" s="491"/>
      <c r="PM181" s="491"/>
      <c r="PN181" s="491"/>
      <c r="PW181" s="482"/>
    </row>
    <row r="182" spans="11:439" ht="12.75" customHeight="1" x14ac:dyDescent="0.25">
      <c r="K182" s="482"/>
      <c r="FZ182" s="491"/>
      <c r="GA182" s="491"/>
      <c r="GB182" s="491"/>
      <c r="GC182" s="491"/>
      <c r="GD182" s="491"/>
      <c r="GE182" s="491"/>
      <c r="GF182" s="491"/>
      <c r="GG182" s="491"/>
      <c r="GH182" s="491"/>
      <c r="GI182" s="491"/>
      <c r="GJ182" s="491"/>
      <c r="GK182" s="491"/>
      <c r="GL182" s="491"/>
      <c r="GM182" s="491"/>
      <c r="GN182" s="491"/>
      <c r="GO182" s="491"/>
      <c r="GP182" s="491"/>
      <c r="GQ182" s="491"/>
      <c r="GR182" s="491"/>
      <c r="GS182" s="491"/>
      <c r="GT182" s="491"/>
      <c r="GU182" s="491"/>
      <c r="GV182" s="491"/>
      <c r="GW182" s="491"/>
      <c r="GX182" s="491"/>
      <c r="GY182" s="491"/>
      <c r="GZ182" s="491"/>
      <c r="HA182" s="491"/>
      <c r="HB182" s="491"/>
      <c r="HC182" s="491"/>
      <c r="HD182" s="491"/>
      <c r="HE182" s="491"/>
      <c r="HF182" s="491"/>
      <c r="HG182" s="491"/>
      <c r="HH182" s="491"/>
      <c r="HI182" s="491"/>
      <c r="HJ182" s="491"/>
      <c r="HK182" s="491"/>
      <c r="HL182" s="491"/>
      <c r="HM182" s="491"/>
      <c r="HN182" s="491"/>
      <c r="HO182" s="491"/>
      <c r="HP182" s="491"/>
      <c r="HQ182" s="491"/>
      <c r="HR182" s="491"/>
      <c r="HS182" s="491"/>
      <c r="HT182" s="491"/>
      <c r="HU182" s="491"/>
      <c r="HV182" s="491"/>
      <c r="HW182" s="491"/>
      <c r="HX182" s="491"/>
      <c r="HY182" s="491"/>
      <c r="HZ182" s="491"/>
      <c r="IA182" s="491"/>
      <c r="IB182" s="491"/>
      <c r="IC182" s="491"/>
      <c r="ID182" s="491"/>
      <c r="IE182" s="491"/>
      <c r="IF182" s="491"/>
      <c r="IG182" s="491"/>
      <c r="IH182" s="491"/>
      <c r="II182" s="491"/>
      <c r="IJ182" s="491"/>
      <c r="IK182" s="491"/>
      <c r="IL182" s="491"/>
      <c r="IM182" s="491"/>
      <c r="IN182" s="491"/>
      <c r="IO182" s="491"/>
      <c r="IP182" s="491"/>
      <c r="IQ182" s="491"/>
      <c r="IR182" s="491"/>
      <c r="IS182" s="491"/>
      <c r="IT182" s="491"/>
      <c r="IU182" s="491"/>
      <c r="IV182" s="491"/>
      <c r="LT182" s="738"/>
      <c r="MN182" s="491"/>
      <c r="MO182" s="491"/>
      <c r="MP182" s="491"/>
      <c r="MQ182" s="491"/>
      <c r="MR182" s="491"/>
      <c r="MS182" s="491"/>
      <c r="MT182" s="491"/>
      <c r="MU182" s="491"/>
      <c r="MV182" s="491"/>
      <c r="MW182" s="491"/>
      <c r="MX182" s="491"/>
      <c r="MY182" s="491"/>
      <c r="MZ182" s="491"/>
      <c r="NA182" s="491"/>
      <c r="NB182" s="491"/>
      <c r="NC182" s="491"/>
      <c r="ND182" s="491"/>
      <c r="NE182" s="491"/>
      <c r="NF182" s="491"/>
      <c r="NG182" s="491"/>
      <c r="NH182" s="491"/>
      <c r="NI182" s="491"/>
      <c r="NJ182" s="491"/>
      <c r="NK182" s="491"/>
      <c r="NL182" s="491"/>
      <c r="NM182" s="491"/>
      <c r="NN182" s="491"/>
      <c r="NO182" s="491"/>
      <c r="NP182" s="491"/>
      <c r="NQ182" s="491"/>
      <c r="NR182" s="491"/>
      <c r="NS182" s="739"/>
      <c r="NT182" s="491"/>
      <c r="NU182" s="491"/>
      <c r="NV182" s="491"/>
      <c r="NW182" s="491"/>
      <c r="NX182" s="491"/>
      <c r="NY182" s="491"/>
      <c r="NZ182" s="491"/>
      <c r="OA182" s="491"/>
      <c r="OB182" s="491"/>
      <c r="OC182" s="491"/>
      <c r="OD182" s="491"/>
      <c r="OE182" s="491"/>
      <c r="OF182" s="491"/>
      <c r="OG182" s="491"/>
      <c r="OH182" s="491"/>
      <c r="OI182" s="491"/>
      <c r="OJ182" s="491"/>
      <c r="OK182" s="491"/>
      <c r="OL182" s="491"/>
      <c r="OM182" s="491"/>
      <c r="ON182" s="491"/>
      <c r="OO182" s="491"/>
      <c r="OP182" s="491"/>
      <c r="OQ182" s="491"/>
      <c r="OR182" s="491"/>
      <c r="OS182" s="491"/>
      <c r="OT182" s="491"/>
      <c r="OU182" s="491"/>
      <c r="OV182" s="491"/>
      <c r="OW182" s="491"/>
      <c r="OX182" s="491"/>
      <c r="OY182" s="491"/>
      <c r="OZ182" s="491"/>
      <c r="PA182" s="491"/>
      <c r="PB182" s="491"/>
      <c r="PC182" s="491"/>
      <c r="PD182" s="491"/>
      <c r="PE182" s="491"/>
      <c r="PF182" s="491"/>
      <c r="PG182" s="491"/>
      <c r="PH182" s="491"/>
      <c r="PI182" s="491"/>
      <c r="PJ182" s="491"/>
      <c r="PK182" s="491"/>
      <c r="PL182" s="491"/>
      <c r="PM182" s="491"/>
      <c r="PN182" s="491"/>
      <c r="PW182" s="482"/>
    </row>
    <row r="183" spans="11:439" ht="12.75" customHeight="1" x14ac:dyDescent="0.25">
      <c r="K183" s="482"/>
      <c r="N183" s="485"/>
      <c r="FZ183" s="491"/>
      <c r="GA183" s="491"/>
      <c r="GB183" s="491"/>
      <c r="GC183" s="491"/>
      <c r="GD183" s="491"/>
      <c r="GE183" s="491"/>
      <c r="GF183" s="491"/>
      <c r="GG183" s="491"/>
      <c r="GH183" s="491"/>
      <c r="GI183" s="491"/>
      <c r="GJ183" s="491"/>
      <c r="GK183" s="491"/>
      <c r="GL183" s="491"/>
      <c r="GM183" s="491"/>
      <c r="GN183" s="491"/>
      <c r="GO183" s="491"/>
      <c r="GP183" s="491"/>
      <c r="GQ183" s="491"/>
      <c r="GR183" s="491"/>
      <c r="GS183" s="491"/>
      <c r="GT183" s="491"/>
      <c r="GU183" s="491"/>
      <c r="GV183" s="491"/>
      <c r="GW183" s="491"/>
      <c r="GX183" s="491"/>
      <c r="GY183" s="491"/>
      <c r="GZ183" s="491"/>
      <c r="HA183" s="491"/>
      <c r="HB183" s="739"/>
      <c r="HC183" s="491"/>
      <c r="HD183" s="491"/>
      <c r="HE183" s="491"/>
      <c r="HF183" s="491"/>
      <c r="HG183" s="491"/>
      <c r="HH183" s="491"/>
      <c r="HI183" s="491"/>
      <c r="HJ183" s="491"/>
      <c r="HK183" s="491"/>
      <c r="HL183" s="491"/>
      <c r="HM183" s="491"/>
      <c r="HN183" s="491"/>
      <c r="HO183" s="491"/>
      <c r="HP183" s="491"/>
      <c r="HQ183" s="491"/>
      <c r="HR183" s="491"/>
      <c r="HS183" s="491"/>
      <c r="HT183" s="491"/>
      <c r="HU183" s="491"/>
      <c r="HV183" s="491"/>
      <c r="HW183" s="491"/>
      <c r="HX183" s="491"/>
      <c r="HY183" s="491"/>
      <c r="HZ183" s="491"/>
      <c r="IA183" s="491"/>
      <c r="IB183" s="491"/>
      <c r="IC183" s="491"/>
      <c r="ID183" s="491"/>
      <c r="IE183" s="491"/>
      <c r="IF183" s="491"/>
      <c r="IG183" s="491"/>
      <c r="IH183" s="491"/>
      <c r="II183" s="491"/>
      <c r="IJ183" s="491"/>
      <c r="IK183" s="491"/>
      <c r="IL183" s="491"/>
      <c r="IM183" s="491"/>
      <c r="IN183" s="491"/>
      <c r="IO183" s="491"/>
      <c r="IP183" s="491"/>
      <c r="IQ183" s="491"/>
      <c r="IR183" s="491"/>
      <c r="IS183" s="491"/>
      <c r="IT183" s="491"/>
      <c r="IU183" s="491"/>
      <c r="IV183" s="491"/>
      <c r="LT183" s="738"/>
      <c r="MN183" s="491"/>
      <c r="MO183" s="491"/>
      <c r="MP183" s="491"/>
      <c r="MQ183" s="491"/>
      <c r="MR183" s="491"/>
      <c r="MS183" s="491"/>
      <c r="MT183" s="491"/>
      <c r="MU183" s="491"/>
      <c r="MV183" s="491"/>
      <c r="MW183" s="491"/>
      <c r="MX183" s="491"/>
      <c r="MY183" s="491"/>
      <c r="MZ183" s="491"/>
      <c r="NA183" s="491"/>
      <c r="NB183" s="491"/>
      <c r="NC183" s="491"/>
      <c r="ND183" s="491"/>
      <c r="NE183" s="491"/>
      <c r="NF183" s="491"/>
      <c r="NG183" s="491"/>
      <c r="NH183" s="491"/>
      <c r="NI183" s="491"/>
      <c r="NJ183" s="491"/>
      <c r="NK183" s="491"/>
      <c r="NL183" s="491"/>
      <c r="NM183" s="491"/>
      <c r="NN183" s="491"/>
      <c r="NO183" s="491"/>
      <c r="NP183" s="491"/>
      <c r="NQ183" s="491"/>
      <c r="NR183" s="491"/>
      <c r="NS183" s="491"/>
      <c r="NT183" s="491"/>
      <c r="NU183" s="491"/>
      <c r="NV183" s="491"/>
      <c r="NW183" s="491"/>
      <c r="NX183" s="491"/>
      <c r="NY183" s="491"/>
      <c r="NZ183" s="491"/>
      <c r="OA183" s="491"/>
      <c r="OB183" s="491"/>
      <c r="OC183" s="491"/>
      <c r="OD183" s="491"/>
      <c r="OE183" s="491"/>
      <c r="OF183" s="491"/>
      <c r="OG183" s="491"/>
      <c r="OH183" s="491"/>
      <c r="OI183" s="491"/>
      <c r="OJ183" s="491"/>
      <c r="OK183" s="491"/>
      <c r="OL183" s="491"/>
      <c r="OM183" s="491"/>
      <c r="ON183" s="491"/>
      <c r="OO183" s="491"/>
      <c r="OP183" s="491"/>
      <c r="OQ183" s="491"/>
      <c r="OR183" s="491"/>
      <c r="OS183" s="491"/>
      <c r="OT183" s="491"/>
      <c r="OU183" s="491"/>
      <c r="OV183" s="491"/>
      <c r="OW183" s="491"/>
      <c r="OX183" s="491"/>
      <c r="OY183" s="491"/>
      <c r="OZ183" s="491"/>
      <c r="PA183" s="491"/>
      <c r="PB183" s="491"/>
      <c r="PC183" s="491"/>
      <c r="PD183" s="491"/>
      <c r="PE183" s="491"/>
      <c r="PF183" s="491"/>
      <c r="PG183" s="491"/>
      <c r="PH183" s="491"/>
      <c r="PI183" s="491"/>
      <c r="PJ183" s="491"/>
      <c r="PK183" s="491"/>
      <c r="PL183" s="491"/>
      <c r="PM183" s="491"/>
      <c r="PN183" s="491"/>
      <c r="PW183" s="482"/>
    </row>
    <row r="184" spans="11:439" ht="12.75" customHeight="1" x14ac:dyDescent="0.25">
      <c r="K184" s="482"/>
      <c r="FZ184" s="491"/>
      <c r="GA184" s="491"/>
      <c r="GB184" s="491"/>
      <c r="GC184" s="491"/>
      <c r="GD184" s="491"/>
      <c r="GE184" s="491"/>
      <c r="GF184" s="491"/>
      <c r="GG184" s="491"/>
      <c r="GH184" s="491"/>
      <c r="GI184" s="491"/>
      <c r="GJ184" s="491"/>
      <c r="GK184" s="491"/>
      <c r="GL184" s="491"/>
      <c r="GM184" s="491"/>
      <c r="GN184" s="491"/>
      <c r="GO184" s="491"/>
      <c r="GP184" s="491"/>
      <c r="GQ184" s="491"/>
      <c r="GR184" s="491"/>
      <c r="GS184" s="491"/>
      <c r="GT184" s="491"/>
      <c r="GU184" s="491"/>
      <c r="GV184" s="491"/>
      <c r="GW184" s="491"/>
      <c r="GX184" s="491"/>
      <c r="GY184" s="491"/>
      <c r="GZ184" s="491"/>
      <c r="HA184" s="491"/>
      <c r="HB184" s="491"/>
      <c r="HC184" s="491"/>
      <c r="HD184" s="491"/>
      <c r="HE184" s="491"/>
      <c r="HF184" s="491"/>
      <c r="HG184" s="491"/>
      <c r="HH184" s="491"/>
      <c r="HI184" s="491"/>
      <c r="HJ184" s="491"/>
      <c r="HK184" s="491"/>
      <c r="HL184" s="491"/>
      <c r="HM184" s="491"/>
      <c r="HN184" s="491"/>
      <c r="HO184" s="491"/>
      <c r="HP184" s="491"/>
      <c r="HQ184" s="491"/>
      <c r="HR184" s="491"/>
      <c r="HS184" s="491"/>
      <c r="HT184" s="491"/>
      <c r="HU184" s="491"/>
      <c r="HV184" s="491"/>
      <c r="HW184" s="491"/>
      <c r="HX184" s="491"/>
      <c r="HY184" s="491"/>
      <c r="HZ184" s="491"/>
      <c r="IA184" s="491"/>
      <c r="IB184" s="491"/>
      <c r="IC184" s="491"/>
      <c r="ID184" s="491"/>
      <c r="IE184" s="491"/>
      <c r="IF184" s="491"/>
      <c r="IG184" s="491"/>
      <c r="IH184" s="491"/>
      <c r="II184" s="491"/>
      <c r="IJ184" s="491"/>
      <c r="IK184" s="491"/>
      <c r="IL184" s="491"/>
      <c r="IM184" s="491"/>
      <c r="IN184" s="491"/>
      <c r="IO184" s="491"/>
      <c r="IP184" s="491"/>
      <c r="IQ184" s="491"/>
      <c r="IR184" s="491"/>
      <c r="IS184" s="491"/>
      <c r="IT184" s="491"/>
      <c r="IU184" s="491"/>
      <c r="IV184" s="491"/>
      <c r="LT184" s="738"/>
      <c r="MN184" s="491"/>
      <c r="MO184" s="491"/>
      <c r="MP184" s="491"/>
      <c r="MQ184" s="491"/>
      <c r="MR184" s="491"/>
      <c r="MS184" s="491"/>
      <c r="MT184" s="491"/>
      <c r="MU184" s="491"/>
      <c r="MV184" s="491"/>
      <c r="MW184" s="491"/>
      <c r="MX184" s="491"/>
      <c r="MY184" s="491"/>
      <c r="MZ184" s="491"/>
      <c r="NA184" s="491"/>
      <c r="NB184" s="491"/>
      <c r="NC184" s="491"/>
      <c r="ND184" s="491"/>
      <c r="NE184" s="491"/>
      <c r="NF184" s="491"/>
      <c r="NG184" s="491"/>
      <c r="NH184" s="491"/>
      <c r="NI184" s="491"/>
      <c r="NJ184" s="491"/>
      <c r="NK184" s="491"/>
      <c r="NL184" s="491"/>
      <c r="NM184" s="491"/>
      <c r="NN184" s="491"/>
      <c r="NO184" s="491"/>
      <c r="NP184" s="491"/>
      <c r="NQ184" s="491"/>
      <c r="NR184" s="491"/>
      <c r="NS184" s="491"/>
      <c r="NT184" s="491"/>
      <c r="NU184" s="491"/>
      <c r="NV184" s="491"/>
      <c r="NW184" s="491"/>
      <c r="NX184" s="491"/>
      <c r="NY184" s="491"/>
      <c r="NZ184" s="491"/>
      <c r="OA184" s="491"/>
      <c r="OB184" s="491"/>
      <c r="OC184" s="491"/>
      <c r="OD184" s="491"/>
      <c r="OE184" s="491"/>
      <c r="OF184" s="491"/>
      <c r="OG184" s="491"/>
      <c r="OH184" s="491"/>
      <c r="OI184" s="491"/>
      <c r="OJ184" s="491"/>
      <c r="OK184" s="491"/>
      <c r="OL184" s="491"/>
      <c r="OM184" s="491"/>
      <c r="ON184" s="491"/>
      <c r="OO184" s="491"/>
      <c r="OP184" s="491"/>
      <c r="OQ184" s="491"/>
      <c r="OR184" s="491"/>
      <c r="OS184" s="491"/>
      <c r="OT184" s="491"/>
      <c r="OU184" s="491"/>
      <c r="OV184" s="491"/>
      <c r="OW184" s="491"/>
      <c r="OX184" s="491"/>
      <c r="OY184" s="491"/>
      <c r="OZ184" s="491"/>
      <c r="PA184" s="491"/>
      <c r="PB184" s="491"/>
      <c r="PC184" s="491"/>
      <c r="PD184" s="491"/>
      <c r="PE184" s="491"/>
      <c r="PF184" s="491"/>
      <c r="PG184" s="491"/>
      <c r="PH184" s="491"/>
      <c r="PI184" s="491"/>
      <c r="PJ184" s="491"/>
      <c r="PK184" s="491"/>
      <c r="PL184" s="491"/>
      <c r="PM184" s="491"/>
      <c r="PN184" s="491"/>
      <c r="PW184" s="482"/>
    </row>
    <row r="185" spans="11:439" ht="12.75" customHeight="1" x14ac:dyDescent="0.25">
      <c r="K185" s="482"/>
      <c r="N185" s="485"/>
      <c r="LT185" s="738"/>
      <c r="MN185" s="491"/>
      <c r="MO185" s="491"/>
      <c r="MP185" s="491"/>
      <c r="MQ185" s="491"/>
      <c r="MR185" s="491"/>
      <c r="MS185" s="491"/>
      <c r="MT185" s="491"/>
      <c r="MU185" s="491"/>
      <c r="MV185" s="491"/>
      <c r="MW185" s="491"/>
      <c r="MX185" s="491"/>
      <c r="MY185" s="491"/>
      <c r="MZ185" s="491"/>
      <c r="NA185" s="491"/>
      <c r="NB185" s="491"/>
      <c r="NC185" s="491"/>
      <c r="ND185" s="491"/>
      <c r="NE185" s="491"/>
      <c r="NF185" s="491"/>
      <c r="NG185" s="491"/>
      <c r="NH185" s="491"/>
      <c r="NI185" s="491"/>
      <c r="NJ185" s="491"/>
      <c r="NK185" s="491"/>
      <c r="NL185" s="491"/>
      <c r="NM185" s="491"/>
      <c r="NN185" s="491"/>
      <c r="NO185" s="491"/>
      <c r="NP185" s="491"/>
      <c r="NQ185" s="491"/>
      <c r="NR185" s="491"/>
      <c r="NS185" s="491"/>
      <c r="NT185" s="491"/>
      <c r="NU185" s="491"/>
      <c r="NV185" s="491"/>
      <c r="NW185" s="491"/>
      <c r="NX185" s="491"/>
      <c r="NY185" s="491"/>
      <c r="NZ185" s="491"/>
      <c r="OA185" s="491"/>
      <c r="OB185" s="491"/>
      <c r="OC185" s="491"/>
      <c r="OD185" s="491"/>
      <c r="OE185" s="491"/>
      <c r="OF185" s="491"/>
      <c r="OG185" s="491"/>
      <c r="OH185" s="491"/>
      <c r="OI185" s="491"/>
      <c r="OJ185" s="491"/>
      <c r="OK185" s="491"/>
      <c r="OL185" s="491"/>
      <c r="OM185" s="491"/>
      <c r="ON185" s="491"/>
      <c r="OO185" s="491"/>
      <c r="OP185" s="491"/>
      <c r="OQ185" s="491"/>
      <c r="OR185" s="491"/>
      <c r="OS185" s="491"/>
      <c r="OT185" s="491"/>
      <c r="OU185" s="491"/>
      <c r="OV185" s="491"/>
      <c r="OW185" s="491"/>
      <c r="OX185" s="491"/>
      <c r="OY185" s="491"/>
      <c r="OZ185" s="491"/>
      <c r="PA185" s="491"/>
      <c r="PB185" s="491"/>
      <c r="PC185" s="491"/>
      <c r="PD185" s="491"/>
      <c r="PE185" s="491"/>
      <c r="PF185" s="491"/>
      <c r="PG185" s="491"/>
      <c r="PH185" s="491"/>
      <c r="PI185" s="491"/>
      <c r="PJ185" s="491"/>
      <c r="PK185" s="491"/>
      <c r="PL185" s="491"/>
      <c r="PM185" s="491"/>
      <c r="PN185" s="491"/>
      <c r="PW185" s="482"/>
    </row>
    <row r="186" spans="11:439" ht="12.75" customHeight="1" x14ac:dyDescent="0.25">
      <c r="K186" s="482"/>
      <c r="LT186" s="738"/>
      <c r="MN186" s="491"/>
      <c r="MO186" s="491"/>
      <c r="MP186" s="491"/>
      <c r="MQ186" s="491"/>
      <c r="MR186" s="491"/>
      <c r="MS186" s="491"/>
      <c r="MT186" s="491"/>
      <c r="MU186" s="491"/>
      <c r="MV186" s="491"/>
      <c r="MW186" s="491"/>
      <c r="MX186" s="491"/>
      <c r="MY186" s="491"/>
      <c r="MZ186" s="491"/>
      <c r="NA186" s="491"/>
      <c r="NB186" s="491"/>
      <c r="NC186" s="491"/>
      <c r="ND186" s="491"/>
      <c r="NE186" s="491"/>
      <c r="NF186" s="491"/>
      <c r="NG186" s="491"/>
      <c r="NH186" s="491"/>
      <c r="NI186" s="491"/>
      <c r="NJ186" s="491"/>
      <c r="NK186" s="491"/>
      <c r="NL186" s="491"/>
      <c r="NM186" s="491"/>
      <c r="NN186" s="491"/>
      <c r="NO186" s="491"/>
      <c r="NP186" s="491"/>
      <c r="NQ186" s="491"/>
      <c r="NR186" s="491"/>
      <c r="NS186" s="491"/>
      <c r="NT186" s="491"/>
      <c r="NU186" s="491"/>
      <c r="NV186" s="491"/>
      <c r="NW186" s="491"/>
      <c r="NX186" s="491"/>
      <c r="NY186" s="491"/>
      <c r="NZ186" s="491"/>
      <c r="OA186" s="491"/>
      <c r="OB186" s="491"/>
      <c r="OC186" s="491"/>
      <c r="OD186" s="491"/>
      <c r="OE186" s="491"/>
      <c r="OF186" s="491"/>
      <c r="OG186" s="491"/>
      <c r="OH186" s="491"/>
      <c r="OI186" s="491"/>
      <c r="OJ186" s="491"/>
      <c r="OK186" s="491"/>
      <c r="OL186" s="491"/>
      <c r="OM186" s="491"/>
      <c r="ON186" s="491"/>
      <c r="OO186" s="491"/>
      <c r="OP186" s="491"/>
      <c r="OQ186" s="491"/>
      <c r="OR186" s="491"/>
      <c r="OS186" s="491"/>
      <c r="OT186" s="491"/>
      <c r="OU186" s="491"/>
      <c r="OV186" s="491"/>
      <c r="OW186" s="491"/>
      <c r="OX186" s="491"/>
      <c r="OY186" s="491"/>
      <c r="OZ186" s="491"/>
      <c r="PA186" s="491"/>
      <c r="PB186" s="491"/>
      <c r="PC186" s="491"/>
      <c r="PD186" s="491"/>
      <c r="PE186" s="491"/>
      <c r="PF186" s="491"/>
      <c r="PG186" s="491"/>
      <c r="PH186" s="491"/>
      <c r="PI186" s="491"/>
      <c r="PJ186" s="491"/>
      <c r="PK186" s="491"/>
      <c r="PL186" s="491"/>
      <c r="PM186" s="491"/>
      <c r="PN186" s="491"/>
      <c r="PW186" s="482"/>
    </row>
    <row r="187" spans="11:439" ht="12.75" customHeight="1" x14ac:dyDescent="0.25">
      <c r="K187" s="482"/>
      <c r="LT187" s="738"/>
      <c r="MN187" s="491"/>
      <c r="MO187" s="491"/>
      <c r="MP187" s="491"/>
      <c r="MQ187" s="491"/>
      <c r="MR187" s="491"/>
      <c r="MS187" s="491"/>
      <c r="MT187" s="491"/>
      <c r="MU187" s="491"/>
      <c r="MV187" s="491"/>
      <c r="MW187" s="491"/>
      <c r="MX187" s="491"/>
      <c r="MY187" s="491"/>
      <c r="MZ187" s="491"/>
      <c r="NA187" s="491"/>
      <c r="NB187" s="491"/>
      <c r="NC187" s="491"/>
      <c r="ND187" s="491"/>
      <c r="NE187" s="491"/>
      <c r="NF187" s="491"/>
      <c r="NG187" s="491"/>
      <c r="NH187" s="491"/>
      <c r="NI187" s="491"/>
      <c r="NJ187" s="491"/>
      <c r="NK187" s="491"/>
      <c r="NL187" s="491"/>
      <c r="NM187" s="491"/>
      <c r="NN187" s="491"/>
      <c r="NO187" s="491"/>
      <c r="NP187" s="491"/>
      <c r="NQ187" s="491"/>
      <c r="NR187" s="491"/>
      <c r="NS187" s="491"/>
      <c r="NT187" s="491"/>
      <c r="NU187" s="491"/>
      <c r="NV187" s="491"/>
      <c r="NW187" s="491"/>
      <c r="NX187" s="491"/>
      <c r="NY187" s="491"/>
      <c r="NZ187" s="491"/>
      <c r="OA187" s="491"/>
      <c r="OB187" s="491"/>
      <c r="OC187" s="491"/>
      <c r="OD187" s="491"/>
      <c r="OE187" s="491"/>
      <c r="OF187" s="491"/>
      <c r="OG187" s="491"/>
      <c r="OH187" s="491"/>
      <c r="OI187" s="491"/>
      <c r="OJ187" s="491"/>
      <c r="OK187" s="491"/>
      <c r="OL187" s="491"/>
      <c r="OM187" s="491"/>
      <c r="ON187" s="491"/>
      <c r="OO187" s="491"/>
      <c r="OP187" s="491"/>
      <c r="OQ187" s="491"/>
      <c r="OR187" s="491"/>
      <c r="OS187" s="491"/>
      <c r="OT187" s="491"/>
      <c r="OU187" s="491"/>
      <c r="OV187" s="491"/>
      <c r="OW187" s="491"/>
      <c r="OX187" s="491"/>
      <c r="OY187" s="491"/>
      <c r="OZ187" s="491"/>
      <c r="PA187" s="491"/>
      <c r="PB187" s="491"/>
      <c r="PC187" s="491"/>
      <c r="PD187" s="491"/>
      <c r="PE187" s="491"/>
      <c r="PF187" s="491"/>
      <c r="PG187" s="491"/>
      <c r="PH187" s="491"/>
      <c r="PI187" s="491"/>
      <c r="PJ187" s="491"/>
      <c r="PK187" s="491"/>
      <c r="PL187" s="491"/>
      <c r="PM187" s="491"/>
      <c r="PN187" s="491"/>
      <c r="PW187" s="482"/>
    </row>
    <row r="188" spans="11:439" ht="12.75" customHeight="1" x14ac:dyDescent="0.25">
      <c r="K188" s="482"/>
      <c r="LT188" s="738"/>
      <c r="MN188" s="491"/>
      <c r="MO188" s="491"/>
      <c r="MP188" s="491"/>
      <c r="MQ188" s="491"/>
      <c r="MR188" s="491"/>
      <c r="MS188" s="491"/>
      <c r="MT188" s="491"/>
      <c r="MU188" s="491"/>
      <c r="MV188" s="491"/>
      <c r="MW188" s="491"/>
      <c r="MX188" s="491"/>
      <c r="MY188" s="491"/>
      <c r="MZ188" s="491"/>
      <c r="NA188" s="491"/>
      <c r="NB188" s="491"/>
      <c r="NC188" s="491"/>
      <c r="ND188" s="491"/>
      <c r="NE188" s="491"/>
      <c r="NF188" s="491"/>
      <c r="NG188" s="491"/>
      <c r="NH188" s="491"/>
      <c r="NI188" s="491"/>
      <c r="NJ188" s="491"/>
      <c r="NK188" s="491"/>
      <c r="NL188" s="491"/>
      <c r="NM188" s="491"/>
      <c r="NN188" s="491"/>
      <c r="NO188" s="491"/>
      <c r="NP188" s="491"/>
      <c r="NQ188" s="491"/>
      <c r="NR188" s="491"/>
      <c r="NS188" s="491"/>
      <c r="NT188" s="491"/>
      <c r="NU188" s="491"/>
      <c r="NV188" s="491"/>
      <c r="NW188" s="491"/>
      <c r="NX188" s="491"/>
      <c r="NY188" s="491"/>
      <c r="NZ188" s="491"/>
      <c r="OA188" s="491"/>
      <c r="OB188" s="491"/>
      <c r="OC188" s="491"/>
      <c r="OD188" s="491"/>
      <c r="OE188" s="491"/>
      <c r="OF188" s="491"/>
      <c r="OG188" s="491"/>
      <c r="OH188" s="491"/>
      <c r="OI188" s="491"/>
      <c r="OJ188" s="491"/>
      <c r="OK188" s="491"/>
      <c r="OL188" s="491"/>
      <c r="OM188" s="491"/>
      <c r="ON188" s="491"/>
      <c r="OO188" s="491"/>
      <c r="OP188" s="491"/>
      <c r="OQ188" s="491"/>
      <c r="OR188" s="491"/>
      <c r="OS188" s="491"/>
      <c r="OT188" s="491"/>
      <c r="OU188" s="491"/>
      <c r="OV188" s="491"/>
      <c r="OW188" s="491"/>
      <c r="OX188" s="491"/>
      <c r="OY188" s="491"/>
      <c r="OZ188" s="491"/>
      <c r="PA188" s="491"/>
      <c r="PB188" s="491"/>
      <c r="PC188" s="491"/>
      <c r="PD188" s="491"/>
      <c r="PE188" s="491"/>
      <c r="PF188" s="491"/>
      <c r="PG188" s="491"/>
      <c r="PH188" s="491"/>
      <c r="PI188" s="491"/>
      <c r="PJ188" s="491"/>
      <c r="PK188" s="491"/>
      <c r="PL188" s="491"/>
      <c r="PM188" s="491"/>
      <c r="PN188" s="491"/>
      <c r="PW188" s="482"/>
    </row>
    <row r="189" spans="11:439" ht="12.75" customHeight="1" x14ac:dyDescent="0.25">
      <c r="K189" s="482"/>
      <c r="LT189" s="738"/>
      <c r="MN189" s="491"/>
      <c r="MO189" s="491"/>
      <c r="MP189" s="491"/>
      <c r="MQ189" s="491"/>
      <c r="MR189" s="491"/>
      <c r="MS189" s="491"/>
      <c r="MT189" s="491"/>
      <c r="MU189" s="491"/>
      <c r="MV189" s="491"/>
      <c r="MW189" s="491"/>
      <c r="MX189" s="491"/>
      <c r="MY189" s="491"/>
      <c r="MZ189" s="491"/>
      <c r="NA189" s="491"/>
      <c r="NB189" s="491"/>
      <c r="NC189" s="491"/>
      <c r="ND189" s="491"/>
      <c r="NE189" s="491"/>
      <c r="NF189" s="491"/>
      <c r="NG189" s="491"/>
      <c r="NH189" s="491"/>
      <c r="NI189" s="491"/>
      <c r="NJ189" s="491"/>
      <c r="NK189" s="491"/>
      <c r="NL189" s="491"/>
      <c r="NM189" s="491"/>
      <c r="NN189" s="491"/>
      <c r="NO189" s="491"/>
      <c r="NP189" s="491"/>
      <c r="NQ189" s="491"/>
      <c r="NR189" s="491"/>
      <c r="NS189" s="491"/>
      <c r="NT189" s="491"/>
      <c r="NU189" s="491"/>
      <c r="NV189" s="491"/>
      <c r="NW189" s="491"/>
      <c r="NX189" s="491"/>
      <c r="NY189" s="491"/>
      <c r="NZ189" s="491"/>
      <c r="OA189" s="491"/>
      <c r="OB189" s="491"/>
      <c r="OC189" s="491"/>
      <c r="OD189" s="491"/>
      <c r="OE189" s="491"/>
      <c r="OF189" s="491"/>
      <c r="OG189" s="491"/>
      <c r="OH189" s="491"/>
      <c r="OI189" s="491"/>
      <c r="OJ189" s="491"/>
      <c r="OK189" s="491"/>
      <c r="OL189" s="491"/>
      <c r="OM189" s="491"/>
      <c r="ON189" s="491"/>
      <c r="OO189" s="491"/>
      <c r="OP189" s="491"/>
      <c r="OQ189" s="491"/>
      <c r="OR189" s="491"/>
      <c r="OS189" s="491"/>
      <c r="OT189" s="491"/>
      <c r="OU189" s="491"/>
      <c r="OV189" s="491"/>
      <c r="OW189" s="491"/>
      <c r="OX189" s="491"/>
      <c r="OY189" s="491"/>
      <c r="OZ189" s="491"/>
      <c r="PA189" s="491"/>
      <c r="PB189" s="491"/>
      <c r="PC189" s="491"/>
      <c r="PD189" s="491"/>
      <c r="PE189" s="491"/>
      <c r="PF189" s="491"/>
      <c r="PG189" s="491"/>
      <c r="PH189" s="491"/>
      <c r="PI189" s="491"/>
      <c r="PJ189" s="491"/>
      <c r="PK189" s="491"/>
      <c r="PL189" s="491"/>
      <c r="PM189" s="491"/>
      <c r="PN189" s="491"/>
      <c r="PW189" s="482"/>
    </row>
    <row r="190" spans="11:439" ht="12.75" customHeight="1" x14ac:dyDescent="0.25">
      <c r="K190" s="482"/>
      <c r="LT190" s="738"/>
      <c r="MN190" s="491"/>
      <c r="MO190" s="491"/>
      <c r="MP190" s="491"/>
      <c r="MQ190" s="491"/>
      <c r="MR190" s="491"/>
      <c r="MS190" s="491"/>
      <c r="MT190" s="491"/>
      <c r="MU190" s="491"/>
      <c r="MV190" s="491"/>
      <c r="MW190" s="491"/>
      <c r="MX190" s="491"/>
      <c r="MY190" s="491"/>
      <c r="MZ190" s="491"/>
      <c r="NA190" s="491"/>
      <c r="NB190" s="491"/>
      <c r="NC190" s="491"/>
      <c r="ND190" s="491"/>
      <c r="NE190" s="491"/>
      <c r="NF190" s="491"/>
      <c r="NG190" s="491"/>
      <c r="NH190" s="491"/>
      <c r="NI190" s="491"/>
      <c r="NJ190" s="491"/>
      <c r="NK190" s="491"/>
      <c r="NL190" s="491"/>
      <c r="NM190" s="491"/>
      <c r="NN190" s="491"/>
      <c r="NO190" s="491"/>
      <c r="NP190" s="491"/>
      <c r="NQ190" s="491"/>
      <c r="NR190" s="491"/>
      <c r="NS190" s="491"/>
      <c r="NT190" s="491"/>
      <c r="NU190" s="491"/>
      <c r="NV190" s="491"/>
      <c r="NW190" s="491"/>
      <c r="NX190" s="491"/>
      <c r="NY190" s="491"/>
      <c r="NZ190" s="491"/>
      <c r="OA190" s="491"/>
      <c r="OB190" s="491"/>
      <c r="OC190" s="491"/>
      <c r="OD190" s="491"/>
      <c r="OE190" s="491"/>
      <c r="OF190" s="491"/>
      <c r="OG190" s="491"/>
      <c r="OH190" s="491"/>
      <c r="OI190" s="491"/>
      <c r="OJ190" s="491"/>
      <c r="OK190" s="491"/>
      <c r="OL190" s="491"/>
      <c r="OM190" s="491"/>
      <c r="ON190" s="491"/>
      <c r="OO190" s="491"/>
      <c r="OP190" s="491"/>
      <c r="OQ190" s="491"/>
      <c r="OR190" s="491"/>
      <c r="OS190" s="491"/>
      <c r="OT190" s="491"/>
      <c r="OU190" s="491"/>
      <c r="OV190" s="491"/>
      <c r="OW190" s="491"/>
      <c r="OX190" s="491"/>
      <c r="OY190" s="491"/>
      <c r="OZ190" s="491"/>
      <c r="PA190" s="491"/>
      <c r="PB190" s="491"/>
      <c r="PC190" s="491"/>
      <c r="PD190" s="491"/>
      <c r="PE190" s="491"/>
      <c r="PF190" s="491"/>
      <c r="PG190" s="491"/>
      <c r="PH190" s="491"/>
      <c r="PI190" s="491"/>
      <c r="PJ190" s="491"/>
      <c r="PK190" s="491"/>
      <c r="PL190" s="491"/>
      <c r="PM190" s="491"/>
      <c r="PN190" s="491"/>
      <c r="PW190" s="482"/>
    </row>
    <row r="191" spans="11:439" ht="12.75" customHeight="1" x14ac:dyDescent="0.25">
      <c r="K191" s="482"/>
      <c r="LT191" s="738"/>
      <c r="MN191" s="491"/>
      <c r="MO191" s="491"/>
      <c r="MP191" s="491"/>
      <c r="MQ191" s="491"/>
      <c r="MR191" s="491"/>
      <c r="MS191" s="491"/>
      <c r="MT191" s="491"/>
      <c r="MU191" s="491"/>
      <c r="MV191" s="491"/>
      <c r="MW191" s="491"/>
      <c r="MX191" s="491"/>
      <c r="MY191" s="491"/>
      <c r="MZ191" s="491"/>
      <c r="NA191" s="491"/>
      <c r="NB191" s="491"/>
      <c r="NC191" s="491"/>
      <c r="ND191" s="491"/>
      <c r="NE191" s="491"/>
      <c r="NF191" s="491"/>
      <c r="NG191" s="491"/>
      <c r="NH191" s="491"/>
      <c r="NI191" s="491"/>
      <c r="NJ191" s="491"/>
      <c r="NK191" s="491"/>
      <c r="NL191" s="491"/>
      <c r="NM191" s="491"/>
      <c r="NN191" s="491"/>
      <c r="NO191" s="491"/>
      <c r="NP191" s="491"/>
      <c r="NQ191" s="491"/>
      <c r="NR191" s="491"/>
      <c r="NS191" s="491"/>
      <c r="NT191" s="491"/>
      <c r="NU191" s="491"/>
      <c r="NV191" s="491"/>
      <c r="NW191" s="491"/>
      <c r="NX191" s="491"/>
      <c r="NY191" s="491"/>
      <c r="NZ191" s="491"/>
      <c r="OA191" s="491"/>
      <c r="OB191" s="491"/>
      <c r="OC191" s="491"/>
      <c r="OD191" s="491"/>
      <c r="OE191" s="491"/>
      <c r="OF191" s="491"/>
      <c r="OG191" s="491"/>
      <c r="OH191" s="491"/>
      <c r="OI191" s="491"/>
      <c r="OJ191" s="491"/>
      <c r="OK191" s="491"/>
      <c r="OL191" s="491"/>
      <c r="OM191" s="491"/>
      <c r="ON191" s="491"/>
      <c r="OO191" s="491"/>
      <c r="OP191" s="491"/>
      <c r="OQ191" s="491"/>
      <c r="OR191" s="491"/>
      <c r="OS191" s="491"/>
      <c r="OT191" s="491"/>
      <c r="OU191" s="491"/>
      <c r="OV191" s="491"/>
      <c r="OW191" s="491"/>
      <c r="OX191" s="491"/>
      <c r="OY191" s="491"/>
      <c r="OZ191" s="491"/>
      <c r="PA191" s="491"/>
      <c r="PB191" s="491"/>
      <c r="PC191" s="491"/>
      <c r="PD191" s="491"/>
      <c r="PE191" s="491"/>
      <c r="PF191" s="491"/>
      <c r="PG191" s="491"/>
      <c r="PH191" s="491"/>
      <c r="PI191" s="491"/>
      <c r="PJ191" s="491"/>
      <c r="PK191" s="491"/>
      <c r="PL191" s="491"/>
      <c r="PM191" s="491"/>
      <c r="PN191" s="491"/>
      <c r="PW191" s="482"/>
    </row>
    <row r="192" spans="11:439" ht="12.75" customHeight="1" x14ac:dyDescent="0.25">
      <c r="K192" s="482"/>
      <c r="LT192" s="738"/>
      <c r="MN192" s="491"/>
      <c r="MO192" s="491"/>
      <c r="MP192" s="491"/>
      <c r="MQ192" s="491"/>
      <c r="MR192" s="491"/>
      <c r="MS192" s="491"/>
      <c r="MT192" s="491"/>
      <c r="MU192" s="491"/>
      <c r="MV192" s="491"/>
      <c r="MW192" s="491"/>
      <c r="MX192" s="491"/>
      <c r="MY192" s="491"/>
      <c r="MZ192" s="491"/>
      <c r="NA192" s="491"/>
      <c r="NB192" s="491"/>
      <c r="NC192" s="491"/>
      <c r="ND192" s="491"/>
      <c r="NE192" s="491"/>
      <c r="NF192" s="491"/>
      <c r="NG192" s="491"/>
      <c r="NH192" s="491"/>
      <c r="NI192" s="491"/>
      <c r="NJ192" s="491"/>
      <c r="NK192" s="491"/>
      <c r="NL192" s="491"/>
      <c r="NM192" s="491"/>
      <c r="NN192" s="491"/>
      <c r="NO192" s="491"/>
      <c r="NP192" s="491"/>
      <c r="NQ192" s="491"/>
      <c r="NR192" s="491"/>
      <c r="NS192" s="491"/>
      <c r="NT192" s="491"/>
      <c r="NU192" s="491"/>
      <c r="NV192" s="491"/>
      <c r="NW192" s="491"/>
      <c r="NX192" s="491"/>
      <c r="NY192" s="491"/>
      <c r="NZ192" s="491"/>
      <c r="OA192" s="491"/>
      <c r="OB192" s="491"/>
      <c r="OC192" s="491"/>
      <c r="OD192" s="491"/>
      <c r="OE192" s="491"/>
      <c r="OF192" s="491"/>
      <c r="OG192" s="491"/>
      <c r="OH192" s="491"/>
      <c r="OI192" s="491"/>
      <c r="OJ192" s="491"/>
      <c r="OK192" s="491"/>
      <c r="OL192" s="491"/>
      <c r="OM192" s="491"/>
      <c r="ON192" s="491"/>
      <c r="OO192" s="491"/>
      <c r="OP192" s="491"/>
      <c r="OQ192" s="491"/>
      <c r="OR192" s="491"/>
      <c r="OS192" s="491"/>
      <c r="OT192" s="491"/>
      <c r="OU192" s="491"/>
      <c r="OV192" s="491"/>
      <c r="OW192" s="491"/>
      <c r="OX192" s="491"/>
      <c r="OY192" s="491"/>
      <c r="OZ192" s="491"/>
      <c r="PA192" s="491"/>
      <c r="PB192" s="491"/>
      <c r="PC192" s="491"/>
      <c r="PD192" s="491"/>
      <c r="PE192" s="491"/>
      <c r="PF192" s="491"/>
      <c r="PG192" s="491"/>
      <c r="PH192" s="491"/>
      <c r="PI192" s="491"/>
      <c r="PJ192" s="491"/>
      <c r="PK192" s="491"/>
      <c r="PL192" s="491"/>
      <c r="PM192" s="491"/>
      <c r="PN192" s="491"/>
      <c r="PW192" s="482"/>
    </row>
    <row r="193" spans="11:439" ht="12.75" customHeight="1" x14ac:dyDescent="0.25">
      <c r="K193" s="482"/>
      <c r="LT193" s="738"/>
      <c r="PW193" s="482"/>
    </row>
    <row r="194" spans="11:439" ht="12.75" customHeight="1" x14ac:dyDescent="0.25">
      <c r="K194" s="482"/>
      <c r="LT194" s="738"/>
      <c r="PW194" s="482"/>
    </row>
    <row r="195" spans="11:439" ht="12.75" customHeight="1" x14ac:dyDescent="0.25">
      <c r="K195" s="482"/>
      <c r="LT195" s="738"/>
      <c r="PW195" s="482"/>
    </row>
    <row r="196" spans="11:439" ht="12.75" customHeight="1" x14ac:dyDescent="0.25">
      <c r="K196" s="482"/>
      <c r="LT196" s="738"/>
      <c r="PW196" s="482"/>
    </row>
    <row r="197" spans="11:439" ht="12.75" customHeight="1" x14ac:dyDescent="0.25">
      <c r="K197" s="482"/>
      <c r="LT197" s="738"/>
      <c r="PW197" s="482"/>
    </row>
    <row r="198" spans="11:439" ht="12.75" customHeight="1" thickBot="1" x14ac:dyDescent="0.4">
      <c r="K198" s="482"/>
      <c r="L198" s="740"/>
      <c r="M198" s="480"/>
      <c r="N198" s="480"/>
      <c r="O198" s="480"/>
      <c r="P198" s="480"/>
      <c r="Q198" s="480"/>
      <c r="R198" s="480"/>
      <c r="S198" s="480"/>
      <c r="T198" s="480"/>
      <c r="U198" s="480"/>
      <c r="V198" s="480"/>
      <c r="W198" s="480"/>
      <c r="X198" s="480"/>
      <c r="Y198" s="480"/>
      <c r="Z198" s="480"/>
      <c r="AA198" s="480"/>
      <c r="AB198" s="480"/>
      <c r="AC198" s="480"/>
      <c r="AD198" s="480"/>
      <c r="AE198" s="480"/>
      <c r="AF198" s="480"/>
      <c r="AG198" s="480"/>
      <c r="AH198" s="480"/>
      <c r="AI198" s="480"/>
      <c r="AJ198" s="480"/>
      <c r="AK198" s="480"/>
      <c r="AL198" s="480"/>
      <c r="AM198" s="480"/>
      <c r="AN198" s="480"/>
      <c r="AO198" s="480"/>
      <c r="AP198" s="480"/>
      <c r="AQ198" s="480"/>
      <c r="AR198" s="480"/>
      <c r="AS198" s="480"/>
      <c r="AT198" s="480"/>
      <c r="AU198" s="480"/>
      <c r="AV198" s="480"/>
      <c r="AW198" s="480"/>
      <c r="AX198" s="480"/>
      <c r="AY198" s="480"/>
      <c r="AZ198" s="480"/>
      <c r="BA198" s="480"/>
      <c r="BB198" s="480"/>
      <c r="BC198" s="480"/>
      <c r="BD198" s="480"/>
      <c r="BE198" s="480"/>
      <c r="BF198" s="480"/>
      <c r="BG198" s="480"/>
      <c r="BH198" s="480"/>
      <c r="BI198" s="480"/>
      <c r="BJ198" s="480"/>
      <c r="BK198" s="480"/>
      <c r="BL198" s="480"/>
      <c r="BM198" s="480"/>
      <c r="BN198" s="480"/>
      <c r="BO198" s="480"/>
      <c r="BP198" s="480"/>
      <c r="BQ198" s="480"/>
      <c r="BR198" s="480"/>
      <c r="BS198" s="480"/>
      <c r="BT198" s="480"/>
      <c r="BU198" s="480"/>
      <c r="BV198" s="480"/>
      <c r="BW198" s="480"/>
      <c r="BX198" s="480"/>
      <c r="BY198" s="480"/>
      <c r="BZ198" s="480"/>
      <c r="CA198" s="480"/>
      <c r="CB198" s="480"/>
      <c r="CC198" s="480"/>
      <c r="CD198" s="480"/>
      <c r="CE198" s="480"/>
      <c r="CF198" s="480"/>
      <c r="CG198" s="480"/>
      <c r="CH198" s="480"/>
      <c r="CI198" s="480"/>
      <c r="CJ198" s="480"/>
      <c r="CK198" s="480"/>
      <c r="CL198" s="480"/>
      <c r="CM198" s="480"/>
      <c r="CN198" s="480"/>
      <c r="CO198" s="480"/>
      <c r="CP198" s="480"/>
      <c r="CQ198" s="480"/>
      <c r="CR198" s="480"/>
      <c r="CS198" s="480"/>
      <c r="CT198" s="480"/>
      <c r="CU198" s="480"/>
      <c r="CV198" s="480"/>
      <c r="CW198" s="480"/>
      <c r="CX198" s="480"/>
      <c r="CY198" s="480"/>
      <c r="CZ198" s="480"/>
      <c r="DA198" s="480"/>
      <c r="DB198" s="480"/>
      <c r="DC198" s="480"/>
      <c r="DD198" s="480"/>
      <c r="DE198" s="480"/>
      <c r="DF198" s="480"/>
      <c r="DG198" s="480"/>
      <c r="DH198" s="480"/>
      <c r="DI198" s="480"/>
      <c r="DJ198" s="480"/>
      <c r="DK198" s="480"/>
      <c r="DL198" s="480"/>
      <c r="DM198" s="480"/>
      <c r="DN198" s="480"/>
      <c r="DO198" s="480"/>
      <c r="DP198" s="480"/>
      <c r="DQ198" s="480"/>
      <c r="DR198" s="480"/>
      <c r="DS198" s="480"/>
      <c r="DT198" s="480"/>
      <c r="DU198" s="480"/>
      <c r="DV198" s="480"/>
      <c r="DW198" s="480"/>
      <c r="DX198" s="480"/>
      <c r="DY198" s="480"/>
      <c r="DZ198" s="480"/>
      <c r="EA198" s="480"/>
      <c r="EB198" s="480"/>
      <c r="EC198" s="480"/>
      <c r="ED198" s="480"/>
      <c r="EE198" s="480"/>
      <c r="EF198" s="480"/>
      <c r="EG198" s="480"/>
      <c r="EH198" s="480"/>
      <c r="EI198" s="480"/>
      <c r="EJ198" s="480"/>
      <c r="EK198" s="480"/>
      <c r="EL198" s="480"/>
      <c r="EM198" s="480"/>
      <c r="EN198" s="480"/>
      <c r="EO198" s="480"/>
      <c r="EP198" s="480"/>
      <c r="EQ198" s="480"/>
      <c r="ER198" s="480"/>
      <c r="ES198" s="480"/>
      <c r="ET198" s="480"/>
      <c r="EU198" s="480"/>
      <c r="EV198" s="480"/>
      <c r="EW198" s="480"/>
      <c r="EX198" s="480"/>
      <c r="EY198" s="480"/>
      <c r="EZ198" s="480"/>
      <c r="FA198" s="480"/>
      <c r="FB198" s="480"/>
      <c r="FC198" s="480"/>
      <c r="FD198" s="480"/>
      <c r="FE198" s="480"/>
      <c r="FF198" s="480"/>
      <c r="FG198" s="480"/>
      <c r="FH198" s="480"/>
      <c r="FI198" s="480"/>
      <c r="FJ198" s="480"/>
      <c r="FK198" s="480"/>
      <c r="FL198" s="480"/>
      <c r="FM198" s="480"/>
      <c r="FN198" s="480"/>
      <c r="FO198" s="480"/>
      <c r="FP198" s="480"/>
      <c r="FQ198" s="480"/>
      <c r="FR198" s="480"/>
      <c r="FS198" s="480"/>
      <c r="FT198" s="480"/>
      <c r="FU198" s="480"/>
      <c r="FV198" s="480"/>
      <c r="FW198" s="480"/>
      <c r="FX198" s="480"/>
      <c r="FY198" s="480"/>
      <c r="FZ198" s="480"/>
      <c r="GA198" s="480"/>
      <c r="GB198" s="480"/>
      <c r="GC198" s="480"/>
      <c r="GD198" s="480"/>
      <c r="GE198" s="480"/>
      <c r="GF198" s="480"/>
      <c r="GG198" s="480"/>
      <c r="GH198" s="480"/>
      <c r="GI198" s="480"/>
      <c r="GJ198" s="480"/>
      <c r="GK198" s="480"/>
      <c r="GL198" s="480"/>
      <c r="GM198" s="480"/>
      <c r="GN198" s="480"/>
      <c r="GO198" s="480"/>
      <c r="GP198" s="480"/>
      <c r="GQ198" s="480"/>
      <c r="GR198" s="480"/>
      <c r="GS198" s="480"/>
      <c r="GT198" s="480"/>
      <c r="GU198" s="480"/>
      <c r="GV198" s="480"/>
      <c r="GW198" s="480"/>
      <c r="GX198" s="480"/>
      <c r="GY198" s="480"/>
      <c r="GZ198" s="480"/>
      <c r="HA198" s="480"/>
      <c r="HB198" s="480"/>
      <c r="HC198" s="480"/>
      <c r="HD198" s="480"/>
      <c r="HE198" s="480"/>
      <c r="HF198" s="480"/>
      <c r="HG198" s="480"/>
      <c r="HH198" s="480"/>
      <c r="HI198" s="480"/>
      <c r="HJ198" s="480"/>
      <c r="HK198" s="480"/>
      <c r="HL198" s="480"/>
      <c r="HM198" s="480"/>
      <c r="HN198" s="480"/>
      <c r="HO198" s="480"/>
      <c r="HP198" s="480"/>
      <c r="HQ198" s="480"/>
      <c r="HR198" s="480"/>
      <c r="HS198" s="480"/>
      <c r="HT198" s="480"/>
      <c r="HU198" s="480"/>
      <c r="HV198" s="480"/>
      <c r="HW198" s="480"/>
      <c r="HX198" s="480"/>
      <c r="HY198" s="480"/>
      <c r="HZ198" s="480"/>
      <c r="IA198" s="480"/>
      <c r="IB198" s="480"/>
      <c r="IC198" s="480"/>
      <c r="ID198" s="480"/>
      <c r="IE198" s="480"/>
      <c r="IF198" s="480"/>
      <c r="IG198" s="480"/>
      <c r="IH198" s="480"/>
      <c r="II198" s="480"/>
      <c r="IJ198" s="480"/>
      <c r="IK198" s="480"/>
      <c r="IL198" s="480"/>
      <c r="IM198" s="480"/>
      <c r="IN198" s="480"/>
      <c r="IO198" s="480"/>
      <c r="IP198" s="480"/>
      <c r="IQ198" s="480"/>
      <c r="IR198" s="480"/>
      <c r="IS198" s="480"/>
      <c r="IT198" s="480"/>
      <c r="IU198" s="480"/>
      <c r="IV198" s="480"/>
      <c r="IW198" s="480"/>
      <c r="IX198" s="480"/>
      <c r="IY198" s="480"/>
      <c r="IZ198" s="480"/>
      <c r="JA198" s="480"/>
      <c r="JB198" s="480"/>
      <c r="JC198" s="480"/>
      <c r="JD198" s="480"/>
      <c r="JE198" s="480"/>
      <c r="JF198" s="480"/>
      <c r="JG198" s="480"/>
      <c r="JH198" s="480"/>
      <c r="JI198" s="480"/>
      <c r="JJ198" s="480"/>
      <c r="JK198" s="480"/>
      <c r="JL198" s="480"/>
      <c r="JM198" s="480"/>
      <c r="JN198" s="480"/>
      <c r="JO198" s="480"/>
      <c r="JP198" s="480"/>
      <c r="JQ198" s="480"/>
      <c r="JR198" s="480"/>
      <c r="JS198" s="480"/>
      <c r="JT198" s="480"/>
      <c r="JU198" s="480"/>
      <c r="JV198" s="480"/>
      <c r="JW198" s="480"/>
      <c r="JX198" s="480"/>
      <c r="JY198" s="480"/>
      <c r="JZ198" s="480"/>
      <c r="KA198" s="480"/>
      <c r="KB198" s="480"/>
      <c r="KC198" s="480"/>
      <c r="KD198" s="480"/>
      <c r="KE198" s="480"/>
      <c r="KF198" s="480"/>
      <c r="KG198" s="480"/>
      <c r="KH198" s="480"/>
      <c r="KI198" s="480"/>
      <c r="KJ198" s="480"/>
      <c r="KK198" s="480"/>
      <c r="KL198" s="480"/>
      <c r="KM198" s="480"/>
      <c r="KN198" s="480"/>
      <c r="KO198" s="480"/>
      <c r="KP198" s="480"/>
      <c r="KQ198" s="480"/>
      <c r="KR198" s="480"/>
      <c r="KS198" s="480"/>
      <c r="KT198" s="480"/>
      <c r="KU198" s="480"/>
      <c r="KV198" s="480"/>
      <c r="KW198" s="480"/>
      <c r="KX198" s="480"/>
      <c r="KY198" s="480"/>
      <c r="KZ198" s="480"/>
      <c r="LA198" s="480"/>
      <c r="LB198" s="480"/>
      <c r="LC198" s="480"/>
      <c r="LD198" s="480"/>
      <c r="LE198" s="480"/>
      <c r="LF198" s="480"/>
      <c r="LG198" s="480"/>
      <c r="LH198" s="480"/>
      <c r="LI198" s="480"/>
      <c r="LJ198" s="480"/>
      <c r="LK198" s="480"/>
      <c r="LL198" s="480"/>
      <c r="LM198" s="480"/>
      <c r="LN198" s="480"/>
      <c r="LO198" s="480"/>
      <c r="LP198" s="480"/>
      <c r="LQ198" s="480"/>
      <c r="LR198" s="480"/>
      <c r="LS198" s="480"/>
      <c r="LT198" s="480"/>
      <c r="LU198" s="480"/>
      <c r="LV198" s="480"/>
      <c r="LW198" s="480"/>
      <c r="LX198" s="480"/>
      <c r="LY198" s="480"/>
      <c r="LZ198" s="480"/>
      <c r="MA198" s="480"/>
      <c r="MB198" s="480"/>
      <c r="MC198" s="480"/>
      <c r="MD198" s="480"/>
      <c r="ME198" s="480"/>
      <c r="MF198" s="480"/>
      <c r="MG198" s="480"/>
      <c r="MH198" s="480"/>
      <c r="MI198" s="480"/>
      <c r="MJ198" s="480"/>
      <c r="MK198" s="480"/>
      <c r="ML198" s="480"/>
      <c r="MM198" s="480"/>
      <c r="MN198" s="480"/>
      <c r="MO198" s="480"/>
      <c r="MP198" s="480"/>
      <c r="MQ198" s="480"/>
      <c r="MR198" s="480"/>
      <c r="MS198" s="480"/>
      <c r="MT198" s="480"/>
      <c r="MU198" s="480"/>
      <c r="MV198" s="480"/>
      <c r="MW198" s="480"/>
      <c r="MX198" s="480"/>
      <c r="MY198" s="480"/>
      <c r="MZ198" s="480"/>
      <c r="NA198" s="480"/>
      <c r="NB198" s="480"/>
      <c r="NC198" s="480"/>
      <c r="ND198" s="480"/>
      <c r="NE198" s="480"/>
      <c r="NF198" s="480"/>
      <c r="NG198" s="480"/>
      <c r="NH198" s="480"/>
      <c r="NI198" s="480"/>
      <c r="NJ198" s="480"/>
      <c r="NK198" s="480"/>
      <c r="NL198" s="480"/>
      <c r="NM198" s="480"/>
      <c r="NN198" s="480"/>
      <c r="NO198" s="480"/>
      <c r="NP198" s="480"/>
      <c r="NQ198" s="480"/>
      <c r="NR198" s="480"/>
      <c r="NS198" s="480"/>
      <c r="NT198" s="480"/>
      <c r="NU198" s="480"/>
      <c r="NV198" s="480"/>
      <c r="NW198" s="480"/>
      <c r="NX198" s="480"/>
      <c r="NY198" s="480"/>
      <c r="NZ198" s="480"/>
      <c r="OA198" s="480"/>
      <c r="OB198" s="480"/>
      <c r="OC198" s="480"/>
      <c r="OD198" s="480"/>
      <c r="OE198" s="480"/>
      <c r="OF198" s="480"/>
      <c r="OG198" s="480"/>
      <c r="OH198" s="480"/>
      <c r="OI198" s="480"/>
      <c r="OJ198" s="480"/>
      <c r="OK198" s="480"/>
      <c r="OL198" s="480"/>
      <c r="OM198" s="480"/>
      <c r="ON198" s="480"/>
      <c r="OO198" s="480"/>
      <c r="OP198" s="480"/>
      <c r="OQ198" s="480"/>
      <c r="OR198" s="480"/>
      <c r="OS198" s="480"/>
      <c r="OT198" s="480"/>
      <c r="OU198" s="480"/>
      <c r="OV198" s="480"/>
      <c r="OW198" s="480"/>
      <c r="OX198" s="480"/>
      <c r="OY198" s="480"/>
      <c r="OZ198" s="480"/>
      <c r="PA198" s="480"/>
      <c r="PB198" s="480"/>
      <c r="PC198" s="480"/>
      <c r="PD198" s="480"/>
      <c r="PE198" s="480"/>
      <c r="PF198" s="480"/>
      <c r="PG198" s="480"/>
      <c r="PH198" s="480"/>
      <c r="PI198" s="480"/>
      <c r="PJ198" s="480"/>
      <c r="PK198" s="480"/>
      <c r="PL198" s="480"/>
      <c r="PM198" s="480"/>
      <c r="PN198" s="480"/>
      <c r="PO198" s="480"/>
      <c r="PP198" s="480"/>
      <c r="PQ198" s="480"/>
      <c r="PR198" s="480"/>
      <c r="PS198" s="480"/>
      <c r="PT198" s="480"/>
      <c r="PU198" s="480"/>
      <c r="PV198" s="480"/>
      <c r="PW198" s="741"/>
    </row>
  </sheetData>
  <mergeCells count="1218">
    <mergeCell ref="GM171:GV171"/>
    <mergeCell ref="NC171:NL171"/>
    <mergeCell ref="OC171:OL171"/>
    <mergeCell ref="GN172:GV172"/>
    <mergeCell ref="OD172:OL172"/>
    <mergeCell ref="GM173:GV173"/>
    <mergeCell ref="OC173:OL173"/>
    <mergeCell ref="GM169:GV169"/>
    <mergeCell ref="NC169:NL169"/>
    <mergeCell ref="OC169:OL169"/>
    <mergeCell ref="GN170:GV170"/>
    <mergeCell ref="ND170:NL170"/>
    <mergeCell ref="OD170:OL170"/>
    <mergeCell ref="GM167:GV167"/>
    <mergeCell ref="NC167:NL167"/>
    <mergeCell ref="OC167:OL167"/>
    <mergeCell ref="GN168:GV168"/>
    <mergeCell ref="ND168:NL168"/>
    <mergeCell ref="OD168:OL168"/>
    <mergeCell ref="GM165:GV165"/>
    <mergeCell ref="NC165:NL165"/>
    <mergeCell ref="OC165:OL165"/>
    <mergeCell ref="PC165:PL165"/>
    <mergeCell ref="GN166:GV166"/>
    <mergeCell ref="ND166:NL166"/>
    <mergeCell ref="OD166:OL166"/>
    <mergeCell ref="OC163:OL163"/>
    <mergeCell ref="PC163:PL163"/>
    <mergeCell ref="GN164:GV164"/>
    <mergeCell ref="ND164:NL164"/>
    <mergeCell ref="OD164:OL164"/>
    <mergeCell ref="PD164:PL164"/>
    <mergeCell ref="GM163:GV163"/>
    <mergeCell ref="GW163:GZ163"/>
    <mergeCell ref="HA163:HD163"/>
    <mergeCell ref="HE163:HH163"/>
    <mergeCell ref="HI163:HL163"/>
    <mergeCell ref="NC163:NL163"/>
    <mergeCell ref="PC161:PL161"/>
    <mergeCell ref="GN162:GV162"/>
    <mergeCell ref="GW162:GZ162"/>
    <mergeCell ref="HA162:HD162"/>
    <mergeCell ref="HE162:HH162"/>
    <mergeCell ref="HI162:HL162"/>
    <mergeCell ref="ND162:NL162"/>
    <mergeCell ref="OD162:OL162"/>
    <mergeCell ref="PD162:PL162"/>
    <mergeCell ref="OD160:OL160"/>
    <mergeCell ref="PD160:PL160"/>
    <mergeCell ref="GM161:GV161"/>
    <mergeCell ref="GW161:GZ161"/>
    <mergeCell ref="HA161:HD161"/>
    <mergeCell ref="HE161:HH161"/>
    <mergeCell ref="HI161:HL161"/>
    <mergeCell ref="HM161:HV161"/>
    <mergeCell ref="NC161:NL161"/>
    <mergeCell ref="OC161:OL161"/>
    <mergeCell ref="NC159:NL159"/>
    <mergeCell ref="OC159:OL159"/>
    <mergeCell ref="PC159:PL159"/>
    <mergeCell ref="GN160:GV160"/>
    <mergeCell ref="GW160:GZ160"/>
    <mergeCell ref="HA160:HD160"/>
    <mergeCell ref="HE160:HH160"/>
    <mergeCell ref="HI160:HL160"/>
    <mergeCell ref="HN160:HV160"/>
    <mergeCell ref="ND160:NL160"/>
    <mergeCell ref="HN158:HV158"/>
    <mergeCell ref="ND158:NL158"/>
    <mergeCell ref="OD158:OL158"/>
    <mergeCell ref="PD158:PL158"/>
    <mergeCell ref="GM159:GV159"/>
    <mergeCell ref="GW159:GZ159"/>
    <mergeCell ref="HA159:HD159"/>
    <mergeCell ref="HE159:HH159"/>
    <mergeCell ref="HI159:HL159"/>
    <mergeCell ref="HM159:HV159"/>
    <mergeCell ref="HM157:HV157"/>
    <mergeCell ref="HZ157:II157"/>
    <mergeCell ref="NC157:NL157"/>
    <mergeCell ref="OC157:OL157"/>
    <mergeCell ref="PC157:PL157"/>
    <mergeCell ref="GN158:GV158"/>
    <mergeCell ref="GW158:GZ158"/>
    <mergeCell ref="HA158:HD158"/>
    <mergeCell ref="HE158:HH158"/>
    <mergeCell ref="HI158:HL158"/>
    <mergeCell ref="HN156:HV156"/>
    <mergeCell ref="IA156:II156"/>
    <mergeCell ref="ND156:NL156"/>
    <mergeCell ref="OD156:OL156"/>
    <mergeCell ref="PD156:PL156"/>
    <mergeCell ref="GM157:GV157"/>
    <mergeCell ref="GW157:GZ157"/>
    <mergeCell ref="HA157:HD157"/>
    <mergeCell ref="HE157:HH157"/>
    <mergeCell ref="HI157:HL157"/>
    <mergeCell ref="IN155:IQ155"/>
    <mergeCell ref="IR155:IU155"/>
    <mergeCell ref="NC155:NL155"/>
    <mergeCell ref="OC155:OL155"/>
    <mergeCell ref="PC155:PL155"/>
    <mergeCell ref="GN156:GV156"/>
    <mergeCell ref="GW156:GZ156"/>
    <mergeCell ref="HA156:HD156"/>
    <mergeCell ref="HE156:HH156"/>
    <mergeCell ref="HI156:HL156"/>
    <mergeCell ref="PD154:PL154"/>
    <mergeCell ref="GM155:GV155"/>
    <mergeCell ref="GW155:GZ155"/>
    <mergeCell ref="HA155:HD155"/>
    <mergeCell ref="HE155:HH155"/>
    <mergeCell ref="HI155:HL155"/>
    <mergeCell ref="HM155:HV155"/>
    <mergeCell ref="HW155:HY155"/>
    <mergeCell ref="HZ155:II155"/>
    <mergeCell ref="IJ155:IM155"/>
    <mergeCell ref="IA154:II154"/>
    <mergeCell ref="IJ154:IM154"/>
    <mergeCell ref="IN154:IQ154"/>
    <mergeCell ref="IR154:IU154"/>
    <mergeCell ref="ND154:NL154"/>
    <mergeCell ref="OD154:OL154"/>
    <mergeCell ref="GN154:GV154"/>
    <mergeCell ref="GW154:GZ154"/>
    <mergeCell ref="HA154:HD154"/>
    <mergeCell ref="HE154:HH154"/>
    <mergeCell ref="HN154:HV154"/>
    <mergeCell ref="HW154:HY154"/>
    <mergeCell ref="IN153:IQ153"/>
    <mergeCell ref="IR153:IU153"/>
    <mergeCell ref="MP153:MY153"/>
    <mergeCell ref="NC153:NL153"/>
    <mergeCell ref="OC153:OL153"/>
    <mergeCell ref="PC153:PL153"/>
    <mergeCell ref="GM153:GV153"/>
    <mergeCell ref="GZ153:HI153"/>
    <mergeCell ref="HM153:HV153"/>
    <mergeCell ref="HW153:HY153"/>
    <mergeCell ref="HZ153:II153"/>
    <mergeCell ref="IJ153:IM153"/>
    <mergeCell ref="IN152:IQ152"/>
    <mergeCell ref="IR152:IU152"/>
    <mergeCell ref="MQ152:MY152"/>
    <mergeCell ref="ND152:NL152"/>
    <mergeCell ref="OD152:OL152"/>
    <mergeCell ref="PD152:PL152"/>
    <mergeCell ref="MP151:MY151"/>
    <mergeCell ref="NC151:NL151"/>
    <mergeCell ref="OC151:OL151"/>
    <mergeCell ref="PC151:PL151"/>
    <mergeCell ref="GN152:GV152"/>
    <mergeCell ref="HA152:HI152"/>
    <mergeCell ref="HN152:HV152"/>
    <mergeCell ref="HW152:HY152"/>
    <mergeCell ref="IA152:II152"/>
    <mergeCell ref="IJ152:IM152"/>
    <mergeCell ref="PD150:PL150"/>
    <mergeCell ref="EV151:FE151"/>
    <mergeCell ref="GM151:GV151"/>
    <mergeCell ref="GZ151:HI151"/>
    <mergeCell ref="HM151:HV151"/>
    <mergeCell ref="HW151:HY151"/>
    <mergeCell ref="HZ151:II151"/>
    <mergeCell ref="IJ151:IM151"/>
    <mergeCell ref="IN151:IQ151"/>
    <mergeCell ref="IR151:IU151"/>
    <mergeCell ref="IJ150:IM150"/>
    <mergeCell ref="IN150:IQ150"/>
    <mergeCell ref="IR150:IU150"/>
    <mergeCell ref="MQ150:MY150"/>
    <mergeCell ref="ND150:NL150"/>
    <mergeCell ref="OD150:OL150"/>
    <mergeCell ref="OC149:OL149"/>
    <mergeCell ref="PC149:PL149"/>
    <mergeCell ref="BE150:BN150"/>
    <mergeCell ref="BQ150:BZ150"/>
    <mergeCell ref="EW150:FE150"/>
    <mergeCell ref="GN150:GV150"/>
    <mergeCell ref="HA150:HI150"/>
    <mergeCell ref="HN150:HV150"/>
    <mergeCell ref="HW150:HY150"/>
    <mergeCell ref="IA150:II150"/>
    <mergeCell ref="HZ149:II149"/>
    <mergeCell ref="IJ149:IM149"/>
    <mergeCell ref="IN149:IQ149"/>
    <mergeCell ref="IR149:IU149"/>
    <mergeCell ref="MP149:MY149"/>
    <mergeCell ref="NC149:NL149"/>
    <mergeCell ref="ND148:NL148"/>
    <mergeCell ref="OD148:OL148"/>
    <mergeCell ref="PD148:PL148"/>
    <mergeCell ref="BF149:BN149"/>
    <mergeCell ref="BR149:BZ149"/>
    <mergeCell ref="EV149:FE149"/>
    <mergeCell ref="GM149:GV149"/>
    <mergeCell ref="GZ149:HI149"/>
    <mergeCell ref="HM149:HV149"/>
    <mergeCell ref="HW149:HY149"/>
    <mergeCell ref="HW148:HY148"/>
    <mergeCell ref="IA148:II148"/>
    <mergeCell ref="IJ148:IM148"/>
    <mergeCell ref="IN148:IQ148"/>
    <mergeCell ref="IR148:IU148"/>
    <mergeCell ref="MQ148:MY148"/>
    <mergeCell ref="NC147:NL147"/>
    <mergeCell ref="NP147:NY147"/>
    <mergeCell ref="OC147:OL147"/>
    <mergeCell ref="PC147:PL147"/>
    <mergeCell ref="BE148:BN148"/>
    <mergeCell ref="BQ148:BZ148"/>
    <mergeCell ref="EW148:FE148"/>
    <mergeCell ref="GN148:GV148"/>
    <mergeCell ref="HA148:HI148"/>
    <mergeCell ref="HN148:HV148"/>
    <mergeCell ref="HW147:HY147"/>
    <mergeCell ref="HZ147:II147"/>
    <mergeCell ref="IJ147:IM147"/>
    <mergeCell ref="IN147:IQ147"/>
    <mergeCell ref="IR147:IU147"/>
    <mergeCell ref="MP147:MY147"/>
    <mergeCell ref="BF147:BN147"/>
    <mergeCell ref="BR147:BZ147"/>
    <mergeCell ref="EV147:FE147"/>
    <mergeCell ref="GM147:GV147"/>
    <mergeCell ref="GZ147:HI147"/>
    <mergeCell ref="HM147:HV147"/>
    <mergeCell ref="IR144:IU144"/>
    <mergeCell ref="JA144:JJ144"/>
    <mergeCell ref="MQ144:MY144"/>
    <mergeCell ref="NC143:NL143"/>
    <mergeCell ref="NP143:NY143"/>
    <mergeCell ref="OC143:OL143"/>
    <mergeCell ref="PC143:PL143"/>
    <mergeCell ref="IR146:IU146"/>
    <mergeCell ref="MQ146:MY146"/>
    <mergeCell ref="ND146:NL146"/>
    <mergeCell ref="NQ146:NY146"/>
    <mergeCell ref="OD146:OL146"/>
    <mergeCell ref="PD146:PL146"/>
    <mergeCell ref="OC145:OL145"/>
    <mergeCell ref="PC145:PL145"/>
    <mergeCell ref="JB143:JJ143"/>
    <mergeCell ref="MP143:MY143"/>
    <mergeCell ref="ND144:NL144"/>
    <mergeCell ref="NQ144:NY144"/>
    <mergeCell ref="OD144:OL144"/>
    <mergeCell ref="PD144:PL144"/>
    <mergeCell ref="IR145:IU145"/>
    <mergeCell ref="MP145:MY145"/>
    <mergeCell ref="NC145:NL145"/>
    <mergeCell ref="NP145:NY145"/>
    <mergeCell ref="EW146:FE146"/>
    <mergeCell ref="GN146:GV146"/>
    <mergeCell ref="HA146:HI146"/>
    <mergeCell ref="HN146:HV146"/>
    <mergeCell ref="HW146:HY146"/>
    <mergeCell ref="IA146:II146"/>
    <mergeCell ref="IJ146:IM146"/>
    <mergeCell ref="IN146:IQ146"/>
    <mergeCell ref="BE144:BN144"/>
    <mergeCell ref="EW144:FE144"/>
    <mergeCell ref="GN144:GV144"/>
    <mergeCell ref="HA144:HI144"/>
    <mergeCell ref="HN144:HV144"/>
    <mergeCell ref="HW144:HY144"/>
    <mergeCell ref="HM143:HV143"/>
    <mergeCell ref="HW143:HY143"/>
    <mergeCell ref="HZ143:II143"/>
    <mergeCell ref="IJ143:IK143"/>
    <mergeCell ref="HW145:HY145"/>
    <mergeCell ref="HZ145:II145"/>
    <mergeCell ref="IA144:II144"/>
    <mergeCell ref="IJ144:IM144"/>
    <mergeCell ref="IN144:IQ144"/>
    <mergeCell ref="IJ145:IM145"/>
    <mergeCell ref="IN145:IQ145"/>
    <mergeCell ref="EV145:FE145"/>
    <mergeCell ref="GM145:GV145"/>
    <mergeCell ref="GZ145:HI145"/>
    <mergeCell ref="HM145:HV145"/>
    <mergeCell ref="BF141:BN141"/>
    <mergeCell ref="BR141:BZ141"/>
    <mergeCell ref="CR141:DA141"/>
    <mergeCell ref="DD141:DM141"/>
    <mergeCell ref="EV141:FE141"/>
    <mergeCell ref="GM141:GV141"/>
    <mergeCell ref="MQ142:MY142"/>
    <mergeCell ref="ND142:NL142"/>
    <mergeCell ref="NQ142:NY142"/>
    <mergeCell ref="OD142:OL142"/>
    <mergeCell ref="PD142:PL142"/>
    <mergeCell ref="BF143:BN143"/>
    <mergeCell ref="DT143:EC143"/>
    <mergeCell ref="EV143:FE143"/>
    <mergeCell ref="GM143:GV143"/>
    <mergeCell ref="GZ143:HI143"/>
    <mergeCell ref="HW142:HY142"/>
    <mergeCell ref="IA142:II142"/>
    <mergeCell ref="IJ142:IK142"/>
    <mergeCell ref="JA142:JJ142"/>
    <mergeCell ref="JL142:JU142"/>
    <mergeCell ref="LO142:LX142"/>
    <mergeCell ref="BE142:BN142"/>
    <mergeCell ref="BQ142:BZ142"/>
    <mergeCell ref="EW142:FE142"/>
    <mergeCell ref="GN142:GV142"/>
    <mergeCell ref="HA142:HI142"/>
    <mergeCell ref="HN142:HV142"/>
    <mergeCell ref="NQ140:NY140"/>
    <mergeCell ref="OD140:OL140"/>
    <mergeCell ref="OP140:OY140"/>
    <mergeCell ref="PD140:PL140"/>
    <mergeCell ref="IA140:II140"/>
    <mergeCell ref="IJ140:IK140"/>
    <mergeCell ref="IM140:IU140"/>
    <mergeCell ref="JA140:JJ140"/>
    <mergeCell ref="JL140:JU140"/>
    <mergeCell ref="LO140:LX140"/>
    <mergeCell ref="GN140:GV140"/>
    <mergeCell ref="GW140:GY140"/>
    <mergeCell ref="HA140:HI140"/>
    <mergeCell ref="HJ140:HL140"/>
    <mergeCell ref="HN140:HV140"/>
    <mergeCell ref="HW140:HY140"/>
    <mergeCell ref="NC141:NL141"/>
    <mergeCell ref="NP141:NY141"/>
    <mergeCell ref="OC141:OL141"/>
    <mergeCell ref="PC141:PL141"/>
    <mergeCell ref="IJ141:IK141"/>
    <mergeCell ref="IL141:IU141"/>
    <mergeCell ref="JB141:JJ141"/>
    <mergeCell ref="JM141:JU141"/>
    <mergeCell ref="LP141:LX141"/>
    <mergeCell ref="MP141:MY141"/>
    <mergeCell ref="GW141:GY141"/>
    <mergeCell ref="GZ141:HI141"/>
    <mergeCell ref="HJ141:HL141"/>
    <mergeCell ref="HM141:HV141"/>
    <mergeCell ref="HW141:HY141"/>
    <mergeCell ref="HZ141:II141"/>
    <mergeCell ref="BE140:BN140"/>
    <mergeCell ref="BQ140:BZ140"/>
    <mergeCell ref="CS140:DA140"/>
    <mergeCell ref="DE140:DM140"/>
    <mergeCell ref="DY140:EH140"/>
    <mergeCell ref="EW140:FE140"/>
    <mergeCell ref="IL139:IU139"/>
    <mergeCell ref="JB139:JJ139"/>
    <mergeCell ref="JM139:JU139"/>
    <mergeCell ref="LP139:LX139"/>
    <mergeCell ref="MP139:MY139"/>
    <mergeCell ref="NC139:NL139"/>
    <mergeCell ref="GZ139:HI139"/>
    <mergeCell ref="HJ139:HL139"/>
    <mergeCell ref="HM139:HV139"/>
    <mergeCell ref="HW139:HY139"/>
    <mergeCell ref="HZ139:II139"/>
    <mergeCell ref="IJ139:IK139"/>
    <mergeCell ref="MQ140:MY140"/>
    <mergeCell ref="ND140:NL140"/>
    <mergeCell ref="PD138:PL138"/>
    <mergeCell ref="R139:AA139"/>
    <mergeCell ref="BF139:BN139"/>
    <mergeCell ref="BR139:BZ139"/>
    <mergeCell ref="CR139:DA139"/>
    <mergeCell ref="DD139:DM139"/>
    <mergeCell ref="DZ139:EH139"/>
    <mergeCell ref="EV139:FE139"/>
    <mergeCell ref="GM139:GV139"/>
    <mergeCell ref="GW139:GY139"/>
    <mergeCell ref="LO138:LX138"/>
    <mergeCell ref="MQ138:MY138"/>
    <mergeCell ref="ND138:NL138"/>
    <mergeCell ref="NQ138:NY138"/>
    <mergeCell ref="OD138:OL138"/>
    <mergeCell ref="OP138:OY138"/>
    <mergeCell ref="HW138:HY138"/>
    <mergeCell ref="IA138:II138"/>
    <mergeCell ref="IJ138:IK138"/>
    <mergeCell ref="IM138:IU138"/>
    <mergeCell ref="JA138:JJ138"/>
    <mergeCell ref="JL138:JU138"/>
    <mergeCell ref="EW138:FE138"/>
    <mergeCell ref="GN138:GV138"/>
    <mergeCell ref="GW138:GY138"/>
    <mergeCell ref="HA138:HI138"/>
    <mergeCell ref="HJ138:HL138"/>
    <mergeCell ref="HN138:HV138"/>
    <mergeCell ref="NP139:NY139"/>
    <mergeCell ref="OC139:OL139"/>
    <mergeCell ref="OQ139:OY139"/>
    <mergeCell ref="PC139:PL139"/>
    <mergeCell ref="S138:AA138"/>
    <mergeCell ref="BE138:BN138"/>
    <mergeCell ref="BQ138:BZ138"/>
    <mergeCell ref="CS138:DA138"/>
    <mergeCell ref="DE138:DM138"/>
    <mergeCell ref="DY138:EH138"/>
    <mergeCell ref="IL137:IU137"/>
    <mergeCell ref="JB137:JJ137"/>
    <mergeCell ref="JM137:JU137"/>
    <mergeCell ref="LP137:LX137"/>
    <mergeCell ref="MP137:MY137"/>
    <mergeCell ref="NC137:NL137"/>
    <mergeCell ref="GZ137:HI137"/>
    <mergeCell ref="HJ137:HL137"/>
    <mergeCell ref="HM137:HV137"/>
    <mergeCell ref="HW137:HY137"/>
    <mergeCell ref="HZ137:II137"/>
    <mergeCell ref="IJ137:IK137"/>
    <mergeCell ref="CR137:DA137"/>
    <mergeCell ref="DD137:DM137"/>
    <mergeCell ref="DZ137:EH137"/>
    <mergeCell ref="EV137:FE137"/>
    <mergeCell ref="GM137:GV137"/>
    <mergeCell ref="GW137:GY137"/>
    <mergeCell ref="NQ136:NY136"/>
    <mergeCell ref="OD136:OL136"/>
    <mergeCell ref="OP136:OY136"/>
    <mergeCell ref="PD136:PL136"/>
    <mergeCell ref="R137:AA137"/>
    <mergeCell ref="AD137:AM137"/>
    <mergeCell ref="AP137:AY137"/>
    <mergeCell ref="BF137:BN137"/>
    <mergeCell ref="BR137:BZ137"/>
    <mergeCell ref="CF137:CO137"/>
    <mergeCell ref="IM136:IU136"/>
    <mergeCell ref="JA136:JJ136"/>
    <mergeCell ref="JL136:JU136"/>
    <mergeCell ref="LO136:LX136"/>
    <mergeCell ref="MQ136:MY136"/>
    <mergeCell ref="ND136:NL136"/>
    <mergeCell ref="HA136:HI136"/>
    <mergeCell ref="HJ136:HL136"/>
    <mergeCell ref="HN136:HV136"/>
    <mergeCell ref="HW136:HY136"/>
    <mergeCell ref="IA136:II136"/>
    <mergeCell ref="IJ136:IK136"/>
    <mergeCell ref="CS136:DA136"/>
    <mergeCell ref="DE136:DM136"/>
    <mergeCell ref="DY136:EH136"/>
    <mergeCell ref="EW136:FE136"/>
    <mergeCell ref="GN136:GV136"/>
    <mergeCell ref="GW136:GY136"/>
    <mergeCell ref="NP137:NY137"/>
    <mergeCell ref="OC137:OL137"/>
    <mergeCell ref="OQ137:OY137"/>
    <mergeCell ref="PC137:PL137"/>
    <mergeCell ref="S136:AA136"/>
    <mergeCell ref="AE136:AM136"/>
    <mergeCell ref="AQ136:AY136"/>
    <mergeCell ref="BE136:BN136"/>
    <mergeCell ref="BQ136:BZ136"/>
    <mergeCell ref="CG136:CO136"/>
    <mergeCell ref="IL135:IU135"/>
    <mergeCell ref="JB135:JJ135"/>
    <mergeCell ref="JM135:JU135"/>
    <mergeCell ref="LP135:LX135"/>
    <mergeCell ref="MP135:MY135"/>
    <mergeCell ref="NC135:NL135"/>
    <mergeCell ref="GZ135:HI135"/>
    <mergeCell ref="HJ135:HL135"/>
    <mergeCell ref="HM135:HV135"/>
    <mergeCell ref="HW135:HY135"/>
    <mergeCell ref="HZ135:II135"/>
    <mergeCell ref="IJ135:IK135"/>
    <mergeCell ref="DD135:DM135"/>
    <mergeCell ref="DZ135:EH135"/>
    <mergeCell ref="EV135:FE135"/>
    <mergeCell ref="GA135:GJ135"/>
    <mergeCell ref="GM135:GV135"/>
    <mergeCell ref="GW135:GY135"/>
    <mergeCell ref="OD134:OL134"/>
    <mergeCell ref="OP134:OY134"/>
    <mergeCell ref="PD134:PL134"/>
    <mergeCell ref="R135:AA135"/>
    <mergeCell ref="AD135:AM135"/>
    <mergeCell ref="AP135:AY135"/>
    <mergeCell ref="BF135:BN135"/>
    <mergeCell ref="BR135:BZ135"/>
    <mergeCell ref="CF135:CO135"/>
    <mergeCell ref="CR135:DA135"/>
    <mergeCell ref="JL134:JU134"/>
    <mergeCell ref="JW134:KF134"/>
    <mergeCell ref="LO134:LX134"/>
    <mergeCell ref="MQ134:MY134"/>
    <mergeCell ref="ND134:NL134"/>
    <mergeCell ref="NQ134:NY134"/>
    <mergeCell ref="HN134:HV134"/>
    <mergeCell ref="HW134:HY134"/>
    <mergeCell ref="IA134:II134"/>
    <mergeCell ref="IJ134:IK134"/>
    <mergeCell ref="IM134:IU134"/>
    <mergeCell ref="JA134:JJ134"/>
    <mergeCell ref="EW134:FE134"/>
    <mergeCell ref="GB134:GJ134"/>
    <mergeCell ref="GN134:GV134"/>
    <mergeCell ref="GW134:GY134"/>
    <mergeCell ref="HA134:HI134"/>
    <mergeCell ref="HJ134:HL134"/>
    <mergeCell ref="NP135:NY135"/>
    <mergeCell ref="OC135:OL135"/>
    <mergeCell ref="OQ135:OY135"/>
    <mergeCell ref="PC135:PL135"/>
    <mergeCell ref="PC133:PL133"/>
    <mergeCell ref="S134:AA134"/>
    <mergeCell ref="AE134:AM134"/>
    <mergeCell ref="AQ134:AY134"/>
    <mergeCell ref="BE134:BN134"/>
    <mergeCell ref="BQ134:BZ134"/>
    <mergeCell ref="CG134:CO134"/>
    <mergeCell ref="CS134:DA134"/>
    <mergeCell ref="DE134:DM134"/>
    <mergeCell ref="DY134:EH134"/>
    <mergeCell ref="LP133:LX133"/>
    <mergeCell ref="MP133:MY133"/>
    <mergeCell ref="NC133:NL133"/>
    <mergeCell ref="NP133:NY133"/>
    <mergeCell ref="OC133:OL133"/>
    <mergeCell ref="OQ133:OY133"/>
    <mergeCell ref="HZ133:II133"/>
    <mergeCell ref="IJ133:IK133"/>
    <mergeCell ref="IL133:IU133"/>
    <mergeCell ref="JB133:JJ133"/>
    <mergeCell ref="JM133:JU133"/>
    <mergeCell ref="JX133:KF133"/>
    <mergeCell ref="GM133:GV133"/>
    <mergeCell ref="GW133:GY133"/>
    <mergeCell ref="GZ133:HI133"/>
    <mergeCell ref="HJ133:HL133"/>
    <mergeCell ref="HM133:HV133"/>
    <mergeCell ref="HW133:HY133"/>
    <mergeCell ref="CR133:DA133"/>
    <mergeCell ref="DD133:DM133"/>
    <mergeCell ref="DZ133:EH133"/>
    <mergeCell ref="EV133:FE133"/>
    <mergeCell ref="FI133:FR133"/>
    <mergeCell ref="GA133:GJ133"/>
    <mergeCell ref="R133:AA133"/>
    <mergeCell ref="AD133:AM133"/>
    <mergeCell ref="AP133:AY133"/>
    <mergeCell ref="BF133:BN133"/>
    <mergeCell ref="BR133:BZ133"/>
    <mergeCell ref="CF133:CO133"/>
    <mergeCell ref="MQ132:MY132"/>
    <mergeCell ref="ND132:NL132"/>
    <mergeCell ref="NQ132:NY132"/>
    <mergeCell ref="OD132:OL132"/>
    <mergeCell ref="OP132:OY132"/>
    <mergeCell ref="PD132:PL132"/>
    <mergeCell ref="JA132:JJ132"/>
    <mergeCell ref="JL132:JU132"/>
    <mergeCell ref="JW132:KF132"/>
    <mergeCell ref="KH132:KQ132"/>
    <mergeCell ref="KS132:LB132"/>
    <mergeCell ref="LO132:LX132"/>
    <mergeCell ref="HJ132:HL132"/>
    <mergeCell ref="HN132:HV132"/>
    <mergeCell ref="HW132:HY132"/>
    <mergeCell ref="IA132:II132"/>
    <mergeCell ref="IJ132:IK132"/>
    <mergeCell ref="IM132:IU132"/>
    <mergeCell ref="EW132:FE132"/>
    <mergeCell ref="FJ132:FR132"/>
    <mergeCell ref="GB132:GJ132"/>
    <mergeCell ref="GN132:GV132"/>
    <mergeCell ref="GW132:GY132"/>
    <mergeCell ref="HA132:HI132"/>
    <mergeCell ref="PC131:PL131"/>
    <mergeCell ref="S132:AA132"/>
    <mergeCell ref="AE132:AM132"/>
    <mergeCell ref="AQ132:AY132"/>
    <mergeCell ref="BE132:BN132"/>
    <mergeCell ref="BQ132:BZ132"/>
    <mergeCell ref="CG132:CO132"/>
    <mergeCell ref="CS132:DA132"/>
    <mergeCell ref="DE132:DM132"/>
    <mergeCell ref="DY132:EH132"/>
    <mergeCell ref="LP131:LX131"/>
    <mergeCell ref="MP131:MY131"/>
    <mergeCell ref="NC131:NL131"/>
    <mergeCell ref="NP131:NY131"/>
    <mergeCell ref="OC131:OL131"/>
    <mergeCell ref="OQ131:OY131"/>
    <mergeCell ref="IL131:IU131"/>
    <mergeCell ref="JB131:JJ131"/>
    <mergeCell ref="JM131:JU131"/>
    <mergeCell ref="JX131:KF131"/>
    <mergeCell ref="KI131:KQ131"/>
    <mergeCell ref="KT131:LB131"/>
    <mergeCell ref="GZ131:HI131"/>
    <mergeCell ref="HJ131:HL131"/>
    <mergeCell ref="HM131:HV131"/>
    <mergeCell ref="HW131:HY131"/>
    <mergeCell ref="HZ131:II131"/>
    <mergeCell ref="IJ131:IK131"/>
    <mergeCell ref="DZ131:EH131"/>
    <mergeCell ref="EV131:FE131"/>
    <mergeCell ref="FI131:FR131"/>
    <mergeCell ref="GA131:GJ131"/>
    <mergeCell ref="GM131:GV131"/>
    <mergeCell ref="GW131:GY131"/>
    <mergeCell ref="OD130:OL130"/>
    <mergeCell ref="PD130:PL130"/>
    <mergeCell ref="R131:AA131"/>
    <mergeCell ref="AD131:AM131"/>
    <mergeCell ref="AP131:AY131"/>
    <mergeCell ref="BF131:BN131"/>
    <mergeCell ref="BR131:BZ131"/>
    <mergeCell ref="CF131:CO131"/>
    <mergeCell ref="CR131:DA131"/>
    <mergeCell ref="DD131:DM131"/>
    <mergeCell ref="KS130:LB130"/>
    <mergeCell ref="LO130:LX130"/>
    <mergeCell ref="LZ130:MI130"/>
    <mergeCell ref="MQ130:MY130"/>
    <mergeCell ref="ND130:NL130"/>
    <mergeCell ref="NQ130:NY130"/>
    <mergeCell ref="IJ130:IK130"/>
    <mergeCell ref="IM130:IU130"/>
    <mergeCell ref="JA130:JJ130"/>
    <mergeCell ref="JL130:JU130"/>
    <mergeCell ref="JW130:KF130"/>
    <mergeCell ref="KH130:KQ130"/>
    <mergeCell ref="GW130:GY130"/>
    <mergeCell ref="HA130:HI130"/>
    <mergeCell ref="HJ130:HL130"/>
    <mergeCell ref="HN130:HV130"/>
    <mergeCell ref="HW130:HY130"/>
    <mergeCell ref="IA130:II130"/>
    <mergeCell ref="DE130:DM130"/>
    <mergeCell ref="DY130:EH130"/>
    <mergeCell ref="EW130:FE130"/>
    <mergeCell ref="FJ130:FR130"/>
    <mergeCell ref="GB130:GJ130"/>
    <mergeCell ref="GN130:GV130"/>
    <mergeCell ref="OC129:OL129"/>
    <mergeCell ref="OP129:OY129"/>
    <mergeCell ref="PC129:PL129"/>
    <mergeCell ref="S130:AA130"/>
    <mergeCell ref="AE130:AM130"/>
    <mergeCell ref="AQ130:AY130"/>
    <mergeCell ref="BE130:BN130"/>
    <mergeCell ref="BQ130:BZ130"/>
    <mergeCell ref="CG130:CO130"/>
    <mergeCell ref="CS130:DA130"/>
    <mergeCell ref="KT129:LB129"/>
    <mergeCell ref="LP129:LX129"/>
    <mergeCell ref="MA129:MI129"/>
    <mergeCell ref="MP129:MY129"/>
    <mergeCell ref="NC129:NL129"/>
    <mergeCell ref="NP129:NY129"/>
    <mergeCell ref="IJ129:IK129"/>
    <mergeCell ref="IL129:IU129"/>
    <mergeCell ref="JB129:JJ129"/>
    <mergeCell ref="JM129:JU129"/>
    <mergeCell ref="JX129:KF129"/>
    <mergeCell ref="KI129:KQ129"/>
    <mergeCell ref="GW129:GY129"/>
    <mergeCell ref="GZ129:HI129"/>
    <mergeCell ref="HJ129:HL129"/>
    <mergeCell ref="HM129:HV129"/>
    <mergeCell ref="HW129:HY129"/>
    <mergeCell ref="HZ129:II129"/>
    <mergeCell ref="DD129:DM129"/>
    <mergeCell ref="DZ129:EH129"/>
    <mergeCell ref="EV129:FE129"/>
    <mergeCell ref="FI129:FR129"/>
    <mergeCell ref="GA129:GJ129"/>
    <mergeCell ref="GM129:GV129"/>
    <mergeCell ref="OD128:OL128"/>
    <mergeCell ref="OQ128:OY128"/>
    <mergeCell ref="PD128:PL128"/>
    <mergeCell ref="R129:AA129"/>
    <mergeCell ref="AD129:AM129"/>
    <mergeCell ref="AP129:AY129"/>
    <mergeCell ref="BF129:BN129"/>
    <mergeCell ref="BR129:BZ129"/>
    <mergeCell ref="CF129:CO129"/>
    <mergeCell ref="CR129:DA129"/>
    <mergeCell ref="LD128:LM128"/>
    <mergeCell ref="LO128:LX128"/>
    <mergeCell ref="LZ128:MI128"/>
    <mergeCell ref="MQ128:MY128"/>
    <mergeCell ref="ND128:NL128"/>
    <mergeCell ref="NQ128:NY128"/>
    <mergeCell ref="IM128:IU128"/>
    <mergeCell ref="JA128:JJ128"/>
    <mergeCell ref="JL128:JU128"/>
    <mergeCell ref="JW128:KF128"/>
    <mergeCell ref="KH128:KQ128"/>
    <mergeCell ref="KS128:LB128"/>
    <mergeCell ref="HA128:HI128"/>
    <mergeCell ref="HJ128:HL128"/>
    <mergeCell ref="HN128:HV128"/>
    <mergeCell ref="HW128:HY128"/>
    <mergeCell ref="IA128:II128"/>
    <mergeCell ref="IJ128:IK128"/>
    <mergeCell ref="DY128:EH128"/>
    <mergeCell ref="EW128:FE128"/>
    <mergeCell ref="FJ128:FR128"/>
    <mergeCell ref="GB128:GJ128"/>
    <mergeCell ref="GN128:GV128"/>
    <mergeCell ref="GW128:GY128"/>
    <mergeCell ref="S128:AA128"/>
    <mergeCell ref="AE128:AM128"/>
    <mergeCell ref="AQ128:AY128"/>
    <mergeCell ref="CG128:CO128"/>
    <mergeCell ref="CS128:DA128"/>
    <mergeCell ref="DE128:DM128"/>
    <mergeCell ref="MP127:MY127"/>
    <mergeCell ref="NC127:NL127"/>
    <mergeCell ref="NP127:NY127"/>
    <mergeCell ref="CF127:CO127"/>
    <mergeCell ref="CR127:DA127"/>
    <mergeCell ref="DD127:DM127"/>
    <mergeCell ref="DZ127:EH127"/>
    <mergeCell ref="EV127:FE127"/>
    <mergeCell ref="FI127:FR127"/>
    <mergeCell ref="OC127:OL127"/>
    <mergeCell ref="OP127:OY127"/>
    <mergeCell ref="PC127:PL127"/>
    <mergeCell ref="JX127:KF127"/>
    <mergeCell ref="KI127:KQ127"/>
    <mergeCell ref="KT127:LB127"/>
    <mergeCell ref="LE127:LM127"/>
    <mergeCell ref="LP127:LX127"/>
    <mergeCell ref="MA127:MI127"/>
    <mergeCell ref="HW127:HY127"/>
    <mergeCell ref="HZ127:II127"/>
    <mergeCell ref="IJ127:IK127"/>
    <mergeCell ref="IL127:IU127"/>
    <mergeCell ref="JB127:JJ127"/>
    <mergeCell ref="JM127:JU127"/>
    <mergeCell ref="GA127:GJ127"/>
    <mergeCell ref="GM127:GV127"/>
    <mergeCell ref="GW127:GY127"/>
    <mergeCell ref="GZ127:HI127"/>
    <mergeCell ref="HJ127:HL127"/>
    <mergeCell ref="HM127:HV127"/>
    <mergeCell ref="KH126:KQ126"/>
    <mergeCell ref="KS126:LB126"/>
    <mergeCell ref="LD126:LM126"/>
    <mergeCell ref="LO126:LX126"/>
    <mergeCell ref="LZ126:MI126"/>
    <mergeCell ref="R127:AA127"/>
    <mergeCell ref="AD127:AM127"/>
    <mergeCell ref="AP127:AY127"/>
    <mergeCell ref="BE127:BN127"/>
    <mergeCell ref="BQ127:BZ127"/>
    <mergeCell ref="IA126:II126"/>
    <mergeCell ref="IJ126:IK126"/>
    <mergeCell ref="IM126:IU126"/>
    <mergeCell ref="JA126:JJ126"/>
    <mergeCell ref="JL126:JU126"/>
    <mergeCell ref="JW126:KF126"/>
    <mergeCell ref="GN126:GV126"/>
    <mergeCell ref="GW126:GY126"/>
    <mergeCell ref="HA126:HI126"/>
    <mergeCell ref="HJ126:HL126"/>
    <mergeCell ref="HN126:HV126"/>
    <mergeCell ref="HW126:HY126"/>
    <mergeCell ref="CS126:DA126"/>
    <mergeCell ref="DE126:DM126"/>
    <mergeCell ref="DY126:EH126"/>
    <mergeCell ref="EW126:FE126"/>
    <mergeCell ref="FJ126:FR126"/>
    <mergeCell ref="GB126:GJ126"/>
    <mergeCell ref="HW125:HY125"/>
    <mergeCell ref="HZ125:II125"/>
    <mergeCell ref="IJ125:IK125"/>
    <mergeCell ref="IL125:IU125"/>
    <mergeCell ref="S126:AA126"/>
    <mergeCell ref="AE126:AM126"/>
    <mergeCell ref="AQ126:AY126"/>
    <mergeCell ref="BF126:BN126"/>
    <mergeCell ref="BR126:BZ126"/>
    <mergeCell ref="CG126:CO126"/>
    <mergeCell ref="GA125:GJ125"/>
    <mergeCell ref="GM125:GV125"/>
    <mergeCell ref="GW125:GY125"/>
    <mergeCell ref="GZ125:HI125"/>
    <mergeCell ref="HJ125:HL125"/>
    <mergeCell ref="HM125:HV125"/>
    <mergeCell ref="IM124:IU124"/>
    <mergeCell ref="R125:AA125"/>
    <mergeCell ref="AD125:AM125"/>
    <mergeCell ref="AP125:AY125"/>
    <mergeCell ref="CF125:CO125"/>
    <mergeCell ref="CR125:DA125"/>
    <mergeCell ref="DD125:DM125"/>
    <mergeCell ref="DZ125:EH125"/>
    <mergeCell ref="EV125:FE125"/>
    <mergeCell ref="FI125:FR125"/>
    <mergeCell ref="HA124:HI124"/>
    <mergeCell ref="HJ124:HL124"/>
    <mergeCell ref="HN124:HV124"/>
    <mergeCell ref="HW124:HY124"/>
    <mergeCell ref="IA124:II124"/>
    <mergeCell ref="IJ124:IK124"/>
    <mergeCell ref="DY124:EH124"/>
    <mergeCell ref="EW124:FE124"/>
    <mergeCell ref="FJ124:FR124"/>
    <mergeCell ref="GB124:GJ124"/>
    <mergeCell ref="GN124:GV124"/>
    <mergeCell ref="GW124:GY124"/>
    <mergeCell ref="S124:AA124"/>
    <mergeCell ref="AE124:AM124"/>
    <mergeCell ref="AQ124:AY124"/>
    <mergeCell ref="CG124:CO124"/>
    <mergeCell ref="CS124:DA124"/>
    <mergeCell ref="DE124:DM124"/>
    <mergeCell ref="HM123:HV123"/>
    <mergeCell ref="HW123:HY123"/>
    <mergeCell ref="HZ123:II123"/>
    <mergeCell ref="IJ123:IK123"/>
    <mergeCell ref="IL123:IU123"/>
    <mergeCell ref="OC123:OL123"/>
    <mergeCell ref="OD122:OL122"/>
    <mergeCell ref="BQ123:BZ123"/>
    <mergeCell ref="DZ123:EH123"/>
    <mergeCell ref="EV123:FE123"/>
    <mergeCell ref="FI123:FR123"/>
    <mergeCell ref="GA123:GJ123"/>
    <mergeCell ref="GM123:GV123"/>
    <mergeCell ref="GW123:GY123"/>
    <mergeCell ref="GZ123:HI123"/>
    <mergeCell ref="HJ123:HL123"/>
    <mergeCell ref="HJ122:HL122"/>
    <mergeCell ref="HN122:HV122"/>
    <mergeCell ref="HW122:HY122"/>
    <mergeCell ref="IA122:II122"/>
    <mergeCell ref="IJ122:IK122"/>
    <mergeCell ref="IM122:IU122"/>
    <mergeCell ref="EW122:FE122"/>
    <mergeCell ref="FJ122:FR122"/>
    <mergeCell ref="GB122:GJ122"/>
    <mergeCell ref="GN122:GV122"/>
    <mergeCell ref="GW122:GY122"/>
    <mergeCell ref="HA122:HI122"/>
    <mergeCell ref="KH121:KQ121"/>
    <mergeCell ref="LD121:LM121"/>
    <mergeCell ref="R122:AA122"/>
    <mergeCell ref="AD122:AM122"/>
    <mergeCell ref="AP122:AY122"/>
    <mergeCell ref="BR122:BZ122"/>
    <mergeCell ref="CF122:CO122"/>
    <mergeCell ref="CR122:DA122"/>
    <mergeCell ref="DD122:DM122"/>
    <mergeCell ref="DY122:EH122"/>
    <mergeCell ref="HJ121:HL121"/>
    <mergeCell ref="HM121:HV121"/>
    <mergeCell ref="HW121:HY121"/>
    <mergeCell ref="HZ121:II121"/>
    <mergeCell ref="IJ121:IK121"/>
    <mergeCell ref="IL121:IU121"/>
    <mergeCell ref="EV121:FE121"/>
    <mergeCell ref="FI121:FR121"/>
    <mergeCell ref="GA121:GJ121"/>
    <mergeCell ref="GM121:GV121"/>
    <mergeCell ref="GW121:GY121"/>
    <mergeCell ref="GZ121:HI121"/>
    <mergeCell ref="KI120:KQ120"/>
    <mergeCell ref="LE120:LM120"/>
    <mergeCell ref="S121:AA121"/>
    <mergeCell ref="AE121:AM121"/>
    <mergeCell ref="AQ121:AY121"/>
    <mergeCell ref="BQ121:BZ121"/>
    <mergeCell ref="CG121:CO121"/>
    <mergeCell ref="CS121:DA121"/>
    <mergeCell ref="DE121:DM121"/>
    <mergeCell ref="DZ121:EH121"/>
    <mergeCell ref="HJ120:HL120"/>
    <mergeCell ref="HN120:HV120"/>
    <mergeCell ref="HW120:HY120"/>
    <mergeCell ref="IA120:II120"/>
    <mergeCell ref="IJ120:IK120"/>
    <mergeCell ref="IM120:IU120"/>
    <mergeCell ref="HW119:HY119"/>
    <mergeCell ref="HZ119:II119"/>
    <mergeCell ref="IJ119:IK119"/>
    <mergeCell ref="IL119:IU119"/>
    <mergeCell ref="EW120:FE120"/>
    <mergeCell ref="FJ120:FR120"/>
    <mergeCell ref="GB120:GJ120"/>
    <mergeCell ref="GN120:GV120"/>
    <mergeCell ref="GW120:GY120"/>
    <mergeCell ref="HA120:HI120"/>
    <mergeCell ref="GA119:GJ119"/>
    <mergeCell ref="GM119:GV119"/>
    <mergeCell ref="GW119:GY119"/>
    <mergeCell ref="GZ119:HI119"/>
    <mergeCell ref="HJ119:HL119"/>
    <mergeCell ref="HM119:HV119"/>
    <mergeCell ref="AD119:AM119"/>
    <mergeCell ref="BK119:BT119"/>
    <mergeCell ref="CR119:DA119"/>
    <mergeCell ref="DY119:EH119"/>
    <mergeCell ref="EV119:FE119"/>
    <mergeCell ref="FI119:FR119"/>
    <mergeCell ref="IR116:IV116"/>
    <mergeCell ref="MF116:MJ116"/>
    <mergeCell ref="PH116:PN116"/>
    <mergeCell ref="NW117:OE117"/>
    <mergeCell ref="AE118:AM118"/>
    <mergeCell ref="BL118:BT118"/>
    <mergeCell ref="CS118:DA118"/>
    <mergeCell ref="DZ118:EH118"/>
    <mergeCell ref="NV118:OE118"/>
    <mergeCell ref="GK112:GT112"/>
    <mergeCell ref="GJ113:GT113"/>
    <mergeCell ref="AV116:AZ116"/>
    <mergeCell ref="BT116:CA116"/>
    <mergeCell ref="DH116:DN116"/>
    <mergeCell ref="EI116:EO116"/>
    <mergeCell ref="FP116:FV116"/>
    <mergeCell ref="KT108:LB108"/>
    <mergeCell ref="NW108:OE108"/>
    <mergeCell ref="AD109:AM109"/>
    <mergeCell ref="BK109:BT109"/>
    <mergeCell ref="CR109:DA109"/>
    <mergeCell ref="DY109:EH109"/>
    <mergeCell ref="GJ109:GT109"/>
    <mergeCell ref="KS109:LB109"/>
    <mergeCell ref="NV109:OE109"/>
    <mergeCell ref="GK102:GT102"/>
    <mergeCell ref="GJ103:GT103"/>
    <mergeCell ref="AE108:AM108"/>
    <mergeCell ref="BL108:BT108"/>
    <mergeCell ref="CS108:DA108"/>
    <mergeCell ref="DZ108:EH108"/>
    <mergeCell ref="GK108:GT108"/>
    <mergeCell ref="BQ89:BZ89"/>
    <mergeCell ref="CC89:CL89"/>
    <mergeCell ref="BR91:BZ91"/>
    <mergeCell ref="CD91:CL91"/>
    <mergeCell ref="BQ92:BZ92"/>
    <mergeCell ref="CC92:CL92"/>
    <mergeCell ref="BR86:BZ86"/>
    <mergeCell ref="CD86:CL86"/>
    <mergeCell ref="BQ87:BZ87"/>
    <mergeCell ref="CC87:CL87"/>
    <mergeCell ref="BR88:BZ88"/>
    <mergeCell ref="CD88:CL88"/>
    <mergeCell ref="EY83:FG83"/>
    <mergeCell ref="BR84:BZ84"/>
    <mergeCell ref="CD84:CL84"/>
    <mergeCell ref="EX84:FG84"/>
    <mergeCell ref="BQ85:BZ85"/>
    <mergeCell ref="CC85:CL85"/>
    <mergeCell ref="BQ81:BZ81"/>
    <mergeCell ref="CC81:CL81"/>
    <mergeCell ref="BR82:BZ82"/>
    <mergeCell ref="CD82:CL82"/>
    <mergeCell ref="BQ83:BZ83"/>
    <mergeCell ref="CC83:CL83"/>
    <mergeCell ref="CR77:DA77"/>
    <mergeCell ref="DD77:DM77"/>
    <mergeCell ref="BQ79:BZ79"/>
    <mergeCell ref="CC79:CL79"/>
    <mergeCell ref="BR80:BZ80"/>
    <mergeCell ref="CD80:CL80"/>
    <mergeCell ref="BR75:BZ75"/>
    <mergeCell ref="CD75:CL75"/>
    <mergeCell ref="CR75:DA75"/>
    <mergeCell ref="DD75:DM75"/>
    <mergeCell ref="BQ76:BZ76"/>
    <mergeCell ref="CC76:CL76"/>
    <mergeCell ref="CS76:DA76"/>
    <mergeCell ref="DE76:DM76"/>
    <mergeCell ref="FP73:FY73"/>
    <mergeCell ref="NH73:NQ73"/>
    <mergeCell ref="BQ74:BZ74"/>
    <mergeCell ref="CC74:CL74"/>
    <mergeCell ref="CS74:DA74"/>
    <mergeCell ref="DE74:DM74"/>
    <mergeCell ref="BR73:BZ73"/>
    <mergeCell ref="CD73:CL73"/>
    <mergeCell ref="CR73:DA73"/>
    <mergeCell ref="DD73:DM73"/>
    <mergeCell ref="EI73:ER73"/>
    <mergeCell ref="ET73:FC73"/>
    <mergeCell ref="LL71:LU71"/>
    <mergeCell ref="NH71:NQ71"/>
    <mergeCell ref="BQ72:BZ72"/>
    <mergeCell ref="CC72:CL72"/>
    <mergeCell ref="CS72:DA72"/>
    <mergeCell ref="DE72:DM72"/>
    <mergeCell ref="EJ72:ER72"/>
    <mergeCell ref="EU72:FC72"/>
    <mergeCell ref="FQ72:FY72"/>
    <mergeCell ref="NI72:NQ72"/>
    <mergeCell ref="NI70:NQ70"/>
    <mergeCell ref="BR71:BZ71"/>
    <mergeCell ref="CD71:CL71"/>
    <mergeCell ref="CR71:DA71"/>
    <mergeCell ref="DD71:DM71"/>
    <mergeCell ref="EI71:ER71"/>
    <mergeCell ref="ET71:FC71"/>
    <mergeCell ref="FE71:FN71"/>
    <mergeCell ref="FP71:FY71"/>
    <mergeCell ref="GA71:GJ71"/>
    <mergeCell ref="LL69:LU69"/>
    <mergeCell ref="NH69:NQ69"/>
    <mergeCell ref="BQ70:BZ70"/>
    <mergeCell ref="CC70:CL70"/>
    <mergeCell ref="EJ70:ER70"/>
    <mergeCell ref="EU70:FC70"/>
    <mergeCell ref="FF70:FN70"/>
    <mergeCell ref="FQ70:FY70"/>
    <mergeCell ref="GB70:GJ70"/>
    <mergeCell ref="LM70:LU70"/>
    <mergeCell ref="KE68:KN68"/>
    <mergeCell ref="LM68:LU68"/>
    <mergeCell ref="NI68:NQ68"/>
    <mergeCell ref="BR69:BZ69"/>
    <mergeCell ref="CD69:CL69"/>
    <mergeCell ref="EI69:ER69"/>
    <mergeCell ref="ET69:FC69"/>
    <mergeCell ref="FE69:FN69"/>
    <mergeCell ref="FP69:FY69"/>
    <mergeCell ref="GA69:GJ69"/>
    <mergeCell ref="NH67:NQ67"/>
    <mergeCell ref="BQ68:BZ68"/>
    <mergeCell ref="CC68:CL68"/>
    <mergeCell ref="CR68:DA68"/>
    <mergeCell ref="DD68:DM68"/>
    <mergeCell ref="EJ68:ER68"/>
    <mergeCell ref="EU68:FC68"/>
    <mergeCell ref="FF68:FN68"/>
    <mergeCell ref="FQ68:FY68"/>
    <mergeCell ref="GB68:GJ68"/>
    <mergeCell ref="FE67:FN67"/>
    <mergeCell ref="FP67:FY67"/>
    <mergeCell ref="GA67:GJ67"/>
    <mergeCell ref="IP67:IY67"/>
    <mergeCell ref="KF67:KN67"/>
    <mergeCell ref="LL67:LU67"/>
    <mergeCell ref="IQ66:IY66"/>
    <mergeCell ref="KE66:KN66"/>
    <mergeCell ref="LM66:LU66"/>
    <mergeCell ref="NI66:NQ66"/>
    <mergeCell ref="BR67:BZ67"/>
    <mergeCell ref="CD67:CL67"/>
    <mergeCell ref="CS67:DA67"/>
    <mergeCell ref="DE67:DM67"/>
    <mergeCell ref="EI67:ER67"/>
    <mergeCell ref="ET67:FC67"/>
    <mergeCell ref="BQ66:BZ66"/>
    <mergeCell ref="CC66:CL66"/>
    <mergeCell ref="CR66:DA66"/>
    <mergeCell ref="DD66:DM66"/>
    <mergeCell ref="EJ66:ER66"/>
    <mergeCell ref="EU66:FC66"/>
    <mergeCell ref="FF66:FN66"/>
    <mergeCell ref="FQ66:FY66"/>
    <mergeCell ref="GB66:GJ66"/>
    <mergeCell ref="FE65:FN65"/>
    <mergeCell ref="FP65:FY65"/>
    <mergeCell ref="GA65:GJ65"/>
    <mergeCell ref="IP65:IY65"/>
    <mergeCell ref="KF65:KN65"/>
    <mergeCell ref="LL65:LU65"/>
    <mergeCell ref="KE64:KN64"/>
    <mergeCell ref="LM64:LU64"/>
    <mergeCell ref="BA65:BJ65"/>
    <mergeCell ref="BR65:BZ65"/>
    <mergeCell ref="CD65:CL65"/>
    <mergeCell ref="CS65:DA65"/>
    <mergeCell ref="DE65:DM65"/>
    <mergeCell ref="EI65:ER65"/>
    <mergeCell ref="ET65:FC65"/>
    <mergeCell ref="BB64:BJ64"/>
    <mergeCell ref="BQ64:BZ64"/>
    <mergeCell ref="CC64:CL64"/>
    <mergeCell ref="CR64:DA64"/>
    <mergeCell ref="DD64:DM64"/>
    <mergeCell ref="IQ64:IY64"/>
    <mergeCell ref="NI62:NQ62"/>
    <mergeCell ref="BA63:BJ63"/>
    <mergeCell ref="CS63:DA63"/>
    <mergeCell ref="DE63:DM63"/>
    <mergeCell ref="IP63:IY63"/>
    <mergeCell ref="KF63:KN63"/>
    <mergeCell ref="LL63:LU63"/>
    <mergeCell ref="NH63:NQ63"/>
    <mergeCell ref="NH65:NQ65"/>
    <mergeCell ref="NI64:NQ64"/>
    <mergeCell ref="LL61:LU61"/>
    <mergeCell ref="LW61:MF61"/>
    <mergeCell ref="BB62:BJ62"/>
    <mergeCell ref="CR62:DA62"/>
    <mergeCell ref="DD62:DM62"/>
    <mergeCell ref="IA62:IJ62"/>
    <mergeCell ref="IQ62:IY62"/>
    <mergeCell ref="KE62:KN62"/>
    <mergeCell ref="LM62:LU62"/>
    <mergeCell ref="LM60:LU60"/>
    <mergeCell ref="LX60:MF60"/>
    <mergeCell ref="MP60:MY60"/>
    <mergeCell ref="NH60:NQ60"/>
    <mergeCell ref="BA61:BJ61"/>
    <mergeCell ref="BQ61:BZ61"/>
    <mergeCell ref="IB61:IJ61"/>
    <mergeCell ref="IP61:IY61"/>
    <mergeCell ref="KF61:KN61"/>
    <mergeCell ref="LA61:LJ61"/>
    <mergeCell ref="LA59:LJ59"/>
    <mergeCell ref="LL59:LU59"/>
    <mergeCell ref="LW59:MF59"/>
    <mergeCell ref="MQ59:MY59"/>
    <mergeCell ref="NI59:NQ59"/>
    <mergeCell ref="BB60:BJ60"/>
    <mergeCell ref="BR60:BZ60"/>
    <mergeCell ref="IA60:IJ60"/>
    <mergeCell ref="KE60:KN60"/>
    <mergeCell ref="LB60:LJ60"/>
    <mergeCell ref="LX58:MF58"/>
    <mergeCell ref="QB58:QE58"/>
    <mergeCell ref="QP58:QQ58"/>
    <mergeCell ref="BA59:BJ59"/>
    <mergeCell ref="BQ59:BZ59"/>
    <mergeCell ref="CC59:CL59"/>
    <mergeCell ref="DS59:EB59"/>
    <mergeCell ref="IB59:IJ59"/>
    <mergeCell ref="IP59:IY59"/>
    <mergeCell ref="KF59:KN59"/>
    <mergeCell ref="NL57:NR57"/>
    <mergeCell ref="BB58:BJ58"/>
    <mergeCell ref="BR58:BZ58"/>
    <mergeCell ref="CD58:CL58"/>
    <mergeCell ref="DT58:EB58"/>
    <mergeCell ref="HP58:HY58"/>
    <mergeCell ref="IA58:IJ58"/>
    <mergeCell ref="IQ58:IY58"/>
    <mergeCell ref="LB58:LJ58"/>
    <mergeCell ref="LM58:LU58"/>
    <mergeCell ref="HQ57:HY57"/>
    <mergeCell ref="IB57:IJ57"/>
    <mergeCell ref="IP57:IY57"/>
    <mergeCell ref="JQ57:JZ57"/>
    <mergeCell ref="KE57:KN57"/>
    <mergeCell ref="MT57:MZ57"/>
    <mergeCell ref="QB51:QE53"/>
    <mergeCell ref="QF51:QI53"/>
    <mergeCell ref="IA56:IJ56"/>
    <mergeCell ref="IQ56:IY56"/>
    <mergeCell ref="JR56:JZ56"/>
    <mergeCell ref="KF56:KN56"/>
    <mergeCell ref="LL56:LU56"/>
    <mergeCell ref="BA57:BJ57"/>
    <mergeCell ref="BQ57:BZ57"/>
    <mergeCell ref="CC57:CL57"/>
    <mergeCell ref="CR57:DA57"/>
    <mergeCell ref="DS57:EB57"/>
    <mergeCell ref="LM55:LU55"/>
    <mergeCell ref="QB55:QE56"/>
    <mergeCell ref="BB56:BJ56"/>
    <mergeCell ref="BR56:BZ56"/>
    <mergeCell ref="CD56:CL56"/>
    <mergeCell ref="CS56:DA56"/>
    <mergeCell ref="DT56:EB56"/>
    <mergeCell ref="EM56:EV56"/>
    <mergeCell ref="EY56:FH56"/>
    <mergeCell ref="HP56:HY56"/>
    <mergeCell ref="EC44:EL44"/>
    <mergeCell ref="EY44:FH44"/>
    <mergeCell ref="JW44:KF44"/>
    <mergeCell ref="HV47:ID47"/>
    <mergeCell ref="JI47:JQ47"/>
    <mergeCell ref="IQ54:IY54"/>
    <mergeCell ref="JU54:KA54"/>
    <mergeCell ref="KI54:KO54"/>
    <mergeCell ref="DS55:EB55"/>
    <mergeCell ref="EN55:EV55"/>
    <mergeCell ref="EZ55:FH55"/>
    <mergeCell ref="HQ55:HY55"/>
    <mergeCell ref="IB55:IJ55"/>
    <mergeCell ref="IP55:IY55"/>
    <mergeCell ref="BA54:BJ54"/>
    <mergeCell ref="BW54:CF54"/>
    <mergeCell ref="CX54:DG54"/>
    <mergeCell ref="DT54:EB54"/>
    <mergeCell ref="EM54:EV54"/>
    <mergeCell ref="EY54:FH54"/>
    <mergeCell ref="GK29:GT29"/>
    <mergeCell ref="LL29:LU29"/>
    <mergeCell ref="MX29:NG29"/>
    <mergeCell ref="MB37:MH37"/>
    <mergeCell ref="LY39:MG39"/>
    <mergeCell ref="LX40:MG40"/>
    <mergeCell ref="EP3:ET3"/>
    <mergeCell ref="OJ8:PW20"/>
    <mergeCell ref="EG10:JB14"/>
    <mergeCell ref="GL23:GT23"/>
    <mergeCell ref="GK24:GT24"/>
    <mergeCell ref="GL28:GT28"/>
    <mergeCell ref="LM28:LU28"/>
    <mergeCell ref="MY28:NG28"/>
    <mergeCell ref="QJ51:QM53"/>
    <mergeCell ref="QN51:QQ53"/>
    <mergeCell ref="BB53:BJ53"/>
    <mergeCell ref="BX53:CF53"/>
    <mergeCell ref="CY53:DG53"/>
    <mergeCell ref="IP53:IY53"/>
    <mergeCell ref="MA47:MG47"/>
    <mergeCell ref="NM47:NS47"/>
    <mergeCell ref="HU48:ID48"/>
    <mergeCell ref="JH48:JQ48"/>
    <mergeCell ref="BD51:BL51"/>
    <mergeCell ref="CF51:CM51"/>
    <mergeCell ref="DH51:DN51"/>
    <mergeCell ref="DU51:EC51"/>
    <mergeCell ref="GE51:GK51"/>
    <mergeCell ref="IF51:IL51"/>
    <mergeCell ref="ED43:EL43"/>
    <mergeCell ref="JX43:KF43"/>
  </mergeCells>
  <pageMargins left="0.25" right="0.25" top="0.75" bottom="0.75" header="0.3" footer="0.3"/>
  <pageSetup paperSize="9" scale="15" orientation="landscape" r:id="rId1"/>
  <headerFooter>
    <oddFooter>&amp;L_x000D_&amp;1#&amp;"Trebuchet MS"&amp;9&amp;K737373 PÚBLICA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784B-510C-4DC7-8097-7DBBD8BE424B}">
  <sheetPr codeName="Planilha13">
    <tabColor rgb="FF00B0F0"/>
    <pageSetUpPr fitToPage="1"/>
  </sheetPr>
  <dimension ref="E1:HM121"/>
  <sheetViews>
    <sheetView showGridLines="0" topLeftCell="U40" zoomScale="85" zoomScaleNormal="85" workbookViewId="0">
      <selection activeCell="AG78" sqref="AG78"/>
    </sheetView>
  </sheetViews>
  <sheetFormatPr defaultColWidth="2.81640625" defaultRowHeight="10.5" x14ac:dyDescent="0.25"/>
  <cols>
    <col min="1" max="9" width="2.81640625" style="22"/>
    <col min="10" max="10" width="3.7265625" style="22" customWidth="1"/>
    <col min="11" max="37" width="2.81640625" style="22"/>
    <col min="38" max="38" width="4.26953125" style="22" customWidth="1"/>
    <col min="39" max="43" width="2.81640625" style="22"/>
    <col min="44" max="44" width="4.453125" style="22" bestFit="1" customWidth="1"/>
    <col min="45" max="55" width="2.81640625" style="22"/>
    <col min="56" max="56" width="4.453125" style="22" bestFit="1" customWidth="1"/>
    <col min="57" max="57" width="4.26953125" style="22" customWidth="1"/>
    <col min="58" max="65" width="2.81640625" style="22"/>
    <col min="66" max="66" width="4.453125" style="22" bestFit="1" customWidth="1"/>
    <col min="67" max="82" width="2.81640625" style="22"/>
    <col min="83" max="83" width="4" style="22" customWidth="1"/>
    <col min="84" max="100" width="2.81640625" style="22"/>
    <col min="101" max="101" width="5" style="22" bestFit="1" customWidth="1"/>
    <col min="102" max="114" width="2.81640625" style="22"/>
    <col min="115" max="115" width="5" style="22" bestFit="1" customWidth="1"/>
    <col min="116" max="16384" width="2.81640625" style="22"/>
  </cols>
  <sheetData>
    <row r="1" spans="5:132" x14ac:dyDescent="0.25">
      <c r="G1" s="25"/>
      <c r="H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</row>
    <row r="2" spans="5:132" x14ac:dyDescent="0.25">
      <c r="E2" s="29"/>
      <c r="F2" s="390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EA2" s="391"/>
      <c r="EB2" s="742"/>
    </row>
    <row r="3" spans="5:132" ht="14.5" customHeight="1" x14ac:dyDescent="0.25">
      <c r="E3" s="29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404"/>
      <c r="V3" s="1404"/>
      <c r="W3" s="1404"/>
      <c r="X3" s="1404"/>
      <c r="Y3" s="1405" t="s">
        <v>5299</v>
      </c>
      <c r="Z3" s="1405"/>
      <c r="AA3" s="1405"/>
      <c r="AB3" s="1405"/>
      <c r="AC3" s="1405"/>
      <c r="AD3" s="1405"/>
      <c r="AE3" s="1405"/>
      <c r="AF3" s="1405"/>
      <c r="AG3" s="1405"/>
      <c r="AH3" s="1405"/>
      <c r="AI3" s="1405"/>
      <c r="AJ3" s="1405"/>
      <c r="AK3" s="1405"/>
      <c r="AL3" s="1405"/>
      <c r="AM3" s="1405"/>
      <c r="AN3" s="1405"/>
      <c r="AO3" s="1405"/>
      <c r="AP3" s="1405"/>
      <c r="AQ3" s="1405"/>
      <c r="AR3" s="1405"/>
      <c r="AS3" s="1405"/>
      <c r="AT3" s="1405"/>
      <c r="AU3" s="1405"/>
      <c r="AV3" s="1405"/>
      <c r="AW3" s="1405"/>
      <c r="AX3" s="1405"/>
      <c r="AY3" s="1405"/>
      <c r="AZ3" s="1405"/>
      <c r="BA3" s="1405"/>
      <c r="BB3" s="1405"/>
      <c r="BC3" s="1405"/>
      <c r="BD3" s="1405"/>
      <c r="BE3" s="1405"/>
      <c r="BF3" s="1405"/>
      <c r="BG3" s="1405"/>
      <c r="BH3" s="1405"/>
      <c r="BI3" s="1405"/>
      <c r="BJ3" s="1405"/>
      <c r="BK3" s="1405"/>
      <c r="BL3" s="1405"/>
      <c r="BM3" s="1405"/>
      <c r="BN3" s="1405"/>
      <c r="BO3" s="1405"/>
      <c r="BP3" s="1405"/>
      <c r="BQ3" s="1405"/>
      <c r="BR3" s="1405"/>
      <c r="BS3" s="1405"/>
      <c r="BT3" s="1405"/>
      <c r="BU3" s="1405"/>
      <c r="BV3" s="1405"/>
      <c r="BW3" s="1405"/>
      <c r="BX3" s="1405"/>
      <c r="BY3" s="1405"/>
      <c r="BZ3" s="1405"/>
      <c r="CA3" s="1405"/>
      <c r="CB3" s="1405"/>
      <c r="CC3" s="1405"/>
      <c r="CD3" s="1405"/>
      <c r="CE3" s="1405"/>
      <c r="CF3" s="1405"/>
      <c r="CG3" s="1405"/>
      <c r="CH3" s="1405"/>
      <c r="CI3" s="1405"/>
      <c r="CJ3" s="1405"/>
      <c r="CK3" s="1405"/>
      <c r="CL3" s="1405"/>
      <c r="CM3" s="1405"/>
      <c r="CN3" s="1405"/>
      <c r="CO3" s="1405"/>
      <c r="CP3" s="1405"/>
      <c r="CQ3" s="1405"/>
      <c r="CR3" s="1405"/>
      <c r="CS3" s="1405"/>
      <c r="CT3" s="392"/>
      <c r="CU3" s="392"/>
      <c r="CV3" s="392"/>
      <c r="EB3" s="401"/>
    </row>
    <row r="4" spans="5:132" x14ac:dyDescent="0.25">
      <c r="E4" s="29"/>
      <c r="I4" s="1404"/>
      <c r="J4" s="1404"/>
      <c r="K4" s="1404"/>
      <c r="L4" s="1404"/>
      <c r="M4" s="1404"/>
      <c r="N4" s="1404"/>
      <c r="O4" s="1404"/>
      <c r="P4" s="1404"/>
      <c r="Q4" s="1404"/>
      <c r="R4" s="1404"/>
      <c r="S4" s="1404"/>
      <c r="T4" s="1404"/>
      <c r="U4" s="1404"/>
      <c r="V4" s="1404"/>
      <c r="W4" s="1404"/>
      <c r="X4" s="1404"/>
      <c r="Y4" s="1405"/>
      <c r="Z4" s="1405"/>
      <c r="AA4" s="1405"/>
      <c r="AB4" s="1405"/>
      <c r="AC4" s="1405"/>
      <c r="AD4" s="1405"/>
      <c r="AE4" s="1405"/>
      <c r="AF4" s="1405"/>
      <c r="AG4" s="1405"/>
      <c r="AH4" s="1405"/>
      <c r="AI4" s="1405"/>
      <c r="AJ4" s="1405"/>
      <c r="AK4" s="1405"/>
      <c r="AL4" s="1405"/>
      <c r="AM4" s="1405"/>
      <c r="AN4" s="1405"/>
      <c r="AO4" s="1405"/>
      <c r="AP4" s="1405"/>
      <c r="AQ4" s="1405"/>
      <c r="AR4" s="1405"/>
      <c r="AS4" s="1405"/>
      <c r="AT4" s="1405"/>
      <c r="AU4" s="1405"/>
      <c r="AV4" s="1405"/>
      <c r="AW4" s="1405"/>
      <c r="AX4" s="1405"/>
      <c r="AY4" s="1405"/>
      <c r="AZ4" s="1405"/>
      <c r="BA4" s="1405"/>
      <c r="BB4" s="1405"/>
      <c r="BC4" s="1405"/>
      <c r="BD4" s="1405"/>
      <c r="BE4" s="1405"/>
      <c r="BF4" s="1405"/>
      <c r="BG4" s="1405"/>
      <c r="BH4" s="1405"/>
      <c r="BI4" s="1405"/>
      <c r="BJ4" s="1405"/>
      <c r="BK4" s="1405"/>
      <c r="BL4" s="1405"/>
      <c r="BM4" s="1405"/>
      <c r="BN4" s="1405"/>
      <c r="BO4" s="1405"/>
      <c r="BP4" s="1405"/>
      <c r="BQ4" s="1405"/>
      <c r="BR4" s="1405"/>
      <c r="BS4" s="1405"/>
      <c r="BT4" s="1405"/>
      <c r="BU4" s="1405"/>
      <c r="BV4" s="1405"/>
      <c r="BW4" s="1405"/>
      <c r="BX4" s="1405"/>
      <c r="BY4" s="1405"/>
      <c r="BZ4" s="1405"/>
      <c r="CA4" s="1405"/>
      <c r="CB4" s="1405"/>
      <c r="CC4" s="1405"/>
      <c r="CD4" s="1405"/>
      <c r="CE4" s="1405"/>
      <c r="CF4" s="1405"/>
      <c r="CG4" s="1405"/>
      <c r="CH4" s="1405"/>
      <c r="CI4" s="1405"/>
      <c r="CJ4" s="1405"/>
      <c r="CK4" s="1405"/>
      <c r="CL4" s="1405"/>
      <c r="CM4" s="1405"/>
      <c r="CN4" s="1405"/>
      <c r="CO4" s="1405"/>
      <c r="CP4" s="1405"/>
      <c r="CQ4" s="1405"/>
      <c r="CR4" s="1405"/>
      <c r="CS4" s="1405"/>
      <c r="CT4" s="392"/>
      <c r="CU4" s="392"/>
      <c r="CV4" s="392"/>
      <c r="EB4" s="401"/>
    </row>
    <row r="5" spans="5:132" x14ac:dyDescent="0.25">
      <c r="E5" s="29"/>
      <c r="I5" s="1404"/>
      <c r="J5" s="1404"/>
      <c r="K5" s="1404"/>
      <c r="L5" s="1404"/>
      <c r="M5" s="1404"/>
      <c r="N5" s="1404"/>
      <c r="O5" s="1404"/>
      <c r="P5" s="1404"/>
      <c r="Q5" s="1404"/>
      <c r="R5" s="1404"/>
      <c r="S5" s="1404"/>
      <c r="T5" s="1404"/>
      <c r="U5" s="1404"/>
      <c r="V5" s="1404"/>
      <c r="W5" s="1404"/>
      <c r="X5" s="1404"/>
      <c r="Y5" s="1405"/>
      <c r="Z5" s="1405"/>
      <c r="AA5" s="1405"/>
      <c r="AB5" s="1405"/>
      <c r="AC5" s="1405"/>
      <c r="AD5" s="1405"/>
      <c r="AE5" s="1405"/>
      <c r="AF5" s="1405"/>
      <c r="AG5" s="1405"/>
      <c r="AH5" s="1405"/>
      <c r="AI5" s="1405"/>
      <c r="AJ5" s="1405"/>
      <c r="AK5" s="1405"/>
      <c r="AL5" s="1405"/>
      <c r="AM5" s="1405"/>
      <c r="AN5" s="1405"/>
      <c r="AO5" s="1405"/>
      <c r="AP5" s="1405"/>
      <c r="AQ5" s="1405"/>
      <c r="AR5" s="1405"/>
      <c r="AS5" s="1405"/>
      <c r="AT5" s="1405"/>
      <c r="AU5" s="1405"/>
      <c r="AV5" s="1405"/>
      <c r="AW5" s="1405"/>
      <c r="AX5" s="1405"/>
      <c r="AY5" s="1405"/>
      <c r="AZ5" s="1405"/>
      <c r="BA5" s="1405"/>
      <c r="BB5" s="1405"/>
      <c r="BC5" s="1405"/>
      <c r="BD5" s="1405"/>
      <c r="BE5" s="1405"/>
      <c r="BF5" s="1405"/>
      <c r="BG5" s="1405"/>
      <c r="BH5" s="1405"/>
      <c r="BI5" s="1405"/>
      <c r="BJ5" s="1405"/>
      <c r="BK5" s="1405"/>
      <c r="BL5" s="1405"/>
      <c r="BM5" s="1405"/>
      <c r="BN5" s="1405"/>
      <c r="BO5" s="1405"/>
      <c r="BP5" s="1405"/>
      <c r="BQ5" s="1405"/>
      <c r="BR5" s="1405"/>
      <c r="BS5" s="1405"/>
      <c r="BT5" s="1405"/>
      <c r="BU5" s="1405"/>
      <c r="BV5" s="1405"/>
      <c r="BW5" s="1405"/>
      <c r="BX5" s="1405"/>
      <c r="BY5" s="1405"/>
      <c r="BZ5" s="1405"/>
      <c r="CA5" s="1405"/>
      <c r="CB5" s="1405"/>
      <c r="CC5" s="1405"/>
      <c r="CD5" s="1405"/>
      <c r="CE5" s="1405"/>
      <c r="CF5" s="1405"/>
      <c r="CG5" s="1405"/>
      <c r="CH5" s="1405"/>
      <c r="CI5" s="1405"/>
      <c r="CJ5" s="1405"/>
      <c r="CK5" s="1405"/>
      <c r="CL5" s="1405"/>
      <c r="CM5" s="1405"/>
      <c r="CN5" s="1405"/>
      <c r="CO5" s="1405"/>
      <c r="CP5" s="1405"/>
      <c r="CQ5" s="1405"/>
      <c r="CR5" s="1405"/>
      <c r="CS5" s="1405"/>
      <c r="CT5" s="392"/>
      <c r="CU5" s="392"/>
      <c r="CV5" s="392"/>
      <c r="DN5" s="1637" t="s">
        <v>5300</v>
      </c>
      <c r="DO5" s="1637"/>
      <c r="DP5" s="1637"/>
      <c r="DQ5" s="1637"/>
      <c r="DR5" s="1637"/>
      <c r="DS5" s="1637"/>
      <c r="DT5" s="1637"/>
      <c r="DU5" s="1637"/>
      <c r="DV5" s="1637"/>
      <c r="DW5" s="1637"/>
      <c r="DX5" s="1637"/>
      <c r="DY5" s="1637"/>
      <c r="EB5" s="401"/>
    </row>
    <row r="6" spans="5:132" x14ac:dyDescent="0.25">
      <c r="E6" s="29"/>
      <c r="I6" s="1404"/>
      <c r="J6" s="1404"/>
      <c r="K6" s="1404"/>
      <c r="L6" s="1404"/>
      <c r="M6" s="1404"/>
      <c r="N6" s="1404"/>
      <c r="O6" s="1404"/>
      <c r="P6" s="1404"/>
      <c r="Q6" s="1404"/>
      <c r="R6" s="1404"/>
      <c r="S6" s="1404"/>
      <c r="T6" s="1404"/>
      <c r="U6" s="1404"/>
      <c r="V6" s="1404"/>
      <c r="W6" s="1404"/>
      <c r="X6" s="1404"/>
      <c r="Y6" s="1405"/>
      <c r="Z6" s="1405"/>
      <c r="AA6" s="1405"/>
      <c r="AB6" s="1405"/>
      <c r="AC6" s="1405"/>
      <c r="AD6" s="1405"/>
      <c r="AE6" s="1405"/>
      <c r="AF6" s="1405"/>
      <c r="AG6" s="1405"/>
      <c r="AH6" s="1405"/>
      <c r="AI6" s="1405"/>
      <c r="AJ6" s="1405"/>
      <c r="AK6" s="1405"/>
      <c r="AL6" s="1405"/>
      <c r="AM6" s="1405"/>
      <c r="AN6" s="1405"/>
      <c r="AO6" s="1405"/>
      <c r="AP6" s="1405"/>
      <c r="AQ6" s="1405"/>
      <c r="AR6" s="1405"/>
      <c r="AS6" s="1405"/>
      <c r="AT6" s="1405"/>
      <c r="AU6" s="1405"/>
      <c r="AV6" s="1405"/>
      <c r="AW6" s="1405"/>
      <c r="AX6" s="1405"/>
      <c r="AY6" s="1405"/>
      <c r="AZ6" s="1405"/>
      <c r="BA6" s="1405"/>
      <c r="BB6" s="1405"/>
      <c r="BC6" s="1405"/>
      <c r="BD6" s="1405"/>
      <c r="BE6" s="1405"/>
      <c r="BF6" s="1405"/>
      <c r="BG6" s="1405"/>
      <c r="BH6" s="1405"/>
      <c r="BI6" s="1405"/>
      <c r="BJ6" s="1405"/>
      <c r="BK6" s="1405"/>
      <c r="BL6" s="1405"/>
      <c r="BM6" s="1405"/>
      <c r="BN6" s="1405"/>
      <c r="BO6" s="1405"/>
      <c r="BP6" s="1405"/>
      <c r="BQ6" s="1405"/>
      <c r="BR6" s="1405"/>
      <c r="BS6" s="1405"/>
      <c r="BT6" s="1405"/>
      <c r="BU6" s="1405"/>
      <c r="BV6" s="1405"/>
      <c r="BW6" s="1405"/>
      <c r="BX6" s="1405"/>
      <c r="BY6" s="1405"/>
      <c r="BZ6" s="1405"/>
      <c r="CA6" s="1405"/>
      <c r="CB6" s="1405"/>
      <c r="CC6" s="1405"/>
      <c r="CD6" s="1405"/>
      <c r="CE6" s="1405"/>
      <c r="CF6" s="1405"/>
      <c r="CG6" s="1405"/>
      <c r="CH6" s="1405"/>
      <c r="CI6" s="1405"/>
      <c r="CJ6" s="1405"/>
      <c r="CK6" s="1405"/>
      <c r="CL6" s="1405"/>
      <c r="CM6" s="1405"/>
      <c r="CN6" s="1405"/>
      <c r="CO6" s="1405"/>
      <c r="CP6" s="1405"/>
      <c r="CQ6" s="1405"/>
      <c r="CR6" s="1405"/>
      <c r="CS6" s="1405"/>
      <c r="CT6" s="392"/>
      <c r="CU6" s="392"/>
      <c r="CV6" s="392"/>
      <c r="DN6" s="1637"/>
      <c r="DO6" s="1637"/>
      <c r="DP6" s="1637"/>
      <c r="DQ6" s="1637"/>
      <c r="DR6" s="1637"/>
      <c r="DS6" s="1637"/>
      <c r="DT6" s="1637"/>
      <c r="DU6" s="1637"/>
      <c r="DV6" s="1637"/>
      <c r="DW6" s="1637"/>
      <c r="DX6" s="1637"/>
      <c r="DY6" s="1637"/>
      <c r="EB6" s="401"/>
    </row>
    <row r="7" spans="5:132" x14ac:dyDescent="0.25">
      <c r="E7" s="29"/>
      <c r="I7" s="1404"/>
      <c r="J7" s="1404"/>
      <c r="K7" s="1404"/>
      <c r="L7" s="1404"/>
      <c r="M7" s="1404"/>
      <c r="N7" s="1404"/>
      <c r="O7" s="1404"/>
      <c r="P7" s="1404"/>
      <c r="Q7" s="1404"/>
      <c r="R7" s="1404"/>
      <c r="S7" s="1404"/>
      <c r="T7" s="1404"/>
      <c r="U7" s="1404"/>
      <c r="V7" s="1404"/>
      <c r="W7" s="1404"/>
      <c r="X7" s="1404"/>
      <c r="Y7" s="1405"/>
      <c r="Z7" s="1405"/>
      <c r="AA7" s="1405"/>
      <c r="AB7" s="1405"/>
      <c r="AC7" s="1405"/>
      <c r="AD7" s="1405"/>
      <c r="AE7" s="1405"/>
      <c r="AF7" s="1405"/>
      <c r="AG7" s="1405"/>
      <c r="AH7" s="1405"/>
      <c r="AI7" s="1405"/>
      <c r="AJ7" s="1405"/>
      <c r="AK7" s="1405"/>
      <c r="AL7" s="1405"/>
      <c r="AM7" s="1405"/>
      <c r="AN7" s="1405"/>
      <c r="AO7" s="1405"/>
      <c r="AP7" s="1405"/>
      <c r="AQ7" s="1405"/>
      <c r="AR7" s="1405"/>
      <c r="AS7" s="1405"/>
      <c r="AT7" s="1405"/>
      <c r="AU7" s="1405"/>
      <c r="AV7" s="1405"/>
      <c r="AW7" s="1405"/>
      <c r="AX7" s="1405"/>
      <c r="AY7" s="1405"/>
      <c r="AZ7" s="1405"/>
      <c r="BA7" s="1405"/>
      <c r="BB7" s="1405"/>
      <c r="BC7" s="1405"/>
      <c r="BD7" s="1405"/>
      <c r="BE7" s="1405"/>
      <c r="BF7" s="1405"/>
      <c r="BG7" s="1405"/>
      <c r="BH7" s="1405"/>
      <c r="BI7" s="1405"/>
      <c r="BJ7" s="1405"/>
      <c r="BK7" s="1405"/>
      <c r="BL7" s="1405"/>
      <c r="BM7" s="1405"/>
      <c r="BN7" s="1405"/>
      <c r="BO7" s="1405"/>
      <c r="BP7" s="1405"/>
      <c r="BQ7" s="1405"/>
      <c r="BR7" s="1405"/>
      <c r="BS7" s="1405"/>
      <c r="BT7" s="1405"/>
      <c r="BU7" s="1405"/>
      <c r="BV7" s="1405"/>
      <c r="BW7" s="1405"/>
      <c r="BX7" s="1405"/>
      <c r="BY7" s="1405"/>
      <c r="BZ7" s="1405"/>
      <c r="CA7" s="1405"/>
      <c r="CB7" s="1405"/>
      <c r="CC7" s="1405"/>
      <c r="CD7" s="1405"/>
      <c r="CE7" s="1405"/>
      <c r="CF7" s="1405"/>
      <c r="CG7" s="1405"/>
      <c r="CH7" s="1405"/>
      <c r="CI7" s="1405"/>
      <c r="CJ7" s="1405"/>
      <c r="CK7" s="1405"/>
      <c r="CL7" s="1405"/>
      <c r="CM7" s="1405"/>
      <c r="CN7" s="1405"/>
      <c r="CO7" s="1405"/>
      <c r="CP7" s="1405"/>
      <c r="CQ7" s="1405"/>
      <c r="CR7" s="1405"/>
      <c r="CS7" s="1405"/>
      <c r="CT7" s="392"/>
      <c r="CU7" s="392"/>
      <c r="CV7" s="392"/>
      <c r="DN7" s="1637"/>
      <c r="DO7" s="1637"/>
      <c r="DP7" s="1637"/>
      <c r="DQ7" s="1637"/>
      <c r="DR7" s="1637"/>
      <c r="DS7" s="1637"/>
      <c r="DT7" s="1637"/>
      <c r="DU7" s="1637"/>
      <c r="DV7" s="1637"/>
      <c r="DW7" s="1637"/>
      <c r="DX7" s="1637"/>
      <c r="DY7" s="1637"/>
      <c r="EB7" s="401"/>
    </row>
    <row r="8" spans="5:132" ht="14.5" customHeight="1" x14ac:dyDescent="0.25">
      <c r="E8" s="29"/>
      <c r="I8" s="1404"/>
      <c r="J8" s="1404"/>
      <c r="K8" s="1404"/>
      <c r="L8" s="1404"/>
      <c r="M8" s="1404"/>
      <c r="N8" s="1404"/>
      <c r="O8" s="1404"/>
      <c r="P8" s="1404"/>
      <c r="Q8" s="1404"/>
      <c r="R8" s="1404"/>
      <c r="S8" s="1404"/>
      <c r="T8" s="1404"/>
      <c r="U8" s="1404"/>
      <c r="V8" s="1404"/>
      <c r="W8" s="1404"/>
      <c r="X8" s="1404"/>
      <c r="DN8" s="1637"/>
      <c r="DO8" s="1637"/>
      <c r="DP8" s="1637"/>
      <c r="DQ8" s="1637"/>
      <c r="DR8" s="1637"/>
      <c r="DS8" s="1637"/>
      <c r="DT8" s="1637"/>
      <c r="DU8" s="1637"/>
      <c r="DV8" s="1637"/>
      <c r="DW8" s="1637"/>
      <c r="DX8" s="1637"/>
      <c r="DY8" s="1637"/>
      <c r="EB8" s="401"/>
    </row>
    <row r="9" spans="5:132" ht="14.5" customHeight="1" x14ac:dyDescent="0.25">
      <c r="E9" s="29"/>
      <c r="J9" s="98"/>
      <c r="K9" s="98"/>
      <c r="L9" s="98"/>
      <c r="M9" s="98"/>
      <c r="N9" s="98"/>
      <c r="O9" s="98"/>
      <c r="P9" s="305"/>
      <c r="Q9" s="305"/>
      <c r="R9" s="305"/>
      <c r="S9" s="305"/>
      <c r="T9" s="305"/>
      <c r="U9" s="305"/>
      <c r="V9" s="305"/>
      <c r="W9" s="305"/>
      <c r="X9" s="305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5"/>
      <c r="BD9" s="305"/>
      <c r="BE9" s="305"/>
      <c r="BF9" s="305"/>
      <c r="BG9" s="305"/>
      <c r="BH9" s="305"/>
      <c r="BI9" s="305"/>
      <c r="BJ9" s="305"/>
      <c r="BK9" s="305"/>
      <c r="BL9" s="305"/>
      <c r="BM9" s="305"/>
      <c r="BN9" s="305"/>
      <c r="BO9" s="305"/>
      <c r="BP9" s="305"/>
      <c r="BQ9" s="305"/>
      <c r="BR9" s="305"/>
      <c r="BS9" s="305"/>
      <c r="BT9" s="305"/>
      <c r="BU9" s="305"/>
      <c r="BV9" s="305"/>
      <c r="BW9" s="305"/>
      <c r="BX9" s="305"/>
      <c r="BY9" s="305"/>
      <c r="DN9" s="1637"/>
      <c r="DO9" s="1637"/>
      <c r="DP9" s="1637"/>
      <c r="DQ9" s="1637"/>
      <c r="DR9" s="1637"/>
      <c r="DS9" s="1637"/>
      <c r="DT9" s="1637"/>
      <c r="DU9" s="1637"/>
      <c r="DV9" s="1637"/>
      <c r="DW9" s="1637"/>
      <c r="DX9" s="1637"/>
      <c r="DY9" s="1637"/>
      <c r="EB9" s="401"/>
    </row>
    <row r="10" spans="5:132" ht="14.5" customHeight="1" x14ac:dyDescent="0.25">
      <c r="E10" s="29"/>
      <c r="AL10" s="394"/>
      <c r="AM10" s="1407" t="s">
        <v>65</v>
      </c>
      <c r="AN10" s="1408"/>
      <c r="AO10" s="1408"/>
      <c r="AP10" s="1408"/>
      <c r="AQ10" s="1408"/>
      <c r="AR10" s="1408"/>
      <c r="AS10" s="1408"/>
      <c r="AT10" s="1408"/>
      <c r="AU10" s="1409"/>
      <c r="DN10" s="1637"/>
      <c r="DO10" s="1637"/>
      <c r="DP10" s="1637"/>
      <c r="DQ10" s="1637"/>
      <c r="DR10" s="1637"/>
      <c r="DS10" s="1637"/>
      <c r="DT10" s="1637"/>
      <c r="DU10" s="1637"/>
      <c r="DV10" s="1637"/>
      <c r="DW10" s="1637"/>
      <c r="DX10" s="1637"/>
      <c r="DY10" s="1637"/>
      <c r="EB10" s="401"/>
    </row>
    <row r="11" spans="5:132" ht="14.5" customHeight="1" x14ac:dyDescent="0.25">
      <c r="E11" s="29"/>
      <c r="AL11" s="1410" t="s">
        <v>5301</v>
      </c>
      <c r="AM11" s="1411"/>
      <c r="AN11" s="1411"/>
      <c r="AO11" s="1411"/>
      <c r="AP11" s="1411"/>
      <c r="AQ11" s="1411"/>
      <c r="AR11" s="1411"/>
      <c r="AS11" s="1411"/>
      <c r="AT11" s="1411"/>
      <c r="AU11" s="1412"/>
      <c r="DN11" s="1637"/>
      <c r="DO11" s="1637"/>
      <c r="DP11" s="1637"/>
      <c r="DQ11" s="1637"/>
      <c r="DR11" s="1637"/>
      <c r="DS11" s="1637"/>
      <c r="DT11" s="1637"/>
      <c r="DU11" s="1637"/>
      <c r="DV11" s="1637"/>
      <c r="DW11" s="1637"/>
      <c r="DX11" s="1637"/>
      <c r="DY11" s="1637"/>
      <c r="EB11" s="401"/>
    </row>
    <row r="12" spans="5:132" ht="14.5" customHeight="1" x14ac:dyDescent="0.25">
      <c r="E12" s="29"/>
      <c r="AL12" s="1413"/>
      <c r="AM12" s="1414"/>
      <c r="AN12" s="1414"/>
      <c r="AO12" s="1414"/>
      <c r="AP12" s="1414"/>
      <c r="AQ12" s="1414"/>
      <c r="AR12" s="1414"/>
      <c r="AS12" s="1414"/>
      <c r="AT12" s="1414"/>
      <c r="AU12" s="1415"/>
      <c r="DN12" s="1637"/>
      <c r="DO12" s="1637"/>
      <c r="DP12" s="1637"/>
      <c r="DQ12" s="1637"/>
      <c r="DR12" s="1637"/>
      <c r="DS12" s="1637"/>
      <c r="DT12" s="1637"/>
      <c r="DU12" s="1637"/>
      <c r="DV12" s="1637"/>
      <c r="DW12" s="1637"/>
      <c r="DX12" s="1637"/>
      <c r="DY12" s="1637"/>
      <c r="EB12" s="401"/>
    </row>
    <row r="13" spans="5:132" ht="18" customHeight="1" x14ac:dyDescent="0.25">
      <c r="E13" s="29"/>
      <c r="AQ13" s="23"/>
      <c r="AR13" s="24"/>
      <c r="AS13" s="24"/>
      <c r="AT13" s="24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EB13" s="401"/>
    </row>
    <row r="14" spans="5:132" x14ac:dyDescent="0.25">
      <c r="E14" s="29"/>
      <c r="AQ14" s="26"/>
      <c r="AU14" s="24"/>
      <c r="AV14" s="27"/>
      <c r="AW14" s="27"/>
      <c r="CI14" s="28"/>
      <c r="CJ14" s="26"/>
      <c r="CX14" s="28"/>
      <c r="EB14" s="401"/>
    </row>
    <row r="15" spans="5:132" ht="10.15" customHeight="1" x14ac:dyDescent="0.25">
      <c r="E15" s="29"/>
      <c r="AL15" s="398">
        <v>0.5</v>
      </c>
      <c r="AM15" s="1416" t="s">
        <v>363</v>
      </c>
      <c r="AN15" s="1417"/>
      <c r="AO15" s="1417"/>
      <c r="AP15" s="1417"/>
      <c r="AQ15" s="1417"/>
      <c r="AR15" s="1417"/>
      <c r="AS15" s="1417"/>
      <c r="AT15" s="1417"/>
      <c r="AU15" s="1418"/>
      <c r="CE15" s="397">
        <f>'FG-INTEG-001-736'!MJ28</f>
        <v>0.5</v>
      </c>
      <c r="CF15" s="1416" t="s">
        <v>364</v>
      </c>
      <c r="CG15" s="1417"/>
      <c r="CH15" s="1417"/>
      <c r="CI15" s="1417"/>
      <c r="CJ15" s="1417"/>
      <c r="CK15" s="1417"/>
      <c r="CL15" s="1417"/>
      <c r="CM15" s="1417"/>
      <c r="CN15" s="1418"/>
      <c r="CT15" s="399"/>
      <c r="CU15" s="1416" t="s">
        <v>365</v>
      </c>
      <c r="CV15" s="1417"/>
      <c r="CW15" s="1417"/>
      <c r="CX15" s="1417"/>
      <c r="CY15" s="1417"/>
      <c r="CZ15" s="1417"/>
      <c r="DA15" s="1417"/>
      <c r="DB15" s="1417"/>
      <c r="DC15" s="1418"/>
      <c r="EB15" s="401"/>
    </row>
    <row r="16" spans="5:132" ht="18" customHeight="1" x14ac:dyDescent="0.25">
      <c r="E16" s="29"/>
      <c r="AL16" s="1419" t="s">
        <v>5302</v>
      </c>
      <c r="AM16" s="1420"/>
      <c r="AN16" s="1420"/>
      <c r="AO16" s="1420"/>
      <c r="AP16" s="1420"/>
      <c r="AQ16" s="1420"/>
      <c r="AR16" s="1420"/>
      <c r="AS16" s="1420"/>
      <c r="AT16" s="1420"/>
      <c r="AU16" s="1421"/>
      <c r="CE16" s="1419" t="s">
        <v>366</v>
      </c>
      <c r="CF16" s="1420"/>
      <c r="CG16" s="1420"/>
      <c r="CH16" s="1420"/>
      <c r="CI16" s="1420"/>
      <c r="CJ16" s="1420"/>
      <c r="CK16" s="1420"/>
      <c r="CL16" s="1420"/>
      <c r="CM16" s="1420"/>
      <c r="CN16" s="1421"/>
      <c r="CT16" s="1419" t="s">
        <v>5303</v>
      </c>
      <c r="CU16" s="1420"/>
      <c r="CV16" s="1420"/>
      <c r="CW16" s="1420"/>
      <c r="CX16" s="1420"/>
      <c r="CY16" s="1420"/>
      <c r="CZ16" s="1420"/>
      <c r="DA16" s="1420"/>
      <c r="DB16" s="1420"/>
      <c r="DC16" s="1421"/>
      <c r="EB16" s="401"/>
    </row>
    <row r="17" spans="5:132" ht="18" customHeight="1" x14ac:dyDescent="0.25">
      <c r="E17" s="29"/>
      <c r="AL17" s="395"/>
      <c r="AM17" s="395"/>
      <c r="AN17" s="395"/>
      <c r="AO17" s="395"/>
      <c r="AP17" s="395"/>
      <c r="AQ17" s="400"/>
      <c r="AR17" s="395"/>
      <c r="AS17" s="395"/>
      <c r="AT17" s="395"/>
      <c r="AU17" s="395"/>
      <c r="CI17" s="28"/>
      <c r="CV17" s="28"/>
      <c r="CZ17" s="28"/>
      <c r="EB17" s="401"/>
    </row>
    <row r="18" spans="5:132" ht="18" customHeight="1" x14ac:dyDescent="0.25">
      <c r="E18" s="29"/>
      <c r="AE18" s="1428" t="s">
        <v>368</v>
      </c>
      <c r="AF18" s="1429"/>
      <c r="AG18" s="1429"/>
      <c r="AH18" s="1429"/>
      <c r="AI18" s="1429"/>
      <c r="AJ18" s="1429"/>
      <c r="AK18" s="1429"/>
      <c r="AL18" s="1429"/>
      <c r="AM18" s="1429"/>
      <c r="AN18" s="1429"/>
      <c r="AO18" s="1429"/>
      <c r="AP18" s="1429"/>
      <c r="AQ18" s="1429"/>
      <c r="AR18" s="1429"/>
      <c r="AS18" s="1429"/>
      <c r="AT18" s="1429"/>
      <c r="AU18" s="1429"/>
      <c r="AV18" s="1429"/>
      <c r="AW18" s="1429"/>
      <c r="AX18" s="1429"/>
      <c r="AY18" s="1429"/>
      <c r="AZ18" s="1429"/>
      <c r="BA18" s="1429"/>
      <c r="BB18" s="1430"/>
      <c r="CI18" s="29"/>
      <c r="CV18" s="29"/>
      <c r="CZ18" s="29"/>
      <c r="EB18" s="401"/>
    </row>
    <row r="19" spans="5:132" ht="18" customHeight="1" x14ac:dyDescent="0.25">
      <c r="E19" s="29"/>
      <c r="AE19" s="1428" t="s">
        <v>369</v>
      </c>
      <c r="AF19" s="1429"/>
      <c r="AG19" s="1429"/>
      <c r="AH19" s="1429"/>
      <c r="AI19" s="1429"/>
      <c r="AJ19" s="1429"/>
      <c r="AK19" s="1429"/>
      <c r="AL19" s="1429"/>
      <c r="AM19" s="1429"/>
      <c r="AN19" s="1429"/>
      <c r="AO19" s="1429"/>
      <c r="AP19" s="1429"/>
      <c r="AQ19" s="1429"/>
      <c r="AR19" s="1429"/>
      <c r="AS19" s="1429"/>
      <c r="AT19" s="1429"/>
      <c r="AU19" s="1429"/>
      <c r="AV19" s="1429"/>
      <c r="AW19" s="1429"/>
      <c r="AX19" s="1429"/>
      <c r="AY19" s="1429"/>
      <c r="AZ19" s="1429"/>
      <c r="BA19" s="1429"/>
      <c r="BB19" s="1430"/>
      <c r="CI19" s="401"/>
      <c r="CV19" s="29"/>
      <c r="CZ19" s="29"/>
      <c r="EB19" s="401"/>
    </row>
    <row r="20" spans="5:132" ht="18" customHeight="1" x14ac:dyDescent="0.25">
      <c r="E20" s="29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402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CG20" s="97"/>
      <c r="CH20" s="403"/>
      <c r="CI20" s="30"/>
      <c r="CJ20" s="25"/>
      <c r="CK20" s="25"/>
      <c r="CV20" s="29"/>
      <c r="CZ20" s="29"/>
      <c r="EB20" s="401"/>
    </row>
    <row r="21" spans="5:132" ht="18" customHeight="1" x14ac:dyDescent="0.25">
      <c r="E21" s="29"/>
      <c r="H21" s="404"/>
      <c r="I21" s="405"/>
      <c r="J21" s="405"/>
      <c r="K21" s="405"/>
      <c r="L21" s="405"/>
      <c r="M21" s="405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7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5"/>
      <c r="BT21" s="405"/>
      <c r="BU21" s="405"/>
      <c r="BV21" s="405"/>
      <c r="BW21" s="405"/>
      <c r="BX21" s="405"/>
      <c r="BY21" s="408"/>
      <c r="CG21" s="30"/>
      <c r="CK21" s="30"/>
      <c r="CV21" s="30"/>
      <c r="CZ21" s="30"/>
      <c r="EB21" s="401"/>
    </row>
    <row r="22" spans="5:132" ht="18" customHeight="1" x14ac:dyDescent="0.25">
      <c r="E22" s="29"/>
      <c r="H22" s="409"/>
      <c r="M22" s="29"/>
      <c r="AC22" s="23"/>
      <c r="AP22" s="29"/>
      <c r="AT22" s="27"/>
      <c r="AU22" s="27"/>
      <c r="AV22" s="28"/>
      <c r="BH22" s="28"/>
      <c r="BS22" s="396"/>
      <c r="BT22" s="25"/>
      <c r="BY22" s="410"/>
      <c r="CG22" s="1235" t="s">
        <v>370</v>
      </c>
      <c r="CH22" s="1236"/>
      <c r="CK22" s="1235" t="s">
        <v>371</v>
      </c>
      <c r="CL22" s="1236"/>
      <c r="CV22" s="1235" t="s">
        <v>113</v>
      </c>
      <c r="CW22" s="1236"/>
      <c r="CX22" s="1234"/>
      <c r="CY22" s="29"/>
      <c r="CZ22" s="1235" t="s">
        <v>372</v>
      </c>
      <c r="DA22" s="1236"/>
      <c r="EB22" s="401"/>
    </row>
    <row r="23" spans="5:132" ht="18" customHeight="1" x14ac:dyDescent="0.25">
      <c r="E23" s="29"/>
      <c r="H23" s="409"/>
      <c r="J23" s="31">
        <f>'FG-INTEG-001-736'!EJ43</f>
        <v>0.5</v>
      </c>
      <c r="K23" s="1416" t="s">
        <v>4842</v>
      </c>
      <c r="L23" s="1417"/>
      <c r="M23" s="1417"/>
      <c r="N23" s="1417"/>
      <c r="O23" s="1417"/>
      <c r="P23" s="1417"/>
      <c r="Q23" s="1418"/>
      <c r="X23" s="399">
        <v>1</v>
      </c>
      <c r="Y23" s="1416" t="s">
        <v>4842</v>
      </c>
      <c r="Z23" s="1417"/>
      <c r="AA23" s="1417"/>
      <c r="AB23" s="1417"/>
      <c r="AC23" s="1417"/>
      <c r="AD23" s="1417"/>
      <c r="AE23" s="1417"/>
      <c r="AF23" s="1417"/>
      <c r="AG23" s="1418"/>
      <c r="AP23" s="29"/>
      <c r="AV23" s="29"/>
      <c r="BH23" s="29"/>
      <c r="BN23" s="397">
        <f>'FG-INTEG-001-736'!KJ43</f>
        <v>0.5</v>
      </c>
      <c r="BO23" s="1416" t="s">
        <v>4842</v>
      </c>
      <c r="BP23" s="1417"/>
      <c r="BQ23" s="1417"/>
      <c r="BR23" s="1417"/>
      <c r="BS23" s="1417"/>
      <c r="BT23" s="1417"/>
      <c r="BU23" s="1417"/>
      <c r="BV23" s="1417"/>
      <c r="BW23" s="1418"/>
      <c r="BY23" s="410"/>
      <c r="CG23" s="1237"/>
      <c r="CH23" s="1238"/>
      <c r="CK23" s="1237"/>
      <c r="CL23" s="1238"/>
      <c r="CV23" s="1237"/>
      <c r="CW23" s="1238"/>
      <c r="CX23" s="1234"/>
      <c r="CY23" s="29"/>
      <c r="CZ23" s="1237"/>
      <c r="DA23" s="1238"/>
      <c r="EB23" s="401"/>
    </row>
    <row r="24" spans="5:132" ht="18" customHeight="1" x14ac:dyDescent="0.25">
      <c r="E24" s="29"/>
      <c r="H24" s="409"/>
      <c r="J24" s="1424" t="s">
        <v>5304</v>
      </c>
      <c r="K24" s="1424"/>
      <c r="L24" s="1424"/>
      <c r="M24" s="1424"/>
      <c r="N24" s="1424"/>
      <c r="O24" s="1424"/>
      <c r="P24" s="1424"/>
      <c r="Q24" s="1424"/>
      <c r="X24" s="1425" t="s">
        <v>5305</v>
      </c>
      <c r="Y24" s="1426"/>
      <c r="Z24" s="1426"/>
      <c r="AA24" s="1426"/>
      <c r="AB24" s="1426"/>
      <c r="AC24" s="1426"/>
      <c r="AD24" s="1426"/>
      <c r="AE24" s="1426"/>
      <c r="AF24" s="1426"/>
      <c r="AG24" s="1427"/>
      <c r="AP24" s="29"/>
      <c r="AV24" s="29"/>
      <c r="BH24" s="29"/>
      <c r="BN24" s="1425" t="s">
        <v>5306</v>
      </c>
      <c r="BO24" s="1426"/>
      <c r="BP24" s="1426"/>
      <c r="BQ24" s="1426"/>
      <c r="BR24" s="1426"/>
      <c r="BS24" s="1426"/>
      <c r="BT24" s="1426"/>
      <c r="BU24" s="1426"/>
      <c r="BV24" s="1426"/>
      <c r="BW24" s="1427"/>
      <c r="BY24" s="410"/>
      <c r="CG24" s="1237"/>
      <c r="CH24" s="1238"/>
      <c r="CK24" s="1237"/>
      <c r="CL24" s="1238"/>
      <c r="CV24" s="1237"/>
      <c r="CW24" s="1238"/>
      <c r="CX24" s="1234"/>
      <c r="CY24" s="29"/>
      <c r="CZ24" s="1237"/>
      <c r="DA24" s="1238"/>
      <c r="EB24" s="401"/>
    </row>
    <row r="25" spans="5:132" ht="18" customHeight="1" x14ac:dyDescent="0.25">
      <c r="E25" s="29"/>
      <c r="H25" s="409"/>
      <c r="J25" s="30"/>
      <c r="M25" s="32"/>
      <c r="Q25" s="23"/>
      <c r="AB25" s="30"/>
      <c r="AP25" s="29"/>
      <c r="AV25" s="29"/>
      <c r="BH25" s="29"/>
      <c r="BR25" s="28"/>
      <c r="BY25" s="410"/>
      <c r="CG25" s="1237"/>
      <c r="CH25" s="1238"/>
      <c r="CK25" s="1237"/>
      <c r="CL25" s="1238"/>
      <c r="CV25" s="1237"/>
      <c r="CW25" s="1238"/>
      <c r="CX25" s="1234"/>
      <c r="CY25" s="29"/>
      <c r="CZ25" s="1237"/>
      <c r="DA25" s="1238"/>
      <c r="EB25" s="401"/>
    </row>
    <row r="26" spans="5:132" ht="14.5" customHeight="1" x14ac:dyDescent="0.25">
      <c r="E26" s="29"/>
      <c r="H26" s="409"/>
      <c r="J26" s="1235" t="s">
        <v>4846</v>
      </c>
      <c r="K26" s="1236"/>
      <c r="M26" s="1235" t="s">
        <v>4847</v>
      </c>
      <c r="N26" s="1236"/>
      <c r="P26" s="1262" t="s">
        <v>4849</v>
      </c>
      <c r="Q26" s="1262"/>
      <c r="AB26" s="1235" t="s">
        <v>377</v>
      </c>
      <c r="AC26" s="1236"/>
      <c r="AP26" s="29"/>
      <c r="AT26" s="25"/>
      <c r="AU26" s="25"/>
      <c r="AV26" s="30"/>
      <c r="BH26" s="30"/>
      <c r="BP26" s="25"/>
      <c r="BR26" s="29"/>
      <c r="BY26" s="410"/>
      <c r="CG26" s="1237"/>
      <c r="CH26" s="1238"/>
      <c r="CK26" s="1237"/>
      <c r="CL26" s="1238"/>
      <c r="CV26" s="1237"/>
      <c r="CW26" s="1238"/>
      <c r="CX26" s="1234"/>
      <c r="CY26" s="29"/>
      <c r="CZ26" s="1237"/>
      <c r="DA26" s="1238"/>
      <c r="EB26" s="401"/>
    </row>
    <row r="27" spans="5:132" ht="14.5" customHeight="1" x14ac:dyDescent="0.25">
      <c r="E27" s="29"/>
      <c r="H27" s="409"/>
      <c r="J27" s="1237"/>
      <c r="K27" s="1238"/>
      <c r="M27" s="1237"/>
      <c r="N27" s="1238"/>
      <c r="P27" s="1262"/>
      <c r="Q27" s="1262"/>
      <c r="AB27" s="1237"/>
      <c r="AC27" s="1238"/>
      <c r="AP27" s="29"/>
      <c r="AR27" s="397">
        <f>'FG-INTEG-001-736'!IB47</f>
        <v>0.5</v>
      </c>
      <c r="AS27" s="1416" t="s">
        <v>4850</v>
      </c>
      <c r="AT27" s="1417"/>
      <c r="AU27" s="1417"/>
      <c r="AV27" s="1417"/>
      <c r="AW27" s="1417"/>
      <c r="AX27" s="1417"/>
      <c r="AY27" s="1417"/>
      <c r="AZ27" s="1417"/>
      <c r="BA27" s="1418"/>
      <c r="BD27" s="397">
        <f>'FG-INTEG-001-736'!JO47</f>
        <v>0.5</v>
      </c>
      <c r="BE27" s="1416" t="s">
        <v>4850</v>
      </c>
      <c r="BF27" s="1417"/>
      <c r="BG27" s="1417"/>
      <c r="BH27" s="1417"/>
      <c r="BI27" s="1417"/>
      <c r="BJ27" s="1417"/>
      <c r="BK27" s="1417"/>
      <c r="BL27" s="1417"/>
      <c r="BM27" s="1418"/>
      <c r="BO27" s="29"/>
      <c r="BP27" s="26"/>
      <c r="BQ27" s="27"/>
      <c r="BR27" s="28"/>
      <c r="BS27" s="33"/>
      <c r="BT27" s="27"/>
      <c r="BU27" s="28"/>
      <c r="BV27" s="26"/>
      <c r="BY27" s="410"/>
      <c r="CG27" s="1237"/>
      <c r="CH27" s="1238"/>
      <c r="CK27" s="1237"/>
      <c r="CL27" s="1238"/>
      <c r="CV27" s="1237"/>
      <c r="CW27" s="1238"/>
      <c r="CX27" s="1234"/>
      <c r="CY27" s="29"/>
      <c r="CZ27" s="1237"/>
      <c r="DA27" s="1238"/>
      <c r="EB27" s="401"/>
    </row>
    <row r="28" spans="5:132" x14ac:dyDescent="0.25">
      <c r="E28" s="29"/>
      <c r="H28" s="409"/>
      <c r="J28" s="1237"/>
      <c r="K28" s="1238"/>
      <c r="M28" s="1237"/>
      <c r="N28" s="1238"/>
      <c r="P28" s="1262"/>
      <c r="Q28" s="1262"/>
      <c r="AB28" s="1237"/>
      <c r="AC28" s="1238"/>
      <c r="AP28" s="29"/>
      <c r="AR28" s="1425" t="s">
        <v>4851</v>
      </c>
      <c r="AS28" s="1426"/>
      <c r="AT28" s="1426"/>
      <c r="AU28" s="1426"/>
      <c r="AV28" s="1426"/>
      <c r="AW28" s="1426"/>
      <c r="AX28" s="1426"/>
      <c r="AY28" s="1426"/>
      <c r="AZ28" s="1426"/>
      <c r="BA28" s="1427"/>
      <c r="BD28" s="1425" t="s">
        <v>5307</v>
      </c>
      <c r="BE28" s="1426"/>
      <c r="BF28" s="1426"/>
      <c r="BG28" s="1426"/>
      <c r="BH28" s="1426"/>
      <c r="BI28" s="1426"/>
      <c r="BJ28" s="1426"/>
      <c r="BK28" s="1426"/>
      <c r="BL28" s="1426"/>
      <c r="BM28" s="1427"/>
      <c r="BO28" s="30"/>
      <c r="BR28" s="29"/>
      <c r="BV28" s="26"/>
      <c r="BY28" s="410"/>
      <c r="CG28" s="1237"/>
      <c r="CH28" s="1238"/>
      <c r="CK28" s="1237"/>
      <c r="CL28" s="1238"/>
      <c r="CU28" s="97"/>
      <c r="CV28" s="1237"/>
      <c r="CW28" s="1238"/>
      <c r="CX28" s="1234"/>
      <c r="CY28" s="29"/>
      <c r="CZ28" s="1237"/>
      <c r="DA28" s="1238"/>
      <c r="EB28" s="401"/>
    </row>
    <row r="29" spans="5:132" x14ac:dyDescent="0.25">
      <c r="E29" s="29"/>
      <c r="H29" s="409"/>
      <c r="J29" s="1237"/>
      <c r="K29" s="1238"/>
      <c r="M29" s="1237"/>
      <c r="N29" s="1238"/>
      <c r="P29" s="1262"/>
      <c r="Q29" s="1262"/>
      <c r="AB29" s="1237"/>
      <c r="AC29" s="1238"/>
      <c r="AP29" s="29"/>
      <c r="AR29" s="30"/>
      <c r="AV29" s="30"/>
      <c r="BA29" s="23"/>
      <c r="BO29" s="1235" t="s">
        <v>4853</v>
      </c>
      <c r="BP29" s="1236"/>
      <c r="BR29" s="29"/>
      <c r="BU29" s="1235" t="s">
        <v>4854</v>
      </c>
      <c r="BV29" s="1236"/>
      <c r="BY29" s="410"/>
      <c r="CG29" s="1237"/>
      <c r="CH29" s="1238"/>
      <c r="CK29" s="1237"/>
      <c r="CL29" s="1238"/>
      <c r="CV29" s="1237"/>
      <c r="CW29" s="1238"/>
      <c r="CX29" s="1234"/>
      <c r="CZ29" s="1237"/>
      <c r="DA29" s="1238"/>
      <c r="EB29" s="401"/>
    </row>
    <row r="30" spans="5:132" x14ac:dyDescent="0.25">
      <c r="E30" s="29"/>
      <c r="H30" s="409"/>
      <c r="J30" s="1237"/>
      <c r="K30" s="1238"/>
      <c r="M30" s="1237"/>
      <c r="N30" s="1238"/>
      <c r="P30" s="1262"/>
      <c r="Q30" s="1262"/>
      <c r="AB30" s="1237"/>
      <c r="AC30" s="1238"/>
      <c r="AP30" s="29"/>
      <c r="AR30" s="1235" t="s">
        <v>375</v>
      </c>
      <c r="AS30" s="1236"/>
      <c r="AV30" s="1235" t="s">
        <v>4855</v>
      </c>
      <c r="AW30" s="1236"/>
      <c r="AZ30" s="1235" t="s">
        <v>4856</v>
      </c>
      <c r="BA30" s="1236"/>
      <c r="BO30" s="1237"/>
      <c r="BP30" s="1238"/>
      <c r="BR30" s="29"/>
      <c r="BU30" s="1237"/>
      <c r="BV30" s="1238"/>
      <c r="BY30" s="410"/>
      <c r="CG30" s="1239"/>
      <c r="CH30" s="1240"/>
      <c r="CK30" s="1239"/>
      <c r="CL30" s="1240"/>
      <c r="CU30" s="1638"/>
      <c r="CV30" s="1239"/>
      <c r="CW30" s="1240"/>
      <c r="CX30" s="1234"/>
      <c r="CZ30" s="1239"/>
      <c r="DA30" s="1240"/>
      <c r="EB30" s="401"/>
    </row>
    <row r="31" spans="5:132" x14ac:dyDescent="0.25">
      <c r="E31" s="29"/>
      <c r="H31" s="409"/>
      <c r="J31" s="1237"/>
      <c r="K31" s="1238"/>
      <c r="M31" s="1237"/>
      <c r="N31" s="1238"/>
      <c r="P31" s="1262"/>
      <c r="Q31" s="1262"/>
      <c r="AB31" s="1237"/>
      <c r="AC31" s="1238"/>
      <c r="AP31" s="29"/>
      <c r="AR31" s="1237"/>
      <c r="AS31" s="1238"/>
      <c r="AV31" s="1237"/>
      <c r="AW31" s="1238"/>
      <c r="AZ31" s="1237"/>
      <c r="BA31" s="1238"/>
      <c r="BO31" s="1237"/>
      <c r="BP31" s="1238"/>
      <c r="BR31" s="29"/>
      <c r="BU31" s="1237"/>
      <c r="BV31" s="1238"/>
      <c r="BY31" s="410"/>
      <c r="CG31" s="32"/>
      <c r="CK31" s="32"/>
      <c r="CU31" s="1638"/>
      <c r="CV31" s="32"/>
      <c r="CZ31" s="32"/>
      <c r="EB31" s="401"/>
    </row>
    <row r="32" spans="5:132" x14ac:dyDescent="0.25">
      <c r="E32" s="29"/>
      <c r="H32" s="409"/>
      <c r="J32" s="1237"/>
      <c r="K32" s="1238"/>
      <c r="M32" s="1237"/>
      <c r="N32" s="1238"/>
      <c r="P32" s="1262"/>
      <c r="Q32" s="1262"/>
      <c r="AB32" s="1237"/>
      <c r="AC32" s="1238"/>
      <c r="AP32" s="29"/>
      <c r="AR32" s="1237"/>
      <c r="AS32" s="1238"/>
      <c r="AV32" s="1237"/>
      <c r="AW32" s="1238"/>
      <c r="AZ32" s="1237"/>
      <c r="BA32" s="1238"/>
      <c r="BO32" s="1237"/>
      <c r="BP32" s="1238"/>
      <c r="BR32" s="29"/>
      <c r="BU32" s="1237"/>
      <c r="BV32" s="1238"/>
      <c r="BY32" s="410"/>
      <c r="CG32" s="1247">
        <f>'FG-INTEG-001-736'!NE41</f>
        <v>17.5</v>
      </c>
      <c r="CH32" s="1248"/>
      <c r="CK32" s="1233">
        <f>'FG-INTEG-001-736'!MV35</f>
        <v>0.5</v>
      </c>
      <c r="CL32" s="1227"/>
      <c r="CU32" s="1638"/>
      <c r="CV32" s="1233">
        <f>'FG-INTEG-001-736'!NN54</f>
        <v>1</v>
      </c>
      <c r="CW32" s="1227"/>
      <c r="CZ32" s="1233">
        <f>'FG-INTEG-001-736'!OQ41</f>
        <v>6.5</v>
      </c>
      <c r="DA32" s="1227"/>
      <c r="EB32" s="401"/>
    </row>
    <row r="33" spans="5:132" x14ac:dyDescent="0.25">
      <c r="E33" s="29"/>
      <c r="H33" s="409"/>
      <c r="J33" s="1237"/>
      <c r="K33" s="1238"/>
      <c r="M33" s="1237"/>
      <c r="N33" s="1238"/>
      <c r="P33" s="1262"/>
      <c r="Q33" s="1262"/>
      <c r="AB33" s="1237"/>
      <c r="AC33" s="1238"/>
      <c r="AP33" s="29"/>
      <c r="AR33" s="1237"/>
      <c r="AS33" s="1238"/>
      <c r="AV33" s="1237"/>
      <c r="AW33" s="1238"/>
      <c r="AZ33" s="1237"/>
      <c r="BA33" s="1238"/>
      <c r="BO33" s="1237"/>
      <c r="BP33" s="1238"/>
      <c r="BR33" s="29"/>
      <c r="BU33" s="1237"/>
      <c r="BV33" s="1238"/>
      <c r="BY33" s="410"/>
      <c r="CG33" s="1249"/>
      <c r="CH33" s="1250"/>
      <c r="CK33" s="1228"/>
      <c r="CL33" s="1229"/>
      <c r="CU33" s="1638"/>
      <c r="CV33" s="1228"/>
      <c r="CW33" s="1229"/>
      <c r="CZ33" s="1228"/>
      <c r="DA33" s="1229"/>
      <c r="EB33" s="401"/>
    </row>
    <row r="34" spans="5:132" x14ac:dyDescent="0.25">
      <c r="E34" s="29"/>
      <c r="H34" s="409"/>
      <c r="J34" s="1239"/>
      <c r="K34" s="1240"/>
      <c r="M34" s="1239"/>
      <c r="N34" s="1240"/>
      <c r="P34" s="1262"/>
      <c r="Q34" s="1262"/>
      <c r="AB34" s="1239"/>
      <c r="AC34" s="1240"/>
      <c r="AP34" s="29"/>
      <c r="AR34" s="1237"/>
      <c r="AS34" s="1238"/>
      <c r="AV34" s="1237"/>
      <c r="AW34" s="1238"/>
      <c r="AZ34" s="1237"/>
      <c r="BA34" s="1238"/>
      <c r="BO34" s="1237"/>
      <c r="BP34" s="1238"/>
      <c r="BR34" s="29"/>
      <c r="BU34" s="1237"/>
      <c r="BV34" s="1238"/>
      <c r="BY34" s="410"/>
      <c r="CU34" s="1638"/>
      <c r="EB34" s="401"/>
    </row>
    <row r="35" spans="5:132" x14ac:dyDescent="0.25">
      <c r="E35" s="29"/>
      <c r="H35" s="409"/>
      <c r="K35" s="23"/>
      <c r="N35" s="23"/>
      <c r="Q35" s="23"/>
      <c r="AC35" s="23"/>
      <c r="AP35" s="29"/>
      <c r="AR35" s="1237"/>
      <c r="AS35" s="1238"/>
      <c r="AV35" s="1237"/>
      <c r="AW35" s="1238"/>
      <c r="AZ35" s="1237"/>
      <c r="BA35" s="1238"/>
      <c r="BO35" s="1237"/>
      <c r="BP35" s="1238"/>
      <c r="BR35" s="29"/>
      <c r="BU35" s="1237"/>
      <c r="BV35" s="1238"/>
      <c r="BY35" s="410"/>
      <c r="CU35" s="1638"/>
      <c r="EB35" s="401"/>
    </row>
    <row r="36" spans="5:132" x14ac:dyDescent="0.25">
      <c r="E36" s="29"/>
      <c r="H36" s="409"/>
      <c r="J36" s="1226">
        <f>'FG-INTEG-001-736'!CI50</f>
        <v>3</v>
      </c>
      <c r="K36" s="1227"/>
      <c r="M36" s="1261">
        <f>'FG-INTEG-001-736'!DM50</f>
        <v>28</v>
      </c>
      <c r="N36" s="1227"/>
      <c r="P36" s="1226">
        <f>'FG-INTEG-001-736'!EF50</f>
        <v>1.5</v>
      </c>
      <c r="Q36" s="1227"/>
      <c r="AB36" s="1226">
        <f>'FG-INTEG-001-736'!GR50</f>
        <v>20</v>
      </c>
      <c r="AC36" s="1227"/>
      <c r="AP36" s="29"/>
      <c r="AR36" s="1237"/>
      <c r="AS36" s="1238"/>
      <c r="AV36" s="1237"/>
      <c r="AW36" s="1238"/>
      <c r="AZ36" s="1237"/>
      <c r="BA36" s="1238"/>
      <c r="BO36" s="1237"/>
      <c r="BP36" s="1238"/>
      <c r="BR36" s="29"/>
      <c r="BU36" s="1237"/>
      <c r="BV36" s="1238"/>
      <c r="BY36" s="410"/>
      <c r="CU36" s="1638"/>
      <c r="EB36" s="401"/>
    </row>
    <row r="37" spans="5:132" x14ac:dyDescent="0.25">
      <c r="E37" s="29"/>
      <c r="H37" s="409"/>
      <c r="J37" s="1228"/>
      <c r="K37" s="1229"/>
      <c r="M37" s="1228"/>
      <c r="N37" s="1229"/>
      <c r="P37" s="1228"/>
      <c r="Q37" s="1229"/>
      <c r="AB37" s="1228"/>
      <c r="AC37" s="1229"/>
      <c r="AP37" s="29"/>
      <c r="AR37" s="1237"/>
      <c r="AS37" s="1238"/>
      <c r="AV37" s="1237"/>
      <c r="AW37" s="1238"/>
      <c r="AZ37" s="1237"/>
      <c r="BA37" s="1238"/>
      <c r="BO37" s="1239"/>
      <c r="BP37" s="1240"/>
      <c r="BR37" s="29"/>
      <c r="BU37" s="1239"/>
      <c r="BV37" s="1240"/>
      <c r="BY37" s="410"/>
      <c r="CU37" s="1638"/>
      <c r="EB37" s="401"/>
    </row>
    <row r="38" spans="5:132" x14ac:dyDescent="0.25">
      <c r="E38" s="29"/>
      <c r="H38" s="409"/>
      <c r="J38" s="98"/>
      <c r="K38" s="98"/>
      <c r="M38" s="98"/>
      <c r="AP38" s="29"/>
      <c r="AR38" s="1239"/>
      <c r="AS38" s="1240"/>
      <c r="AV38" s="1239"/>
      <c r="AW38" s="1240"/>
      <c r="AZ38" s="1239"/>
      <c r="BA38" s="1240"/>
      <c r="BP38" s="23"/>
      <c r="BR38" s="29"/>
      <c r="BV38" s="23"/>
      <c r="BY38" s="410"/>
      <c r="CU38" s="1638"/>
      <c r="EB38" s="401"/>
    </row>
    <row r="39" spans="5:132" ht="14.5" customHeight="1" x14ac:dyDescent="0.25">
      <c r="E39" s="29"/>
      <c r="H39" s="409"/>
      <c r="AP39" s="29"/>
      <c r="AS39" s="23"/>
      <c r="AW39" s="23"/>
      <c r="BA39" s="23"/>
      <c r="BO39" s="1233">
        <f>'FG-INTEG-001-736'!KC56</f>
        <v>0.5</v>
      </c>
      <c r="BP39" s="1227"/>
      <c r="BR39" s="29"/>
      <c r="BU39" s="1233">
        <f>'FG-INTEG-001-736'!LA53</f>
        <v>6</v>
      </c>
      <c r="BV39" s="1227"/>
      <c r="BY39" s="410"/>
      <c r="EB39" s="401"/>
    </row>
    <row r="40" spans="5:132" ht="18" customHeight="1" x14ac:dyDescent="0.25">
      <c r="E40" s="29"/>
      <c r="H40" s="409"/>
      <c r="AP40" s="29"/>
      <c r="AR40" s="1233">
        <f>'FG-INTEG-001-736'!IS50</f>
        <v>6</v>
      </c>
      <c r="AS40" s="1227"/>
      <c r="AV40" s="1233">
        <f>'FG-INTEG-001-736'!JH50</f>
        <v>3</v>
      </c>
      <c r="AW40" s="1227"/>
      <c r="AZ40" s="1233">
        <f>'FG-INTEG-001-736'!JH61</f>
        <v>2</v>
      </c>
      <c r="BA40" s="1227"/>
      <c r="BO40" s="1228"/>
      <c r="BP40" s="1229"/>
      <c r="BR40" s="29"/>
      <c r="BU40" s="1228"/>
      <c r="BV40" s="1229"/>
      <c r="BY40" s="410"/>
      <c r="EB40" s="401"/>
    </row>
    <row r="41" spans="5:132" ht="14.5" customHeight="1" x14ac:dyDescent="0.25">
      <c r="E41" s="29"/>
      <c r="H41" s="409"/>
      <c r="AP41" s="29"/>
      <c r="AR41" s="1228"/>
      <c r="AS41" s="1229"/>
      <c r="AV41" s="1228"/>
      <c r="AW41" s="1229"/>
      <c r="AZ41" s="1228"/>
      <c r="BA41" s="1229"/>
      <c r="BR41" s="29"/>
      <c r="BY41" s="410"/>
      <c r="EB41" s="401"/>
    </row>
    <row r="42" spans="5:132" ht="14.5" customHeight="1" x14ac:dyDescent="0.25">
      <c r="E42" s="29"/>
      <c r="H42" s="411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3"/>
      <c r="AQ42" s="412"/>
      <c r="AR42" s="412"/>
      <c r="AS42" s="412"/>
      <c r="AT42" s="412"/>
      <c r="AU42" s="412"/>
      <c r="AV42" s="412"/>
      <c r="AW42" s="412"/>
      <c r="AX42" s="412"/>
      <c r="AY42" s="412"/>
      <c r="AZ42" s="412"/>
      <c r="BA42" s="412"/>
      <c r="BB42" s="412"/>
      <c r="BC42" s="412"/>
      <c r="BD42" s="412"/>
      <c r="BE42" s="412"/>
      <c r="BF42" s="412"/>
      <c r="BG42" s="412"/>
      <c r="BH42" s="412"/>
      <c r="BI42" s="412"/>
      <c r="BJ42" s="412"/>
      <c r="BK42" s="412"/>
      <c r="BL42" s="412"/>
      <c r="BM42" s="412"/>
      <c r="BN42" s="412"/>
      <c r="BO42" s="412"/>
      <c r="BP42" s="412"/>
      <c r="BQ42" s="412"/>
      <c r="BR42" s="413"/>
      <c r="BS42" s="412"/>
      <c r="BT42" s="412"/>
      <c r="BU42" s="412"/>
      <c r="BV42" s="412"/>
      <c r="BW42" s="412"/>
      <c r="BX42" s="412"/>
      <c r="BY42" s="414"/>
      <c r="EB42" s="401"/>
    </row>
    <row r="43" spans="5:132" ht="14.5" customHeight="1" x14ac:dyDescent="0.25">
      <c r="E43" s="29"/>
      <c r="AP43" s="29"/>
      <c r="BR43" s="29"/>
      <c r="EB43" s="401"/>
    </row>
    <row r="44" spans="5:132" ht="14.5" customHeight="1" x14ac:dyDescent="0.25">
      <c r="E44" s="29"/>
      <c r="AQ44" s="396"/>
      <c r="BR44" s="29"/>
      <c r="EB44" s="401"/>
    </row>
    <row r="45" spans="5:132" ht="14.5" customHeight="1" x14ac:dyDescent="0.25">
      <c r="E45" s="29"/>
      <c r="AL45" s="399">
        <f>'FG-INTEG-001-736'!GQ101</f>
        <v>1</v>
      </c>
      <c r="AM45" s="1416" t="s">
        <v>4857</v>
      </c>
      <c r="AN45" s="1417"/>
      <c r="AO45" s="1417"/>
      <c r="AP45" s="1417"/>
      <c r="AQ45" s="1417"/>
      <c r="AR45" s="1417"/>
      <c r="AS45" s="1417"/>
      <c r="AT45" s="1417"/>
      <c r="AU45" s="1418"/>
      <c r="AV45" s="396"/>
      <c r="AW45" s="25"/>
      <c r="AX45" s="25"/>
      <c r="AY45" s="1639" t="s">
        <v>5308</v>
      </c>
      <c r="AZ45" s="1640"/>
      <c r="BA45" s="1640"/>
      <c r="BB45" s="1640"/>
      <c r="BC45" s="1640"/>
      <c r="BD45" s="1641"/>
      <c r="BE45" s="743"/>
      <c r="BF45" s="1233">
        <f>'FG-INTEG-001-736'!HH103</f>
        <v>1</v>
      </c>
      <c r="BG45" s="1227"/>
      <c r="BR45" s="29"/>
      <c r="BS45" s="396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EB45" s="401"/>
    </row>
    <row r="46" spans="5:132" ht="14.5" customHeight="1" x14ac:dyDescent="0.25">
      <c r="E46" s="29"/>
      <c r="AL46" s="1419" t="s">
        <v>2237</v>
      </c>
      <c r="AM46" s="1420"/>
      <c r="AN46" s="1420"/>
      <c r="AO46" s="1420"/>
      <c r="AP46" s="1420"/>
      <c r="AQ46" s="1420"/>
      <c r="AR46" s="1420"/>
      <c r="AS46" s="1420"/>
      <c r="AT46" s="1420"/>
      <c r="AU46" s="1421"/>
      <c r="AY46" s="1642"/>
      <c r="AZ46" s="1643"/>
      <c r="BA46" s="1643"/>
      <c r="BB46" s="1643"/>
      <c r="BC46" s="1643"/>
      <c r="BD46" s="1644"/>
      <c r="BF46" s="1228"/>
      <c r="BG46" s="1229"/>
      <c r="CG46" s="28"/>
      <c r="EB46" s="401"/>
    </row>
    <row r="47" spans="5:132" x14ac:dyDescent="0.25">
      <c r="E47" s="29"/>
      <c r="AO47" s="24"/>
      <c r="AQ47" s="23"/>
      <c r="CG47" s="29"/>
      <c r="EB47" s="401"/>
    </row>
    <row r="48" spans="5:132" ht="14.5" customHeight="1" x14ac:dyDescent="0.25">
      <c r="E48" s="29"/>
      <c r="AD48" s="1428" t="s">
        <v>4859</v>
      </c>
      <c r="AE48" s="1429"/>
      <c r="AF48" s="1429"/>
      <c r="AG48" s="1429"/>
      <c r="AH48" s="1429"/>
      <c r="AI48" s="1429"/>
      <c r="AJ48" s="1429"/>
      <c r="AK48" s="1429"/>
      <c r="AL48" s="1429"/>
      <c r="AM48" s="1429"/>
      <c r="AN48" s="1429"/>
      <c r="AO48" s="1429"/>
      <c r="AP48" s="1429"/>
      <c r="AQ48" s="1429"/>
      <c r="AR48" s="1429"/>
      <c r="AS48" s="1429"/>
      <c r="AT48" s="1429"/>
      <c r="AU48" s="1429"/>
      <c r="AV48" s="1429"/>
      <c r="AW48" s="1429"/>
      <c r="AX48" s="1429"/>
      <c r="AY48" s="1429"/>
      <c r="AZ48" s="1429"/>
      <c r="BA48" s="1430"/>
      <c r="CG48" s="29"/>
      <c r="EB48" s="401"/>
    </row>
    <row r="49" spans="5:132" ht="14.5" customHeight="1" x14ac:dyDescent="0.25">
      <c r="E49" s="29"/>
      <c r="AD49" s="1428" t="s">
        <v>4860</v>
      </c>
      <c r="AE49" s="1429"/>
      <c r="AF49" s="1429"/>
      <c r="AG49" s="1429"/>
      <c r="AH49" s="1429"/>
      <c r="AI49" s="1429"/>
      <c r="AJ49" s="1429"/>
      <c r="AK49" s="1429"/>
      <c r="AL49" s="1429"/>
      <c r="AM49" s="1429"/>
      <c r="AN49" s="1429"/>
      <c r="AO49" s="1429"/>
      <c r="AP49" s="1429"/>
      <c r="AQ49" s="1429"/>
      <c r="AR49" s="1429"/>
      <c r="AS49" s="1429"/>
      <c r="AT49" s="1429"/>
      <c r="AU49" s="1429"/>
      <c r="AV49" s="1429"/>
      <c r="AW49" s="1429"/>
      <c r="AX49" s="1429"/>
      <c r="AY49" s="1429"/>
      <c r="AZ49" s="1429"/>
      <c r="BA49" s="1430"/>
      <c r="CG49" s="29"/>
      <c r="EB49" s="401"/>
    </row>
    <row r="50" spans="5:132" ht="14.5" customHeight="1" x14ac:dyDescent="0.25">
      <c r="E50" s="29"/>
      <c r="AD50" s="415"/>
      <c r="AE50" s="415"/>
      <c r="AF50" s="415"/>
      <c r="AG50" s="415"/>
      <c r="AH50" s="415"/>
      <c r="AI50" s="415"/>
      <c r="AJ50" s="415"/>
      <c r="AK50" s="415"/>
      <c r="AL50" s="415"/>
      <c r="AM50" s="415"/>
      <c r="AN50" s="415"/>
      <c r="AO50" s="415"/>
      <c r="AP50" s="416"/>
      <c r="AQ50" s="415"/>
      <c r="AR50" s="415"/>
      <c r="AS50" s="415"/>
      <c r="AT50" s="415"/>
      <c r="AU50" s="415"/>
      <c r="AV50" s="415"/>
      <c r="AW50" s="415"/>
      <c r="AX50" s="415"/>
      <c r="AY50" s="415"/>
      <c r="AZ50" s="415"/>
      <c r="BA50" s="415"/>
      <c r="CG50" s="29"/>
      <c r="EB50" s="401"/>
    </row>
    <row r="51" spans="5:132" ht="14.5" customHeight="1" x14ac:dyDescent="0.25">
      <c r="E51" s="2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30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30"/>
      <c r="EB51" s="401"/>
    </row>
    <row r="52" spans="5:132" ht="14.5" customHeight="1" x14ac:dyDescent="0.25">
      <c r="E52" s="29"/>
      <c r="P52" s="30"/>
      <c r="AA52" s="32"/>
      <c r="AL52" s="32"/>
      <c r="AW52" s="28"/>
      <c r="BI52" s="32"/>
      <c r="BU52" s="23"/>
      <c r="CG52" s="32"/>
      <c r="EB52" s="401"/>
    </row>
    <row r="53" spans="5:132" ht="14.5" customHeight="1" x14ac:dyDescent="0.25">
      <c r="E53" s="29"/>
      <c r="L53" s="417">
        <f>'FG-INTEG-001-736'!AE107</f>
        <v>1</v>
      </c>
      <c r="M53" s="1431" t="s">
        <v>4861</v>
      </c>
      <c r="N53" s="1432"/>
      <c r="O53" s="1432"/>
      <c r="P53" s="1432"/>
      <c r="Q53" s="1432"/>
      <c r="R53" s="1432"/>
      <c r="S53" s="1432"/>
      <c r="T53" s="1432"/>
      <c r="U53" s="1433"/>
      <c r="X53" s="417">
        <f>'FG-INTEG-001-736'!BR107</f>
        <v>1</v>
      </c>
      <c r="Y53" s="1431" t="s">
        <v>4862</v>
      </c>
      <c r="Z53" s="1432"/>
      <c r="AA53" s="1432"/>
      <c r="AB53" s="1432"/>
      <c r="AC53" s="1432"/>
      <c r="AD53" s="1432"/>
      <c r="AE53" s="1432"/>
      <c r="AF53" s="1432"/>
      <c r="AG53" s="1433"/>
      <c r="AI53" s="417">
        <f>'FG-INTEG-001-736'!CX107</f>
        <v>1</v>
      </c>
      <c r="AJ53" s="1431" t="s">
        <v>5309</v>
      </c>
      <c r="AK53" s="1432"/>
      <c r="AL53" s="1432"/>
      <c r="AM53" s="1432"/>
      <c r="AN53" s="1432"/>
      <c r="AO53" s="1432"/>
      <c r="AP53" s="1432"/>
      <c r="AQ53" s="1432"/>
      <c r="AR53" s="1433"/>
      <c r="AT53" s="417">
        <f>'FG-INTEG-001-736'!EF107</f>
        <v>1</v>
      </c>
      <c r="AU53" s="1431" t="s">
        <v>4864</v>
      </c>
      <c r="AV53" s="1432"/>
      <c r="AW53" s="1432"/>
      <c r="AX53" s="1432"/>
      <c r="AY53" s="1432"/>
      <c r="AZ53" s="1432"/>
      <c r="BA53" s="1432"/>
      <c r="BB53" s="1432"/>
      <c r="BC53" s="1433"/>
      <c r="BE53" s="418">
        <v>0.5</v>
      </c>
      <c r="BF53" s="744" t="s">
        <v>4865</v>
      </c>
      <c r="BG53" s="745"/>
      <c r="BH53" s="746"/>
      <c r="BI53" s="746"/>
      <c r="BJ53" s="746"/>
      <c r="BK53" s="746"/>
      <c r="BL53" s="746"/>
      <c r="BM53" s="746"/>
      <c r="BN53" s="747"/>
      <c r="BP53" s="417">
        <f>'FG-INTEG-001-736'!KU107</f>
        <v>1</v>
      </c>
      <c r="BQ53" s="1431" t="s">
        <v>4866</v>
      </c>
      <c r="BR53" s="1432"/>
      <c r="BS53" s="1432"/>
      <c r="BT53" s="1432"/>
      <c r="BU53" s="1432"/>
      <c r="BV53" s="1432"/>
      <c r="BW53" s="1432"/>
      <c r="BX53" s="1432"/>
      <c r="BY53" s="1433"/>
      <c r="CB53" s="417">
        <f>'FG-INTEG-001-736'!PB107</f>
        <v>1</v>
      </c>
      <c r="CC53" s="1431" t="s">
        <v>380</v>
      </c>
      <c r="CD53" s="1432"/>
      <c r="CE53" s="1432"/>
      <c r="CF53" s="1432"/>
      <c r="CG53" s="1432"/>
      <c r="CH53" s="1432"/>
      <c r="CI53" s="1432"/>
      <c r="CJ53" s="1432"/>
      <c r="CK53" s="1433"/>
      <c r="EB53" s="401"/>
    </row>
    <row r="54" spans="5:132" ht="14.5" customHeight="1" x14ac:dyDescent="0.25">
      <c r="E54" s="29"/>
      <c r="L54" s="1434" t="s">
        <v>5310</v>
      </c>
      <c r="M54" s="1435"/>
      <c r="N54" s="1435"/>
      <c r="O54" s="1435"/>
      <c r="P54" s="1435"/>
      <c r="Q54" s="1435"/>
      <c r="R54" s="1435"/>
      <c r="S54" s="1435"/>
      <c r="T54" s="1435"/>
      <c r="U54" s="1436"/>
      <c r="X54" s="1434" t="s">
        <v>5311</v>
      </c>
      <c r="Y54" s="1435"/>
      <c r="Z54" s="1435"/>
      <c r="AA54" s="1435"/>
      <c r="AB54" s="1435"/>
      <c r="AC54" s="1435"/>
      <c r="AD54" s="1435"/>
      <c r="AE54" s="1435"/>
      <c r="AF54" s="1435"/>
      <c r="AG54" s="1436"/>
      <c r="AI54" s="1434" t="s">
        <v>5312</v>
      </c>
      <c r="AJ54" s="1435"/>
      <c r="AK54" s="1435"/>
      <c r="AL54" s="1435"/>
      <c r="AM54" s="1435"/>
      <c r="AN54" s="1435"/>
      <c r="AO54" s="1435"/>
      <c r="AP54" s="1435"/>
      <c r="AQ54" s="1435"/>
      <c r="AR54" s="1436"/>
      <c r="AT54" s="1434" t="s">
        <v>5313</v>
      </c>
      <c r="AU54" s="1435"/>
      <c r="AV54" s="1435"/>
      <c r="AW54" s="1435"/>
      <c r="AX54" s="1435"/>
      <c r="AY54" s="1435"/>
      <c r="AZ54" s="1435"/>
      <c r="BA54" s="1435"/>
      <c r="BB54" s="1435"/>
      <c r="BC54" s="1436"/>
      <c r="BE54" s="1434" t="s">
        <v>5314</v>
      </c>
      <c r="BF54" s="1435"/>
      <c r="BG54" s="1435"/>
      <c r="BH54" s="1435"/>
      <c r="BI54" s="1435"/>
      <c r="BJ54" s="1435"/>
      <c r="BK54" s="1435"/>
      <c r="BL54" s="1435"/>
      <c r="BM54" s="1435"/>
      <c r="BN54" s="1436"/>
      <c r="BP54" s="748"/>
      <c r="BQ54" s="749" t="s">
        <v>3625</v>
      </c>
      <c r="BR54" s="749"/>
      <c r="BS54" s="749"/>
      <c r="BT54" s="749"/>
      <c r="BU54" s="749"/>
      <c r="BV54" s="749"/>
      <c r="BW54" s="749"/>
      <c r="BX54" s="749"/>
      <c r="BY54" s="750"/>
      <c r="CB54" s="1440" t="s">
        <v>2732</v>
      </c>
      <c r="CC54" s="1440" t="s">
        <v>4873</v>
      </c>
      <c r="CD54" s="1440"/>
      <c r="CE54" s="1440"/>
      <c r="CF54" s="1440"/>
      <c r="CG54" s="1440"/>
      <c r="CH54" s="1440"/>
      <c r="CI54" s="1440"/>
      <c r="CJ54" s="1440"/>
      <c r="CK54" s="1440"/>
      <c r="EB54" s="401"/>
    </row>
    <row r="55" spans="5:132" ht="14.5" customHeight="1" x14ac:dyDescent="0.25">
      <c r="E55" s="29"/>
      <c r="P55" s="29"/>
      <c r="U55" s="419"/>
      <c r="AA55" s="28"/>
      <c r="AL55" s="28"/>
      <c r="AW55" s="28"/>
      <c r="BE55" s="419"/>
      <c r="BG55" s="28"/>
      <c r="BJ55" s="28"/>
      <c r="BP55" s="419"/>
      <c r="BQ55" s="419"/>
      <c r="BR55" s="419"/>
      <c r="BS55" s="419"/>
      <c r="BT55" s="28"/>
      <c r="BV55" s="419"/>
      <c r="BW55" s="419"/>
      <c r="BX55" s="419"/>
      <c r="BY55" s="419"/>
      <c r="CF55" s="28"/>
      <c r="EB55" s="401"/>
    </row>
    <row r="56" spans="5:132" ht="14.5" customHeight="1" x14ac:dyDescent="0.25">
      <c r="E56" s="29"/>
      <c r="P56" s="29"/>
      <c r="U56" s="419"/>
      <c r="AA56" s="29"/>
      <c r="AL56" s="29"/>
      <c r="AW56" s="29"/>
      <c r="BG56" s="29"/>
      <c r="BJ56" s="29"/>
      <c r="BT56" s="29"/>
      <c r="CF56" s="29"/>
      <c r="EB56" s="401"/>
    </row>
    <row r="57" spans="5:132" ht="14.5" customHeight="1" x14ac:dyDescent="0.25">
      <c r="E57" s="29"/>
      <c r="P57" s="29"/>
      <c r="S57" s="419"/>
      <c r="T57" s="419"/>
      <c r="U57" s="419"/>
      <c r="AA57" s="29"/>
      <c r="AL57" s="29"/>
      <c r="AW57" s="29"/>
      <c r="BG57" s="29"/>
      <c r="BJ57" s="29"/>
      <c r="BT57" s="29"/>
      <c r="CF57" s="29"/>
      <c r="EB57" s="401"/>
    </row>
    <row r="58" spans="5:132" ht="14.5" customHeight="1" x14ac:dyDescent="0.25">
      <c r="E58" s="29"/>
      <c r="P58" s="30"/>
      <c r="AA58" s="30"/>
      <c r="AL58" s="30"/>
      <c r="AW58" s="30"/>
      <c r="BG58" s="30"/>
      <c r="BJ58" s="30"/>
      <c r="BT58" s="30"/>
      <c r="CF58" s="30"/>
      <c r="EB58" s="401"/>
    </row>
    <row r="59" spans="5:132" ht="14.5" customHeight="1" x14ac:dyDescent="0.25">
      <c r="E59" s="29"/>
      <c r="P59" s="1235" t="s">
        <v>4874</v>
      </c>
      <c r="Q59" s="1236"/>
      <c r="AA59" s="1235" t="s">
        <v>4743</v>
      </c>
      <c r="AB59" s="1236"/>
      <c r="AL59" s="1235" t="s">
        <v>4742</v>
      </c>
      <c r="AM59" s="1236"/>
      <c r="AW59" s="1235" t="s">
        <v>4875</v>
      </c>
      <c r="AX59" s="1236"/>
      <c r="BG59" s="1235" t="s">
        <v>383</v>
      </c>
      <c r="BH59" s="1236"/>
      <c r="BJ59" s="1235" t="s">
        <v>384</v>
      </c>
      <c r="BK59" s="1236"/>
      <c r="BT59" s="1235" t="s">
        <v>4876</v>
      </c>
      <c r="BU59" s="1236"/>
      <c r="CF59" s="1235" t="s">
        <v>382</v>
      </c>
      <c r="CG59" s="1236"/>
      <c r="EB59" s="401"/>
    </row>
    <row r="60" spans="5:132" ht="14.5" customHeight="1" x14ac:dyDescent="0.25">
      <c r="E60" s="29"/>
      <c r="P60" s="1237"/>
      <c r="Q60" s="1238"/>
      <c r="AA60" s="1237"/>
      <c r="AB60" s="1238"/>
      <c r="AL60" s="1237"/>
      <c r="AM60" s="1238"/>
      <c r="AW60" s="1237"/>
      <c r="AX60" s="1238"/>
      <c r="BG60" s="1237"/>
      <c r="BH60" s="1238"/>
      <c r="BJ60" s="1237"/>
      <c r="BK60" s="1238"/>
      <c r="BT60" s="1237"/>
      <c r="BU60" s="1238"/>
      <c r="CF60" s="1237"/>
      <c r="CG60" s="1238"/>
      <c r="EB60" s="401"/>
    </row>
    <row r="61" spans="5:132" ht="14.5" customHeight="1" x14ac:dyDescent="0.25">
      <c r="E61" s="29"/>
      <c r="P61" s="1237"/>
      <c r="Q61" s="1238"/>
      <c r="AA61" s="1237"/>
      <c r="AB61" s="1238"/>
      <c r="AL61" s="1237"/>
      <c r="AM61" s="1238"/>
      <c r="AW61" s="1237"/>
      <c r="AX61" s="1238"/>
      <c r="BG61" s="1237"/>
      <c r="BH61" s="1238"/>
      <c r="BJ61" s="1237"/>
      <c r="BK61" s="1238"/>
      <c r="BT61" s="1237"/>
      <c r="BU61" s="1238"/>
      <c r="CF61" s="1237"/>
      <c r="CG61" s="1238"/>
      <c r="EB61" s="401"/>
    </row>
    <row r="62" spans="5:132" x14ac:dyDescent="0.25">
      <c r="E62" s="29"/>
      <c r="P62" s="1237"/>
      <c r="Q62" s="1238"/>
      <c r="AA62" s="1237"/>
      <c r="AB62" s="1238"/>
      <c r="AL62" s="1237"/>
      <c r="AM62" s="1238"/>
      <c r="AW62" s="1237"/>
      <c r="AX62" s="1238"/>
      <c r="BG62" s="1237"/>
      <c r="BH62" s="1238"/>
      <c r="BJ62" s="1237"/>
      <c r="BK62" s="1238"/>
      <c r="BT62" s="1237"/>
      <c r="BU62" s="1238"/>
      <c r="CF62" s="1237"/>
      <c r="CG62" s="1238"/>
      <c r="EB62" s="401"/>
    </row>
    <row r="63" spans="5:132" ht="18" customHeight="1" x14ac:dyDescent="0.25">
      <c r="E63" s="29"/>
      <c r="P63" s="1237"/>
      <c r="Q63" s="1238"/>
      <c r="AA63" s="1237"/>
      <c r="AB63" s="1238"/>
      <c r="AL63" s="1237"/>
      <c r="AM63" s="1238"/>
      <c r="AW63" s="1237"/>
      <c r="AX63" s="1238"/>
      <c r="BG63" s="1237"/>
      <c r="BH63" s="1238"/>
      <c r="BJ63" s="1237"/>
      <c r="BK63" s="1238"/>
      <c r="BT63" s="1237"/>
      <c r="BU63" s="1238"/>
      <c r="CF63" s="1237"/>
      <c r="CG63" s="1238"/>
      <c r="EB63" s="401"/>
    </row>
    <row r="64" spans="5:132" x14ac:dyDescent="0.25">
      <c r="E64" s="29"/>
      <c r="P64" s="1237"/>
      <c r="Q64" s="1238"/>
      <c r="AA64" s="1237"/>
      <c r="AB64" s="1238"/>
      <c r="AL64" s="1237"/>
      <c r="AM64" s="1238"/>
      <c r="AW64" s="1237"/>
      <c r="AX64" s="1238"/>
      <c r="BG64" s="1237"/>
      <c r="BH64" s="1238"/>
      <c r="BJ64" s="1237"/>
      <c r="BK64" s="1238"/>
      <c r="BT64" s="1237"/>
      <c r="BU64" s="1238"/>
      <c r="CF64" s="1237"/>
      <c r="CG64" s="1238"/>
      <c r="EB64" s="401"/>
    </row>
    <row r="65" spans="5:154" x14ac:dyDescent="0.25">
      <c r="E65" s="29"/>
      <c r="P65" s="1237"/>
      <c r="Q65" s="1238"/>
      <c r="AA65" s="1237"/>
      <c r="AB65" s="1238"/>
      <c r="AL65" s="1237"/>
      <c r="AM65" s="1238"/>
      <c r="AW65" s="1237"/>
      <c r="AX65" s="1238"/>
      <c r="BG65" s="1237"/>
      <c r="BH65" s="1238"/>
      <c r="BJ65" s="1237"/>
      <c r="BK65" s="1238"/>
      <c r="BT65" s="1237"/>
      <c r="BU65" s="1238"/>
      <c r="CF65" s="1237"/>
      <c r="CG65" s="1238"/>
      <c r="EB65" s="401"/>
    </row>
    <row r="66" spans="5:154" ht="18.649999999999999" customHeight="1" x14ac:dyDescent="0.25">
      <c r="E66" s="29"/>
      <c r="P66" s="1237"/>
      <c r="Q66" s="1238"/>
      <c r="AA66" s="1237"/>
      <c r="AB66" s="1238"/>
      <c r="AL66" s="1237"/>
      <c r="AM66" s="1238"/>
      <c r="AW66" s="1237"/>
      <c r="AX66" s="1238"/>
      <c r="BG66" s="1237"/>
      <c r="BH66" s="1238"/>
      <c r="BJ66" s="1237"/>
      <c r="BK66" s="1238"/>
      <c r="BT66" s="1237"/>
      <c r="BU66" s="1238"/>
      <c r="CF66" s="1237"/>
      <c r="CG66" s="1238"/>
      <c r="EB66" s="401"/>
    </row>
    <row r="67" spans="5:154" x14ac:dyDescent="0.25">
      <c r="E67" s="29"/>
      <c r="P67" s="1239"/>
      <c r="Q67" s="1240"/>
      <c r="AA67" s="1239"/>
      <c r="AB67" s="1240"/>
      <c r="AL67" s="1239"/>
      <c r="AM67" s="1240"/>
      <c r="AW67" s="1239"/>
      <c r="AX67" s="1240"/>
      <c r="BG67" s="1239"/>
      <c r="BH67" s="1240"/>
      <c r="BJ67" s="1239"/>
      <c r="BK67" s="1240"/>
      <c r="BT67" s="1239"/>
      <c r="BU67" s="1240"/>
      <c r="CF67" s="1239"/>
      <c r="CG67" s="1240"/>
      <c r="EB67" s="401"/>
    </row>
    <row r="68" spans="5:154" ht="13.15" customHeight="1" x14ac:dyDescent="0.25">
      <c r="E68" s="29"/>
      <c r="Q68" s="23"/>
      <c r="AB68" s="23"/>
      <c r="AL68" s="32"/>
      <c r="AX68" s="23"/>
      <c r="BG68" s="32"/>
      <c r="BJ68" s="32"/>
      <c r="BU68" s="23"/>
      <c r="CG68" s="23"/>
      <c r="CO68" s="33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8"/>
      <c r="EB68" s="401"/>
    </row>
    <row r="69" spans="5:154" ht="18" customHeight="1" x14ac:dyDescent="0.25">
      <c r="E69" s="29"/>
      <c r="P69" s="1261">
        <f>'FG-INTEG-001-736'!BG114</f>
        <v>24</v>
      </c>
      <c r="Q69" s="1227"/>
      <c r="AA69" s="1261">
        <f>'FG-INTEG-001-736'!CH114</f>
        <v>24</v>
      </c>
      <c r="AB69" s="1227"/>
      <c r="AL69" s="1261">
        <f>'FG-INTEG-001-736'!DU114</f>
        <v>21</v>
      </c>
      <c r="AM69" s="1227"/>
      <c r="AW69" s="1261">
        <f>'FG-INTEG-001-736'!EV114</f>
        <v>12</v>
      </c>
      <c r="AX69" s="1227"/>
      <c r="BG69" s="1261">
        <f>'FG-INTEG-001-736'!GC114</f>
        <v>15</v>
      </c>
      <c r="BH69" s="1227"/>
      <c r="BJ69" s="1261">
        <f>'FG-INTEG-001-736'!JC114</f>
        <v>102</v>
      </c>
      <c r="BK69" s="1227"/>
      <c r="BT69" s="1261">
        <f>'FG-INTEG-001-736'!MH114</f>
        <v>38</v>
      </c>
      <c r="BU69" s="1227"/>
      <c r="CF69" s="1261">
        <f>'FG-INTEG-001-736'!RZ114</f>
        <v>100</v>
      </c>
      <c r="CG69" s="1227"/>
      <c r="CO69" s="1441" t="s">
        <v>4877</v>
      </c>
      <c r="CP69" s="1442"/>
      <c r="CQ69" s="1442"/>
      <c r="CR69" s="1442"/>
      <c r="CS69" s="1442"/>
      <c r="CT69" s="1645">
        <f>AL15+J23+J36+M36+P36+X23+AB36+AR27+AR40+AV40+AZ40+BD27+BN23+BO39+BU39+CE15+CG32+CK32+CV32+CZ32+AL45+BF45+L53+P69+X53+AA69+AI53+AL69+AT53+AW69+BE53+BG69+BJ69+BP53+BT69+CB53+CF69</f>
        <v>444</v>
      </c>
      <c r="CU69" s="1645"/>
      <c r="CV69" s="1645"/>
      <c r="CW69" s="1645"/>
      <c r="CX69" s="1645"/>
      <c r="CY69" s="1645"/>
      <c r="CZ69" s="1645"/>
      <c r="DA69" s="1442" t="s">
        <v>4878</v>
      </c>
      <c r="DB69" s="1442"/>
      <c r="DC69" s="1442"/>
      <c r="DD69" s="1442"/>
      <c r="DE69" s="1442"/>
      <c r="DF69" s="1442"/>
      <c r="DG69" s="1442"/>
      <c r="DH69" s="1442"/>
      <c r="DI69" s="1442"/>
      <c r="DJ69" s="1442"/>
      <c r="DK69" s="1442"/>
      <c r="DL69" s="1444"/>
      <c r="EB69" s="401"/>
      <c r="EW69" s="96"/>
      <c r="EX69" s="96"/>
    </row>
    <row r="70" spans="5:154" ht="18" customHeight="1" x14ac:dyDescent="0.55000000000000004">
      <c r="E70" s="29"/>
      <c r="P70" s="1228"/>
      <c r="Q70" s="1229"/>
      <c r="AA70" s="1228"/>
      <c r="AB70" s="1229"/>
      <c r="AL70" s="1228"/>
      <c r="AM70" s="1229"/>
      <c r="AW70" s="1228"/>
      <c r="AX70" s="1229"/>
      <c r="BG70" s="1228"/>
      <c r="BH70" s="1229"/>
      <c r="BJ70" s="1228"/>
      <c r="BK70" s="1229"/>
      <c r="BT70" s="1228"/>
      <c r="BU70" s="1229"/>
      <c r="CF70" s="1228"/>
      <c r="CG70" s="1229"/>
      <c r="CO70" s="1441"/>
      <c r="CP70" s="1442"/>
      <c r="CQ70" s="1442"/>
      <c r="CR70" s="1442"/>
      <c r="CS70" s="1442"/>
      <c r="CT70" s="1645"/>
      <c r="CU70" s="1645"/>
      <c r="CV70" s="1645"/>
      <c r="CW70" s="1645"/>
      <c r="CX70" s="1645"/>
      <c r="CY70" s="1645"/>
      <c r="CZ70" s="1645"/>
      <c r="DA70" s="1442"/>
      <c r="DB70" s="1442"/>
      <c r="DC70" s="1442"/>
      <c r="DD70" s="1442"/>
      <c r="DE70" s="1442"/>
      <c r="DF70" s="1442"/>
      <c r="DG70" s="1442"/>
      <c r="DH70" s="1442"/>
      <c r="DI70" s="1442"/>
      <c r="DJ70" s="1442"/>
      <c r="DK70" s="1442"/>
      <c r="DL70" s="1444"/>
      <c r="DM70" s="99"/>
      <c r="DN70" s="99"/>
      <c r="DO70" s="99"/>
      <c r="DP70" s="99"/>
      <c r="EB70" s="401"/>
      <c r="EW70" s="96"/>
      <c r="EX70" s="96"/>
    </row>
    <row r="71" spans="5:154" ht="18" customHeight="1" x14ac:dyDescent="0.25">
      <c r="E71" s="29"/>
      <c r="O71" s="100"/>
      <c r="P71" s="100"/>
      <c r="R71" s="100"/>
      <c r="S71" s="100"/>
      <c r="AA71" s="100"/>
      <c r="AB71" s="100"/>
      <c r="AM71" s="100"/>
      <c r="AN71" s="100"/>
      <c r="AY71" s="100"/>
      <c r="AZ71" s="100"/>
      <c r="BI71" s="100"/>
      <c r="BJ71" s="100"/>
      <c r="BT71" s="100"/>
      <c r="BU71" s="100"/>
      <c r="CE71" s="100"/>
      <c r="CF71" s="100"/>
      <c r="CH71" s="100"/>
      <c r="CI71" s="100"/>
      <c r="CO71" s="396"/>
      <c r="CP71" s="25"/>
      <c r="CQ71" s="25"/>
      <c r="CR71" s="25"/>
      <c r="CS71" s="25"/>
      <c r="CT71" s="25"/>
      <c r="CU71" s="25"/>
      <c r="CV71" s="25"/>
      <c r="CW71" s="422">
        <v>441.5</v>
      </c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30"/>
      <c r="EB71" s="401"/>
      <c r="EW71" s="96"/>
      <c r="EX71" s="96"/>
    </row>
    <row r="72" spans="5:154" x14ac:dyDescent="0.25">
      <c r="E72" s="29"/>
      <c r="CE72" s="423"/>
      <c r="CF72" s="423"/>
      <c r="CG72" s="423"/>
      <c r="CH72" s="423"/>
      <c r="CI72" s="423"/>
      <c r="CJ72" s="423"/>
      <c r="CK72" s="423"/>
      <c r="CL72" s="423"/>
      <c r="CM72" s="423"/>
      <c r="CN72" s="423"/>
      <c r="CO72" s="423"/>
      <c r="CP72" s="423"/>
      <c r="CQ72" s="423"/>
      <c r="CR72" s="423"/>
      <c r="CS72" s="423"/>
      <c r="CT72" s="423"/>
      <c r="CU72" s="423"/>
      <c r="CV72" s="423"/>
      <c r="CW72" s="423"/>
      <c r="CX72" s="423"/>
      <c r="CY72" s="423"/>
      <c r="CZ72" s="423"/>
      <c r="DA72" s="423"/>
      <c r="DB72" s="423"/>
      <c r="DC72" s="423"/>
      <c r="DD72" s="423"/>
      <c r="DE72" s="423"/>
      <c r="DF72" s="423"/>
      <c r="DG72" s="423"/>
      <c r="DH72" s="423"/>
      <c r="DI72" s="423"/>
      <c r="DJ72" s="423"/>
      <c r="DK72" s="423"/>
      <c r="DL72" s="423"/>
      <c r="DM72" s="423"/>
      <c r="DN72" s="423"/>
      <c r="DO72" s="423"/>
      <c r="DP72" s="423"/>
      <c r="DQ72" s="423"/>
      <c r="DR72" s="423"/>
      <c r="DS72" s="423"/>
      <c r="DT72" s="423"/>
      <c r="DU72" s="423"/>
      <c r="DV72" s="423"/>
      <c r="DW72" s="423"/>
      <c r="DX72" s="423"/>
      <c r="DY72" s="423"/>
      <c r="DZ72" s="423"/>
      <c r="EA72" s="423"/>
      <c r="EB72" s="472"/>
      <c r="EW72" s="96"/>
      <c r="EX72" s="96"/>
    </row>
    <row r="73" spans="5:154" ht="14.5" customHeight="1" x14ac:dyDescent="0.25">
      <c r="F73" s="424"/>
      <c r="G73" s="425"/>
      <c r="H73" s="425"/>
      <c r="I73" s="425"/>
      <c r="J73" s="425"/>
      <c r="K73" s="425"/>
      <c r="L73" s="425"/>
      <c r="M73" s="425"/>
      <c r="N73" s="425"/>
      <c r="O73" s="425"/>
      <c r="P73" s="426"/>
      <c r="Q73" s="425"/>
      <c r="R73" s="425"/>
      <c r="S73" s="425"/>
      <c r="T73" s="425"/>
      <c r="U73" s="425"/>
      <c r="V73" s="425"/>
      <c r="W73" s="425"/>
      <c r="X73" s="425"/>
      <c r="Y73" s="425"/>
      <c r="Z73" s="425"/>
      <c r="AA73" s="426"/>
      <c r="AB73" s="33"/>
      <c r="AC73" s="27"/>
      <c r="AD73" s="27"/>
      <c r="AE73" s="27"/>
      <c r="AF73" s="27"/>
      <c r="AG73" s="27"/>
      <c r="AH73" s="27"/>
      <c r="AI73" s="27"/>
      <c r="AJ73" s="27"/>
      <c r="AK73" s="27"/>
      <c r="AL73" s="28"/>
      <c r="AM73" s="33"/>
      <c r="AN73" s="27"/>
      <c r="AO73" s="27"/>
      <c r="AP73" s="27"/>
      <c r="AQ73" s="27"/>
      <c r="AR73" s="27"/>
      <c r="AS73" s="27"/>
      <c r="AT73" s="27"/>
      <c r="AU73" s="27"/>
      <c r="AV73" s="27"/>
      <c r="AW73" s="28"/>
      <c r="AX73" s="424"/>
      <c r="AY73" s="425"/>
      <c r="AZ73" s="425"/>
      <c r="BA73" s="425"/>
      <c r="BB73" s="425"/>
      <c r="BC73" s="425"/>
      <c r="BD73" s="425"/>
      <c r="BE73" s="425"/>
      <c r="BF73" s="425"/>
      <c r="BG73" s="425"/>
      <c r="BH73" s="425"/>
      <c r="BI73" s="424"/>
      <c r="BJ73" s="425"/>
      <c r="BK73" s="425"/>
      <c r="BL73" s="425"/>
      <c r="BM73" s="425"/>
      <c r="BN73" s="425"/>
      <c r="BO73" s="425"/>
      <c r="BP73" s="425"/>
      <c r="BQ73" s="425"/>
      <c r="BR73" s="425"/>
      <c r="BS73" s="426"/>
      <c r="BT73" s="424"/>
      <c r="BU73" s="425"/>
      <c r="BV73" s="425"/>
      <c r="BW73" s="425"/>
      <c r="BX73" s="425"/>
      <c r="BY73" s="425"/>
      <c r="BZ73" s="425"/>
      <c r="CA73" s="425"/>
      <c r="CB73" s="425"/>
      <c r="CC73" s="425"/>
      <c r="CD73" s="426"/>
      <c r="CE73" s="751" t="s">
        <v>4884</v>
      </c>
      <c r="CF73" s="427"/>
      <c r="CG73" s="427"/>
      <c r="CH73" s="427"/>
      <c r="CI73" s="427"/>
      <c r="CJ73" s="427"/>
      <c r="CK73" s="427"/>
      <c r="CL73" s="427"/>
      <c r="CM73" s="427"/>
      <c r="CN73" s="427"/>
      <c r="CO73" s="427"/>
      <c r="CP73" s="427"/>
      <c r="CQ73" s="427"/>
      <c r="CR73" s="427"/>
      <c r="EB73" s="401"/>
      <c r="ER73" s="96"/>
      <c r="ES73" s="96"/>
      <c r="ET73" s="96"/>
      <c r="EU73" s="96"/>
      <c r="EV73" s="96"/>
      <c r="EW73" s="96"/>
      <c r="EX73" s="96"/>
    </row>
    <row r="74" spans="5:154" ht="14.5" customHeight="1" x14ac:dyDescent="0.25">
      <c r="F74" s="1445" t="s">
        <v>4876</v>
      </c>
      <c r="G74" s="1244"/>
      <c r="H74" s="1244"/>
      <c r="I74" s="1244"/>
      <c r="J74" s="1244"/>
      <c r="K74" s="1244"/>
      <c r="L74" s="1244"/>
      <c r="M74" s="1244"/>
      <c r="N74" s="1244"/>
      <c r="O74" s="1244"/>
      <c r="P74" s="1446"/>
      <c r="Q74" s="1244" t="s">
        <v>4879</v>
      </c>
      <c r="R74" s="1244"/>
      <c r="S74" s="1244"/>
      <c r="T74" s="1244"/>
      <c r="U74" s="1244"/>
      <c r="V74" s="1244"/>
      <c r="W74" s="1244"/>
      <c r="X74" s="1244"/>
      <c r="Y74" s="1244"/>
      <c r="Z74" s="1244"/>
      <c r="AA74" s="1446"/>
      <c r="AB74" s="1445" t="s">
        <v>4880</v>
      </c>
      <c r="AC74" s="1244"/>
      <c r="AD74" s="1244"/>
      <c r="AE74" s="1244"/>
      <c r="AF74" s="1244"/>
      <c r="AG74" s="1244"/>
      <c r="AH74" s="1244"/>
      <c r="AI74" s="1244"/>
      <c r="AJ74" s="1244"/>
      <c r="AK74" s="1244"/>
      <c r="AL74" s="1446"/>
      <c r="AM74" s="1445" t="s">
        <v>4875</v>
      </c>
      <c r="AN74" s="1244"/>
      <c r="AO74" s="1244"/>
      <c r="AP74" s="1244"/>
      <c r="AQ74" s="1244"/>
      <c r="AR74" s="1244"/>
      <c r="AS74" s="1244"/>
      <c r="AT74" s="1244"/>
      <c r="AU74" s="1244"/>
      <c r="AV74" s="1244"/>
      <c r="AW74" s="1446"/>
      <c r="AX74" s="1244" t="s">
        <v>4881</v>
      </c>
      <c r="AY74" s="1244"/>
      <c r="AZ74" s="1244"/>
      <c r="BA74" s="1244"/>
      <c r="BB74" s="1244"/>
      <c r="BC74" s="1244"/>
      <c r="BD74" s="1244"/>
      <c r="BE74" s="1244"/>
      <c r="BF74" s="1244"/>
      <c r="BG74" s="1244"/>
      <c r="BH74" s="1244"/>
      <c r="BI74" s="1445" t="s">
        <v>4882</v>
      </c>
      <c r="BJ74" s="1244"/>
      <c r="BK74" s="1244"/>
      <c r="BL74" s="1244"/>
      <c r="BM74" s="1244"/>
      <c r="BN74" s="1244"/>
      <c r="BO74" s="1244"/>
      <c r="BP74" s="1244"/>
      <c r="BQ74" s="1244"/>
      <c r="BR74" s="1244"/>
      <c r="BS74" s="1446"/>
      <c r="BT74" s="1445" t="s">
        <v>4883</v>
      </c>
      <c r="BU74" s="1244"/>
      <c r="BV74" s="1244"/>
      <c r="BW74" s="1244"/>
      <c r="BX74" s="1244"/>
      <c r="BY74" s="1244"/>
      <c r="BZ74" s="1244"/>
      <c r="CA74" s="1244"/>
      <c r="CB74" s="1244"/>
      <c r="CC74" s="1244"/>
      <c r="CD74" s="1446"/>
      <c r="CE74" s="111"/>
      <c r="CF74" s="100" t="s">
        <v>4889</v>
      </c>
      <c r="CH74" s="393" t="s">
        <v>4892</v>
      </c>
      <c r="CQ74" s="100" t="s">
        <v>4893</v>
      </c>
      <c r="CS74" s="393" t="s">
        <v>168</v>
      </c>
      <c r="CV74" s="100"/>
      <c r="CW74" s="430"/>
      <c r="CX74" s="430"/>
      <c r="DB74" s="100" t="s">
        <v>4894</v>
      </c>
      <c r="DC74" s="393"/>
      <c r="DD74" s="393" t="s">
        <v>4895</v>
      </c>
      <c r="DE74" s="111"/>
      <c r="DI74" s="430"/>
      <c r="DJ74" s="100"/>
      <c r="DL74" s="100" t="s">
        <v>4896</v>
      </c>
      <c r="DM74" s="393" t="s">
        <v>4897</v>
      </c>
      <c r="DQ74" s="100"/>
      <c r="DR74" s="430"/>
      <c r="DS74" s="430"/>
      <c r="DT74" s="430"/>
      <c r="DU74" s="111" t="s">
        <v>5315</v>
      </c>
      <c r="DV74" s="22" t="s">
        <v>5316</v>
      </c>
      <c r="EB74" s="401"/>
      <c r="ER74" s="96"/>
      <c r="ES74" s="96"/>
      <c r="ET74" s="96"/>
      <c r="EU74" s="96"/>
      <c r="EV74" s="96"/>
      <c r="EW74" s="96"/>
      <c r="EX74" s="96"/>
    </row>
    <row r="75" spans="5:154" ht="14.5" customHeight="1" x14ac:dyDescent="0.25">
      <c r="F75" s="431"/>
      <c r="G75" s="432" t="s">
        <v>4889</v>
      </c>
      <c r="H75" s="448"/>
      <c r="I75" s="434">
        <v>1</v>
      </c>
      <c r="J75" s="433"/>
      <c r="K75" s="432" t="s">
        <v>4886</v>
      </c>
      <c r="L75" s="433"/>
      <c r="M75" s="434">
        <v>6</v>
      </c>
      <c r="N75" s="435" t="s">
        <v>4936</v>
      </c>
      <c r="O75" s="437">
        <v>1</v>
      </c>
      <c r="P75" s="436"/>
      <c r="Q75" s="1244" t="s">
        <v>4887</v>
      </c>
      <c r="R75" s="1244"/>
      <c r="S75" s="1244"/>
      <c r="T75" s="1244"/>
      <c r="U75" s="1244"/>
      <c r="V75" s="1244"/>
      <c r="W75" s="1244"/>
      <c r="X75" s="1244"/>
      <c r="Y75" s="1244"/>
      <c r="Z75" s="1244"/>
      <c r="AA75" s="1446"/>
      <c r="AB75" s="26"/>
      <c r="AL75" s="29"/>
      <c r="AM75" s="431"/>
      <c r="AN75" s="432" t="s">
        <v>4888</v>
      </c>
      <c r="AO75" s="435"/>
      <c r="AP75" s="434">
        <v>1</v>
      </c>
      <c r="AQ75" s="435"/>
      <c r="AR75" s="432" t="s">
        <v>4926</v>
      </c>
      <c r="AS75" s="434">
        <v>1</v>
      </c>
      <c r="AU75" s="435"/>
      <c r="AV75" s="435"/>
      <c r="AW75" s="436"/>
      <c r="BI75" s="431"/>
      <c r="BJ75" s="432" t="s">
        <v>4889</v>
      </c>
      <c r="BK75" s="433"/>
      <c r="BL75" s="434">
        <v>26</v>
      </c>
      <c r="BM75" s="437"/>
      <c r="BN75" s="435" t="s">
        <v>4890</v>
      </c>
      <c r="BO75" s="434"/>
      <c r="BP75" s="434">
        <v>1</v>
      </c>
      <c r="BQ75" s="438" t="s">
        <v>4891</v>
      </c>
      <c r="BR75" s="434">
        <v>2</v>
      </c>
      <c r="BS75" s="439"/>
      <c r="BT75" s="431"/>
      <c r="BU75" s="433"/>
      <c r="BV75" s="433"/>
      <c r="BW75" s="440"/>
      <c r="BX75" s="437"/>
      <c r="BY75" s="437"/>
      <c r="BZ75" s="437"/>
      <c r="CA75" s="440"/>
      <c r="CB75" s="435"/>
      <c r="CC75" s="435"/>
      <c r="CD75" s="436"/>
      <c r="CE75" s="111"/>
      <c r="CF75" s="100" t="s">
        <v>4905</v>
      </c>
      <c r="CH75" s="393" t="s">
        <v>91</v>
      </c>
      <c r="CQ75" s="100" t="s">
        <v>4893</v>
      </c>
      <c r="CR75" s="393"/>
      <c r="CS75" s="393" t="s">
        <v>4910</v>
      </c>
      <c r="CV75" s="100"/>
      <c r="CW75" s="430"/>
      <c r="CX75" s="430"/>
      <c r="DB75" s="100" t="s">
        <v>4911</v>
      </c>
      <c r="DD75" s="393" t="s">
        <v>4912</v>
      </c>
      <c r="DE75" s="111"/>
      <c r="DI75" s="430"/>
      <c r="DJ75" s="100"/>
      <c r="DL75" s="100" t="s">
        <v>4913</v>
      </c>
      <c r="DM75" s="393" t="s">
        <v>4914</v>
      </c>
      <c r="DQ75" s="100"/>
      <c r="DR75" s="430"/>
      <c r="DS75" s="430"/>
      <c r="DT75" s="430"/>
      <c r="DU75" s="111" t="s">
        <v>5317</v>
      </c>
      <c r="DV75" s="22" t="s">
        <v>5272</v>
      </c>
      <c r="EB75" s="401"/>
      <c r="ER75" s="96"/>
      <c r="ES75" s="96"/>
      <c r="ET75" s="96"/>
      <c r="EU75" s="96"/>
      <c r="EV75" s="96"/>
      <c r="EW75" s="96"/>
      <c r="EX75" s="96"/>
    </row>
    <row r="76" spans="5:154" ht="14.5" customHeight="1" x14ac:dyDescent="0.25">
      <c r="F76" s="431"/>
      <c r="G76" s="432" t="s">
        <v>4900</v>
      </c>
      <c r="H76" s="448"/>
      <c r="I76" s="434">
        <v>2</v>
      </c>
      <c r="J76" s="433"/>
      <c r="K76" s="432" t="s">
        <v>4891</v>
      </c>
      <c r="L76" s="433"/>
      <c r="M76" s="434">
        <v>2</v>
      </c>
      <c r="N76" s="435"/>
      <c r="O76" s="435"/>
      <c r="P76" s="436"/>
      <c r="Q76" s="433"/>
      <c r="R76" s="432" t="s">
        <v>4901</v>
      </c>
      <c r="S76" s="435"/>
      <c r="T76" s="434">
        <v>2</v>
      </c>
      <c r="U76" s="435"/>
      <c r="V76" s="432" t="s">
        <v>4934</v>
      </c>
      <c r="X76" s="434">
        <v>1</v>
      </c>
      <c r="Y76" s="125"/>
      <c r="Z76" s="125"/>
      <c r="AA76" s="441"/>
      <c r="AB76" s="26"/>
      <c r="AC76" s="432" t="s">
        <v>4903</v>
      </c>
      <c r="AD76" s="433"/>
      <c r="AE76" s="434">
        <v>7</v>
      </c>
      <c r="AF76" s="433"/>
      <c r="AG76" s="432" t="s">
        <v>4891</v>
      </c>
      <c r="AI76" s="434">
        <v>1</v>
      </c>
      <c r="AL76" s="29"/>
      <c r="AM76" s="431"/>
      <c r="AN76" s="432" t="s">
        <v>4904</v>
      </c>
      <c r="AO76" s="443"/>
      <c r="AP76" s="434">
        <v>2</v>
      </c>
      <c r="AQ76" s="440"/>
      <c r="AT76" s="437"/>
      <c r="AU76" s="440"/>
      <c r="AV76" s="435"/>
      <c r="AW76" s="436"/>
      <c r="AY76" s="432" t="s">
        <v>4905</v>
      </c>
      <c r="AZ76" s="435"/>
      <c r="BA76" s="434">
        <v>3</v>
      </c>
      <c r="BC76" s="432" t="s">
        <v>4906</v>
      </c>
      <c r="BE76" s="434">
        <v>2</v>
      </c>
      <c r="BI76" s="431"/>
      <c r="BJ76" s="432" t="s">
        <v>4907</v>
      </c>
      <c r="BK76" s="433"/>
      <c r="BL76" s="434">
        <v>16</v>
      </c>
      <c r="BM76" s="437"/>
      <c r="BN76" s="438" t="s">
        <v>4908</v>
      </c>
      <c r="BO76" s="433"/>
      <c r="BP76" s="434">
        <v>1</v>
      </c>
      <c r="BQ76" s="438" t="s">
        <v>4898</v>
      </c>
      <c r="BR76" s="434">
        <v>1</v>
      </c>
      <c r="BS76" s="439"/>
      <c r="BT76" s="431"/>
      <c r="BU76" s="432" t="s">
        <v>4885</v>
      </c>
      <c r="BV76" s="433"/>
      <c r="BW76" s="434">
        <v>1</v>
      </c>
      <c r="BX76" s="437"/>
      <c r="BY76" s="443"/>
      <c r="BZ76" s="437"/>
      <c r="CA76" s="440"/>
      <c r="CB76" s="435"/>
      <c r="CC76" s="435"/>
      <c r="CD76" s="436"/>
      <c r="CE76" s="111"/>
      <c r="CF76" s="100" t="s">
        <v>4907</v>
      </c>
      <c r="CH76" s="393" t="s">
        <v>172</v>
      </c>
      <c r="CQ76" s="100" t="s">
        <v>4893</v>
      </c>
      <c r="CR76" s="393"/>
      <c r="CS76" s="393" t="s">
        <v>4924</v>
      </c>
      <c r="CV76" s="100"/>
      <c r="CW76" s="430"/>
      <c r="CX76" s="430"/>
      <c r="DB76" s="100" t="s">
        <v>4925</v>
      </c>
      <c r="DD76" s="393" t="s">
        <v>4737</v>
      </c>
      <c r="DE76" s="111"/>
      <c r="DI76" s="430"/>
      <c r="DJ76" s="100"/>
      <c r="DL76" s="100" t="s">
        <v>4926</v>
      </c>
      <c r="DM76" s="393" t="s">
        <v>4927</v>
      </c>
      <c r="DQ76" s="100"/>
      <c r="DR76" s="430"/>
      <c r="DS76" s="430"/>
      <c r="DT76" s="430"/>
      <c r="DU76" s="111" t="s">
        <v>4948</v>
      </c>
      <c r="DV76" s="22" t="s">
        <v>5318</v>
      </c>
      <c r="EB76" s="29"/>
      <c r="ER76" s="96"/>
      <c r="ES76" s="96"/>
      <c r="ET76" s="96"/>
      <c r="EU76" s="96"/>
      <c r="EV76" s="96"/>
      <c r="EW76" s="96"/>
      <c r="EX76" s="96"/>
    </row>
    <row r="77" spans="5:154" ht="14.5" customHeight="1" x14ac:dyDescent="0.25">
      <c r="F77" s="431"/>
      <c r="G77" s="432" t="s">
        <v>4917</v>
      </c>
      <c r="H77" s="448"/>
      <c r="I77" s="434">
        <v>6</v>
      </c>
      <c r="J77" s="433"/>
      <c r="K77" s="432" t="s">
        <v>4893</v>
      </c>
      <c r="L77" s="433"/>
      <c r="M77" s="434">
        <v>2</v>
      </c>
      <c r="N77" s="435"/>
      <c r="O77" s="435"/>
      <c r="P77" s="436"/>
      <c r="Q77" s="752" t="s">
        <v>5319</v>
      </c>
      <c r="S77" s="435"/>
      <c r="T77" s="434">
        <v>1</v>
      </c>
      <c r="U77" s="433"/>
      <c r="V77" s="435" t="s">
        <v>5008</v>
      </c>
      <c r="W77" s="125"/>
      <c r="X77" s="434">
        <v>1</v>
      </c>
      <c r="Y77" s="125"/>
      <c r="Z77" s="125"/>
      <c r="AA77" s="441"/>
      <c r="AB77" s="26"/>
      <c r="AC77" s="432" t="s">
        <v>4893</v>
      </c>
      <c r="AD77" s="433"/>
      <c r="AE77" s="434">
        <v>2</v>
      </c>
      <c r="AF77" s="437"/>
      <c r="AL77" s="29"/>
      <c r="AM77" s="431"/>
      <c r="AN77" s="432" t="s">
        <v>4886</v>
      </c>
      <c r="AO77" s="443"/>
      <c r="AP77" s="434">
        <v>4</v>
      </c>
      <c r="AQ77" s="440"/>
      <c r="AR77" s="437"/>
      <c r="AS77" s="443"/>
      <c r="AT77" s="437"/>
      <c r="AU77" s="440"/>
      <c r="AV77" s="435"/>
      <c r="AW77" s="436"/>
      <c r="AY77" s="432" t="s">
        <v>4919</v>
      </c>
      <c r="AZ77" s="435"/>
      <c r="BA77" s="434">
        <v>1</v>
      </c>
      <c r="BC77" s="432" t="s">
        <v>4920</v>
      </c>
      <c r="BE77" s="434">
        <v>1</v>
      </c>
      <c r="BI77" s="431"/>
      <c r="BJ77" s="432" t="s">
        <v>4921</v>
      </c>
      <c r="BK77" s="433"/>
      <c r="BL77" s="434">
        <v>3</v>
      </c>
      <c r="BM77" s="437"/>
      <c r="BN77" s="438" t="s">
        <v>4922</v>
      </c>
      <c r="BO77" s="433"/>
      <c r="BP77" s="434">
        <v>1</v>
      </c>
      <c r="BQ77" s="438" t="s">
        <v>5317</v>
      </c>
      <c r="BR77" s="434">
        <v>1</v>
      </c>
      <c r="BS77" s="436"/>
      <c r="BT77" s="431"/>
      <c r="BU77" s="432" t="s">
        <v>4923</v>
      </c>
      <c r="BV77" s="433"/>
      <c r="BW77" s="434">
        <v>5</v>
      </c>
      <c r="BX77" s="437"/>
      <c r="BY77" s="443"/>
      <c r="BZ77" s="437"/>
      <c r="CA77" s="440"/>
      <c r="CB77" s="435"/>
      <c r="CC77" s="435"/>
      <c r="CD77" s="436"/>
      <c r="CE77" s="111"/>
      <c r="CF77" s="100" t="s">
        <v>4885</v>
      </c>
      <c r="CH77" s="393" t="s">
        <v>90</v>
      </c>
      <c r="CQ77" s="100" t="s">
        <v>4893</v>
      </c>
      <c r="CR77" s="393"/>
      <c r="CS77" s="393" t="s">
        <v>4924</v>
      </c>
      <c r="CV77" s="100"/>
      <c r="CW77" s="430"/>
      <c r="CX77" s="430"/>
      <c r="DB77" s="100" t="s">
        <v>4929</v>
      </c>
      <c r="DD77" s="393" t="s">
        <v>4933</v>
      </c>
      <c r="DE77" s="111"/>
      <c r="DI77" s="430"/>
      <c r="DL77" s="100" t="s">
        <v>4934</v>
      </c>
      <c r="DM77" s="393" t="s">
        <v>4935</v>
      </c>
      <c r="DQ77" s="100"/>
      <c r="DR77" s="430"/>
      <c r="DS77" s="430"/>
      <c r="DT77" s="430"/>
      <c r="EB77" s="29"/>
      <c r="ER77" s="96"/>
      <c r="ES77" s="96"/>
      <c r="ET77" s="96"/>
      <c r="EU77" s="96"/>
      <c r="EV77" s="96"/>
      <c r="EW77" s="96"/>
      <c r="EX77" s="96"/>
    </row>
    <row r="78" spans="5:154" ht="14.5" customHeight="1" x14ac:dyDescent="0.25">
      <c r="F78" s="431"/>
      <c r="G78" s="432" t="s">
        <v>4929</v>
      </c>
      <c r="H78" s="448"/>
      <c r="I78" s="434">
        <v>2</v>
      </c>
      <c r="J78" s="433"/>
      <c r="K78" s="432" t="s">
        <v>4906</v>
      </c>
      <c r="L78" s="435"/>
      <c r="M78" s="437">
        <v>1</v>
      </c>
      <c r="N78" s="435"/>
      <c r="O78" s="435"/>
      <c r="P78" s="436"/>
      <c r="Q78" s="433"/>
      <c r="R78" s="432" t="s">
        <v>4891</v>
      </c>
      <c r="S78" s="435"/>
      <c r="T78" s="434">
        <v>1</v>
      </c>
      <c r="U78" s="433"/>
      <c r="V78" s="432" t="s">
        <v>4900</v>
      </c>
      <c r="W78" s="448"/>
      <c r="X78" s="434">
        <v>1</v>
      </c>
      <c r="Y78" s="125"/>
      <c r="Z78" s="125"/>
      <c r="AA78" s="441"/>
      <c r="AB78" s="26"/>
      <c r="AC78" s="432" t="s">
        <v>4930</v>
      </c>
      <c r="AD78" s="433"/>
      <c r="AE78" s="434">
        <v>3</v>
      </c>
      <c r="AF78" s="437"/>
      <c r="AG78" s="443"/>
      <c r="AH78" s="437"/>
      <c r="AI78" s="440"/>
      <c r="AL78" s="29"/>
      <c r="AM78" s="431"/>
      <c r="AN78" s="432" t="s">
        <v>4966</v>
      </c>
      <c r="AP78" s="434">
        <v>1</v>
      </c>
      <c r="AQ78" s="440"/>
      <c r="AR78" s="437"/>
      <c r="AS78" s="443"/>
      <c r="AT78" s="437"/>
      <c r="AU78" s="440"/>
      <c r="AV78" s="435"/>
      <c r="AW78" s="436"/>
      <c r="AY78" s="432" t="s">
        <v>4891</v>
      </c>
      <c r="AZ78" s="435"/>
      <c r="BA78" s="434">
        <v>2</v>
      </c>
      <c r="BI78" s="431"/>
      <c r="BJ78" s="432" t="s">
        <v>4893</v>
      </c>
      <c r="BK78" s="433"/>
      <c r="BL78" s="434">
        <v>5</v>
      </c>
      <c r="BM78" s="437"/>
      <c r="BN78" s="438" t="s">
        <v>4932</v>
      </c>
      <c r="BO78" s="433"/>
      <c r="BP78" s="434">
        <v>3</v>
      </c>
      <c r="BQ78" s="435" t="s">
        <v>4989</v>
      </c>
      <c r="BR78" s="434">
        <v>1</v>
      </c>
      <c r="BS78" s="436"/>
      <c r="BT78" s="431"/>
      <c r="BU78" s="432" t="s">
        <v>4894</v>
      </c>
      <c r="BV78" s="433"/>
      <c r="BW78" s="434"/>
      <c r="BX78" s="437"/>
      <c r="BY78" s="443"/>
      <c r="BZ78" s="437"/>
      <c r="CA78" s="440"/>
      <c r="CB78" s="435"/>
      <c r="CC78" s="435"/>
      <c r="CD78" s="436"/>
      <c r="CE78" s="111"/>
      <c r="CF78" s="100" t="s">
        <v>4919</v>
      </c>
      <c r="CH78" s="393" t="s">
        <v>4941</v>
      </c>
      <c r="CQ78" s="100" t="s">
        <v>4893</v>
      </c>
      <c r="CR78" s="393"/>
      <c r="CS78" s="393" t="s">
        <v>4924</v>
      </c>
      <c r="CV78" s="100"/>
      <c r="CW78" s="430"/>
      <c r="CX78" s="430"/>
      <c r="DB78" s="100" t="s">
        <v>4942</v>
      </c>
      <c r="DD78" s="393" t="s">
        <v>4943</v>
      </c>
      <c r="DI78" s="430"/>
      <c r="DJ78" s="100"/>
      <c r="DL78" s="100" t="s">
        <v>4944</v>
      </c>
      <c r="DM78" s="393" t="s">
        <v>4945</v>
      </c>
      <c r="DQ78" s="100"/>
      <c r="DR78" s="430"/>
      <c r="DS78" s="430"/>
      <c r="DT78" s="430"/>
      <c r="EB78" s="29"/>
      <c r="EV78" s="96"/>
      <c r="EW78" s="96"/>
      <c r="EX78" s="96"/>
    </row>
    <row r="79" spans="5:154" ht="14.5" customHeight="1" x14ac:dyDescent="0.25">
      <c r="F79" s="431"/>
      <c r="G79" s="432" t="s">
        <v>4907</v>
      </c>
      <c r="H79" s="448"/>
      <c r="I79" s="434">
        <v>3</v>
      </c>
      <c r="J79" s="433"/>
      <c r="K79" s="432" t="s">
        <v>4953</v>
      </c>
      <c r="L79" s="433"/>
      <c r="M79" s="437">
        <v>1</v>
      </c>
      <c r="N79" s="435"/>
      <c r="O79" s="435"/>
      <c r="P79" s="436"/>
      <c r="Q79" s="433"/>
      <c r="R79" s="432" t="s">
        <v>4937</v>
      </c>
      <c r="S79" s="435"/>
      <c r="T79" s="434">
        <v>1</v>
      </c>
      <c r="U79" s="433"/>
      <c r="V79" s="435"/>
      <c r="W79" s="125"/>
      <c r="X79" s="434"/>
      <c r="Y79" s="125"/>
      <c r="Z79" s="125"/>
      <c r="AA79" s="441"/>
      <c r="AB79" s="26"/>
      <c r="AC79" s="432" t="s">
        <v>4938</v>
      </c>
      <c r="AD79" s="442"/>
      <c r="AE79" s="434">
        <v>2</v>
      </c>
      <c r="AF79" s="437"/>
      <c r="AG79" s="443"/>
      <c r="AH79" s="437"/>
      <c r="AI79" s="440"/>
      <c r="AL79" s="29"/>
      <c r="AM79" s="446"/>
      <c r="AN79" s="432" t="s">
        <v>4891</v>
      </c>
      <c r="AO79" s="443"/>
      <c r="AP79" s="434">
        <v>1</v>
      </c>
      <c r="AQ79" s="440"/>
      <c r="AR79" s="437"/>
      <c r="AS79" s="443"/>
      <c r="AT79" s="437"/>
      <c r="AU79" s="440"/>
      <c r="AV79" s="433"/>
      <c r="AW79" s="447"/>
      <c r="AY79" s="432" t="s">
        <v>4885</v>
      </c>
      <c r="AZ79" s="435"/>
      <c r="BA79" s="434">
        <v>1</v>
      </c>
      <c r="BI79" s="446"/>
      <c r="BJ79" s="432" t="s">
        <v>4939</v>
      </c>
      <c r="BK79" s="433"/>
      <c r="BL79" s="434">
        <v>2</v>
      </c>
      <c r="BM79" s="448"/>
      <c r="BN79" s="438" t="s">
        <v>4940</v>
      </c>
      <c r="BO79" s="433"/>
      <c r="BP79" s="434">
        <v>11</v>
      </c>
      <c r="BQ79" s="435" t="s">
        <v>4960</v>
      </c>
      <c r="BR79" s="434">
        <v>1</v>
      </c>
      <c r="BS79" s="447"/>
      <c r="BT79" s="446"/>
      <c r="BU79" s="432" t="s">
        <v>4891</v>
      </c>
      <c r="BV79" s="433"/>
      <c r="BW79" s="434">
        <v>1</v>
      </c>
      <c r="BX79" s="448"/>
      <c r="BY79" s="448"/>
      <c r="BZ79" s="448"/>
      <c r="CA79" s="448"/>
      <c r="CB79" s="433"/>
      <c r="CC79" s="433"/>
      <c r="CD79" s="447"/>
      <c r="CE79" s="111"/>
      <c r="CF79" s="100" t="s">
        <v>4903</v>
      </c>
      <c r="CH79" s="393" t="s">
        <v>195</v>
      </c>
      <c r="CQ79" s="100" t="s">
        <v>4893</v>
      </c>
      <c r="CR79" s="393"/>
      <c r="CS79" s="393" t="s">
        <v>4924</v>
      </c>
      <c r="CV79" s="100"/>
      <c r="CW79" s="430"/>
      <c r="CX79" s="430"/>
      <c r="DB79" s="100" t="s">
        <v>4938</v>
      </c>
      <c r="DD79" s="393" t="s">
        <v>270</v>
      </c>
      <c r="DE79" s="111"/>
      <c r="DI79" s="430"/>
      <c r="DJ79" s="100"/>
      <c r="DL79" s="100" t="s">
        <v>4946</v>
      </c>
      <c r="DM79" s="393" t="s">
        <v>4951</v>
      </c>
      <c r="DQ79" s="100"/>
      <c r="DR79" s="430"/>
      <c r="DS79" s="430"/>
      <c r="DT79" s="430"/>
      <c r="EB79" s="29"/>
      <c r="EV79" s="96"/>
      <c r="EW79" s="96"/>
      <c r="EX79" s="96"/>
    </row>
    <row r="80" spans="5:154" ht="14.5" customHeight="1" x14ac:dyDescent="0.25">
      <c r="F80" s="431"/>
      <c r="G80" s="432" t="s">
        <v>4908</v>
      </c>
      <c r="H80" s="448"/>
      <c r="I80" s="434">
        <v>1</v>
      </c>
      <c r="J80" s="433"/>
      <c r="K80" s="432" t="s">
        <v>5315</v>
      </c>
      <c r="L80" s="433"/>
      <c r="M80" s="437">
        <v>1</v>
      </c>
      <c r="N80" s="435"/>
      <c r="O80" s="435"/>
      <c r="P80" s="436"/>
      <c r="Q80" s="433"/>
      <c r="R80" s="432" t="s">
        <v>4946</v>
      </c>
      <c r="S80" s="435"/>
      <c r="T80" s="434">
        <v>10</v>
      </c>
      <c r="U80" s="433"/>
      <c r="V80" s="435"/>
      <c r="W80" s="125"/>
      <c r="X80" s="125"/>
      <c r="Y80" s="125"/>
      <c r="Z80" s="125"/>
      <c r="AA80" s="441"/>
      <c r="AB80" s="26"/>
      <c r="AC80" s="449" t="s">
        <v>4947</v>
      </c>
      <c r="AD80" s="442"/>
      <c r="AE80" s="434">
        <v>1</v>
      </c>
      <c r="AL80" s="29"/>
      <c r="AM80" s="446"/>
      <c r="AN80" s="432" t="s">
        <v>4893</v>
      </c>
      <c r="AO80" s="443"/>
      <c r="AP80" s="434">
        <v>1</v>
      </c>
      <c r="AQ80" s="440"/>
      <c r="AR80" s="448"/>
      <c r="AS80" s="448"/>
      <c r="AT80" s="448"/>
      <c r="AU80" s="448"/>
      <c r="AV80" s="433"/>
      <c r="AW80" s="447"/>
      <c r="AY80" s="432" t="s">
        <v>4948</v>
      </c>
      <c r="BA80" s="434">
        <v>3</v>
      </c>
      <c r="BI80" s="446"/>
      <c r="BJ80" s="432" t="s">
        <v>4888</v>
      </c>
      <c r="BK80" s="433"/>
      <c r="BL80" s="434">
        <v>5</v>
      </c>
      <c r="BM80" s="448"/>
      <c r="BN80" s="438" t="s">
        <v>4949</v>
      </c>
      <c r="BO80" s="433"/>
      <c r="BP80" s="434">
        <v>21</v>
      </c>
      <c r="BQ80" s="435" t="s">
        <v>4988</v>
      </c>
      <c r="BR80" s="434">
        <v>1</v>
      </c>
      <c r="BS80" s="447"/>
      <c r="BT80" s="446"/>
      <c r="BU80" s="432" t="s">
        <v>4950</v>
      </c>
      <c r="BV80" s="433"/>
      <c r="BW80" s="434">
        <v>5</v>
      </c>
      <c r="BX80" s="448"/>
      <c r="BY80" s="448"/>
      <c r="BZ80" s="448"/>
      <c r="CA80" s="448"/>
      <c r="CB80" s="433"/>
      <c r="CC80" s="433"/>
      <c r="CD80" s="447"/>
      <c r="CE80" s="111"/>
      <c r="CF80" s="100" t="s">
        <v>4886</v>
      </c>
      <c r="CH80" s="393" t="s">
        <v>4955</v>
      </c>
      <c r="CQ80" s="100" t="s">
        <v>4947</v>
      </c>
      <c r="CR80" s="393"/>
      <c r="CS80" s="393" t="s">
        <v>4956</v>
      </c>
      <c r="CV80" s="100"/>
      <c r="CW80" s="430"/>
      <c r="CX80" s="430"/>
      <c r="DB80" s="100" t="s">
        <v>4957</v>
      </c>
      <c r="DD80" s="393" t="s">
        <v>4958</v>
      </c>
      <c r="DE80" s="111"/>
      <c r="DI80" s="430"/>
      <c r="DJ80" s="100"/>
      <c r="DL80" s="100" t="s">
        <v>4888</v>
      </c>
      <c r="DM80" s="393" t="s">
        <v>4959</v>
      </c>
      <c r="EB80" s="29"/>
      <c r="EV80" s="96"/>
      <c r="EW80" s="96"/>
      <c r="EX80" s="96"/>
    </row>
    <row r="81" spans="6:154" ht="14.5" customHeight="1" x14ac:dyDescent="0.25">
      <c r="F81" s="431"/>
      <c r="G81" s="432" t="s">
        <v>4952</v>
      </c>
      <c r="H81" s="448"/>
      <c r="I81" s="434">
        <v>9</v>
      </c>
      <c r="J81" s="433"/>
      <c r="K81" s="432" t="s">
        <v>4908</v>
      </c>
      <c r="L81" s="433"/>
      <c r="M81" s="437">
        <v>1</v>
      </c>
      <c r="N81" s="435"/>
      <c r="O81" s="435"/>
      <c r="P81" s="436"/>
      <c r="Q81" s="433"/>
      <c r="R81" s="432" t="s">
        <v>4944</v>
      </c>
      <c r="S81" s="435"/>
      <c r="T81" s="434">
        <v>1</v>
      </c>
      <c r="U81" s="433"/>
      <c r="V81" s="435"/>
      <c r="W81" s="125"/>
      <c r="X81" s="125"/>
      <c r="Y81" s="125"/>
      <c r="Z81" s="125"/>
      <c r="AA81" s="441"/>
      <c r="AB81" s="26"/>
      <c r="AL81" s="29"/>
      <c r="AM81" s="446"/>
      <c r="AN81" s="435" t="s">
        <v>4890</v>
      </c>
      <c r="AO81" s="443"/>
      <c r="AP81" s="434">
        <v>1</v>
      </c>
      <c r="AQ81" s="440"/>
      <c r="AR81" s="448"/>
      <c r="AS81" s="448"/>
      <c r="AT81" s="448"/>
      <c r="AU81" s="448"/>
      <c r="AV81" s="433"/>
      <c r="AW81" s="447"/>
      <c r="AY81" s="432" t="s">
        <v>4900</v>
      </c>
      <c r="BA81" s="434">
        <v>1</v>
      </c>
      <c r="BI81" s="446"/>
      <c r="BJ81" s="428" t="s">
        <v>4954</v>
      </c>
      <c r="BK81" s="433"/>
      <c r="BL81" s="434">
        <v>5</v>
      </c>
      <c r="BM81" s="448"/>
      <c r="BN81" s="438"/>
      <c r="BO81" s="433"/>
      <c r="BP81" s="434"/>
      <c r="BQ81" s="433"/>
      <c r="BR81" s="433"/>
      <c r="BS81" s="447"/>
      <c r="BT81" s="446"/>
      <c r="BU81" s="443"/>
      <c r="BV81" s="448"/>
      <c r="BW81" s="440"/>
      <c r="BX81" s="448"/>
      <c r="BY81" s="448"/>
      <c r="BZ81" s="448"/>
      <c r="CA81" s="448"/>
      <c r="CB81" s="433"/>
      <c r="CC81" s="433"/>
      <c r="CD81" s="447"/>
      <c r="CE81" s="111"/>
      <c r="CF81" s="100" t="s">
        <v>4960</v>
      </c>
      <c r="CH81" s="393" t="s">
        <v>4961</v>
      </c>
      <c r="CQ81" s="100" t="s">
        <v>4947</v>
      </c>
      <c r="CR81" s="393"/>
      <c r="CS81" s="393" t="s">
        <v>4865</v>
      </c>
      <c r="CV81" s="100"/>
      <c r="CW81" s="430"/>
      <c r="CX81" s="430"/>
      <c r="DB81" s="100" t="s">
        <v>4940</v>
      </c>
      <c r="DD81" s="393" t="s">
        <v>4764</v>
      </c>
      <c r="DE81" s="111"/>
      <c r="DI81" s="430"/>
      <c r="DJ81" s="100"/>
      <c r="DL81" s="100" t="s">
        <v>4904</v>
      </c>
      <c r="DM81" s="393" t="s">
        <v>4962</v>
      </c>
      <c r="EB81" s="401"/>
      <c r="EV81" s="96"/>
      <c r="EW81" s="96"/>
      <c r="EX81" s="96"/>
    </row>
    <row r="82" spans="6:154" ht="14.5" customHeight="1" x14ac:dyDescent="0.25">
      <c r="F82" s="451"/>
      <c r="G82" s="452"/>
      <c r="H82" s="452"/>
      <c r="I82" s="452"/>
      <c r="J82" s="452"/>
      <c r="K82" s="452"/>
      <c r="L82" s="452"/>
      <c r="M82" s="452"/>
      <c r="N82" s="452"/>
      <c r="O82" s="452"/>
      <c r="P82" s="453"/>
      <c r="Q82" s="125"/>
      <c r="R82" s="125"/>
      <c r="S82" s="125"/>
      <c r="T82" s="454"/>
      <c r="U82" s="125"/>
      <c r="V82" s="125"/>
      <c r="W82" s="125"/>
      <c r="X82" s="125"/>
      <c r="Y82" s="125"/>
      <c r="Z82" s="125"/>
      <c r="AA82" s="441"/>
      <c r="AB82" s="396"/>
      <c r="AC82" s="25"/>
      <c r="AD82" s="25"/>
      <c r="AE82" s="25"/>
      <c r="AF82" s="25"/>
      <c r="AG82" s="25"/>
      <c r="AH82" s="25"/>
      <c r="AI82" s="25"/>
      <c r="AJ82" s="25"/>
      <c r="AK82" s="25"/>
      <c r="AL82" s="30"/>
      <c r="AM82" s="396"/>
      <c r="AN82" s="25"/>
      <c r="AO82" s="25"/>
      <c r="AP82" s="25"/>
      <c r="AQ82" s="25"/>
      <c r="AR82" s="25"/>
      <c r="AS82" s="25"/>
      <c r="AT82" s="25"/>
      <c r="AU82" s="25"/>
      <c r="AV82" s="25"/>
      <c r="AW82" s="30"/>
      <c r="AX82" s="451"/>
      <c r="AY82" s="452"/>
      <c r="AZ82" s="452"/>
      <c r="BA82" s="452"/>
      <c r="BB82" s="452"/>
      <c r="BC82" s="452"/>
      <c r="BD82" s="452"/>
      <c r="BE82" s="452"/>
      <c r="BF82" s="452"/>
      <c r="BG82" s="452"/>
      <c r="BH82" s="452"/>
      <c r="BI82" s="455"/>
      <c r="BJ82" s="25"/>
      <c r="BK82" s="25"/>
      <c r="BL82" s="25"/>
      <c r="BM82" s="456"/>
      <c r="BN82" s="25"/>
      <c r="BO82" s="25"/>
      <c r="BP82" s="25"/>
      <c r="BQ82" s="456"/>
      <c r="BR82" s="456"/>
      <c r="BS82" s="457"/>
      <c r="BT82" s="451"/>
      <c r="BU82" s="452"/>
      <c r="BV82" s="452"/>
      <c r="BW82" s="452"/>
      <c r="BX82" s="452"/>
      <c r="BY82" s="452"/>
      <c r="BZ82" s="452"/>
      <c r="CA82" s="452"/>
      <c r="CB82" s="452"/>
      <c r="CC82" s="452"/>
      <c r="CD82" s="453"/>
      <c r="CE82" s="111"/>
      <c r="CF82" s="100" t="s">
        <v>4963</v>
      </c>
      <c r="CH82" s="393" t="s">
        <v>4964</v>
      </c>
      <c r="CQ82" s="100" t="s">
        <v>4947</v>
      </c>
      <c r="CR82" s="393"/>
      <c r="CS82" s="393" t="s">
        <v>4965</v>
      </c>
      <c r="CV82" s="100"/>
      <c r="CW82" s="430"/>
      <c r="CX82" s="430"/>
      <c r="DB82" s="100" t="s">
        <v>4949</v>
      </c>
      <c r="DD82" s="393" t="s">
        <v>227</v>
      </c>
      <c r="DE82" s="111"/>
      <c r="DI82" s="430"/>
      <c r="DJ82" s="100"/>
      <c r="DL82" s="100" t="s">
        <v>4966</v>
      </c>
      <c r="DM82" s="393" t="s">
        <v>4967</v>
      </c>
      <c r="EB82" s="401"/>
      <c r="EV82" s="96"/>
      <c r="EW82" s="96"/>
      <c r="EX82" s="96"/>
    </row>
    <row r="83" spans="6:154" x14ac:dyDescent="0.25">
      <c r="F83" s="33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424"/>
      <c r="R83" s="425"/>
      <c r="S83" s="425"/>
      <c r="T83" s="425"/>
      <c r="U83" s="425"/>
      <c r="V83" s="425"/>
      <c r="W83" s="425"/>
      <c r="X83" s="425"/>
      <c r="Y83" s="425"/>
      <c r="Z83" s="425"/>
      <c r="AA83" s="426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441"/>
      <c r="AM83" s="458"/>
      <c r="AN83" s="125"/>
      <c r="AO83" s="125"/>
      <c r="AP83" s="125"/>
      <c r="AQ83" s="125"/>
      <c r="AR83" s="125"/>
      <c r="AS83" s="125"/>
      <c r="AT83" s="125"/>
      <c r="AU83" s="125"/>
      <c r="AV83" s="125"/>
      <c r="AW83" s="441"/>
      <c r="AX83" s="458"/>
      <c r="AY83" s="125"/>
      <c r="AZ83" s="125"/>
      <c r="BA83" s="125"/>
      <c r="BB83" s="125"/>
      <c r="BC83" s="125"/>
      <c r="BD83" s="125"/>
      <c r="BE83" s="125"/>
      <c r="BF83" s="125"/>
      <c r="BG83" s="125"/>
      <c r="BH83" s="441"/>
      <c r="BI83" s="458"/>
      <c r="BJ83" s="125"/>
      <c r="BK83" s="125"/>
      <c r="BL83" s="125"/>
      <c r="BM83" s="125"/>
      <c r="BN83" s="125"/>
      <c r="BO83" s="125"/>
      <c r="BP83" s="125"/>
      <c r="BQ83" s="125"/>
      <c r="BR83" s="125"/>
      <c r="BS83" s="441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459"/>
      <c r="CE83" s="111"/>
      <c r="CF83" s="100" t="s">
        <v>4952</v>
      </c>
      <c r="CH83" s="393" t="s">
        <v>206</v>
      </c>
      <c r="CQ83" s="100" t="s">
        <v>4947</v>
      </c>
      <c r="CR83" s="393"/>
      <c r="CS83" s="393" t="s">
        <v>4972</v>
      </c>
      <c r="CV83" s="100"/>
      <c r="CW83" s="430"/>
      <c r="CX83" s="430"/>
      <c r="DB83" s="100" t="s">
        <v>4973</v>
      </c>
      <c r="DD83" s="393" t="s">
        <v>82</v>
      </c>
      <c r="DE83" s="111"/>
      <c r="DI83" s="430"/>
      <c r="DL83" s="100" t="s">
        <v>4939</v>
      </c>
      <c r="DM83" s="393" t="s">
        <v>4974</v>
      </c>
      <c r="EB83" s="401"/>
    </row>
    <row r="84" spans="6:154" x14ac:dyDescent="0.25">
      <c r="F84" s="1445" t="s">
        <v>265</v>
      </c>
      <c r="G84" s="1244"/>
      <c r="H84" s="1244"/>
      <c r="I84" s="1244"/>
      <c r="J84" s="1244"/>
      <c r="K84" s="1244"/>
      <c r="L84" s="1244"/>
      <c r="M84" s="1244"/>
      <c r="N84" s="1244"/>
      <c r="O84" s="1244"/>
      <c r="P84" s="1446"/>
      <c r="Q84" s="1445" t="s">
        <v>4743</v>
      </c>
      <c r="R84" s="1244"/>
      <c r="S84" s="1244"/>
      <c r="T84" s="1244"/>
      <c r="U84" s="1244"/>
      <c r="V84" s="1244"/>
      <c r="W84" s="1244"/>
      <c r="X84" s="1244"/>
      <c r="Y84" s="1244"/>
      <c r="Z84" s="1244"/>
      <c r="AA84" s="1446"/>
      <c r="AB84" s="1244" t="s">
        <v>4968</v>
      </c>
      <c r="AC84" s="1244"/>
      <c r="AD84" s="1244"/>
      <c r="AE84" s="1244"/>
      <c r="AF84" s="1244"/>
      <c r="AG84" s="1244"/>
      <c r="AH84" s="1244"/>
      <c r="AI84" s="1244"/>
      <c r="AJ84" s="1244"/>
      <c r="AK84" s="1244"/>
      <c r="AL84" s="1446"/>
      <c r="AM84" s="1445" t="s">
        <v>4969</v>
      </c>
      <c r="AN84" s="1244"/>
      <c r="AO84" s="1244"/>
      <c r="AP84" s="1244"/>
      <c r="AQ84" s="1244"/>
      <c r="AR84" s="1244"/>
      <c r="AS84" s="1244"/>
      <c r="AT84" s="1244"/>
      <c r="AU84" s="1244"/>
      <c r="AV84" s="1244"/>
      <c r="AW84" s="1446"/>
      <c r="AX84" s="1445" t="s">
        <v>4970</v>
      </c>
      <c r="AY84" s="1244"/>
      <c r="AZ84" s="1244"/>
      <c r="BA84" s="1244"/>
      <c r="BB84" s="1244"/>
      <c r="BC84" s="1244"/>
      <c r="BD84" s="1244"/>
      <c r="BE84" s="1244"/>
      <c r="BF84" s="1244"/>
      <c r="BG84" s="1244"/>
      <c r="BH84" s="1446"/>
      <c r="BI84" s="1445" t="s">
        <v>377</v>
      </c>
      <c r="BJ84" s="1244"/>
      <c r="BK84" s="1244"/>
      <c r="BL84" s="1244"/>
      <c r="BM84" s="1244"/>
      <c r="BN84" s="1244"/>
      <c r="BO84" s="1244"/>
      <c r="BP84" s="1244"/>
      <c r="BQ84" s="1244"/>
      <c r="BR84" s="1244"/>
      <c r="BS84" s="1446"/>
      <c r="BT84" s="1445" t="s">
        <v>4971</v>
      </c>
      <c r="BU84" s="1244"/>
      <c r="BV84" s="1244"/>
      <c r="BW84" s="1244"/>
      <c r="BX84" s="1244"/>
      <c r="BY84" s="1244"/>
      <c r="BZ84" s="1244"/>
      <c r="CA84" s="1244"/>
      <c r="CB84" s="1244"/>
      <c r="CC84" s="1244"/>
      <c r="CD84" s="1446"/>
      <c r="CE84" s="111"/>
      <c r="CF84" s="100" t="s">
        <v>4900</v>
      </c>
      <c r="CH84" s="393" t="s">
        <v>4976</v>
      </c>
      <c r="CQ84" s="100" t="s">
        <v>4947</v>
      </c>
      <c r="CR84" s="393"/>
      <c r="CS84" s="393" t="s">
        <v>4977</v>
      </c>
      <c r="CV84" s="100"/>
      <c r="CW84" s="430"/>
      <c r="CX84" s="430"/>
      <c r="DB84" s="100" t="s">
        <v>4978</v>
      </c>
      <c r="DD84" s="393" t="s">
        <v>4979</v>
      </c>
      <c r="DE84" s="111"/>
      <c r="DI84" s="430"/>
      <c r="DL84" s="100" t="s">
        <v>4937</v>
      </c>
      <c r="DM84" s="393" t="s">
        <v>4980</v>
      </c>
      <c r="EB84" s="401"/>
    </row>
    <row r="85" spans="6:154" x14ac:dyDescent="0.25">
      <c r="F85" s="431"/>
      <c r="G85" s="432" t="s">
        <v>4886</v>
      </c>
      <c r="H85" s="437"/>
      <c r="I85" s="434">
        <v>10</v>
      </c>
      <c r="J85" s="437"/>
      <c r="K85" s="435" t="s">
        <v>4890</v>
      </c>
      <c r="L85" s="435"/>
      <c r="M85" s="434">
        <v>1</v>
      </c>
      <c r="N85" s="435"/>
      <c r="O85" s="435"/>
      <c r="P85" s="435"/>
      <c r="Q85" s="460"/>
      <c r="R85" s="449" t="s">
        <v>4960</v>
      </c>
      <c r="S85" s="442"/>
      <c r="T85" s="434">
        <v>1</v>
      </c>
      <c r="U85" s="442"/>
      <c r="V85" s="449" t="s">
        <v>4926</v>
      </c>
      <c r="W85" s="442"/>
      <c r="X85" s="434">
        <v>2</v>
      </c>
      <c r="Y85" s="442"/>
      <c r="Z85" s="442"/>
      <c r="AA85" s="436"/>
      <c r="AB85" s="1244" t="s">
        <v>4975</v>
      </c>
      <c r="AC85" s="1244"/>
      <c r="AD85" s="1244"/>
      <c r="AE85" s="1244"/>
      <c r="AF85" s="1244"/>
      <c r="AG85" s="1244"/>
      <c r="AH85" s="1244"/>
      <c r="AI85" s="1244"/>
      <c r="AJ85" s="1244"/>
      <c r="AK85" s="1244"/>
      <c r="AL85" s="1446"/>
      <c r="AM85" s="458"/>
      <c r="AN85" s="433"/>
      <c r="AO85" s="433"/>
      <c r="AP85" s="433"/>
      <c r="AQ85" s="435"/>
      <c r="AR85" s="435"/>
      <c r="AS85" s="435"/>
      <c r="AT85" s="435"/>
      <c r="AU85" s="435"/>
      <c r="AV85" s="435"/>
      <c r="AW85" s="436"/>
      <c r="AX85" s="461"/>
      <c r="AY85" s="432" t="s">
        <v>4925</v>
      </c>
      <c r="AZ85" s="442"/>
      <c r="BA85" s="434">
        <v>8</v>
      </c>
      <c r="BB85" s="442"/>
      <c r="BC85" s="442"/>
      <c r="BD85" s="449"/>
      <c r="BE85" s="442"/>
      <c r="BF85" s="442"/>
      <c r="BG85" s="442"/>
      <c r="BH85" s="462"/>
      <c r="BI85" s="446"/>
      <c r="BJ85" s="435" t="s">
        <v>4888</v>
      </c>
      <c r="BK85" s="433"/>
      <c r="BL85" s="434">
        <v>1</v>
      </c>
      <c r="BN85" s="435"/>
      <c r="BO85" s="435"/>
      <c r="BP85" s="435"/>
      <c r="BQ85" s="435"/>
      <c r="BR85" s="435"/>
      <c r="BS85" s="436"/>
      <c r="BT85" s="435"/>
      <c r="BU85" s="432" t="s">
        <v>4886</v>
      </c>
      <c r="BV85" s="435"/>
      <c r="BW85" s="434">
        <v>5</v>
      </c>
      <c r="BX85" s="435"/>
      <c r="BY85" s="432" t="s">
        <v>4926</v>
      </c>
      <c r="BZ85" s="435"/>
      <c r="CA85" s="434">
        <v>1</v>
      </c>
      <c r="CB85" s="125"/>
      <c r="CC85" s="125"/>
      <c r="CD85" s="459"/>
      <c r="CE85" s="111"/>
      <c r="CF85" s="100" t="s">
        <v>4932</v>
      </c>
      <c r="CH85" s="393" t="s">
        <v>4982</v>
      </c>
      <c r="CQ85" s="100" t="s">
        <v>4931</v>
      </c>
      <c r="CR85" s="393"/>
      <c r="CS85" s="393" t="s">
        <v>4983</v>
      </c>
      <c r="CV85" s="100"/>
      <c r="CW85" s="430"/>
      <c r="CX85" s="430"/>
      <c r="DB85" s="100" t="s">
        <v>4984</v>
      </c>
      <c r="DD85" s="393" t="s">
        <v>4985</v>
      </c>
      <c r="DE85" s="111"/>
      <c r="DI85" s="430"/>
      <c r="DL85" s="100" t="s">
        <v>4986</v>
      </c>
      <c r="DM85" s="393" t="s">
        <v>4987</v>
      </c>
      <c r="EB85" s="401"/>
    </row>
    <row r="86" spans="6:154" x14ac:dyDescent="0.25">
      <c r="F86" s="431"/>
      <c r="G86" s="432" t="s">
        <v>4981</v>
      </c>
      <c r="H86" s="437"/>
      <c r="I86" s="434">
        <v>3</v>
      </c>
      <c r="J86" s="437"/>
      <c r="K86" s="443"/>
      <c r="L86" s="437"/>
      <c r="M86" s="434"/>
      <c r="N86" s="435"/>
      <c r="O86" s="435"/>
      <c r="P86" s="435"/>
      <c r="Q86" s="460"/>
      <c r="R86" s="449" t="s">
        <v>4886</v>
      </c>
      <c r="S86" s="442"/>
      <c r="T86" s="434">
        <v>4</v>
      </c>
      <c r="U86" s="442"/>
      <c r="V86" s="449" t="s">
        <v>4949</v>
      </c>
      <c r="W86" s="442"/>
      <c r="X86" s="434">
        <v>3</v>
      </c>
      <c r="Y86" s="442"/>
      <c r="Z86" s="442"/>
      <c r="AA86" s="436"/>
      <c r="AB86" s="435"/>
      <c r="AC86" s="432" t="s">
        <v>4966</v>
      </c>
      <c r="AD86" s="433"/>
      <c r="AE86" s="434">
        <v>1</v>
      </c>
      <c r="AF86" s="437"/>
      <c r="AG86" s="443"/>
      <c r="AH86" s="437"/>
      <c r="AI86" s="440"/>
      <c r="AJ86" s="435"/>
      <c r="AK86" s="435"/>
      <c r="AL86" s="436"/>
      <c r="AM86" s="458"/>
      <c r="AN86" s="432" t="s">
        <v>4952</v>
      </c>
      <c r="AO86" s="435"/>
      <c r="AP86" s="434">
        <v>91</v>
      </c>
      <c r="AQ86" s="435"/>
      <c r="AR86" s="435"/>
      <c r="AS86" s="435"/>
      <c r="AT86" s="435"/>
      <c r="AU86" s="435"/>
      <c r="AV86" s="435"/>
      <c r="AW86" s="436"/>
      <c r="AX86" s="461"/>
      <c r="AY86" s="432" t="s">
        <v>4953</v>
      </c>
      <c r="AZ86" s="442"/>
      <c r="BA86" s="434">
        <v>10</v>
      </c>
      <c r="BB86" s="442"/>
      <c r="BC86" s="442"/>
      <c r="BD86" s="449"/>
      <c r="BE86" s="442"/>
      <c r="BF86" s="442"/>
      <c r="BG86" s="442"/>
      <c r="BH86" s="462"/>
      <c r="BI86" s="446"/>
      <c r="BJ86" s="435" t="s">
        <v>4973</v>
      </c>
      <c r="BK86" s="433"/>
      <c r="BL86" s="434">
        <v>6</v>
      </c>
      <c r="BN86" s="435"/>
      <c r="BO86" s="435"/>
      <c r="BP86" s="435"/>
      <c r="BQ86" s="435"/>
      <c r="BR86" s="435"/>
      <c r="BS86" s="436"/>
      <c r="BT86" s="432"/>
      <c r="BU86" s="432" t="s">
        <v>4888</v>
      </c>
      <c r="BV86" s="435"/>
      <c r="BW86" s="434">
        <v>1</v>
      </c>
      <c r="BX86" s="435"/>
      <c r="BY86" s="432" t="s">
        <v>4949</v>
      </c>
      <c r="BZ86" s="435"/>
      <c r="CA86" s="434">
        <v>1</v>
      </c>
      <c r="CB86" s="125"/>
      <c r="CC86" s="125"/>
      <c r="CD86" s="459"/>
      <c r="CE86" s="111"/>
      <c r="CF86" s="100" t="s">
        <v>4989</v>
      </c>
      <c r="CH86" s="393" t="s">
        <v>219</v>
      </c>
      <c r="CQ86" s="100" t="s">
        <v>4930</v>
      </c>
      <c r="CR86" s="393"/>
      <c r="CS86" s="393" t="s">
        <v>183</v>
      </c>
      <c r="CV86" s="100"/>
      <c r="CW86" s="430"/>
      <c r="CX86" s="430"/>
      <c r="DB86" s="100" t="s">
        <v>4891</v>
      </c>
      <c r="DD86" s="393" t="s">
        <v>74</v>
      </c>
      <c r="DE86" s="111"/>
      <c r="DI86" s="430"/>
      <c r="DJ86" s="100"/>
      <c r="DL86" s="100" t="s">
        <v>4988</v>
      </c>
      <c r="DM86" s="393" t="s">
        <v>4990</v>
      </c>
      <c r="EB86" s="401"/>
    </row>
    <row r="87" spans="6:154" x14ac:dyDescent="0.25">
      <c r="F87" s="431"/>
      <c r="G87" s="432" t="s">
        <v>4953</v>
      </c>
      <c r="H87" s="437"/>
      <c r="I87" s="434">
        <v>9</v>
      </c>
      <c r="J87" s="437"/>
      <c r="K87" s="443"/>
      <c r="L87" s="437"/>
      <c r="M87" s="434"/>
      <c r="N87" s="435"/>
      <c r="O87" s="435"/>
      <c r="P87" s="435"/>
      <c r="Q87" s="460"/>
      <c r="R87" s="449" t="s">
        <v>4893</v>
      </c>
      <c r="S87" s="442"/>
      <c r="T87" s="434">
        <v>1</v>
      </c>
      <c r="U87" s="442"/>
      <c r="V87" s="449" t="s">
        <v>4947</v>
      </c>
      <c r="W87" s="442"/>
      <c r="X87" s="434">
        <v>1</v>
      </c>
      <c r="Y87" s="442"/>
      <c r="Z87" s="442"/>
      <c r="AA87" s="436"/>
      <c r="AB87" s="435"/>
      <c r="AC87" s="432" t="s">
        <v>4891</v>
      </c>
      <c r="AD87" s="433"/>
      <c r="AE87" s="434">
        <v>2</v>
      </c>
      <c r="AF87" s="437"/>
      <c r="AG87" s="443"/>
      <c r="AH87" s="437"/>
      <c r="AI87" s="440"/>
      <c r="AJ87" s="435"/>
      <c r="AK87" s="435"/>
      <c r="AL87" s="436"/>
      <c r="AM87" s="458"/>
      <c r="AN87" s="432" t="s">
        <v>4893</v>
      </c>
      <c r="AO87" s="435"/>
      <c r="AP87" s="434">
        <v>5</v>
      </c>
      <c r="AQ87" s="435"/>
      <c r="AR87" s="435"/>
      <c r="AS87" s="435"/>
      <c r="AT87" s="435"/>
      <c r="AU87" s="435"/>
      <c r="AV87" s="435"/>
      <c r="AW87" s="436"/>
      <c r="AX87" s="461"/>
      <c r="AY87" s="432" t="s">
        <v>4886</v>
      </c>
      <c r="AZ87" s="442"/>
      <c r="BA87" s="434">
        <v>2</v>
      </c>
      <c r="BB87" s="442"/>
      <c r="BC87" s="442"/>
      <c r="BD87" s="442"/>
      <c r="BE87" s="442"/>
      <c r="BF87" s="442"/>
      <c r="BG87" s="442"/>
      <c r="BH87" s="462"/>
      <c r="BI87" s="446"/>
      <c r="BJ87" s="435" t="s">
        <v>4988</v>
      </c>
      <c r="BK87" s="433"/>
      <c r="BL87" s="434">
        <v>5</v>
      </c>
      <c r="BN87" s="435"/>
      <c r="BO87" s="435"/>
      <c r="BP87" s="435"/>
      <c r="BQ87" s="435"/>
      <c r="BR87" s="435"/>
      <c r="BS87" s="436"/>
      <c r="BT87" s="435"/>
      <c r="BU87" s="432" t="s">
        <v>4893</v>
      </c>
      <c r="BV87" s="435"/>
      <c r="BW87" s="434">
        <v>1</v>
      </c>
      <c r="BX87" s="435"/>
      <c r="BY87" s="432" t="s">
        <v>4995</v>
      </c>
      <c r="BZ87" s="433"/>
      <c r="CA87" s="434">
        <v>2</v>
      </c>
      <c r="CB87" s="125"/>
      <c r="CC87" s="125"/>
      <c r="CD87" s="459"/>
      <c r="CE87" s="111"/>
      <c r="CF87" s="100" t="s">
        <v>4922</v>
      </c>
      <c r="CH87" s="393" t="s">
        <v>4758</v>
      </c>
      <c r="CQ87" s="100" t="s">
        <v>4908</v>
      </c>
      <c r="CR87" s="393"/>
      <c r="CS87" s="393" t="s">
        <v>4757</v>
      </c>
      <c r="CV87" s="100"/>
      <c r="CW87" s="430"/>
      <c r="CX87" s="430"/>
      <c r="DB87" s="100" t="s">
        <v>4891</v>
      </c>
      <c r="DD87" s="393" t="s">
        <v>4992</v>
      </c>
      <c r="DI87" s="430"/>
      <c r="DJ87" s="100"/>
      <c r="DK87" s="393"/>
      <c r="DL87" s="100" t="s">
        <v>4993</v>
      </c>
      <c r="DM87" s="393" t="s">
        <v>4994</v>
      </c>
      <c r="EB87" s="401"/>
    </row>
    <row r="88" spans="6:154" x14ac:dyDescent="0.25">
      <c r="F88" s="431"/>
      <c r="G88" s="432" t="s">
        <v>4966</v>
      </c>
      <c r="H88" s="437"/>
      <c r="I88" s="434"/>
      <c r="J88" s="437"/>
      <c r="K88" s="443"/>
      <c r="L88" s="437"/>
      <c r="M88" s="434"/>
      <c r="N88" s="435"/>
      <c r="O88" s="435"/>
      <c r="P88" s="435"/>
      <c r="Q88" s="460"/>
      <c r="R88" s="449" t="s">
        <v>4991</v>
      </c>
      <c r="S88" s="442"/>
      <c r="T88" s="434">
        <v>2</v>
      </c>
      <c r="U88" s="442"/>
      <c r="V88" s="442"/>
      <c r="W88" s="442"/>
      <c r="X88" s="442"/>
      <c r="Y88" s="442"/>
      <c r="Z88" s="442"/>
      <c r="AA88" s="436"/>
      <c r="AB88" s="435"/>
      <c r="AC88" s="432" t="s">
        <v>4995</v>
      </c>
      <c r="AD88" s="433"/>
      <c r="AE88" s="434">
        <v>1</v>
      </c>
      <c r="AF88" s="437"/>
      <c r="AG88" s="443"/>
      <c r="AH88" s="437"/>
      <c r="AI88" s="440"/>
      <c r="AJ88" s="435"/>
      <c r="AK88" s="435"/>
      <c r="AL88" s="436"/>
      <c r="AM88" s="458"/>
      <c r="AN88" s="435" t="s">
        <v>5320</v>
      </c>
      <c r="AO88" s="435"/>
      <c r="AP88" s="434">
        <v>1</v>
      </c>
      <c r="AQ88" s="435"/>
      <c r="AR88" s="435"/>
      <c r="AS88" s="435"/>
      <c r="AT88" s="435"/>
      <c r="AU88" s="435"/>
      <c r="AV88" s="435"/>
      <c r="AW88" s="436"/>
      <c r="AX88" s="461"/>
      <c r="AY88" s="432" t="s">
        <v>5321</v>
      </c>
      <c r="AZ88" s="442"/>
      <c r="BA88" s="434">
        <v>6</v>
      </c>
      <c r="BB88" s="442"/>
      <c r="BC88" s="442"/>
      <c r="BD88" s="442"/>
      <c r="BE88" s="442"/>
      <c r="BF88" s="442"/>
      <c r="BG88" s="442"/>
      <c r="BH88" s="462"/>
      <c r="BI88" s="446"/>
      <c r="BJ88" s="435" t="s">
        <v>4934</v>
      </c>
      <c r="BK88" s="433"/>
      <c r="BL88" s="434">
        <v>1</v>
      </c>
      <c r="BN88" s="435"/>
      <c r="BO88" s="435"/>
      <c r="BP88" s="435"/>
      <c r="BQ88" s="435"/>
      <c r="BR88" s="435"/>
      <c r="BS88" s="436"/>
      <c r="BT88" s="435"/>
      <c r="BU88" s="432" t="s">
        <v>4904</v>
      </c>
      <c r="BV88" s="435"/>
      <c r="BW88" s="434">
        <v>1</v>
      </c>
      <c r="BX88" s="435"/>
      <c r="BY88" s="435" t="s">
        <v>4890</v>
      </c>
      <c r="BZ88" s="435"/>
      <c r="CA88" s="434">
        <v>1</v>
      </c>
      <c r="CB88" s="125"/>
      <c r="CC88" s="125"/>
      <c r="CD88" s="459"/>
      <c r="CE88" s="111"/>
      <c r="CF88" s="100" t="s">
        <v>4950</v>
      </c>
      <c r="CH88" s="393" t="s">
        <v>4834</v>
      </c>
      <c r="CQ88" s="100" t="s">
        <v>4991</v>
      </c>
      <c r="CR88" s="393"/>
      <c r="CS88" s="393" t="s">
        <v>4997</v>
      </c>
      <c r="CV88" s="100"/>
      <c r="CW88" s="430"/>
      <c r="CX88" s="430"/>
      <c r="DB88" s="100" t="s">
        <v>4891</v>
      </c>
      <c r="DD88" s="393" t="s">
        <v>4998</v>
      </c>
      <c r="DI88" s="430"/>
      <c r="DJ88" s="100"/>
      <c r="DK88" s="753"/>
      <c r="DL88" s="100" t="s">
        <v>4999</v>
      </c>
      <c r="DM88" s="393" t="s">
        <v>5000</v>
      </c>
      <c r="EB88" s="401"/>
    </row>
    <row r="89" spans="6:154" x14ac:dyDescent="0.25">
      <c r="F89" s="431"/>
      <c r="G89" s="432" t="s">
        <v>4891</v>
      </c>
      <c r="H89" s="448"/>
      <c r="I89" s="434">
        <v>1</v>
      </c>
      <c r="J89" s="448"/>
      <c r="K89" s="448"/>
      <c r="L89" s="448"/>
      <c r="M89" s="434"/>
      <c r="N89" s="435"/>
      <c r="O89" s="435"/>
      <c r="P89" s="435"/>
      <c r="Q89" s="460"/>
      <c r="R89" s="449" t="s">
        <v>4891</v>
      </c>
      <c r="S89" s="442"/>
      <c r="T89" s="434">
        <v>1</v>
      </c>
      <c r="U89" s="442"/>
      <c r="V89" s="442"/>
      <c r="W89" s="442"/>
      <c r="X89" s="442"/>
      <c r="Y89" s="442"/>
      <c r="Z89" s="442"/>
      <c r="AA89" s="436"/>
      <c r="AB89" s="433"/>
      <c r="AC89" s="432" t="s">
        <v>4999</v>
      </c>
      <c r="AD89" s="448"/>
      <c r="AE89" s="434">
        <v>2</v>
      </c>
      <c r="AF89" s="448"/>
      <c r="AG89" s="448"/>
      <c r="AH89" s="448"/>
      <c r="AI89" s="448"/>
      <c r="AJ89" s="433"/>
      <c r="AK89" s="433"/>
      <c r="AL89" s="447"/>
      <c r="AM89" s="463"/>
      <c r="AN89" s="432" t="s">
        <v>4942</v>
      </c>
      <c r="AO89" s="433"/>
      <c r="AP89" s="434">
        <v>3</v>
      </c>
      <c r="AQ89" s="433"/>
      <c r="AR89" s="433"/>
      <c r="AS89" s="433"/>
      <c r="AT89" s="433"/>
      <c r="AU89" s="433"/>
      <c r="AV89" s="433"/>
      <c r="AW89" s="447"/>
      <c r="AX89" s="461"/>
      <c r="AY89" s="432" t="s">
        <v>4891</v>
      </c>
      <c r="AZ89" s="442"/>
      <c r="BA89" s="434">
        <v>1</v>
      </c>
      <c r="BB89" s="442"/>
      <c r="BC89" s="442"/>
      <c r="BD89" s="442"/>
      <c r="BE89" s="442"/>
      <c r="BF89" s="442"/>
      <c r="BG89" s="442"/>
      <c r="BH89" s="462"/>
      <c r="BI89" s="431"/>
      <c r="BJ89" s="435" t="s">
        <v>4906</v>
      </c>
      <c r="BK89" s="433"/>
      <c r="BL89" s="434">
        <v>1</v>
      </c>
      <c r="BN89" s="435"/>
      <c r="BO89" s="435"/>
      <c r="BP89" s="435"/>
      <c r="BQ89" s="435"/>
      <c r="BR89" s="435"/>
      <c r="BS89" s="436"/>
      <c r="BT89" s="433"/>
      <c r="BU89" s="432" t="s">
        <v>4891</v>
      </c>
      <c r="BV89" s="433"/>
      <c r="BW89" s="434">
        <v>1</v>
      </c>
      <c r="BX89" s="433"/>
      <c r="CB89" s="125"/>
      <c r="CC89" s="125"/>
      <c r="CD89" s="464"/>
      <c r="CF89" s="100" t="s">
        <v>4906</v>
      </c>
      <c r="CH89" s="393" t="s">
        <v>4842</v>
      </c>
      <c r="CQ89" s="100" t="s">
        <v>4917</v>
      </c>
      <c r="CR89" s="393"/>
      <c r="CS89" s="393" t="s">
        <v>5002</v>
      </c>
      <c r="CV89" s="100"/>
      <c r="CW89" s="430"/>
      <c r="CX89" s="430"/>
      <c r="DB89" s="100" t="s">
        <v>4891</v>
      </c>
      <c r="DD89" s="393" t="s">
        <v>75</v>
      </c>
      <c r="DI89" s="430"/>
      <c r="DK89" s="111"/>
      <c r="DL89" s="111" t="s">
        <v>4996</v>
      </c>
      <c r="DM89" s="393" t="s">
        <v>5003</v>
      </c>
      <c r="EB89" s="401"/>
    </row>
    <row r="90" spans="6:154" x14ac:dyDescent="0.25">
      <c r="F90" s="26"/>
      <c r="Q90" s="460"/>
      <c r="R90" s="449" t="s">
        <v>4966</v>
      </c>
      <c r="S90" s="442"/>
      <c r="T90" s="434">
        <v>2</v>
      </c>
      <c r="U90" s="442"/>
      <c r="V90" s="442"/>
      <c r="W90" s="442"/>
      <c r="X90" s="442"/>
      <c r="Y90" s="442"/>
      <c r="Z90" s="442"/>
      <c r="AA90" s="436"/>
      <c r="AB90" s="433"/>
      <c r="AC90" s="432" t="s">
        <v>4993</v>
      </c>
      <c r="AD90" s="432"/>
      <c r="AE90" s="434">
        <v>3</v>
      </c>
      <c r="AF90" s="448"/>
      <c r="AG90" s="448"/>
      <c r="AH90" s="448"/>
      <c r="AI90" s="448"/>
      <c r="AJ90" s="433"/>
      <c r="AK90" s="433"/>
      <c r="AL90" s="447"/>
      <c r="AM90" s="463"/>
      <c r="AN90" s="433"/>
      <c r="AO90" s="433"/>
      <c r="AP90" s="433"/>
      <c r="AQ90" s="433"/>
      <c r="AR90" s="433"/>
      <c r="AS90" s="433"/>
      <c r="AT90" s="433"/>
      <c r="AU90" s="433"/>
      <c r="AV90" s="433"/>
      <c r="AW90" s="447"/>
      <c r="AX90" s="461"/>
      <c r="AY90" s="432" t="s">
        <v>4900</v>
      </c>
      <c r="AZ90" s="442"/>
      <c r="BA90" s="434">
        <v>1</v>
      </c>
      <c r="BB90" s="442"/>
      <c r="BC90" s="442"/>
      <c r="BD90" s="442"/>
      <c r="BE90" s="442"/>
      <c r="BF90" s="442"/>
      <c r="BG90" s="442"/>
      <c r="BH90" s="462"/>
      <c r="BI90" s="431"/>
      <c r="BJ90" s="435" t="s">
        <v>4885</v>
      </c>
      <c r="BK90" s="433"/>
      <c r="BL90" s="434">
        <v>1</v>
      </c>
      <c r="BN90" s="435"/>
      <c r="BO90" s="435"/>
      <c r="BP90" s="435"/>
      <c r="BQ90" s="435"/>
      <c r="BR90" s="435"/>
      <c r="BS90" s="436"/>
      <c r="BT90" s="433"/>
      <c r="BU90" s="432" t="s">
        <v>4953</v>
      </c>
      <c r="BV90" s="433"/>
      <c r="BW90" s="434">
        <v>3</v>
      </c>
      <c r="BX90" s="433"/>
      <c r="CB90" s="125"/>
      <c r="CC90" s="125"/>
      <c r="CD90" s="464"/>
      <c r="CF90" s="100" t="s">
        <v>5001</v>
      </c>
      <c r="CH90" s="393" t="s">
        <v>5004</v>
      </c>
      <c r="CK90" s="100"/>
      <c r="CL90" s="430"/>
      <c r="CM90" s="430"/>
      <c r="CQ90" s="100" t="s">
        <v>4954</v>
      </c>
      <c r="CR90" s="393"/>
      <c r="CS90" s="393" t="s">
        <v>171</v>
      </c>
      <c r="DB90" s="100" t="s">
        <v>4891</v>
      </c>
      <c r="DD90" s="393" t="s">
        <v>5005</v>
      </c>
      <c r="DK90" s="111"/>
      <c r="DL90" s="111" t="s">
        <v>4921</v>
      </c>
      <c r="DM90" s="22" t="s">
        <v>4979</v>
      </c>
      <c r="EB90" s="401"/>
    </row>
    <row r="91" spans="6:154" ht="14.5" customHeight="1" x14ac:dyDescent="0.25">
      <c r="F91" s="26"/>
      <c r="Q91" s="460"/>
      <c r="R91" s="442"/>
      <c r="S91" s="442"/>
      <c r="T91" s="442"/>
      <c r="U91" s="442"/>
      <c r="V91" s="442"/>
      <c r="W91" s="442"/>
      <c r="X91" s="442"/>
      <c r="Y91" s="442"/>
      <c r="Z91" s="442"/>
      <c r="AA91" s="436"/>
      <c r="AB91" s="433"/>
      <c r="AC91" s="432"/>
      <c r="AD91" s="432"/>
      <c r="AE91" s="442"/>
      <c r="AF91" s="448"/>
      <c r="AG91" s="448"/>
      <c r="AH91" s="448"/>
      <c r="AI91" s="448"/>
      <c r="AJ91" s="433"/>
      <c r="AK91" s="433"/>
      <c r="AL91" s="447"/>
      <c r="AM91" s="463"/>
      <c r="AN91" s="433"/>
      <c r="AO91" s="433"/>
      <c r="AP91" s="433"/>
      <c r="AQ91" s="433"/>
      <c r="AR91" s="433"/>
      <c r="AS91" s="433"/>
      <c r="AT91" s="433"/>
      <c r="AU91" s="433"/>
      <c r="AV91" s="433"/>
      <c r="AW91" s="447"/>
      <c r="AX91" s="461"/>
      <c r="BB91" s="442"/>
      <c r="BC91" s="442"/>
      <c r="BD91" s="442"/>
      <c r="BE91" s="442"/>
      <c r="BF91" s="442"/>
      <c r="BG91" s="442"/>
      <c r="BH91" s="462"/>
      <c r="BI91" s="431"/>
      <c r="BJ91" s="435" t="s">
        <v>4900</v>
      </c>
      <c r="BK91" s="433"/>
      <c r="BL91" s="434">
        <v>6</v>
      </c>
      <c r="BN91" s="435"/>
      <c r="BO91" s="435"/>
      <c r="BP91" s="435"/>
      <c r="BQ91" s="435"/>
      <c r="BR91" s="435"/>
      <c r="BS91" s="436"/>
      <c r="BT91" s="433"/>
      <c r="BU91" s="432" t="s">
        <v>4960</v>
      </c>
      <c r="BV91" s="433"/>
      <c r="BW91" s="434">
        <v>1</v>
      </c>
      <c r="BX91" s="433"/>
      <c r="BY91" s="433"/>
      <c r="BZ91" s="433"/>
      <c r="CA91" s="434"/>
      <c r="CB91" s="125"/>
      <c r="CC91" s="125"/>
      <c r="CD91" s="464"/>
      <c r="CF91" s="100" t="s">
        <v>4953</v>
      </c>
      <c r="CH91" s="393" t="s">
        <v>5007</v>
      </c>
      <c r="CQ91" s="100" t="s">
        <v>4923</v>
      </c>
      <c r="CR91" s="393"/>
      <c r="CS91" s="393" t="s">
        <v>104</v>
      </c>
      <c r="CU91" s="430"/>
      <c r="CV91" s="430"/>
      <c r="CZ91" s="100"/>
      <c r="DA91" s="393"/>
      <c r="DB91" s="100" t="s">
        <v>4891</v>
      </c>
      <c r="DD91" s="393" t="s">
        <v>4850</v>
      </c>
      <c r="DL91" s="111" t="s">
        <v>5008</v>
      </c>
      <c r="DM91" s="22" t="s">
        <v>5009</v>
      </c>
      <c r="EB91" s="401"/>
    </row>
    <row r="92" spans="6:154" x14ac:dyDescent="0.25">
      <c r="F92" s="26"/>
      <c r="Q92" s="458"/>
      <c r="R92" s="125"/>
      <c r="S92" s="125"/>
      <c r="T92" s="125"/>
      <c r="U92" s="125"/>
      <c r="V92" s="125"/>
      <c r="W92" s="125"/>
      <c r="X92" s="125"/>
      <c r="Y92" s="125"/>
      <c r="Z92" s="125"/>
      <c r="AA92" s="441"/>
      <c r="AB92" s="433"/>
      <c r="AC92" s="433"/>
      <c r="AD92" s="433"/>
      <c r="AE92" s="433"/>
      <c r="AF92" s="433"/>
      <c r="AG92" s="433"/>
      <c r="AH92" s="433"/>
      <c r="AI92" s="433"/>
      <c r="AJ92" s="433"/>
      <c r="AK92" s="433"/>
      <c r="AL92" s="447"/>
      <c r="AM92" s="463"/>
      <c r="AN92" s="433"/>
      <c r="AO92" s="433"/>
      <c r="AP92" s="433"/>
      <c r="AQ92" s="433"/>
      <c r="AR92" s="433"/>
      <c r="AS92" s="433"/>
      <c r="AT92" s="433"/>
      <c r="AU92" s="433"/>
      <c r="AV92" s="433"/>
      <c r="AW92" s="447"/>
      <c r="AX92" s="446"/>
      <c r="BF92" s="433"/>
      <c r="BG92" s="433"/>
      <c r="BH92" s="447"/>
      <c r="BI92" s="446"/>
      <c r="BJ92" s="433"/>
      <c r="BK92" s="443"/>
      <c r="BL92" s="448"/>
      <c r="BM92" s="440"/>
      <c r="BN92" s="448"/>
      <c r="BO92" s="448"/>
      <c r="BP92" s="448"/>
      <c r="BQ92" s="448"/>
      <c r="BR92" s="433"/>
      <c r="BS92" s="447"/>
      <c r="BT92" s="433"/>
      <c r="BU92" s="432" t="s">
        <v>5006</v>
      </c>
      <c r="BV92" s="433"/>
      <c r="BW92" s="434">
        <v>4</v>
      </c>
      <c r="BX92" s="433"/>
      <c r="BY92" s="433"/>
      <c r="BZ92" s="433"/>
      <c r="CA92" s="434"/>
      <c r="CB92" s="125"/>
      <c r="CC92" s="125"/>
      <c r="CD92" s="464"/>
      <c r="CF92" s="100"/>
      <c r="CG92" s="430"/>
      <c r="CR92" s="100"/>
      <c r="CS92" s="430"/>
      <c r="CT92" s="430"/>
      <c r="DD92" s="100"/>
      <c r="DE92" s="430"/>
      <c r="DF92" s="430"/>
      <c r="DL92" s="111" t="s">
        <v>4898</v>
      </c>
      <c r="DM92" s="22" t="s">
        <v>4899</v>
      </c>
      <c r="EB92" s="401"/>
    </row>
    <row r="93" spans="6:154" x14ac:dyDescent="0.25">
      <c r="F93" s="396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396"/>
      <c r="R93" s="25"/>
      <c r="S93" s="25"/>
      <c r="T93" s="25"/>
      <c r="U93" s="25"/>
      <c r="V93" s="25"/>
      <c r="W93" s="25"/>
      <c r="X93" s="25"/>
      <c r="Y93" s="25"/>
      <c r="Z93" s="25"/>
      <c r="AA93" s="30"/>
      <c r="AB93" s="465"/>
      <c r="AC93" s="465"/>
      <c r="AD93" s="465"/>
      <c r="AE93" s="465"/>
      <c r="AF93" s="465"/>
      <c r="AG93" s="465"/>
      <c r="AH93" s="465"/>
      <c r="AI93" s="465"/>
      <c r="AJ93" s="465"/>
      <c r="AK93" s="465"/>
      <c r="AL93" s="466"/>
      <c r="AM93" s="467"/>
      <c r="AN93" s="465"/>
      <c r="AO93" s="465"/>
      <c r="AP93" s="465"/>
      <c r="AQ93" s="465"/>
      <c r="AR93" s="465"/>
      <c r="AS93" s="465"/>
      <c r="AT93" s="465"/>
      <c r="AU93" s="465"/>
      <c r="AV93" s="465"/>
      <c r="AW93" s="466"/>
      <c r="AX93" s="467"/>
      <c r="AY93" s="465"/>
      <c r="AZ93" s="465"/>
      <c r="BA93" s="465"/>
      <c r="BB93" s="465"/>
      <c r="BC93" s="465"/>
      <c r="BD93" s="465"/>
      <c r="BE93" s="465"/>
      <c r="BF93" s="465"/>
      <c r="BG93" s="465"/>
      <c r="BH93" s="466"/>
      <c r="BI93" s="467"/>
      <c r="BJ93" s="465"/>
      <c r="BK93" s="465"/>
      <c r="BL93" s="465"/>
      <c r="BM93" s="465"/>
      <c r="BN93" s="465"/>
      <c r="BO93" s="465"/>
      <c r="BP93" s="465"/>
      <c r="BQ93" s="465"/>
      <c r="BR93" s="465"/>
      <c r="BS93" s="466"/>
      <c r="BT93" s="468"/>
      <c r="BU93" s="468"/>
      <c r="BV93" s="468"/>
      <c r="BW93" s="468"/>
      <c r="BX93" s="468"/>
      <c r="BY93" s="468"/>
      <c r="BZ93" s="468"/>
      <c r="CA93" s="468"/>
      <c r="CB93" s="468"/>
      <c r="CC93" s="468"/>
      <c r="CD93" s="469"/>
      <c r="CE93" s="423"/>
      <c r="CF93" s="423"/>
      <c r="CG93" s="423"/>
      <c r="CH93" s="423"/>
      <c r="CI93" s="423"/>
      <c r="CJ93" s="423"/>
      <c r="CK93" s="423"/>
      <c r="CL93" s="423"/>
      <c r="CM93" s="423"/>
      <c r="CN93" s="423"/>
      <c r="CO93" s="423"/>
      <c r="CP93" s="423"/>
      <c r="CQ93" s="423"/>
      <c r="CR93" s="423"/>
      <c r="CS93" s="423"/>
      <c r="CT93" s="423"/>
      <c r="CU93" s="423"/>
      <c r="CV93" s="423"/>
      <c r="CW93" s="423"/>
      <c r="CX93" s="423"/>
      <c r="CY93" s="423"/>
      <c r="CZ93" s="423"/>
      <c r="DA93" s="423"/>
      <c r="DB93" s="423"/>
      <c r="DC93" s="423"/>
      <c r="DD93" s="423"/>
      <c r="DE93" s="423"/>
      <c r="DF93" s="423"/>
      <c r="DG93" s="423"/>
      <c r="DH93" s="423"/>
      <c r="DI93" s="423"/>
      <c r="DJ93" s="423"/>
      <c r="DK93" s="423"/>
      <c r="DL93" s="423"/>
      <c r="DM93" s="423"/>
      <c r="DN93" s="423"/>
      <c r="DO93" s="423"/>
      <c r="DP93" s="423"/>
      <c r="DQ93" s="423"/>
      <c r="DR93" s="423"/>
      <c r="DS93" s="423"/>
      <c r="DT93" s="423"/>
      <c r="DU93" s="423"/>
      <c r="DV93" s="423"/>
      <c r="DW93" s="423"/>
      <c r="DX93" s="423"/>
      <c r="DY93" s="423"/>
      <c r="DZ93" s="423"/>
      <c r="EA93" s="423"/>
      <c r="EB93" s="472"/>
    </row>
    <row r="100" ht="10.15" customHeight="1" x14ac:dyDescent="0.25"/>
    <row r="101" ht="10.15" customHeight="1" x14ac:dyDescent="0.25"/>
    <row r="102" ht="10.15" customHeight="1" x14ac:dyDescent="0.25"/>
    <row r="103" ht="10.15" customHeight="1" x14ac:dyDescent="0.25"/>
    <row r="104" ht="10.15" customHeight="1" x14ac:dyDescent="0.25"/>
    <row r="105" ht="10.15" customHeight="1" x14ac:dyDescent="0.25"/>
    <row r="113" spans="166:221" ht="14.5" customHeight="1" x14ac:dyDescent="0.25"/>
    <row r="120" spans="166:221" x14ac:dyDescent="0.25">
      <c r="FJ120" s="473"/>
      <c r="FK120" s="393"/>
      <c r="FL120" s="393"/>
      <c r="FM120" s="393"/>
      <c r="FN120" s="393"/>
      <c r="FO120" s="393"/>
      <c r="FP120" s="393"/>
      <c r="FQ120" s="393"/>
      <c r="FR120" s="393"/>
      <c r="FS120" s="393"/>
      <c r="FT120" s="393"/>
      <c r="FU120" s="393"/>
      <c r="FV120" s="393"/>
      <c r="FW120" s="393"/>
      <c r="FX120" s="393"/>
      <c r="FY120" s="393"/>
      <c r="FZ120" s="393"/>
      <c r="GA120" s="393"/>
      <c r="GB120" s="393"/>
      <c r="GC120" s="393"/>
      <c r="GD120" s="393"/>
      <c r="GE120" s="393"/>
      <c r="GP120" s="393"/>
      <c r="GQ120" s="393"/>
      <c r="GR120" s="474"/>
      <c r="GS120" s="475"/>
      <c r="GT120" s="475"/>
      <c r="GU120" s="476"/>
      <c r="GV120" s="476"/>
      <c r="GW120" s="476"/>
      <c r="GX120" s="476"/>
      <c r="GY120" s="476"/>
      <c r="GZ120" s="476"/>
      <c r="HA120" s="476"/>
      <c r="HB120" s="473"/>
      <c r="HC120" s="473"/>
      <c r="HD120" s="393"/>
      <c r="HE120" s="393"/>
      <c r="HF120" s="393"/>
      <c r="HG120" s="393"/>
      <c r="HH120" s="393"/>
      <c r="HI120" s="393"/>
      <c r="HJ120" s="393"/>
      <c r="HK120" s="393"/>
      <c r="HL120" s="393"/>
      <c r="HM120" s="393"/>
    </row>
    <row r="121" spans="166:221" x14ac:dyDescent="0.25">
      <c r="FJ121" s="393"/>
      <c r="FK121" s="393"/>
      <c r="FL121" s="393"/>
      <c r="FM121" s="393"/>
      <c r="FN121" s="393"/>
      <c r="FO121" s="393"/>
      <c r="FP121" s="393"/>
      <c r="FQ121" s="393"/>
      <c r="FR121" s="393"/>
      <c r="FS121" s="393"/>
      <c r="FT121" s="393"/>
      <c r="FU121" s="393"/>
      <c r="FV121" s="393"/>
      <c r="FW121" s="393"/>
      <c r="FX121" s="393"/>
      <c r="FY121" s="393"/>
      <c r="FZ121" s="393"/>
      <c r="GA121" s="393"/>
      <c r="GB121" s="393"/>
      <c r="GC121" s="393"/>
      <c r="GD121" s="393"/>
      <c r="GE121" s="393"/>
      <c r="GP121" s="393"/>
      <c r="GQ121" s="393"/>
      <c r="GR121" s="419"/>
      <c r="GS121" s="419"/>
      <c r="GT121" s="419"/>
      <c r="GU121" s="419"/>
      <c r="GV121" s="419"/>
      <c r="GW121" s="419"/>
      <c r="GX121" s="419"/>
      <c r="GY121" s="419"/>
      <c r="GZ121" s="419"/>
      <c r="HA121" s="419"/>
      <c r="HB121" s="393"/>
      <c r="HC121" s="393"/>
      <c r="HD121" s="393"/>
      <c r="HE121" s="393"/>
      <c r="HF121" s="393"/>
      <c r="HG121" s="393"/>
      <c r="HH121" s="393"/>
      <c r="HI121" s="393"/>
      <c r="HJ121" s="393"/>
      <c r="HK121" s="393"/>
      <c r="HL121" s="393"/>
      <c r="HM121" s="393"/>
    </row>
  </sheetData>
  <mergeCells count="104">
    <mergeCell ref="BI84:BS84"/>
    <mergeCell ref="BT84:CD84"/>
    <mergeCell ref="AB85:AL85"/>
    <mergeCell ref="Q75:AA75"/>
    <mergeCell ref="F84:P84"/>
    <mergeCell ref="Q84:AA84"/>
    <mergeCell ref="AB84:AL84"/>
    <mergeCell ref="AM84:AW84"/>
    <mergeCell ref="AX84:BH84"/>
    <mergeCell ref="CO69:CS70"/>
    <mergeCell ref="CT69:CZ70"/>
    <mergeCell ref="DA69:DL70"/>
    <mergeCell ref="F74:P74"/>
    <mergeCell ref="Q74:AA74"/>
    <mergeCell ref="AB74:AL74"/>
    <mergeCell ref="AM74:AW74"/>
    <mergeCell ref="AX74:BH74"/>
    <mergeCell ref="BI74:BS74"/>
    <mergeCell ref="BT74:CD74"/>
    <mergeCell ref="BT59:BU67"/>
    <mergeCell ref="CF59:CG67"/>
    <mergeCell ref="P69:Q70"/>
    <mergeCell ref="AA69:AB70"/>
    <mergeCell ref="AL69:AM70"/>
    <mergeCell ref="AW69:AX70"/>
    <mergeCell ref="BG69:BH70"/>
    <mergeCell ref="BJ69:BK70"/>
    <mergeCell ref="BT69:BU70"/>
    <mergeCell ref="CF69:CG70"/>
    <mergeCell ref="P59:Q67"/>
    <mergeCell ref="AA59:AB67"/>
    <mergeCell ref="AL59:AM67"/>
    <mergeCell ref="AW59:AX67"/>
    <mergeCell ref="BG59:BH67"/>
    <mergeCell ref="BJ59:BK67"/>
    <mergeCell ref="BQ53:BY53"/>
    <mergeCell ref="CC53:CK53"/>
    <mergeCell ref="L54:U54"/>
    <mergeCell ref="X54:AG54"/>
    <mergeCell ref="AI54:AR54"/>
    <mergeCell ref="AT54:BC54"/>
    <mergeCell ref="BE54:BN54"/>
    <mergeCell ref="CB54:CK54"/>
    <mergeCell ref="AD48:BA48"/>
    <mergeCell ref="AD49:BA49"/>
    <mergeCell ref="M53:U53"/>
    <mergeCell ref="Y53:AG53"/>
    <mergeCell ref="AJ53:AR53"/>
    <mergeCell ref="AU53:BC53"/>
    <mergeCell ref="BO39:BP40"/>
    <mergeCell ref="BU39:BV40"/>
    <mergeCell ref="AR40:AS41"/>
    <mergeCell ref="AV40:AW41"/>
    <mergeCell ref="AZ40:BA41"/>
    <mergeCell ref="AM45:AU45"/>
    <mergeCell ref="AY45:BD46"/>
    <mergeCell ref="BF45:BG46"/>
    <mergeCell ref="AL46:AU46"/>
    <mergeCell ref="CV32:CW33"/>
    <mergeCell ref="CZ32:DA33"/>
    <mergeCell ref="J36:K37"/>
    <mergeCell ref="M36:N37"/>
    <mergeCell ref="P36:Q37"/>
    <mergeCell ref="AB36:AC37"/>
    <mergeCell ref="BO29:BP37"/>
    <mergeCell ref="BU29:BV37"/>
    <mergeCell ref="AR30:AS38"/>
    <mergeCell ref="AV30:AW38"/>
    <mergeCell ref="AZ30:BA38"/>
    <mergeCell ref="CU30:CU38"/>
    <mergeCell ref="CG32:CH33"/>
    <mergeCell ref="CK32:CL33"/>
    <mergeCell ref="J26:K34"/>
    <mergeCell ref="M26:N34"/>
    <mergeCell ref="P26:Q34"/>
    <mergeCell ref="AB26:AC34"/>
    <mergeCell ref="AS27:BA27"/>
    <mergeCell ref="BE27:BM27"/>
    <mergeCell ref="AR28:BA28"/>
    <mergeCell ref="BD28:BM28"/>
    <mergeCell ref="J24:Q24"/>
    <mergeCell ref="X24:AG24"/>
    <mergeCell ref="BN24:BW24"/>
    <mergeCell ref="AL16:AU16"/>
    <mergeCell ref="CE16:CN16"/>
    <mergeCell ref="CT16:DC16"/>
    <mergeCell ref="AE18:BB18"/>
    <mergeCell ref="AE19:BB19"/>
    <mergeCell ref="CG22:CH30"/>
    <mergeCell ref="CK22:CL30"/>
    <mergeCell ref="CV22:CW30"/>
    <mergeCell ref="CX22:CX30"/>
    <mergeCell ref="CZ22:DA30"/>
    <mergeCell ref="I3:X8"/>
    <mergeCell ref="Y3:CS7"/>
    <mergeCell ref="DN5:DY12"/>
    <mergeCell ref="AM10:AU10"/>
    <mergeCell ref="AL11:AU12"/>
    <mergeCell ref="AM15:AU15"/>
    <mergeCell ref="CF15:CN15"/>
    <mergeCell ref="CU15:DC15"/>
    <mergeCell ref="K23:Q23"/>
    <mergeCell ref="Y23:AG23"/>
    <mergeCell ref="BO23:BW23"/>
  </mergeCells>
  <pageMargins left="0.82677165354330717" right="0.70866141732283472" top="0.74803149606299213" bottom="0.74803149606299213" header="0.31496062992125984" footer="0.31496062992125984"/>
  <pageSetup paperSize="9" scale="36" fitToWidth="0" orientation="landscape" horizontalDpi="4294967293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AD47-0B65-40CD-AE5C-B97A774D5AE5}">
  <sheetPr codeName="Planilha14">
    <tabColor rgb="FF00B0F0"/>
    <pageSetUpPr fitToPage="1"/>
  </sheetPr>
  <dimension ref="D2:UE197"/>
  <sheetViews>
    <sheetView showGridLines="0" topLeftCell="BG48" zoomScaleNormal="100" zoomScaleSheetLayoutView="75" workbookViewId="0">
      <selection activeCell="DR225" sqref="DR225"/>
    </sheetView>
  </sheetViews>
  <sheetFormatPr defaultColWidth="1.7265625" defaultRowHeight="12.75" customHeight="1" x14ac:dyDescent="0.35"/>
  <cols>
    <col min="1" max="3" width="1.7265625" style="754"/>
    <col min="4" max="4" width="1.7265625" style="754" customWidth="1"/>
    <col min="5" max="12" width="1.7265625" style="754"/>
    <col min="13" max="13" width="2.26953125" style="754" customWidth="1"/>
    <col min="14" max="20" width="1.7265625" style="754"/>
    <col min="21" max="21" width="1.7265625" style="754" customWidth="1"/>
    <col min="22" max="31" width="1.7265625" style="754"/>
    <col min="32" max="32" width="4" style="754" customWidth="1"/>
    <col min="33" max="33" width="2.81640625" style="754" customWidth="1"/>
    <col min="34" max="34" width="3.54296875" style="754" customWidth="1"/>
    <col min="35" max="39" width="1.7265625" style="754"/>
    <col min="40" max="40" width="2.1796875" style="754" bestFit="1" customWidth="1"/>
    <col min="41" max="41" width="1.7265625" style="754"/>
    <col min="42" max="42" width="4.81640625" style="754" customWidth="1"/>
    <col min="43" max="43" width="1.7265625" style="754"/>
    <col min="44" max="44" width="4.453125" style="754" customWidth="1"/>
    <col min="45" max="55" width="1.7265625" style="754"/>
    <col min="56" max="56" width="6.1796875" style="754" customWidth="1"/>
    <col min="57" max="57" width="1.7265625" style="754"/>
    <col min="58" max="58" width="3" style="754" customWidth="1"/>
    <col min="59" max="59" width="3.7265625" style="754" bestFit="1" customWidth="1"/>
    <col min="60" max="72" width="1.7265625" style="754"/>
    <col min="73" max="73" width="4.453125" style="754" customWidth="1"/>
    <col min="74" max="75" width="1.7265625" style="754"/>
    <col min="76" max="76" width="4" style="754" bestFit="1" customWidth="1"/>
    <col min="77" max="78" width="1.7265625" style="754"/>
    <col min="79" max="79" width="2.1796875" style="754" bestFit="1" customWidth="1"/>
    <col min="80" max="84" width="1.7265625" style="754"/>
    <col min="85" max="85" width="5" style="754" customWidth="1"/>
    <col min="86" max="86" width="4.54296875" style="754" customWidth="1"/>
    <col min="87" max="87" width="3.1796875" style="754" bestFit="1" customWidth="1"/>
    <col min="88" max="99" width="1.7265625" style="754"/>
    <col min="100" max="100" width="3.7265625" style="754" customWidth="1"/>
    <col min="101" max="105" width="1.7265625" style="754"/>
    <col min="106" max="106" width="2.26953125" style="754" bestFit="1" customWidth="1"/>
    <col min="107" max="109" width="1.7265625" style="754"/>
    <col min="110" max="110" width="3.81640625" style="754" customWidth="1"/>
    <col min="111" max="111" width="2.1796875" style="754" bestFit="1" customWidth="1"/>
    <col min="112" max="116" width="1.7265625" style="754"/>
    <col min="117" max="117" width="4.26953125" style="754" customWidth="1"/>
    <col min="118" max="123" width="1.7265625" style="754"/>
    <col min="124" max="124" width="3.7265625" style="754" customWidth="1"/>
    <col min="125" max="125" width="2.7265625" style="754" customWidth="1"/>
    <col min="126" max="126" width="4" style="754" bestFit="1" customWidth="1"/>
    <col min="127" max="135" width="1.7265625" style="754"/>
    <col min="136" max="136" width="3" style="754" bestFit="1" customWidth="1"/>
    <col min="137" max="139" width="1.7265625" style="754"/>
    <col min="140" max="140" width="3" style="754" bestFit="1" customWidth="1"/>
    <col min="141" max="144" width="1.7265625" style="754"/>
    <col min="145" max="145" width="1.81640625" style="754" customWidth="1"/>
    <col min="146" max="148" width="1.7265625" style="754"/>
    <col min="149" max="149" width="3.7265625" style="754" bestFit="1" customWidth="1"/>
    <col min="150" max="151" width="1.7265625" style="754"/>
    <col min="152" max="152" width="2.453125" style="754" customWidth="1"/>
    <col min="153" max="157" width="1.7265625" style="754"/>
    <col min="158" max="158" width="4.26953125" style="754" bestFit="1" customWidth="1"/>
    <col min="159" max="165" width="1.7265625" style="754"/>
    <col min="166" max="166" width="3.81640625" style="754" bestFit="1" customWidth="1"/>
    <col min="167" max="170" width="1.7265625" style="754"/>
    <col min="171" max="171" width="3.7265625" style="754" bestFit="1" customWidth="1"/>
    <col min="172" max="178" width="1.7265625" style="754"/>
    <col min="179" max="179" width="3.26953125" style="754" bestFit="1" customWidth="1"/>
    <col min="180" max="183" width="1.7265625" style="754"/>
    <col min="184" max="184" width="2" style="754" customWidth="1"/>
    <col min="185" max="185" width="2.453125" style="754" customWidth="1"/>
    <col min="186" max="189" width="1.7265625" style="754"/>
    <col min="190" max="190" width="4" style="754" bestFit="1" customWidth="1"/>
    <col min="191" max="198" width="1.7265625" style="754"/>
    <col min="199" max="199" width="3.81640625" style="754" bestFit="1" customWidth="1"/>
    <col min="200" max="200" width="3.54296875" style="754" bestFit="1" customWidth="1"/>
    <col min="201" max="208" width="1.7265625" style="754"/>
    <col min="209" max="209" width="4.54296875" style="754" customWidth="1"/>
    <col min="210" max="210" width="1.7265625" style="754"/>
    <col min="211" max="211" width="4.453125" style="754" bestFit="1" customWidth="1"/>
    <col min="212" max="214" width="1.7265625" style="754"/>
    <col min="215" max="215" width="1.7265625" style="754" customWidth="1"/>
    <col min="216" max="223" width="1.7265625" style="754"/>
    <col min="224" max="224" width="4.81640625" style="754" customWidth="1"/>
    <col min="225" max="230" width="1.7265625" style="754"/>
    <col min="231" max="231" width="1.81640625" style="754" bestFit="1" customWidth="1"/>
    <col min="232" max="235" width="1.7265625" style="754"/>
    <col min="236" max="236" width="3.81640625" style="754" bestFit="1" customWidth="1"/>
    <col min="237" max="237" width="2.1796875" style="754" customWidth="1"/>
    <col min="238" max="241" width="1.7265625" style="754"/>
    <col min="242" max="242" width="1.81640625" style="754" bestFit="1" customWidth="1"/>
    <col min="243" max="249" width="1.7265625" style="754"/>
    <col min="250" max="250" width="2.1796875" style="754" customWidth="1"/>
    <col min="251" max="252" width="1.7265625" style="754"/>
    <col min="253" max="253" width="3.54296875" style="754" customWidth="1"/>
    <col min="254" max="256" width="1.7265625" style="754"/>
    <col min="257" max="257" width="3" style="754" bestFit="1" customWidth="1"/>
    <col min="258" max="261" width="1.7265625" style="754"/>
    <col min="262" max="262" width="2.1796875" style="754" customWidth="1"/>
    <col min="263" max="263" width="4.26953125" style="754" customWidth="1"/>
    <col min="264" max="267" width="1.7265625" style="754"/>
    <col min="268" max="268" width="3" style="754" bestFit="1" customWidth="1"/>
    <col min="269" max="274" width="1.7265625" style="754"/>
    <col min="275" max="275" width="4.54296875" style="754" bestFit="1" customWidth="1"/>
    <col min="276" max="278" width="1.7265625" style="754"/>
    <col min="279" max="279" width="3.1796875" style="754" customWidth="1"/>
    <col min="280" max="283" width="1.7265625" style="754"/>
    <col min="284" max="284" width="2.453125" style="754" bestFit="1" customWidth="1"/>
    <col min="285" max="287" width="1.7265625" style="754"/>
    <col min="288" max="288" width="1.7265625" style="754" customWidth="1"/>
    <col min="289" max="289" width="3" style="754" bestFit="1" customWidth="1"/>
    <col min="290" max="290" width="1.7265625" style="754"/>
    <col min="291" max="291" width="4.26953125" style="754" bestFit="1" customWidth="1"/>
    <col min="292" max="295" width="1.7265625" style="754"/>
    <col min="296" max="296" width="4" style="754" bestFit="1" customWidth="1"/>
    <col min="297" max="297" width="2.54296875" style="754" bestFit="1" customWidth="1"/>
    <col min="298" max="298" width="1.7265625" style="754"/>
    <col min="299" max="299" width="3.1796875" style="754" bestFit="1" customWidth="1"/>
    <col min="300" max="300" width="1.7265625" style="754"/>
    <col min="301" max="301" width="2.26953125" style="754" customWidth="1"/>
    <col min="302" max="302" width="1.7265625" style="754"/>
    <col min="303" max="303" width="1.81640625" style="754" bestFit="1" customWidth="1"/>
    <col min="304" max="304" width="1.7265625" style="754"/>
    <col min="305" max="305" width="4.26953125" style="754" bestFit="1" customWidth="1"/>
    <col min="306" max="312" width="1.7265625" style="754"/>
    <col min="313" max="313" width="2.81640625" style="754" customWidth="1"/>
    <col min="314" max="315" width="1.7265625" style="754"/>
    <col min="316" max="316" width="2.1796875" style="754" bestFit="1" customWidth="1"/>
    <col min="317" max="336" width="1.7265625" style="754"/>
    <col min="337" max="337" width="1.81640625" style="754" bestFit="1" customWidth="1"/>
    <col min="338" max="345" width="1.7265625" style="754"/>
    <col min="346" max="346" width="6.26953125" style="754" customWidth="1"/>
    <col min="347" max="347" width="5.26953125" style="754" bestFit="1" customWidth="1"/>
    <col min="348" max="348" width="3.26953125" style="754" bestFit="1" customWidth="1"/>
    <col min="349" max="356" width="1.7265625" style="754"/>
    <col min="357" max="357" width="2.81640625" style="754" bestFit="1" customWidth="1"/>
    <col min="358" max="358" width="1.7265625" style="754"/>
    <col min="359" max="359" width="3.1796875" style="754" bestFit="1" customWidth="1"/>
    <col min="360" max="360" width="3.81640625" style="754" bestFit="1" customWidth="1"/>
    <col min="361" max="368" width="1.7265625" style="754"/>
    <col min="369" max="369" width="3.54296875" style="754" customWidth="1"/>
    <col min="370" max="370" width="2.54296875" style="754" customWidth="1"/>
    <col min="371" max="384" width="1.7265625" style="754"/>
    <col min="385" max="385" width="2.1796875" style="754" bestFit="1" customWidth="1"/>
    <col min="386" max="386" width="4.26953125" style="754" bestFit="1" customWidth="1"/>
    <col min="387" max="395" width="1.7265625" style="754"/>
    <col min="396" max="396" width="3.81640625" style="754" bestFit="1" customWidth="1"/>
    <col min="397" max="399" width="1.7265625" style="754"/>
    <col min="400" max="400" width="2.1796875" style="754" bestFit="1" customWidth="1"/>
    <col min="401" max="406" width="1.7265625" style="754"/>
    <col min="407" max="407" width="3" style="754" bestFit="1" customWidth="1"/>
    <col min="408" max="422" width="1.7265625" style="754"/>
    <col min="423" max="423" width="7.81640625" style="754" customWidth="1"/>
    <col min="424" max="424" width="2.54296875" style="754" bestFit="1" customWidth="1"/>
    <col min="425" max="426" width="1.7265625" style="754"/>
    <col min="427" max="427" width="2.26953125" style="754" bestFit="1" customWidth="1"/>
    <col min="428" max="433" width="1.7265625" style="754"/>
    <col min="434" max="434" width="8.26953125" style="754" customWidth="1"/>
    <col min="435" max="435" width="2.26953125" style="754" bestFit="1" customWidth="1"/>
    <col min="436" max="436" width="2.1796875" style="754" customWidth="1"/>
    <col min="437" max="437" width="1.7265625" style="754"/>
    <col min="438" max="445" width="1.7265625" style="754" customWidth="1"/>
    <col min="446" max="446" width="10.81640625" style="754" customWidth="1"/>
    <col min="447" max="447" width="2.1796875" style="754" customWidth="1"/>
    <col min="448" max="456" width="1.7265625" style="754"/>
    <col min="457" max="457" width="4.26953125" style="754" customWidth="1"/>
    <col min="458" max="462" width="1.7265625" style="754"/>
    <col min="463" max="463" width="7.26953125" style="754" customWidth="1"/>
    <col min="464" max="480" width="1.7265625" style="754"/>
    <col min="481" max="481" width="2.1796875" style="754" bestFit="1" customWidth="1"/>
    <col min="482" max="485" width="1.7265625" style="754"/>
    <col min="486" max="486" width="2.1796875" style="754" bestFit="1" customWidth="1"/>
    <col min="487" max="493" width="1.7265625" style="754"/>
    <col min="494" max="494" width="2.54296875" style="754" bestFit="1" customWidth="1"/>
    <col min="495" max="506" width="1.7265625" style="754"/>
    <col min="507" max="507" width="8" style="754" bestFit="1" customWidth="1"/>
    <col min="508" max="511" width="1.7265625" style="754"/>
    <col min="512" max="512" width="3.1796875" style="754" customWidth="1"/>
    <col min="513" max="16384" width="1.7265625" style="754"/>
  </cols>
  <sheetData>
    <row r="2" spans="4:501" ht="12.75" customHeight="1" x14ac:dyDescent="0.35">
      <c r="BI2" s="755"/>
      <c r="BJ2" s="755"/>
      <c r="BK2" s="755"/>
      <c r="BL2" s="755"/>
      <c r="BM2" s="755"/>
      <c r="BN2" s="755"/>
      <c r="BO2" s="755"/>
      <c r="BP2" s="755"/>
      <c r="BQ2" s="755"/>
      <c r="BR2" s="755"/>
    </row>
    <row r="3" spans="4:501" ht="12.75" customHeight="1" x14ac:dyDescent="0.35">
      <c r="BJ3" s="755"/>
      <c r="BK3" s="755"/>
      <c r="BL3" s="755"/>
      <c r="BM3" s="755"/>
      <c r="BN3" s="755"/>
      <c r="BO3" s="755"/>
      <c r="BP3" s="755"/>
      <c r="BQ3" s="755"/>
      <c r="BR3" s="755"/>
      <c r="BS3" s="755"/>
      <c r="EW3" s="1646"/>
      <c r="EX3" s="1646"/>
      <c r="EY3" s="1646"/>
      <c r="EZ3" s="1646"/>
      <c r="FA3" s="1646"/>
    </row>
    <row r="7" spans="4:501" ht="12.75" customHeight="1" thickBot="1" x14ac:dyDescent="0.4">
      <c r="E7" s="756"/>
      <c r="F7" s="756"/>
      <c r="G7" s="756"/>
      <c r="H7" s="756"/>
      <c r="I7" s="756"/>
      <c r="J7" s="756"/>
      <c r="K7" s="757"/>
      <c r="L7" s="757"/>
      <c r="M7" s="757"/>
      <c r="N7" s="757"/>
      <c r="O7" s="757"/>
      <c r="P7" s="757"/>
      <c r="Q7" s="757"/>
      <c r="R7" s="757"/>
      <c r="S7" s="757"/>
      <c r="T7" s="756"/>
      <c r="U7" s="756"/>
      <c r="V7" s="756"/>
      <c r="W7" s="756"/>
      <c r="X7" s="756"/>
      <c r="Y7" s="756"/>
      <c r="Z7" s="756"/>
      <c r="AA7" s="756"/>
      <c r="AB7" s="756"/>
      <c r="AC7" s="756"/>
      <c r="AD7" s="756"/>
      <c r="AE7" s="756"/>
      <c r="AF7" s="756"/>
      <c r="AG7" s="756"/>
      <c r="AH7" s="756"/>
      <c r="AI7" s="756"/>
      <c r="AJ7" s="756"/>
      <c r="AK7" s="756"/>
      <c r="AL7" s="756"/>
      <c r="AM7" s="756"/>
      <c r="AN7" s="756"/>
      <c r="AO7" s="756"/>
      <c r="AP7" s="756"/>
      <c r="AQ7" s="756"/>
      <c r="AR7" s="756"/>
      <c r="AS7" s="756"/>
      <c r="AT7" s="756"/>
      <c r="AU7" s="756"/>
      <c r="AV7" s="756"/>
      <c r="AW7" s="756"/>
      <c r="AX7" s="756"/>
      <c r="AY7" s="756"/>
      <c r="AZ7" s="756"/>
      <c r="BA7" s="756"/>
      <c r="BB7" s="756"/>
      <c r="BC7" s="756"/>
      <c r="BD7" s="756"/>
      <c r="BE7" s="756"/>
      <c r="BF7" s="756"/>
      <c r="BG7" s="756"/>
      <c r="BH7" s="756"/>
      <c r="BI7" s="756"/>
      <c r="BJ7" s="756"/>
      <c r="BK7" s="757"/>
      <c r="BL7" s="757"/>
      <c r="BM7" s="757"/>
      <c r="BN7" s="757"/>
      <c r="BO7" s="756"/>
      <c r="BP7" s="756"/>
      <c r="BQ7" s="756"/>
      <c r="BR7" s="756"/>
      <c r="BS7" s="756"/>
      <c r="BT7" s="756"/>
      <c r="BU7" s="756"/>
      <c r="BV7" s="756"/>
      <c r="BW7" s="756"/>
      <c r="BX7" s="756"/>
      <c r="BY7" s="756"/>
      <c r="BZ7" s="756"/>
      <c r="CA7" s="756"/>
      <c r="CB7" s="756"/>
      <c r="CC7" s="756"/>
      <c r="CD7" s="756"/>
      <c r="CE7" s="756"/>
      <c r="CF7" s="756"/>
      <c r="CG7" s="756"/>
      <c r="CH7" s="756"/>
      <c r="CI7" s="756"/>
      <c r="CJ7" s="756"/>
      <c r="CK7" s="756"/>
      <c r="CL7" s="756"/>
      <c r="CM7" s="756"/>
      <c r="CN7" s="756"/>
      <c r="CO7" s="756"/>
      <c r="CP7" s="756"/>
      <c r="CQ7" s="756"/>
      <c r="CR7" s="756"/>
      <c r="CS7" s="756"/>
      <c r="CT7" s="756"/>
      <c r="CU7" s="756"/>
      <c r="CV7" s="756"/>
      <c r="CW7" s="756"/>
      <c r="CX7" s="756"/>
      <c r="CY7" s="756"/>
      <c r="CZ7" s="756"/>
      <c r="DA7" s="756"/>
      <c r="DB7" s="756"/>
      <c r="DC7" s="756"/>
      <c r="DD7" s="756"/>
      <c r="DE7" s="756"/>
      <c r="DF7" s="756"/>
      <c r="DG7" s="756"/>
      <c r="DH7" s="756"/>
      <c r="DI7" s="756"/>
      <c r="DJ7" s="756"/>
      <c r="DK7" s="756"/>
      <c r="DL7" s="756"/>
      <c r="DM7" s="756"/>
      <c r="DN7" s="756"/>
      <c r="DO7" s="756"/>
      <c r="DP7" s="756"/>
      <c r="DQ7" s="756"/>
      <c r="DR7" s="756"/>
      <c r="DS7" s="756"/>
      <c r="DT7" s="756"/>
      <c r="DU7" s="756"/>
      <c r="DV7" s="756"/>
      <c r="DW7" s="756"/>
      <c r="DX7" s="756"/>
      <c r="DY7" s="756"/>
      <c r="DZ7" s="756"/>
      <c r="EA7" s="756"/>
      <c r="EB7" s="756"/>
      <c r="EC7" s="756"/>
      <c r="ED7" s="756"/>
      <c r="EE7" s="756"/>
      <c r="EF7" s="756"/>
      <c r="EG7" s="756"/>
      <c r="EH7" s="756"/>
      <c r="EI7" s="756"/>
      <c r="EJ7" s="756"/>
      <c r="EK7" s="756"/>
      <c r="EL7" s="756"/>
      <c r="EM7" s="756"/>
      <c r="EN7" s="756"/>
      <c r="EO7" s="756"/>
      <c r="EP7" s="756"/>
      <c r="EQ7" s="756"/>
      <c r="ER7" s="756"/>
      <c r="ES7" s="756"/>
      <c r="ET7" s="756"/>
      <c r="EU7" s="756"/>
      <c r="EV7" s="756"/>
      <c r="EW7" s="756"/>
      <c r="EX7" s="756"/>
      <c r="EY7" s="756"/>
      <c r="EZ7" s="756"/>
      <c r="FA7" s="756"/>
      <c r="FB7" s="756"/>
      <c r="FC7" s="756"/>
      <c r="FD7" s="756"/>
      <c r="FE7" s="756"/>
      <c r="FF7" s="756"/>
      <c r="FG7" s="756"/>
      <c r="FH7" s="756"/>
      <c r="FI7" s="756"/>
      <c r="FJ7" s="756"/>
      <c r="FK7" s="756"/>
      <c r="FL7" s="756"/>
      <c r="FM7" s="756"/>
      <c r="FN7" s="756"/>
      <c r="FO7" s="756"/>
      <c r="FP7" s="756"/>
      <c r="FQ7" s="756"/>
      <c r="FR7" s="756"/>
      <c r="FS7" s="756"/>
      <c r="FT7" s="756"/>
      <c r="FU7" s="756"/>
      <c r="FV7" s="756"/>
      <c r="FW7" s="756"/>
      <c r="FX7" s="756"/>
      <c r="FY7" s="756"/>
      <c r="FZ7" s="756"/>
      <c r="GA7" s="756"/>
      <c r="GB7" s="756"/>
      <c r="GC7" s="756"/>
      <c r="GD7" s="756"/>
      <c r="GE7" s="756"/>
      <c r="GF7" s="756"/>
      <c r="GG7" s="756"/>
      <c r="GH7" s="756"/>
      <c r="GI7" s="756"/>
      <c r="GJ7" s="756"/>
      <c r="GK7" s="756"/>
      <c r="GL7" s="756"/>
      <c r="GM7" s="756"/>
      <c r="GN7" s="756"/>
      <c r="GO7" s="756"/>
      <c r="GP7" s="756"/>
      <c r="GQ7" s="756"/>
      <c r="GR7" s="756"/>
      <c r="GS7" s="756"/>
      <c r="GT7" s="756"/>
      <c r="GU7" s="756"/>
      <c r="GV7" s="756"/>
      <c r="GW7" s="756"/>
      <c r="GX7" s="756"/>
      <c r="GY7" s="756"/>
      <c r="GZ7" s="756"/>
      <c r="HA7" s="756"/>
      <c r="HB7" s="756"/>
      <c r="HC7" s="756"/>
      <c r="HD7" s="756"/>
      <c r="HE7" s="756"/>
      <c r="HF7" s="756"/>
      <c r="HG7" s="756"/>
      <c r="HH7" s="756"/>
      <c r="HI7" s="756"/>
      <c r="HJ7" s="756"/>
      <c r="HK7" s="756"/>
      <c r="HL7" s="756"/>
      <c r="HM7" s="756"/>
      <c r="HN7" s="756"/>
      <c r="HO7" s="756"/>
      <c r="HP7" s="756"/>
      <c r="HQ7" s="756"/>
      <c r="HR7" s="756"/>
      <c r="HS7" s="756"/>
      <c r="HT7" s="756"/>
      <c r="HU7" s="756"/>
      <c r="HV7" s="756"/>
      <c r="HW7" s="756"/>
      <c r="HX7" s="756"/>
      <c r="HY7" s="756"/>
      <c r="HZ7" s="756"/>
      <c r="IA7" s="756"/>
      <c r="IB7" s="756"/>
      <c r="IC7" s="756"/>
      <c r="ID7" s="756"/>
      <c r="IE7" s="756"/>
      <c r="IF7" s="756"/>
      <c r="IG7" s="756"/>
      <c r="IH7" s="756"/>
      <c r="II7" s="756"/>
      <c r="IJ7" s="756"/>
      <c r="IK7" s="756"/>
      <c r="IL7" s="756"/>
      <c r="IM7" s="756"/>
      <c r="IN7" s="756"/>
      <c r="IO7" s="756"/>
      <c r="IP7" s="756"/>
      <c r="IQ7" s="756"/>
      <c r="IR7" s="756"/>
      <c r="IS7" s="756"/>
      <c r="IT7" s="756"/>
      <c r="IU7" s="756"/>
      <c r="IV7" s="756"/>
      <c r="IW7" s="756"/>
      <c r="IX7" s="756"/>
      <c r="IY7" s="756"/>
      <c r="IZ7" s="756"/>
      <c r="JA7" s="756"/>
      <c r="JB7" s="756"/>
      <c r="JC7" s="756"/>
      <c r="JD7" s="756"/>
      <c r="JE7" s="756"/>
      <c r="JF7" s="756"/>
      <c r="JG7" s="756"/>
      <c r="JH7" s="756"/>
      <c r="JI7" s="756"/>
      <c r="JJ7" s="756"/>
      <c r="JK7" s="756"/>
      <c r="JL7" s="756"/>
      <c r="JM7" s="756"/>
      <c r="JN7" s="756"/>
      <c r="JO7" s="756"/>
      <c r="JP7" s="756"/>
      <c r="JQ7" s="756"/>
      <c r="JR7" s="756"/>
      <c r="JS7" s="756"/>
      <c r="JT7" s="756"/>
      <c r="JU7" s="756"/>
      <c r="JV7" s="756"/>
      <c r="JW7" s="756"/>
      <c r="JX7" s="756"/>
      <c r="JY7" s="756"/>
      <c r="JZ7" s="756"/>
      <c r="KA7" s="756"/>
      <c r="KB7" s="756"/>
      <c r="KC7" s="756"/>
      <c r="KD7" s="756"/>
      <c r="KE7" s="756"/>
      <c r="KF7" s="756"/>
      <c r="KG7" s="756"/>
      <c r="KH7" s="756"/>
      <c r="KI7" s="756"/>
      <c r="KJ7" s="756"/>
      <c r="KK7" s="756"/>
      <c r="KL7" s="756"/>
      <c r="KM7" s="756"/>
      <c r="KN7" s="756"/>
      <c r="KO7" s="756"/>
      <c r="KP7" s="756"/>
      <c r="KQ7" s="756"/>
      <c r="KR7" s="756"/>
      <c r="KS7" s="756"/>
      <c r="KT7" s="756"/>
      <c r="KU7" s="756"/>
      <c r="KV7" s="756"/>
      <c r="KW7" s="756"/>
      <c r="KX7" s="756"/>
      <c r="KY7" s="756"/>
      <c r="KZ7" s="756"/>
      <c r="LA7" s="756"/>
      <c r="LB7" s="756"/>
      <c r="LC7" s="756"/>
      <c r="LD7" s="756"/>
      <c r="LE7" s="756"/>
      <c r="LF7" s="756"/>
      <c r="LG7" s="756"/>
      <c r="LH7" s="756"/>
      <c r="LI7" s="756"/>
      <c r="LJ7" s="756"/>
      <c r="LK7" s="756"/>
      <c r="LL7" s="756"/>
      <c r="LM7" s="756"/>
      <c r="LN7" s="756"/>
      <c r="LO7" s="756"/>
      <c r="LP7" s="756"/>
      <c r="LQ7" s="756"/>
      <c r="LR7" s="756"/>
      <c r="LS7" s="756"/>
      <c r="LT7" s="756"/>
      <c r="LU7" s="756"/>
      <c r="LV7" s="756"/>
      <c r="LW7" s="756"/>
      <c r="LX7" s="756"/>
      <c r="LY7" s="756"/>
      <c r="LZ7" s="756"/>
      <c r="MA7" s="756"/>
      <c r="MB7" s="756"/>
      <c r="MC7" s="756"/>
      <c r="MD7" s="756"/>
      <c r="ME7" s="756"/>
      <c r="MF7" s="756"/>
      <c r="MG7" s="756"/>
      <c r="MH7" s="756"/>
      <c r="MI7" s="756"/>
      <c r="MJ7" s="756"/>
      <c r="MK7" s="756"/>
      <c r="ML7" s="756"/>
      <c r="MM7" s="756"/>
      <c r="MN7" s="756"/>
      <c r="MO7" s="756"/>
      <c r="MP7" s="756"/>
      <c r="MQ7" s="756"/>
      <c r="MR7" s="756"/>
      <c r="MS7" s="756"/>
      <c r="MT7" s="756"/>
      <c r="MU7" s="756"/>
      <c r="MV7" s="756"/>
      <c r="MW7" s="756"/>
      <c r="MX7" s="756"/>
      <c r="MY7" s="756"/>
      <c r="MZ7" s="756"/>
      <c r="NA7" s="756"/>
      <c r="NB7" s="756"/>
      <c r="NC7" s="756"/>
      <c r="ND7" s="756"/>
      <c r="NE7" s="756"/>
      <c r="NF7" s="756"/>
      <c r="NG7" s="756"/>
      <c r="NH7" s="756"/>
      <c r="NI7" s="756"/>
      <c r="NJ7" s="756"/>
      <c r="NK7" s="756"/>
      <c r="NL7" s="756"/>
      <c r="NM7" s="756"/>
      <c r="NN7" s="756"/>
      <c r="NO7" s="756"/>
      <c r="NP7" s="756"/>
      <c r="NQ7" s="756"/>
      <c r="NR7" s="756"/>
      <c r="NS7" s="756"/>
      <c r="NT7" s="756"/>
      <c r="NU7" s="756"/>
      <c r="NV7" s="756"/>
      <c r="NW7" s="756"/>
      <c r="NX7" s="756"/>
      <c r="NY7" s="756"/>
      <c r="NZ7" s="756"/>
      <c r="OA7" s="756"/>
      <c r="OB7" s="756"/>
      <c r="OC7" s="756"/>
      <c r="OD7" s="756"/>
      <c r="OE7" s="756"/>
      <c r="OF7" s="756"/>
      <c r="OG7" s="756"/>
      <c r="OH7" s="756"/>
      <c r="OI7" s="756"/>
      <c r="OJ7" s="756"/>
      <c r="OK7" s="756"/>
      <c r="OL7" s="756"/>
      <c r="OM7" s="756"/>
      <c r="ON7" s="756"/>
      <c r="OO7" s="756"/>
      <c r="OP7" s="756"/>
      <c r="OQ7" s="756"/>
      <c r="OR7" s="756"/>
      <c r="OS7" s="756"/>
      <c r="OT7" s="756"/>
      <c r="OU7" s="756"/>
      <c r="OV7" s="756"/>
      <c r="OW7" s="756"/>
      <c r="OX7" s="756"/>
      <c r="OY7" s="756"/>
      <c r="OZ7" s="756"/>
      <c r="PA7" s="756"/>
      <c r="PB7" s="756"/>
      <c r="PC7" s="756"/>
      <c r="PD7" s="756"/>
      <c r="PE7" s="756"/>
      <c r="PF7" s="756"/>
      <c r="PG7" s="756"/>
      <c r="PH7" s="756"/>
      <c r="PI7" s="756"/>
      <c r="PJ7" s="756"/>
      <c r="PK7" s="756"/>
      <c r="PL7" s="756"/>
      <c r="PM7" s="756"/>
      <c r="PN7" s="756"/>
      <c r="PO7" s="756"/>
      <c r="PP7" s="756"/>
      <c r="PQ7" s="756"/>
      <c r="PR7" s="756"/>
      <c r="PS7" s="756"/>
      <c r="PT7" s="756"/>
      <c r="PU7" s="756"/>
      <c r="PV7" s="756"/>
      <c r="PW7" s="756"/>
      <c r="PX7" s="756"/>
      <c r="PY7" s="756"/>
      <c r="PZ7" s="756"/>
      <c r="QA7" s="756"/>
      <c r="QB7" s="756"/>
      <c r="QC7" s="756"/>
      <c r="QD7" s="756"/>
      <c r="QE7" s="756"/>
      <c r="QF7" s="756"/>
      <c r="QG7" s="756"/>
      <c r="QH7" s="756"/>
      <c r="QI7" s="756"/>
      <c r="QJ7" s="756"/>
      <c r="QK7" s="756"/>
      <c r="QL7" s="756"/>
      <c r="QM7" s="756"/>
      <c r="QN7" s="756"/>
      <c r="QO7" s="756"/>
      <c r="QP7" s="756"/>
      <c r="QQ7" s="756"/>
      <c r="QR7" s="756"/>
      <c r="QS7" s="756"/>
    </row>
    <row r="8" spans="4:501" ht="12.75" customHeight="1" x14ac:dyDescent="0.35">
      <c r="D8" s="758"/>
      <c r="K8" s="755"/>
      <c r="L8" s="755"/>
      <c r="M8" s="755"/>
      <c r="N8" s="755"/>
      <c r="O8" s="755"/>
      <c r="P8" s="755"/>
      <c r="Q8" s="755"/>
      <c r="R8" s="755"/>
      <c r="S8" s="755"/>
      <c r="T8" s="755"/>
      <c r="U8" s="755"/>
      <c r="V8" s="755"/>
      <c r="BK8" s="755"/>
      <c r="BL8" s="755"/>
      <c r="BM8" s="755"/>
      <c r="BN8" s="755"/>
      <c r="QT8" s="1647" t="s">
        <v>4837</v>
      </c>
      <c r="QU8" s="1647"/>
      <c r="QV8" s="1647"/>
      <c r="QW8" s="1647"/>
      <c r="QX8" s="1647"/>
      <c r="QY8" s="1647"/>
      <c r="QZ8" s="1647"/>
      <c r="RA8" s="1647"/>
      <c r="RB8" s="1647"/>
      <c r="RC8" s="1647"/>
      <c r="RD8" s="1647"/>
      <c r="RE8" s="1647"/>
      <c r="RF8" s="1647"/>
      <c r="RG8" s="1647"/>
      <c r="RH8" s="1647"/>
      <c r="RI8" s="1647"/>
      <c r="RJ8" s="1647"/>
      <c r="RK8" s="1647"/>
      <c r="RL8" s="1647"/>
      <c r="RM8" s="1647"/>
      <c r="RN8" s="1647"/>
      <c r="RO8" s="1647"/>
      <c r="RP8" s="1647"/>
      <c r="RQ8" s="1647"/>
      <c r="RR8" s="1647"/>
      <c r="RS8" s="1647"/>
      <c r="RT8" s="1647"/>
      <c r="RU8" s="1647"/>
      <c r="RV8" s="1647"/>
      <c r="RW8" s="1647"/>
      <c r="RX8" s="1647"/>
      <c r="RY8" s="1647"/>
      <c r="RZ8" s="1647"/>
      <c r="SA8" s="1647"/>
      <c r="SB8" s="1647"/>
      <c r="SC8" s="1647"/>
      <c r="SD8" s="1647"/>
      <c r="SE8" s="1647"/>
      <c r="SF8" s="1647"/>
      <c r="SG8" s="1648"/>
    </row>
    <row r="9" spans="4:501" ht="12.75" customHeight="1" x14ac:dyDescent="0.35">
      <c r="D9" s="758"/>
      <c r="K9" s="755"/>
      <c r="L9" s="755"/>
      <c r="M9" s="755"/>
      <c r="N9" s="755"/>
      <c r="O9" s="755"/>
      <c r="P9" s="755"/>
      <c r="Q9" s="755"/>
      <c r="R9" s="755"/>
      <c r="S9" s="755"/>
      <c r="BK9" s="755"/>
      <c r="BL9" s="755"/>
      <c r="BM9" s="755"/>
      <c r="BN9" s="755"/>
      <c r="QT9" s="1649"/>
      <c r="QU9" s="1649"/>
      <c r="QV9" s="1649"/>
      <c r="QW9" s="1649"/>
      <c r="QX9" s="1649"/>
      <c r="QY9" s="1649"/>
      <c r="QZ9" s="1649"/>
      <c r="RA9" s="1649"/>
      <c r="RB9" s="1649"/>
      <c r="RC9" s="1649"/>
      <c r="RD9" s="1649"/>
      <c r="RE9" s="1649"/>
      <c r="RF9" s="1649"/>
      <c r="RG9" s="1649"/>
      <c r="RH9" s="1649"/>
      <c r="RI9" s="1649"/>
      <c r="RJ9" s="1649"/>
      <c r="RK9" s="1649"/>
      <c r="RL9" s="1649"/>
      <c r="RM9" s="1649"/>
      <c r="RN9" s="1649"/>
      <c r="RO9" s="1649"/>
      <c r="RP9" s="1649"/>
      <c r="RQ9" s="1649"/>
      <c r="RR9" s="1649"/>
      <c r="RS9" s="1649"/>
      <c r="RT9" s="1649"/>
      <c r="RU9" s="1649"/>
      <c r="RV9" s="1649"/>
      <c r="RW9" s="1649"/>
      <c r="RX9" s="1649"/>
      <c r="RY9" s="1649"/>
      <c r="RZ9" s="1649"/>
      <c r="SA9" s="1649"/>
      <c r="SB9" s="1649"/>
      <c r="SC9" s="1649"/>
      <c r="SD9" s="1649"/>
      <c r="SE9" s="1649"/>
      <c r="SF9" s="1649"/>
      <c r="SG9" s="1650"/>
    </row>
    <row r="10" spans="4:501" ht="12.75" customHeight="1" x14ac:dyDescent="0.35">
      <c r="D10" s="758"/>
      <c r="K10" s="755"/>
      <c r="L10" s="755"/>
      <c r="M10" s="755"/>
      <c r="N10" s="755"/>
      <c r="O10" s="755"/>
      <c r="P10" s="755"/>
      <c r="Q10" s="755"/>
      <c r="R10" s="755"/>
      <c r="S10" s="755"/>
      <c r="BK10" s="755"/>
      <c r="BL10" s="755"/>
      <c r="BM10" s="755"/>
      <c r="BN10" s="755"/>
      <c r="EN10" s="1651" t="s">
        <v>5010</v>
      </c>
      <c r="EO10" s="1651"/>
      <c r="EP10" s="1651"/>
      <c r="EQ10" s="1651"/>
      <c r="ER10" s="1651"/>
      <c r="ES10" s="1651"/>
      <c r="ET10" s="1651"/>
      <c r="EU10" s="1651"/>
      <c r="EV10" s="1651"/>
      <c r="EW10" s="1651"/>
      <c r="EX10" s="1651"/>
      <c r="EY10" s="1651"/>
      <c r="EZ10" s="1651"/>
      <c r="FA10" s="1651"/>
      <c r="FB10" s="1651"/>
      <c r="FC10" s="1651"/>
      <c r="FD10" s="1651"/>
      <c r="FE10" s="1651"/>
      <c r="FF10" s="1651"/>
      <c r="FG10" s="1651"/>
      <c r="FH10" s="1651"/>
      <c r="FI10" s="1651"/>
      <c r="FJ10" s="1651"/>
      <c r="FK10" s="1651"/>
      <c r="FL10" s="1651"/>
      <c r="FM10" s="1651"/>
      <c r="FN10" s="1651"/>
      <c r="FO10" s="1651"/>
      <c r="FP10" s="1651"/>
      <c r="FQ10" s="1651"/>
      <c r="FR10" s="1651"/>
      <c r="FS10" s="1651"/>
      <c r="FT10" s="1651"/>
      <c r="FU10" s="1651"/>
      <c r="FV10" s="1651"/>
      <c r="FW10" s="1651"/>
      <c r="FX10" s="1651"/>
      <c r="FY10" s="1651"/>
      <c r="FZ10" s="1651"/>
      <c r="GA10" s="1651"/>
      <c r="GB10" s="1651"/>
      <c r="GC10" s="1651"/>
      <c r="GD10" s="1651"/>
      <c r="GE10" s="1651"/>
      <c r="GF10" s="1651"/>
      <c r="GG10" s="1651"/>
      <c r="GH10" s="1651"/>
      <c r="GI10" s="1651"/>
      <c r="GJ10" s="1651"/>
      <c r="GK10" s="1651"/>
      <c r="GL10" s="1651"/>
      <c r="GM10" s="1651"/>
      <c r="GN10" s="1651"/>
      <c r="GO10" s="1651"/>
      <c r="GP10" s="1651"/>
      <c r="GQ10" s="1651"/>
      <c r="GR10" s="1651"/>
      <c r="GS10" s="1651"/>
      <c r="GT10" s="1651"/>
      <c r="GU10" s="1651"/>
      <c r="GV10" s="1651"/>
      <c r="GW10" s="1651"/>
      <c r="GX10" s="1651"/>
      <c r="GY10" s="1651"/>
      <c r="GZ10" s="1651"/>
      <c r="HA10" s="1651"/>
      <c r="HB10" s="1651"/>
      <c r="HC10" s="1651"/>
      <c r="HD10" s="1651"/>
      <c r="HE10" s="1651"/>
      <c r="HF10" s="1651"/>
      <c r="HG10" s="1651"/>
      <c r="HH10" s="1651"/>
      <c r="HI10" s="1651"/>
      <c r="HJ10" s="1651"/>
      <c r="HK10" s="1651"/>
      <c r="HL10" s="1651"/>
      <c r="HM10" s="1651"/>
      <c r="HN10" s="1651"/>
      <c r="HO10" s="1651"/>
      <c r="HP10" s="1651"/>
      <c r="HQ10" s="1651"/>
      <c r="HR10" s="1651"/>
      <c r="HS10" s="1651"/>
      <c r="HT10" s="1651"/>
      <c r="HU10" s="1651"/>
      <c r="HV10" s="1651"/>
      <c r="HW10" s="1651"/>
      <c r="HX10" s="1651"/>
      <c r="HY10" s="1651"/>
      <c r="HZ10" s="1651"/>
      <c r="IA10" s="1651"/>
      <c r="IB10" s="1651"/>
      <c r="IC10" s="1651"/>
      <c r="ID10" s="1651"/>
      <c r="IE10" s="1651"/>
      <c r="IF10" s="1651"/>
      <c r="IG10" s="1651"/>
      <c r="IH10" s="1651"/>
      <c r="II10" s="1651"/>
      <c r="IJ10" s="1651"/>
      <c r="IK10" s="1651"/>
      <c r="IL10" s="1651"/>
      <c r="IM10" s="1651"/>
      <c r="IN10" s="1651"/>
      <c r="IO10" s="1651"/>
      <c r="IP10" s="1651"/>
      <c r="IQ10" s="1651"/>
      <c r="IR10" s="1651"/>
      <c r="IS10" s="1651"/>
      <c r="IT10" s="1651"/>
      <c r="IU10" s="1651"/>
      <c r="IV10" s="1651"/>
      <c r="IW10" s="1651"/>
      <c r="IX10" s="1651"/>
      <c r="IY10" s="1651"/>
      <c r="IZ10" s="1651"/>
      <c r="JA10" s="1651"/>
      <c r="JB10" s="1651"/>
      <c r="JC10" s="1651"/>
      <c r="JD10" s="1651"/>
      <c r="JE10" s="1651"/>
      <c r="JF10" s="1651"/>
      <c r="JG10" s="1651"/>
      <c r="JH10" s="1651"/>
      <c r="JI10" s="1651"/>
      <c r="QT10" s="1649"/>
      <c r="QU10" s="1649"/>
      <c r="QV10" s="1649"/>
      <c r="QW10" s="1649"/>
      <c r="QX10" s="1649"/>
      <c r="QY10" s="1649"/>
      <c r="QZ10" s="1649"/>
      <c r="RA10" s="1649"/>
      <c r="RB10" s="1649"/>
      <c r="RC10" s="1649"/>
      <c r="RD10" s="1649"/>
      <c r="RE10" s="1649"/>
      <c r="RF10" s="1649"/>
      <c r="RG10" s="1649"/>
      <c r="RH10" s="1649"/>
      <c r="RI10" s="1649"/>
      <c r="RJ10" s="1649"/>
      <c r="RK10" s="1649"/>
      <c r="RL10" s="1649"/>
      <c r="RM10" s="1649"/>
      <c r="RN10" s="1649"/>
      <c r="RO10" s="1649"/>
      <c r="RP10" s="1649"/>
      <c r="RQ10" s="1649"/>
      <c r="RR10" s="1649"/>
      <c r="RS10" s="1649"/>
      <c r="RT10" s="1649"/>
      <c r="RU10" s="1649"/>
      <c r="RV10" s="1649"/>
      <c r="RW10" s="1649"/>
      <c r="RX10" s="1649"/>
      <c r="RY10" s="1649"/>
      <c r="RZ10" s="1649"/>
      <c r="SA10" s="1649"/>
      <c r="SB10" s="1649"/>
      <c r="SC10" s="1649"/>
      <c r="SD10" s="1649"/>
      <c r="SE10" s="1649"/>
      <c r="SF10" s="1649"/>
      <c r="SG10" s="1650"/>
    </row>
    <row r="11" spans="4:501" ht="12.75" customHeight="1" x14ac:dyDescent="0.35">
      <c r="D11" s="758"/>
      <c r="K11" s="755"/>
      <c r="L11" s="755"/>
      <c r="M11" s="755"/>
      <c r="N11" s="755"/>
      <c r="O11" s="755"/>
      <c r="P11" s="755"/>
      <c r="Q11" s="755"/>
      <c r="R11" s="755"/>
      <c r="S11" s="755"/>
      <c r="BK11" s="755"/>
      <c r="BL11" s="755"/>
      <c r="BM11" s="755"/>
      <c r="BN11" s="755"/>
      <c r="EN11" s="1651"/>
      <c r="EO11" s="1651"/>
      <c r="EP11" s="1651"/>
      <c r="EQ11" s="1651"/>
      <c r="ER11" s="1651"/>
      <c r="ES11" s="1651"/>
      <c r="ET11" s="1651"/>
      <c r="EU11" s="1651"/>
      <c r="EV11" s="1651"/>
      <c r="EW11" s="1651"/>
      <c r="EX11" s="1651"/>
      <c r="EY11" s="1651"/>
      <c r="EZ11" s="1651"/>
      <c r="FA11" s="1651"/>
      <c r="FB11" s="1651"/>
      <c r="FC11" s="1651"/>
      <c r="FD11" s="1651"/>
      <c r="FE11" s="1651"/>
      <c r="FF11" s="1651"/>
      <c r="FG11" s="1651"/>
      <c r="FH11" s="1651"/>
      <c r="FI11" s="1651"/>
      <c r="FJ11" s="1651"/>
      <c r="FK11" s="1651"/>
      <c r="FL11" s="1651"/>
      <c r="FM11" s="1651"/>
      <c r="FN11" s="1651"/>
      <c r="FO11" s="1651"/>
      <c r="FP11" s="1651"/>
      <c r="FQ11" s="1651"/>
      <c r="FR11" s="1651"/>
      <c r="FS11" s="1651"/>
      <c r="FT11" s="1651"/>
      <c r="FU11" s="1651"/>
      <c r="FV11" s="1651"/>
      <c r="FW11" s="1651"/>
      <c r="FX11" s="1651"/>
      <c r="FY11" s="1651"/>
      <c r="FZ11" s="1651"/>
      <c r="GA11" s="1651"/>
      <c r="GB11" s="1651"/>
      <c r="GC11" s="1651"/>
      <c r="GD11" s="1651"/>
      <c r="GE11" s="1651"/>
      <c r="GF11" s="1651"/>
      <c r="GG11" s="1651"/>
      <c r="GH11" s="1651"/>
      <c r="GI11" s="1651"/>
      <c r="GJ11" s="1651"/>
      <c r="GK11" s="1651"/>
      <c r="GL11" s="1651"/>
      <c r="GM11" s="1651"/>
      <c r="GN11" s="1651"/>
      <c r="GO11" s="1651"/>
      <c r="GP11" s="1651"/>
      <c r="GQ11" s="1651"/>
      <c r="GR11" s="1651"/>
      <c r="GS11" s="1651"/>
      <c r="GT11" s="1651"/>
      <c r="GU11" s="1651"/>
      <c r="GV11" s="1651"/>
      <c r="GW11" s="1651"/>
      <c r="GX11" s="1651"/>
      <c r="GY11" s="1651"/>
      <c r="GZ11" s="1651"/>
      <c r="HA11" s="1651"/>
      <c r="HB11" s="1651"/>
      <c r="HC11" s="1651"/>
      <c r="HD11" s="1651"/>
      <c r="HE11" s="1651"/>
      <c r="HF11" s="1651"/>
      <c r="HG11" s="1651"/>
      <c r="HH11" s="1651"/>
      <c r="HI11" s="1651"/>
      <c r="HJ11" s="1651"/>
      <c r="HK11" s="1651"/>
      <c r="HL11" s="1651"/>
      <c r="HM11" s="1651"/>
      <c r="HN11" s="1651"/>
      <c r="HO11" s="1651"/>
      <c r="HP11" s="1651"/>
      <c r="HQ11" s="1651"/>
      <c r="HR11" s="1651"/>
      <c r="HS11" s="1651"/>
      <c r="HT11" s="1651"/>
      <c r="HU11" s="1651"/>
      <c r="HV11" s="1651"/>
      <c r="HW11" s="1651"/>
      <c r="HX11" s="1651"/>
      <c r="HY11" s="1651"/>
      <c r="HZ11" s="1651"/>
      <c r="IA11" s="1651"/>
      <c r="IB11" s="1651"/>
      <c r="IC11" s="1651"/>
      <c r="ID11" s="1651"/>
      <c r="IE11" s="1651"/>
      <c r="IF11" s="1651"/>
      <c r="IG11" s="1651"/>
      <c r="IH11" s="1651"/>
      <c r="II11" s="1651"/>
      <c r="IJ11" s="1651"/>
      <c r="IK11" s="1651"/>
      <c r="IL11" s="1651"/>
      <c r="IM11" s="1651"/>
      <c r="IN11" s="1651"/>
      <c r="IO11" s="1651"/>
      <c r="IP11" s="1651"/>
      <c r="IQ11" s="1651"/>
      <c r="IR11" s="1651"/>
      <c r="IS11" s="1651"/>
      <c r="IT11" s="1651"/>
      <c r="IU11" s="1651"/>
      <c r="IV11" s="1651"/>
      <c r="IW11" s="1651"/>
      <c r="IX11" s="1651"/>
      <c r="IY11" s="1651"/>
      <c r="IZ11" s="1651"/>
      <c r="JA11" s="1651"/>
      <c r="JB11" s="1651"/>
      <c r="JC11" s="1651"/>
      <c r="JD11" s="1651"/>
      <c r="JE11" s="1651"/>
      <c r="JF11" s="1651"/>
      <c r="JG11" s="1651"/>
      <c r="JH11" s="1651"/>
      <c r="JI11" s="1651"/>
      <c r="QT11" s="1649"/>
      <c r="QU11" s="1649"/>
      <c r="QV11" s="1649"/>
      <c r="QW11" s="1649"/>
      <c r="QX11" s="1649"/>
      <c r="QY11" s="1649"/>
      <c r="QZ11" s="1649"/>
      <c r="RA11" s="1649"/>
      <c r="RB11" s="1649"/>
      <c r="RC11" s="1649"/>
      <c r="RD11" s="1649"/>
      <c r="RE11" s="1649"/>
      <c r="RF11" s="1649"/>
      <c r="RG11" s="1649"/>
      <c r="RH11" s="1649"/>
      <c r="RI11" s="1649"/>
      <c r="RJ11" s="1649"/>
      <c r="RK11" s="1649"/>
      <c r="RL11" s="1649"/>
      <c r="RM11" s="1649"/>
      <c r="RN11" s="1649"/>
      <c r="RO11" s="1649"/>
      <c r="RP11" s="1649"/>
      <c r="RQ11" s="1649"/>
      <c r="RR11" s="1649"/>
      <c r="RS11" s="1649"/>
      <c r="RT11" s="1649"/>
      <c r="RU11" s="1649"/>
      <c r="RV11" s="1649"/>
      <c r="RW11" s="1649"/>
      <c r="RX11" s="1649"/>
      <c r="RY11" s="1649"/>
      <c r="RZ11" s="1649"/>
      <c r="SA11" s="1649"/>
      <c r="SB11" s="1649"/>
      <c r="SC11" s="1649"/>
      <c r="SD11" s="1649"/>
      <c r="SE11" s="1649"/>
      <c r="SF11" s="1649"/>
      <c r="SG11" s="1650"/>
    </row>
    <row r="12" spans="4:501" ht="12.75" customHeight="1" x14ac:dyDescent="0.35">
      <c r="D12" s="758"/>
      <c r="K12" s="755"/>
      <c r="L12" s="755"/>
      <c r="M12" s="755"/>
      <c r="N12" s="755"/>
      <c r="O12" s="755"/>
      <c r="P12" s="755"/>
      <c r="Q12" s="755"/>
      <c r="R12" s="755"/>
      <c r="S12" s="755"/>
      <c r="BK12" s="755"/>
      <c r="BL12" s="755"/>
      <c r="BM12" s="755"/>
      <c r="BN12" s="755"/>
      <c r="EN12" s="1651"/>
      <c r="EO12" s="1651"/>
      <c r="EP12" s="1651"/>
      <c r="EQ12" s="1651"/>
      <c r="ER12" s="1651"/>
      <c r="ES12" s="1651"/>
      <c r="ET12" s="1651"/>
      <c r="EU12" s="1651"/>
      <c r="EV12" s="1651"/>
      <c r="EW12" s="1651"/>
      <c r="EX12" s="1651"/>
      <c r="EY12" s="1651"/>
      <c r="EZ12" s="1651"/>
      <c r="FA12" s="1651"/>
      <c r="FB12" s="1651"/>
      <c r="FC12" s="1651"/>
      <c r="FD12" s="1651"/>
      <c r="FE12" s="1651"/>
      <c r="FF12" s="1651"/>
      <c r="FG12" s="1651"/>
      <c r="FH12" s="1651"/>
      <c r="FI12" s="1651"/>
      <c r="FJ12" s="1651"/>
      <c r="FK12" s="1651"/>
      <c r="FL12" s="1651"/>
      <c r="FM12" s="1651"/>
      <c r="FN12" s="1651"/>
      <c r="FO12" s="1651"/>
      <c r="FP12" s="1651"/>
      <c r="FQ12" s="1651"/>
      <c r="FR12" s="1651"/>
      <c r="FS12" s="1651"/>
      <c r="FT12" s="1651"/>
      <c r="FU12" s="1651"/>
      <c r="FV12" s="1651"/>
      <c r="FW12" s="1651"/>
      <c r="FX12" s="1651"/>
      <c r="FY12" s="1651"/>
      <c r="FZ12" s="1651"/>
      <c r="GA12" s="1651"/>
      <c r="GB12" s="1651"/>
      <c r="GC12" s="1651"/>
      <c r="GD12" s="1651"/>
      <c r="GE12" s="1651"/>
      <c r="GF12" s="1651"/>
      <c r="GG12" s="1651"/>
      <c r="GH12" s="1651"/>
      <c r="GI12" s="1651"/>
      <c r="GJ12" s="1651"/>
      <c r="GK12" s="1651"/>
      <c r="GL12" s="1651"/>
      <c r="GM12" s="1651"/>
      <c r="GN12" s="1651"/>
      <c r="GO12" s="1651"/>
      <c r="GP12" s="1651"/>
      <c r="GQ12" s="1651"/>
      <c r="GR12" s="1651"/>
      <c r="GS12" s="1651"/>
      <c r="GT12" s="1651"/>
      <c r="GU12" s="1651"/>
      <c r="GV12" s="1651"/>
      <c r="GW12" s="1651"/>
      <c r="GX12" s="1651"/>
      <c r="GY12" s="1651"/>
      <c r="GZ12" s="1651"/>
      <c r="HA12" s="1651"/>
      <c r="HB12" s="1651"/>
      <c r="HC12" s="1651"/>
      <c r="HD12" s="1651"/>
      <c r="HE12" s="1651"/>
      <c r="HF12" s="1651"/>
      <c r="HG12" s="1651"/>
      <c r="HH12" s="1651"/>
      <c r="HI12" s="1651"/>
      <c r="HJ12" s="1651"/>
      <c r="HK12" s="1651"/>
      <c r="HL12" s="1651"/>
      <c r="HM12" s="1651"/>
      <c r="HN12" s="1651"/>
      <c r="HO12" s="1651"/>
      <c r="HP12" s="1651"/>
      <c r="HQ12" s="1651"/>
      <c r="HR12" s="1651"/>
      <c r="HS12" s="1651"/>
      <c r="HT12" s="1651"/>
      <c r="HU12" s="1651"/>
      <c r="HV12" s="1651"/>
      <c r="HW12" s="1651"/>
      <c r="HX12" s="1651"/>
      <c r="HY12" s="1651"/>
      <c r="HZ12" s="1651"/>
      <c r="IA12" s="1651"/>
      <c r="IB12" s="1651"/>
      <c r="IC12" s="1651"/>
      <c r="ID12" s="1651"/>
      <c r="IE12" s="1651"/>
      <c r="IF12" s="1651"/>
      <c r="IG12" s="1651"/>
      <c r="IH12" s="1651"/>
      <c r="II12" s="1651"/>
      <c r="IJ12" s="1651"/>
      <c r="IK12" s="1651"/>
      <c r="IL12" s="1651"/>
      <c r="IM12" s="1651"/>
      <c r="IN12" s="1651"/>
      <c r="IO12" s="1651"/>
      <c r="IP12" s="1651"/>
      <c r="IQ12" s="1651"/>
      <c r="IR12" s="1651"/>
      <c r="IS12" s="1651"/>
      <c r="IT12" s="1651"/>
      <c r="IU12" s="1651"/>
      <c r="IV12" s="1651"/>
      <c r="IW12" s="1651"/>
      <c r="IX12" s="1651"/>
      <c r="IY12" s="1651"/>
      <c r="IZ12" s="1651"/>
      <c r="JA12" s="1651"/>
      <c r="JB12" s="1651"/>
      <c r="JC12" s="1651"/>
      <c r="JD12" s="1651"/>
      <c r="JE12" s="1651"/>
      <c r="JF12" s="1651"/>
      <c r="JG12" s="1651"/>
      <c r="JH12" s="1651"/>
      <c r="JI12" s="1651"/>
      <c r="QT12" s="1649"/>
      <c r="QU12" s="1649"/>
      <c r="QV12" s="1649"/>
      <c r="QW12" s="1649"/>
      <c r="QX12" s="1649"/>
      <c r="QY12" s="1649"/>
      <c r="QZ12" s="1649"/>
      <c r="RA12" s="1649"/>
      <c r="RB12" s="1649"/>
      <c r="RC12" s="1649"/>
      <c r="RD12" s="1649"/>
      <c r="RE12" s="1649"/>
      <c r="RF12" s="1649"/>
      <c r="RG12" s="1649"/>
      <c r="RH12" s="1649"/>
      <c r="RI12" s="1649"/>
      <c r="RJ12" s="1649"/>
      <c r="RK12" s="1649"/>
      <c r="RL12" s="1649"/>
      <c r="RM12" s="1649"/>
      <c r="RN12" s="1649"/>
      <c r="RO12" s="1649"/>
      <c r="RP12" s="1649"/>
      <c r="RQ12" s="1649"/>
      <c r="RR12" s="1649"/>
      <c r="RS12" s="1649"/>
      <c r="RT12" s="1649"/>
      <c r="RU12" s="1649"/>
      <c r="RV12" s="1649"/>
      <c r="RW12" s="1649"/>
      <c r="RX12" s="1649"/>
      <c r="RY12" s="1649"/>
      <c r="RZ12" s="1649"/>
      <c r="SA12" s="1649"/>
      <c r="SB12" s="1649"/>
      <c r="SC12" s="1649"/>
      <c r="SD12" s="1649"/>
      <c r="SE12" s="1649"/>
      <c r="SF12" s="1649"/>
      <c r="SG12" s="1650"/>
    </row>
    <row r="13" spans="4:501" ht="12.75" customHeight="1" x14ac:dyDescent="0.35">
      <c r="D13" s="758"/>
      <c r="K13" s="755"/>
      <c r="L13" s="755"/>
      <c r="M13" s="755"/>
      <c r="N13" s="755"/>
      <c r="O13" s="755"/>
      <c r="P13" s="755"/>
      <c r="Q13" s="755"/>
      <c r="R13" s="755"/>
      <c r="S13" s="755"/>
      <c r="BK13" s="755"/>
      <c r="BL13" s="755"/>
      <c r="BM13" s="755"/>
      <c r="BN13" s="755"/>
      <c r="EN13" s="1651"/>
      <c r="EO13" s="1651"/>
      <c r="EP13" s="1651"/>
      <c r="EQ13" s="1651"/>
      <c r="ER13" s="1651"/>
      <c r="ES13" s="1651"/>
      <c r="ET13" s="1651"/>
      <c r="EU13" s="1651"/>
      <c r="EV13" s="1651"/>
      <c r="EW13" s="1651"/>
      <c r="EX13" s="1651"/>
      <c r="EY13" s="1651"/>
      <c r="EZ13" s="1651"/>
      <c r="FA13" s="1651"/>
      <c r="FB13" s="1651"/>
      <c r="FC13" s="1651"/>
      <c r="FD13" s="1651"/>
      <c r="FE13" s="1651"/>
      <c r="FF13" s="1651"/>
      <c r="FG13" s="1651"/>
      <c r="FH13" s="1651"/>
      <c r="FI13" s="1651"/>
      <c r="FJ13" s="1651"/>
      <c r="FK13" s="1651"/>
      <c r="FL13" s="1651"/>
      <c r="FM13" s="1651"/>
      <c r="FN13" s="1651"/>
      <c r="FO13" s="1651"/>
      <c r="FP13" s="1651"/>
      <c r="FQ13" s="1651"/>
      <c r="FR13" s="1651"/>
      <c r="FS13" s="1651"/>
      <c r="FT13" s="1651"/>
      <c r="FU13" s="1651"/>
      <c r="FV13" s="1651"/>
      <c r="FW13" s="1651"/>
      <c r="FX13" s="1651"/>
      <c r="FY13" s="1651"/>
      <c r="FZ13" s="1651"/>
      <c r="GA13" s="1651"/>
      <c r="GB13" s="1651"/>
      <c r="GC13" s="1651"/>
      <c r="GD13" s="1651"/>
      <c r="GE13" s="1651"/>
      <c r="GF13" s="1651"/>
      <c r="GG13" s="1651"/>
      <c r="GH13" s="1651"/>
      <c r="GI13" s="1651"/>
      <c r="GJ13" s="1651"/>
      <c r="GK13" s="1651"/>
      <c r="GL13" s="1651"/>
      <c r="GM13" s="1651"/>
      <c r="GN13" s="1651"/>
      <c r="GO13" s="1651"/>
      <c r="GP13" s="1651"/>
      <c r="GQ13" s="1651"/>
      <c r="GR13" s="1651"/>
      <c r="GS13" s="1651"/>
      <c r="GT13" s="1651"/>
      <c r="GU13" s="1651"/>
      <c r="GV13" s="1651"/>
      <c r="GW13" s="1651"/>
      <c r="GX13" s="1651"/>
      <c r="GY13" s="1651"/>
      <c r="GZ13" s="1651"/>
      <c r="HA13" s="1651"/>
      <c r="HB13" s="1651"/>
      <c r="HC13" s="1651"/>
      <c r="HD13" s="1651"/>
      <c r="HE13" s="1651"/>
      <c r="HF13" s="1651"/>
      <c r="HG13" s="1651"/>
      <c r="HH13" s="1651"/>
      <c r="HI13" s="1651"/>
      <c r="HJ13" s="1651"/>
      <c r="HK13" s="1651"/>
      <c r="HL13" s="1651"/>
      <c r="HM13" s="1651"/>
      <c r="HN13" s="1651"/>
      <c r="HO13" s="1651"/>
      <c r="HP13" s="1651"/>
      <c r="HQ13" s="1651"/>
      <c r="HR13" s="1651"/>
      <c r="HS13" s="1651"/>
      <c r="HT13" s="1651"/>
      <c r="HU13" s="1651"/>
      <c r="HV13" s="1651"/>
      <c r="HW13" s="1651"/>
      <c r="HX13" s="1651"/>
      <c r="HY13" s="1651"/>
      <c r="HZ13" s="1651"/>
      <c r="IA13" s="1651"/>
      <c r="IB13" s="1651"/>
      <c r="IC13" s="1651"/>
      <c r="ID13" s="1651"/>
      <c r="IE13" s="1651"/>
      <c r="IF13" s="1651"/>
      <c r="IG13" s="1651"/>
      <c r="IH13" s="1651"/>
      <c r="II13" s="1651"/>
      <c r="IJ13" s="1651"/>
      <c r="IK13" s="1651"/>
      <c r="IL13" s="1651"/>
      <c r="IM13" s="1651"/>
      <c r="IN13" s="1651"/>
      <c r="IO13" s="1651"/>
      <c r="IP13" s="1651"/>
      <c r="IQ13" s="1651"/>
      <c r="IR13" s="1651"/>
      <c r="IS13" s="1651"/>
      <c r="IT13" s="1651"/>
      <c r="IU13" s="1651"/>
      <c r="IV13" s="1651"/>
      <c r="IW13" s="1651"/>
      <c r="IX13" s="1651"/>
      <c r="IY13" s="1651"/>
      <c r="IZ13" s="1651"/>
      <c r="JA13" s="1651"/>
      <c r="JB13" s="1651"/>
      <c r="JC13" s="1651"/>
      <c r="JD13" s="1651"/>
      <c r="JE13" s="1651"/>
      <c r="JF13" s="1651"/>
      <c r="JG13" s="1651"/>
      <c r="JH13" s="1651"/>
      <c r="JI13" s="1651"/>
      <c r="QT13" s="1649"/>
      <c r="QU13" s="1649"/>
      <c r="QV13" s="1649"/>
      <c r="QW13" s="1649"/>
      <c r="QX13" s="1649"/>
      <c r="QY13" s="1649"/>
      <c r="QZ13" s="1649"/>
      <c r="RA13" s="1649"/>
      <c r="RB13" s="1649"/>
      <c r="RC13" s="1649"/>
      <c r="RD13" s="1649"/>
      <c r="RE13" s="1649"/>
      <c r="RF13" s="1649"/>
      <c r="RG13" s="1649"/>
      <c r="RH13" s="1649"/>
      <c r="RI13" s="1649"/>
      <c r="RJ13" s="1649"/>
      <c r="RK13" s="1649"/>
      <c r="RL13" s="1649"/>
      <c r="RM13" s="1649"/>
      <c r="RN13" s="1649"/>
      <c r="RO13" s="1649"/>
      <c r="RP13" s="1649"/>
      <c r="RQ13" s="1649"/>
      <c r="RR13" s="1649"/>
      <c r="RS13" s="1649"/>
      <c r="RT13" s="1649"/>
      <c r="RU13" s="1649"/>
      <c r="RV13" s="1649"/>
      <c r="RW13" s="1649"/>
      <c r="RX13" s="1649"/>
      <c r="RY13" s="1649"/>
      <c r="RZ13" s="1649"/>
      <c r="SA13" s="1649"/>
      <c r="SB13" s="1649"/>
      <c r="SC13" s="1649"/>
      <c r="SD13" s="1649"/>
      <c r="SE13" s="1649"/>
      <c r="SF13" s="1649"/>
      <c r="SG13" s="1650"/>
    </row>
    <row r="14" spans="4:501" ht="12.75" customHeight="1" x14ac:dyDescent="0.35">
      <c r="D14" s="758"/>
      <c r="K14" s="755"/>
      <c r="L14" s="755"/>
      <c r="M14" s="755"/>
      <c r="N14" s="755"/>
      <c r="O14" s="755"/>
      <c r="P14" s="755"/>
      <c r="Q14" s="755"/>
      <c r="R14" s="755"/>
      <c r="S14" s="755"/>
      <c r="BK14" s="755"/>
      <c r="BL14" s="755"/>
      <c r="BM14" s="755"/>
      <c r="BN14" s="755"/>
      <c r="EN14" s="1651"/>
      <c r="EO14" s="1651"/>
      <c r="EP14" s="1651"/>
      <c r="EQ14" s="1651"/>
      <c r="ER14" s="1651"/>
      <c r="ES14" s="1651"/>
      <c r="ET14" s="1651"/>
      <c r="EU14" s="1651"/>
      <c r="EV14" s="1651"/>
      <c r="EW14" s="1651"/>
      <c r="EX14" s="1651"/>
      <c r="EY14" s="1651"/>
      <c r="EZ14" s="1651"/>
      <c r="FA14" s="1651"/>
      <c r="FB14" s="1651"/>
      <c r="FC14" s="1651"/>
      <c r="FD14" s="1651"/>
      <c r="FE14" s="1651"/>
      <c r="FF14" s="1651"/>
      <c r="FG14" s="1651"/>
      <c r="FH14" s="1651"/>
      <c r="FI14" s="1651"/>
      <c r="FJ14" s="1651"/>
      <c r="FK14" s="1651"/>
      <c r="FL14" s="1651"/>
      <c r="FM14" s="1651"/>
      <c r="FN14" s="1651"/>
      <c r="FO14" s="1651"/>
      <c r="FP14" s="1651"/>
      <c r="FQ14" s="1651"/>
      <c r="FR14" s="1651"/>
      <c r="FS14" s="1651"/>
      <c r="FT14" s="1651"/>
      <c r="FU14" s="1651"/>
      <c r="FV14" s="1651"/>
      <c r="FW14" s="1651"/>
      <c r="FX14" s="1651"/>
      <c r="FY14" s="1651"/>
      <c r="FZ14" s="1651"/>
      <c r="GA14" s="1651"/>
      <c r="GB14" s="1651"/>
      <c r="GC14" s="1651"/>
      <c r="GD14" s="1651"/>
      <c r="GE14" s="1651"/>
      <c r="GF14" s="1651"/>
      <c r="GG14" s="1651"/>
      <c r="GH14" s="1651"/>
      <c r="GI14" s="1651"/>
      <c r="GJ14" s="1651"/>
      <c r="GK14" s="1651"/>
      <c r="GL14" s="1651"/>
      <c r="GM14" s="1651"/>
      <c r="GN14" s="1651"/>
      <c r="GO14" s="1651"/>
      <c r="GP14" s="1651"/>
      <c r="GQ14" s="1651"/>
      <c r="GR14" s="1651"/>
      <c r="GS14" s="1651"/>
      <c r="GT14" s="1651"/>
      <c r="GU14" s="1651"/>
      <c r="GV14" s="1651"/>
      <c r="GW14" s="1651"/>
      <c r="GX14" s="1651"/>
      <c r="GY14" s="1651"/>
      <c r="GZ14" s="1651"/>
      <c r="HA14" s="1651"/>
      <c r="HB14" s="1651"/>
      <c r="HC14" s="1651"/>
      <c r="HD14" s="1651"/>
      <c r="HE14" s="1651"/>
      <c r="HF14" s="1651"/>
      <c r="HG14" s="1651"/>
      <c r="HH14" s="1651"/>
      <c r="HI14" s="1651"/>
      <c r="HJ14" s="1651"/>
      <c r="HK14" s="1651"/>
      <c r="HL14" s="1651"/>
      <c r="HM14" s="1651"/>
      <c r="HN14" s="1651"/>
      <c r="HO14" s="1651"/>
      <c r="HP14" s="1651"/>
      <c r="HQ14" s="1651"/>
      <c r="HR14" s="1651"/>
      <c r="HS14" s="1651"/>
      <c r="HT14" s="1651"/>
      <c r="HU14" s="1651"/>
      <c r="HV14" s="1651"/>
      <c r="HW14" s="1651"/>
      <c r="HX14" s="1651"/>
      <c r="HY14" s="1651"/>
      <c r="HZ14" s="1651"/>
      <c r="IA14" s="1651"/>
      <c r="IB14" s="1651"/>
      <c r="IC14" s="1651"/>
      <c r="ID14" s="1651"/>
      <c r="IE14" s="1651"/>
      <c r="IF14" s="1651"/>
      <c r="IG14" s="1651"/>
      <c r="IH14" s="1651"/>
      <c r="II14" s="1651"/>
      <c r="IJ14" s="1651"/>
      <c r="IK14" s="1651"/>
      <c r="IL14" s="1651"/>
      <c r="IM14" s="1651"/>
      <c r="IN14" s="1651"/>
      <c r="IO14" s="1651"/>
      <c r="IP14" s="1651"/>
      <c r="IQ14" s="1651"/>
      <c r="IR14" s="1651"/>
      <c r="IS14" s="1651"/>
      <c r="IT14" s="1651"/>
      <c r="IU14" s="1651"/>
      <c r="IV14" s="1651"/>
      <c r="IW14" s="1651"/>
      <c r="IX14" s="1651"/>
      <c r="IY14" s="1651"/>
      <c r="IZ14" s="1651"/>
      <c r="JA14" s="1651"/>
      <c r="JB14" s="1651"/>
      <c r="JC14" s="1651"/>
      <c r="JD14" s="1651"/>
      <c r="JE14" s="1651"/>
      <c r="JF14" s="1651"/>
      <c r="JG14" s="1651"/>
      <c r="JH14" s="1651"/>
      <c r="JI14" s="1651"/>
      <c r="QT14" s="1649"/>
      <c r="QU14" s="1649"/>
      <c r="QV14" s="1649"/>
      <c r="QW14" s="1649"/>
      <c r="QX14" s="1649"/>
      <c r="QY14" s="1649"/>
      <c r="QZ14" s="1649"/>
      <c r="RA14" s="1649"/>
      <c r="RB14" s="1649"/>
      <c r="RC14" s="1649"/>
      <c r="RD14" s="1649"/>
      <c r="RE14" s="1649"/>
      <c r="RF14" s="1649"/>
      <c r="RG14" s="1649"/>
      <c r="RH14" s="1649"/>
      <c r="RI14" s="1649"/>
      <c r="RJ14" s="1649"/>
      <c r="RK14" s="1649"/>
      <c r="RL14" s="1649"/>
      <c r="RM14" s="1649"/>
      <c r="RN14" s="1649"/>
      <c r="RO14" s="1649"/>
      <c r="RP14" s="1649"/>
      <c r="RQ14" s="1649"/>
      <c r="RR14" s="1649"/>
      <c r="RS14" s="1649"/>
      <c r="RT14" s="1649"/>
      <c r="RU14" s="1649"/>
      <c r="RV14" s="1649"/>
      <c r="RW14" s="1649"/>
      <c r="RX14" s="1649"/>
      <c r="RY14" s="1649"/>
      <c r="RZ14" s="1649"/>
      <c r="SA14" s="1649"/>
      <c r="SB14" s="1649"/>
      <c r="SC14" s="1649"/>
      <c r="SD14" s="1649"/>
      <c r="SE14" s="1649"/>
      <c r="SF14" s="1649"/>
      <c r="SG14" s="1650"/>
    </row>
    <row r="15" spans="4:501" ht="12.75" customHeight="1" x14ac:dyDescent="0.35">
      <c r="D15" s="758"/>
      <c r="K15" s="755"/>
      <c r="L15" s="755"/>
      <c r="M15" s="755"/>
      <c r="N15" s="755"/>
      <c r="O15" s="755"/>
      <c r="P15" s="755"/>
      <c r="Q15" s="755"/>
      <c r="R15" s="755"/>
      <c r="S15" s="755"/>
      <c r="BK15" s="755"/>
      <c r="BL15" s="755"/>
      <c r="BM15" s="755"/>
      <c r="BN15" s="755"/>
      <c r="QT15" s="1649"/>
      <c r="QU15" s="1649"/>
      <c r="QV15" s="1649"/>
      <c r="QW15" s="1649"/>
      <c r="QX15" s="1649"/>
      <c r="QY15" s="1649"/>
      <c r="QZ15" s="1649"/>
      <c r="RA15" s="1649"/>
      <c r="RB15" s="1649"/>
      <c r="RC15" s="1649"/>
      <c r="RD15" s="1649"/>
      <c r="RE15" s="1649"/>
      <c r="RF15" s="1649"/>
      <c r="RG15" s="1649"/>
      <c r="RH15" s="1649"/>
      <c r="RI15" s="1649"/>
      <c r="RJ15" s="1649"/>
      <c r="RK15" s="1649"/>
      <c r="RL15" s="1649"/>
      <c r="RM15" s="1649"/>
      <c r="RN15" s="1649"/>
      <c r="RO15" s="1649"/>
      <c r="RP15" s="1649"/>
      <c r="RQ15" s="1649"/>
      <c r="RR15" s="1649"/>
      <c r="RS15" s="1649"/>
      <c r="RT15" s="1649"/>
      <c r="RU15" s="1649"/>
      <c r="RV15" s="1649"/>
      <c r="RW15" s="1649"/>
      <c r="RX15" s="1649"/>
      <c r="RY15" s="1649"/>
      <c r="RZ15" s="1649"/>
      <c r="SA15" s="1649"/>
      <c r="SB15" s="1649"/>
      <c r="SC15" s="1649"/>
      <c r="SD15" s="1649"/>
      <c r="SE15" s="1649"/>
      <c r="SF15" s="1649"/>
      <c r="SG15" s="1650"/>
    </row>
    <row r="16" spans="4:501" ht="12.75" customHeight="1" x14ac:dyDescent="0.35">
      <c r="D16" s="758"/>
      <c r="K16" s="755"/>
      <c r="L16" s="755"/>
      <c r="M16" s="755"/>
      <c r="N16" s="755"/>
      <c r="O16" s="755"/>
      <c r="P16" s="755"/>
      <c r="Q16" s="755"/>
      <c r="R16" s="755"/>
      <c r="S16" s="755"/>
      <c r="QT16" s="1649"/>
      <c r="QU16" s="1649"/>
      <c r="QV16" s="1649"/>
      <c r="QW16" s="1649"/>
      <c r="QX16" s="1649"/>
      <c r="QY16" s="1649"/>
      <c r="QZ16" s="1649"/>
      <c r="RA16" s="1649"/>
      <c r="RB16" s="1649"/>
      <c r="RC16" s="1649"/>
      <c r="RD16" s="1649"/>
      <c r="RE16" s="1649"/>
      <c r="RF16" s="1649"/>
      <c r="RG16" s="1649"/>
      <c r="RH16" s="1649"/>
      <c r="RI16" s="1649"/>
      <c r="RJ16" s="1649"/>
      <c r="RK16" s="1649"/>
      <c r="RL16" s="1649"/>
      <c r="RM16" s="1649"/>
      <c r="RN16" s="1649"/>
      <c r="RO16" s="1649"/>
      <c r="RP16" s="1649"/>
      <c r="RQ16" s="1649"/>
      <c r="RR16" s="1649"/>
      <c r="RS16" s="1649"/>
      <c r="RT16" s="1649"/>
      <c r="RU16" s="1649"/>
      <c r="RV16" s="1649"/>
      <c r="RW16" s="1649"/>
      <c r="RX16" s="1649"/>
      <c r="RY16" s="1649"/>
      <c r="RZ16" s="1649"/>
      <c r="SA16" s="1649"/>
      <c r="SB16" s="1649"/>
      <c r="SC16" s="1649"/>
      <c r="SD16" s="1649"/>
      <c r="SE16" s="1649"/>
      <c r="SF16" s="1649"/>
      <c r="SG16" s="1650"/>
    </row>
    <row r="17" spans="4:501" ht="12.75" customHeight="1" x14ac:dyDescent="0.35">
      <c r="D17" s="758"/>
      <c r="K17" s="755"/>
      <c r="L17" s="755"/>
      <c r="M17" s="755"/>
      <c r="N17" s="755"/>
      <c r="O17" s="755"/>
      <c r="P17" s="755"/>
      <c r="Q17" s="755"/>
      <c r="R17" s="755"/>
      <c r="S17" s="755"/>
      <c r="QT17" s="1649"/>
      <c r="QU17" s="1649"/>
      <c r="QV17" s="1649"/>
      <c r="QW17" s="1649"/>
      <c r="QX17" s="1649"/>
      <c r="QY17" s="1649"/>
      <c r="QZ17" s="1649"/>
      <c r="RA17" s="1649"/>
      <c r="RB17" s="1649"/>
      <c r="RC17" s="1649"/>
      <c r="RD17" s="1649"/>
      <c r="RE17" s="1649"/>
      <c r="RF17" s="1649"/>
      <c r="RG17" s="1649"/>
      <c r="RH17" s="1649"/>
      <c r="RI17" s="1649"/>
      <c r="RJ17" s="1649"/>
      <c r="RK17" s="1649"/>
      <c r="RL17" s="1649"/>
      <c r="RM17" s="1649"/>
      <c r="RN17" s="1649"/>
      <c r="RO17" s="1649"/>
      <c r="RP17" s="1649"/>
      <c r="RQ17" s="1649"/>
      <c r="RR17" s="1649"/>
      <c r="RS17" s="1649"/>
      <c r="RT17" s="1649"/>
      <c r="RU17" s="1649"/>
      <c r="RV17" s="1649"/>
      <c r="RW17" s="1649"/>
      <c r="RX17" s="1649"/>
      <c r="RY17" s="1649"/>
      <c r="RZ17" s="1649"/>
      <c r="SA17" s="1649"/>
      <c r="SB17" s="1649"/>
      <c r="SC17" s="1649"/>
      <c r="SD17" s="1649"/>
      <c r="SE17" s="1649"/>
      <c r="SF17" s="1649"/>
      <c r="SG17" s="1650"/>
    </row>
    <row r="18" spans="4:501" ht="12.75" customHeight="1" x14ac:dyDescent="0.35">
      <c r="D18" s="758"/>
      <c r="QT18" s="1649"/>
      <c r="QU18" s="1649"/>
      <c r="QV18" s="1649"/>
      <c r="QW18" s="1649"/>
      <c r="QX18" s="1649"/>
      <c r="QY18" s="1649"/>
      <c r="QZ18" s="1649"/>
      <c r="RA18" s="1649"/>
      <c r="RB18" s="1649"/>
      <c r="RC18" s="1649"/>
      <c r="RD18" s="1649"/>
      <c r="RE18" s="1649"/>
      <c r="RF18" s="1649"/>
      <c r="RG18" s="1649"/>
      <c r="RH18" s="1649"/>
      <c r="RI18" s="1649"/>
      <c r="RJ18" s="1649"/>
      <c r="RK18" s="1649"/>
      <c r="RL18" s="1649"/>
      <c r="RM18" s="1649"/>
      <c r="RN18" s="1649"/>
      <c r="RO18" s="1649"/>
      <c r="RP18" s="1649"/>
      <c r="RQ18" s="1649"/>
      <c r="RR18" s="1649"/>
      <c r="RS18" s="1649"/>
      <c r="RT18" s="1649"/>
      <c r="RU18" s="1649"/>
      <c r="RV18" s="1649"/>
      <c r="RW18" s="1649"/>
      <c r="RX18" s="1649"/>
      <c r="RY18" s="1649"/>
      <c r="RZ18" s="1649"/>
      <c r="SA18" s="1649"/>
      <c r="SB18" s="1649"/>
      <c r="SC18" s="1649"/>
      <c r="SD18" s="1649"/>
      <c r="SE18" s="1649"/>
      <c r="SF18" s="1649"/>
      <c r="SG18" s="1650"/>
    </row>
    <row r="19" spans="4:501" ht="12.75" customHeight="1" x14ac:dyDescent="0.35">
      <c r="D19" s="758"/>
      <c r="QT19" s="1649"/>
      <c r="QU19" s="1649"/>
      <c r="QV19" s="1649"/>
      <c r="QW19" s="1649"/>
      <c r="QX19" s="1649"/>
      <c r="QY19" s="1649"/>
      <c r="QZ19" s="1649"/>
      <c r="RA19" s="1649"/>
      <c r="RB19" s="1649"/>
      <c r="RC19" s="1649"/>
      <c r="RD19" s="1649"/>
      <c r="RE19" s="1649"/>
      <c r="RF19" s="1649"/>
      <c r="RG19" s="1649"/>
      <c r="RH19" s="1649"/>
      <c r="RI19" s="1649"/>
      <c r="RJ19" s="1649"/>
      <c r="RK19" s="1649"/>
      <c r="RL19" s="1649"/>
      <c r="RM19" s="1649"/>
      <c r="RN19" s="1649"/>
      <c r="RO19" s="1649"/>
      <c r="RP19" s="1649"/>
      <c r="RQ19" s="1649"/>
      <c r="RR19" s="1649"/>
      <c r="RS19" s="1649"/>
      <c r="RT19" s="1649"/>
      <c r="RU19" s="1649"/>
      <c r="RV19" s="1649"/>
      <c r="RW19" s="1649"/>
      <c r="RX19" s="1649"/>
      <c r="RY19" s="1649"/>
      <c r="RZ19" s="1649"/>
      <c r="SA19" s="1649"/>
      <c r="SB19" s="1649"/>
      <c r="SC19" s="1649"/>
      <c r="SD19" s="1649"/>
      <c r="SE19" s="1649"/>
      <c r="SF19" s="1649"/>
      <c r="SG19" s="1650"/>
    </row>
    <row r="20" spans="4:501" ht="12.75" customHeight="1" x14ac:dyDescent="0.35">
      <c r="D20" s="758"/>
      <c r="QT20" s="1649"/>
      <c r="QU20" s="1649"/>
      <c r="QV20" s="1649"/>
      <c r="QW20" s="1649"/>
      <c r="QX20" s="1649"/>
      <c r="QY20" s="1649"/>
      <c r="QZ20" s="1649"/>
      <c r="RA20" s="1649"/>
      <c r="RB20" s="1649"/>
      <c r="RC20" s="1649"/>
      <c r="RD20" s="1649"/>
      <c r="RE20" s="1649"/>
      <c r="RF20" s="1649"/>
      <c r="RG20" s="1649"/>
      <c r="RH20" s="1649"/>
      <c r="RI20" s="1649"/>
      <c r="RJ20" s="1649"/>
      <c r="RK20" s="1649"/>
      <c r="RL20" s="1649"/>
      <c r="RM20" s="1649"/>
      <c r="RN20" s="1649"/>
      <c r="RO20" s="1649"/>
      <c r="RP20" s="1649"/>
      <c r="RQ20" s="1649"/>
      <c r="RR20" s="1649"/>
      <c r="RS20" s="1649"/>
      <c r="RT20" s="1649"/>
      <c r="RU20" s="1649"/>
      <c r="RV20" s="1649"/>
      <c r="RW20" s="1649"/>
      <c r="RX20" s="1649"/>
      <c r="RY20" s="1649"/>
      <c r="RZ20" s="1649"/>
      <c r="SA20" s="1649"/>
      <c r="SB20" s="1649"/>
      <c r="SC20" s="1649"/>
      <c r="SD20" s="1649"/>
      <c r="SE20" s="1649"/>
      <c r="SF20" s="1649"/>
      <c r="SG20" s="1650"/>
    </row>
    <row r="21" spans="4:501" ht="12.75" customHeight="1" x14ac:dyDescent="0.35">
      <c r="D21" s="758"/>
      <c r="SG21" s="758"/>
    </row>
    <row r="22" spans="4:501" ht="12.75" customHeight="1" x14ac:dyDescent="0.35">
      <c r="D22" s="758"/>
      <c r="K22" s="759"/>
      <c r="L22" s="759"/>
      <c r="M22" s="759"/>
      <c r="N22" s="759"/>
      <c r="O22" s="759"/>
      <c r="P22" s="759"/>
      <c r="Q22" s="759"/>
      <c r="R22" s="759"/>
      <c r="S22" s="759"/>
      <c r="T22" s="759"/>
      <c r="CQ22" s="755"/>
      <c r="CR22" s="755"/>
      <c r="CS22" s="755"/>
      <c r="CT22" s="755"/>
      <c r="SG22" s="758"/>
    </row>
    <row r="23" spans="4:501" ht="12.75" customHeight="1" x14ac:dyDescent="0.35">
      <c r="D23" s="758"/>
      <c r="K23" s="760"/>
      <c r="L23" s="760"/>
      <c r="M23" s="760"/>
      <c r="N23" s="760"/>
      <c r="O23" s="760"/>
      <c r="P23" s="760"/>
      <c r="Q23" s="760"/>
      <c r="R23" s="760"/>
      <c r="S23" s="760"/>
      <c r="T23" s="760"/>
      <c r="GR23" s="648"/>
      <c r="GS23" s="1488" t="s">
        <v>65</v>
      </c>
      <c r="GT23" s="1489"/>
      <c r="GU23" s="1489"/>
      <c r="GV23" s="1489"/>
      <c r="GW23" s="1489"/>
      <c r="GX23" s="1489"/>
      <c r="GY23" s="1489"/>
      <c r="GZ23" s="1489"/>
      <c r="HA23" s="1490"/>
      <c r="SG23" s="758"/>
    </row>
    <row r="24" spans="4:501" ht="12.75" customHeight="1" x14ac:dyDescent="0.35">
      <c r="D24" s="758"/>
      <c r="K24" s="761"/>
      <c r="L24" s="761"/>
      <c r="M24" s="761"/>
      <c r="N24" s="761"/>
      <c r="O24" s="761"/>
      <c r="P24" s="761"/>
      <c r="Q24" s="761"/>
      <c r="R24" s="761"/>
      <c r="S24" s="761"/>
      <c r="T24" s="761"/>
      <c r="U24" s="761"/>
      <c r="GR24" s="1652" t="s">
        <v>5011</v>
      </c>
      <c r="GS24" s="1510"/>
      <c r="GT24" s="1510"/>
      <c r="GU24" s="1510"/>
      <c r="GV24" s="1510"/>
      <c r="GW24" s="1510"/>
      <c r="GX24" s="1510"/>
      <c r="GY24" s="1510"/>
      <c r="GZ24" s="1510"/>
      <c r="HA24" s="1511"/>
      <c r="HC24" s="762"/>
      <c r="SG24" s="758"/>
    </row>
    <row r="25" spans="4:501" ht="12.75" customHeight="1" x14ac:dyDescent="0.35">
      <c r="D25" s="758"/>
      <c r="K25" s="761"/>
      <c r="L25" s="761"/>
      <c r="M25" s="761"/>
      <c r="N25" s="761"/>
      <c r="O25" s="761"/>
      <c r="P25" s="761"/>
      <c r="Q25" s="761"/>
      <c r="R25" s="761"/>
      <c r="S25" s="761"/>
      <c r="T25" s="761"/>
      <c r="U25" s="761"/>
      <c r="DT25" s="763"/>
      <c r="DU25" s="763"/>
      <c r="GW25" s="764"/>
      <c r="HP25" s="759"/>
      <c r="HQ25" s="759"/>
      <c r="HR25" s="755"/>
      <c r="HS25" s="755"/>
      <c r="HT25" s="755"/>
      <c r="IG25" s="755"/>
      <c r="SG25" s="758"/>
    </row>
    <row r="26" spans="4:501" ht="12.75" customHeight="1" x14ac:dyDescent="0.35">
      <c r="D26" s="758"/>
      <c r="K26" s="761"/>
      <c r="L26" s="761"/>
      <c r="M26" s="761"/>
      <c r="N26" s="761"/>
      <c r="O26" s="761"/>
      <c r="P26" s="761"/>
      <c r="Q26" s="761"/>
      <c r="R26" s="761"/>
      <c r="S26" s="761"/>
      <c r="T26" s="761"/>
      <c r="U26" s="761"/>
      <c r="DR26" s="759"/>
      <c r="DS26" s="759"/>
      <c r="DT26" s="759"/>
      <c r="DU26" s="759"/>
      <c r="GW26" s="765"/>
      <c r="GX26" s="766"/>
      <c r="GY26" s="766"/>
      <c r="GZ26" s="766"/>
      <c r="HA26" s="766"/>
      <c r="HB26" s="766"/>
      <c r="HC26" s="766"/>
      <c r="HD26" s="766"/>
      <c r="HE26" s="766"/>
      <c r="HF26" s="766"/>
      <c r="HG26" s="766"/>
      <c r="HH26" s="766"/>
      <c r="HI26" s="766"/>
      <c r="HJ26" s="766"/>
      <c r="HK26" s="766"/>
      <c r="HL26" s="766"/>
      <c r="HM26" s="766"/>
      <c r="HN26" s="766"/>
      <c r="HO26" s="766"/>
      <c r="HP26" s="767"/>
      <c r="HQ26" s="767"/>
      <c r="HR26" s="766"/>
      <c r="HS26" s="766"/>
      <c r="HT26" s="766"/>
      <c r="HU26" s="766"/>
      <c r="HV26" s="766"/>
      <c r="HW26" s="766"/>
      <c r="HX26" s="766"/>
      <c r="HY26" s="766"/>
      <c r="HZ26" s="766"/>
      <c r="IA26" s="766"/>
      <c r="IB26" s="766"/>
      <c r="IC26" s="766"/>
      <c r="ID26" s="766"/>
      <c r="IE26" s="766"/>
      <c r="IF26" s="766"/>
      <c r="IG26" s="766"/>
      <c r="IH26" s="768"/>
      <c r="II26" s="768"/>
      <c r="IJ26" s="768"/>
      <c r="IK26" s="768"/>
      <c r="IL26" s="768"/>
      <c r="IM26" s="768"/>
      <c r="IN26" s="768"/>
      <c r="IO26" s="768"/>
      <c r="IP26" s="768"/>
      <c r="IQ26" s="768"/>
      <c r="IR26" s="768"/>
      <c r="IS26" s="768"/>
      <c r="IT26" s="768"/>
      <c r="IU26" s="768"/>
      <c r="IV26" s="768"/>
      <c r="IW26" s="768"/>
      <c r="IX26" s="768"/>
      <c r="IY26" s="768"/>
      <c r="IZ26" s="768"/>
      <c r="JA26" s="768"/>
      <c r="JB26" s="768"/>
      <c r="JC26" s="768"/>
      <c r="JD26" s="768"/>
      <c r="JE26" s="768"/>
      <c r="JF26" s="768"/>
      <c r="JG26" s="768"/>
      <c r="JH26" s="768"/>
      <c r="JI26" s="768"/>
      <c r="JJ26" s="768"/>
      <c r="JK26" s="768"/>
      <c r="JL26" s="768"/>
      <c r="JM26" s="768"/>
      <c r="JN26" s="768"/>
      <c r="JO26" s="768"/>
      <c r="JP26" s="768"/>
      <c r="JQ26" s="768"/>
      <c r="JR26" s="768"/>
      <c r="JS26" s="768"/>
      <c r="JT26" s="768"/>
      <c r="JU26" s="768"/>
      <c r="JV26" s="768"/>
      <c r="JW26" s="768"/>
      <c r="JX26" s="768"/>
      <c r="JY26" s="768"/>
      <c r="JZ26" s="768"/>
      <c r="KA26" s="768"/>
      <c r="KB26" s="768"/>
      <c r="KC26" s="768"/>
      <c r="KD26" s="768"/>
      <c r="KE26" s="768"/>
      <c r="KF26" s="768"/>
      <c r="KG26" s="768"/>
      <c r="KH26" s="768"/>
      <c r="KI26" s="768"/>
      <c r="KJ26" s="768"/>
      <c r="KK26" s="768"/>
      <c r="KL26" s="768"/>
      <c r="KM26" s="768"/>
      <c r="KN26" s="768"/>
      <c r="KO26" s="768"/>
      <c r="KP26" s="768"/>
      <c r="KQ26" s="768"/>
      <c r="KR26" s="768"/>
      <c r="KS26" s="768"/>
      <c r="KT26" s="768"/>
      <c r="KU26" s="768"/>
      <c r="KV26" s="768"/>
      <c r="KW26" s="768"/>
      <c r="KX26" s="768"/>
      <c r="KY26" s="768"/>
      <c r="KZ26" s="766"/>
      <c r="LA26" s="766"/>
      <c r="LB26" s="766"/>
      <c r="LC26" s="766"/>
      <c r="LD26" s="766"/>
      <c r="LE26" s="769"/>
      <c r="LF26" s="769"/>
      <c r="LG26" s="769"/>
      <c r="LH26" s="769"/>
      <c r="LI26" s="769"/>
      <c r="LJ26" s="769"/>
      <c r="LK26" s="769"/>
      <c r="LL26" s="769"/>
      <c r="LM26" s="769"/>
      <c r="LN26" s="769"/>
      <c r="LO26" s="769"/>
      <c r="LP26" s="769"/>
      <c r="LQ26" s="769"/>
      <c r="LR26" s="769"/>
      <c r="LS26" s="769"/>
      <c r="LT26" s="769"/>
      <c r="LU26" s="769"/>
      <c r="LV26" s="769"/>
      <c r="LW26" s="769"/>
      <c r="LX26" s="769"/>
      <c r="LY26" s="769"/>
      <c r="LZ26" s="769"/>
      <c r="MA26" s="769"/>
      <c r="MB26" s="769"/>
      <c r="MC26" s="769"/>
      <c r="MD26" s="769"/>
      <c r="ME26" s="769"/>
      <c r="MF26" s="769"/>
      <c r="MG26" s="769"/>
      <c r="MH26" s="769"/>
      <c r="MI26" s="769"/>
      <c r="MJ26" s="769"/>
      <c r="MK26" s="769"/>
      <c r="ML26" s="769"/>
      <c r="MM26" s="769"/>
      <c r="MN26" s="769"/>
      <c r="MO26" s="769"/>
      <c r="MP26" s="769"/>
      <c r="MQ26" s="769"/>
      <c r="MR26" s="769"/>
      <c r="MS26" s="769"/>
      <c r="MT26" s="769"/>
      <c r="MU26" s="769"/>
      <c r="MV26" s="769"/>
      <c r="MW26" s="769"/>
      <c r="MX26" s="769"/>
      <c r="MY26" s="769"/>
      <c r="MZ26" s="769"/>
      <c r="NA26" s="769"/>
      <c r="NB26" s="769"/>
      <c r="NC26" s="769"/>
      <c r="ND26" s="769"/>
      <c r="NE26" s="769"/>
      <c r="NF26" s="769"/>
      <c r="NG26" s="769"/>
      <c r="NH26" s="769"/>
      <c r="NI26" s="769"/>
      <c r="NJ26" s="769"/>
      <c r="NK26" s="769"/>
      <c r="NL26" s="769"/>
      <c r="NM26" s="769"/>
      <c r="NN26" s="769"/>
      <c r="NO26" s="769"/>
      <c r="NP26" s="769"/>
      <c r="NQ26" s="769"/>
      <c r="NR26" s="769"/>
      <c r="NS26" s="769"/>
      <c r="NT26" s="769"/>
      <c r="NU26" s="769"/>
      <c r="NV26" s="769"/>
      <c r="NW26" s="769"/>
      <c r="NX26" s="769"/>
      <c r="NY26" s="769"/>
      <c r="SG26" s="758"/>
    </row>
    <row r="27" spans="4:501" ht="12.75" customHeight="1" x14ac:dyDescent="0.35">
      <c r="D27" s="758"/>
      <c r="K27" s="761"/>
      <c r="L27" s="761"/>
      <c r="M27" s="761"/>
      <c r="N27" s="761"/>
      <c r="O27" s="761"/>
      <c r="P27" s="761"/>
      <c r="Q27" s="761"/>
      <c r="R27" s="761"/>
      <c r="S27" s="761"/>
      <c r="T27" s="761"/>
      <c r="U27" s="761"/>
      <c r="DR27" s="760"/>
      <c r="DS27" s="760"/>
      <c r="DT27" s="760"/>
      <c r="DU27" s="760"/>
      <c r="GW27" s="770"/>
      <c r="HA27" s="762"/>
      <c r="HR27" s="755"/>
      <c r="HS27" s="755"/>
      <c r="HT27" s="755"/>
      <c r="HV27" s="646"/>
      <c r="HW27" s="760"/>
      <c r="HX27" s="760"/>
      <c r="HY27" s="760"/>
      <c r="HZ27" s="760"/>
      <c r="IA27" s="760"/>
      <c r="IB27" s="760"/>
      <c r="IC27" s="755"/>
      <c r="ID27" s="755"/>
      <c r="IE27" s="755"/>
      <c r="IF27" s="755"/>
      <c r="IG27" s="755"/>
      <c r="IN27" s="647"/>
      <c r="IO27" s="771"/>
      <c r="IP27" s="755"/>
      <c r="IQ27" s="755"/>
      <c r="IR27" s="755"/>
      <c r="IS27" s="755"/>
      <c r="IT27" s="755"/>
      <c r="IU27" s="755"/>
      <c r="IV27" s="755"/>
      <c r="IW27" s="755"/>
      <c r="IX27" s="755"/>
      <c r="IY27" s="755"/>
      <c r="MO27" s="772"/>
      <c r="MS27" s="773"/>
      <c r="NZ27" s="774"/>
      <c r="SG27" s="758"/>
    </row>
    <row r="28" spans="4:501" ht="12.75" customHeight="1" x14ac:dyDescent="0.35">
      <c r="D28" s="758"/>
      <c r="K28" s="761"/>
      <c r="L28" s="761"/>
      <c r="M28" s="761"/>
      <c r="N28" s="761"/>
      <c r="O28" s="761"/>
      <c r="P28" s="761"/>
      <c r="Q28" s="761"/>
      <c r="R28" s="761"/>
      <c r="S28" s="761"/>
      <c r="T28" s="761"/>
      <c r="U28" s="761"/>
      <c r="DR28" s="763"/>
      <c r="DT28" s="761"/>
      <c r="DU28" s="761"/>
      <c r="GR28" s="648">
        <v>0.5</v>
      </c>
      <c r="GS28" s="1653" t="s">
        <v>363</v>
      </c>
      <c r="GT28" s="1653"/>
      <c r="GU28" s="1653"/>
      <c r="GV28" s="1653"/>
      <c r="GW28" s="1653"/>
      <c r="GX28" s="1653"/>
      <c r="GY28" s="1653"/>
      <c r="GZ28" s="1653"/>
      <c r="HA28" s="1653"/>
      <c r="HB28" s="775"/>
      <c r="HP28" s="776"/>
      <c r="HQ28" s="776"/>
      <c r="HR28" s="776"/>
      <c r="HS28" s="776"/>
      <c r="IE28" s="776"/>
      <c r="IF28" s="776"/>
      <c r="IG28" s="776"/>
      <c r="IH28" s="776"/>
      <c r="II28" s="776"/>
      <c r="IJ28" s="776"/>
      <c r="IK28" s="776"/>
      <c r="IL28" s="776"/>
      <c r="IM28" s="776"/>
      <c r="IN28" s="776"/>
      <c r="IO28" s="776"/>
      <c r="IP28" s="776"/>
      <c r="IQ28" s="776"/>
      <c r="IR28" s="776"/>
      <c r="IS28" s="776"/>
      <c r="IT28" s="776"/>
      <c r="IU28" s="776"/>
      <c r="IV28" s="776"/>
      <c r="IW28" s="776"/>
      <c r="IX28" s="776"/>
      <c r="IY28" s="776"/>
      <c r="IZ28" s="776"/>
      <c r="JA28" s="776"/>
      <c r="JB28" s="776"/>
      <c r="JC28" s="776"/>
      <c r="JD28" s="776"/>
      <c r="JE28" s="776"/>
      <c r="JF28" s="776"/>
      <c r="JG28" s="776"/>
      <c r="JH28" s="776"/>
      <c r="JI28" s="776"/>
      <c r="JJ28" s="776"/>
      <c r="JK28" s="776"/>
      <c r="JL28" s="776"/>
      <c r="JM28" s="776"/>
      <c r="JN28" s="776"/>
      <c r="JO28" s="776"/>
      <c r="JP28" s="776"/>
      <c r="JQ28" s="776"/>
      <c r="JR28" s="776"/>
      <c r="JS28" s="776"/>
      <c r="JT28" s="776"/>
      <c r="JU28" s="776"/>
      <c r="JV28" s="776"/>
      <c r="JW28" s="776"/>
      <c r="JX28" s="776"/>
      <c r="JY28" s="776"/>
      <c r="JZ28" s="776"/>
      <c r="KA28" s="776"/>
      <c r="KB28" s="776"/>
      <c r="KC28" s="776"/>
      <c r="KD28" s="776"/>
      <c r="KE28" s="776"/>
      <c r="KF28" s="776"/>
      <c r="KG28" s="776"/>
      <c r="KH28" s="776"/>
      <c r="KI28" s="776"/>
      <c r="KJ28" s="776"/>
      <c r="KK28" s="776"/>
      <c r="KL28" s="776"/>
      <c r="KM28" s="776"/>
      <c r="KN28" s="776"/>
      <c r="KO28" s="776"/>
      <c r="KP28" s="776"/>
      <c r="KQ28" s="776"/>
      <c r="KR28" s="776"/>
      <c r="KS28" s="776"/>
      <c r="KT28" s="776"/>
      <c r="KU28" s="776"/>
      <c r="KV28" s="776"/>
      <c r="KW28" s="776"/>
      <c r="KX28" s="776"/>
      <c r="KY28" s="776"/>
      <c r="MJ28" s="777">
        <v>0.5</v>
      </c>
      <c r="MK28" s="1488" t="s">
        <v>5012</v>
      </c>
      <c r="ML28" s="1489"/>
      <c r="MM28" s="1489"/>
      <c r="MN28" s="1489"/>
      <c r="MO28" s="1489"/>
      <c r="MP28" s="1489"/>
      <c r="MQ28" s="1489"/>
      <c r="MR28" s="1489"/>
      <c r="MS28" s="1490"/>
      <c r="NV28" s="648"/>
      <c r="NW28" s="1488" t="s">
        <v>365</v>
      </c>
      <c r="NX28" s="1489"/>
      <c r="NY28" s="1489"/>
      <c r="NZ28" s="1489"/>
      <c r="OA28" s="1489"/>
      <c r="OB28" s="1489"/>
      <c r="OC28" s="1489"/>
      <c r="OD28" s="1489"/>
      <c r="OE28" s="1490"/>
      <c r="SG28" s="758"/>
    </row>
    <row r="29" spans="4:501" ht="12.75" customHeight="1" x14ac:dyDescent="0.35">
      <c r="D29" s="758"/>
      <c r="K29" s="761"/>
      <c r="L29" s="761"/>
      <c r="M29" s="761"/>
      <c r="N29" s="761"/>
      <c r="O29" s="761"/>
      <c r="P29" s="761"/>
      <c r="Q29" s="761"/>
      <c r="R29" s="761"/>
      <c r="S29" s="761"/>
      <c r="T29" s="761"/>
      <c r="U29" s="761"/>
      <c r="DR29" s="763"/>
      <c r="DT29" s="761"/>
      <c r="DU29" s="761"/>
      <c r="GR29" s="1652" t="s">
        <v>5013</v>
      </c>
      <c r="GS29" s="1510"/>
      <c r="GT29" s="1510"/>
      <c r="GU29" s="1510"/>
      <c r="GV29" s="1510"/>
      <c r="GW29" s="1510"/>
      <c r="GX29" s="1510"/>
      <c r="GY29" s="1510"/>
      <c r="GZ29" s="1510"/>
      <c r="HA29" s="1511"/>
      <c r="HB29" s="775"/>
      <c r="HP29" s="776"/>
      <c r="HQ29" s="776"/>
      <c r="HR29" s="776"/>
      <c r="HS29" s="776"/>
      <c r="HT29" s="776"/>
      <c r="HU29" s="776"/>
      <c r="HV29" s="776"/>
      <c r="HW29" s="776"/>
      <c r="HX29" s="776"/>
      <c r="HY29" s="776"/>
      <c r="HZ29" s="776"/>
      <c r="IA29" s="776"/>
      <c r="IB29" s="776"/>
      <c r="IC29" s="776"/>
      <c r="ID29" s="776"/>
      <c r="IE29" s="776"/>
      <c r="IF29" s="776"/>
      <c r="IG29" s="776"/>
      <c r="IH29" s="776"/>
      <c r="II29" s="776"/>
      <c r="IJ29" s="776"/>
      <c r="IK29" s="776"/>
      <c r="IL29" s="776"/>
      <c r="IM29" s="776"/>
      <c r="IN29" s="776"/>
      <c r="IO29" s="776"/>
      <c r="IP29" s="776"/>
      <c r="IQ29" s="776"/>
      <c r="IR29" s="776"/>
      <c r="IS29" s="776"/>
      <c r="IT29" s="776"/>
      <c r="IU29" s="776"/>
      <c r="IV29" s="776"/>
      <c r="IW29" s="776"/>
      <c r="IX29" s="776"/>
      <c r="IY29" s="776"/>
      <c r="IZ29" s="776"/>
      <c r="JA29" s="776"/>
      <c r="JB29" s="776"/>
      <c r="JC29" s="776"/>
      <c r="JD29" s="776"/>
      <c r="JE29" s="776"/>
      <c r="JF29" s="776"/>
      <c r="JG29" s="776"/>
      <c r="JH29" s="776"/>
      <c r="JI29" s="776"/>
      <c r="JJ29" s="776"/>
      <c r="JK29" s="776"/>
      <c r="JL29" s="776"/>
      <c r="JM29" s="776"/>
      <c r="JN29" s="776"/>
      <c r="JO29" s="776"/>
      <c r="JP29" s="776"/>
      <c r="JQ29" s="776"/>
      <c r="JR29" s="776"/>
      <c r="JS29" s="776"/>
      <c r="JT29" s="776"/>
      <c r="JU29" s="776"/>
      <c r="JV29" s="776"/>
      <c r="JW29" s="776"/>
      <c r="JX29" s="776"/>
      <c r="JY29" s="776"/>
      <c r="JZ29" s="776"/>
      <c r="KA29" s="776"/>
      <c r="KB29" s="776"/>
      <c r="KC29" s="776"/>
      <c r="KD29" s="776"/>
      <c r="KE29" s="776"/>
      <c r="KF29" s="776"/>
      <c r="KG29" s="776"/>
      <c r="KH29" s="776"/>
      <c r="KI29" s="776"/>
      <c r="KJ29" s="776"/>
      <c r="KK29" s="776"/>
      <c r="KL29" s="776"/>
      <c r="KM29" s="776"/>
      <c r="KN29" s="776"/>
      <c r="KO29" s="776"/>
      <c r="KP29" s="776"/>
      <c r="KQ29" s="776"/>
      <c r="KR29" s="776"/>
      <c r="KS29" s="776"/>
      <c r="KT29" s="776"/>
      <c r="KU29" s="776"/>
      <c r="KV29" s="776"/>
      <c r="KW29" s="776"/>
      <c r="KX29" s="776"/>
      <c r="KY29" s="776"/>
      <c r="MI29" s="778"/>
      <c r="MJ29" s="1652" t="s">
        <v>366</v>
      </c>
      <c r="MK29" s="1510"/>
      <c r="ML29" s="1510"/>
      <c r="MM29" s="1510"/>
      <c r="MN29" s="1510"/>
      <c r="MO29" s="1510"/>
      <c r="MP29" s="1510"/>
      <c r="MQ29" s="1510"/>
      <c r="MR29" s="1510"/>
      <c r="MS29" s="1511"/>
      <c r="NU29" s="779"/>
      <c r="NV29" s="1661" t="s">
        <v>5322</v>
      </c>
      <c r="NW29" s="1510"/>
      <c r="NX29" s="1510"/>
      <c r="NY29" s="1510"/>
      <c r="NZ29" s="1510"/>
      <c r="OA29" s="1510"/>
      <c r="OB29" s="1510"/>
      <c r="OC29" s="1510"/>
      <c r="OD29" s="1510"/>
      <c r="OE29" s="1511"/>
      <c r="SG29" s="758"/>
    </row>
    <row r="30" spans="4:501" ht="12.65" customHeight="1" x14ac:dyDescent="0.35">
      <c r="D30" s="758"/>
      <c r="K30" s="761"/>
      <c r="L30" s="761"/>
      <c r="M30" s="761"/>
      <c r="N30" s="761"/>
      <c r="O30" s="761"/>
      <c r="P30" s="761"/>
      <c r="Q30" s="761"/>
      <c r="R30" s="761"/>
      <c r="S30" s="761"/>
      <c r="DR30" s="763"/>
      <c r="DT30" s="761"/>
      <c r="DU30" s="761"/>
      <c r="EO30" s="766"/>
      <c r="EP30" s="766"/>
      <c r="EQ30" s="766"/>
      <c r="ER30" s="766"/>
      <c r="ES30" s="766"/>
      <c r="ET30" s="766"/>
      <c r="EU30" s="766"/>
      <c r="EV30" s="766"/>
      <c r="EW30" s="766"/>
      <c r="EX30" s="766"/>
      <c r="EY30" s="766"/>
      <c r="EZ30" s="766"/>
      <c r="FA30" s="766"/>
      <c r="FB30" s="766"/>
      <c r="FC30" s="766"/>
      <c r="FD30" s="766"/>
      <c r="FE30" s="766"/>
      <c r="FF30" s="766"/>
      <c r="FG30" s="766"/>
      <c r="FH30" s="766"/>
      <c r="FI30" s="766"/>
      <c r="FJ30" s="766"/>
      <c r="FK30" s="766"/>
      <c r="FL30" s="766"/>
      <c r="FM30" s="766"/>
      <c r="FN30" s="766"/>
      <c r="FO30" s="766"/>
      <c r="FP30" s="766"/>
      <c r="FQ30" s="766"/>
      <c r="FR30" s="766"/>
      <c r="FS30" s="766"/>
      <c r="FT30" s="766"/>
      <c r="FU30" s="766"/>
      <c r="FV30" s="766"/>
      <c r="FW30" s="766"/>
      <c r="FX30" s="766"/>
      <c r="FY30" s="766"/>
      <c r="FZ30" s="766"/>
      <c r="GA30" s="766"/>
      <c r="GB30" s="766"/>
      <c r="GC30" s="766"/>
      <c r="GD30" s="766"/>
      <c r="GE30" s="766"/>
      <c r="GF30" s="766"/>
      <c r="GG30" s="766"/>
      <c r="GH30" s="766"/>
      <c r="GI30" s="766"/>
      <c r="GJ30" s="766"/>
      <c r="GK30" s="766"/>
      <c r="GL30" s="766"/>
      <c r="GM30" s="766"/>
      <c r="GN30" s="766"/>
      <c r="GO30" s="766"/>
      <c r="GP30" s="766"/>
      <c r="GQ30" s="766"/>
      <c r="GR30" s="766"/>
      <c r="GS30" s="766"/>
      <c r="GT30" s="766"/>
      <c r="GU30" s="766"/>
      <c r="GV30" s="780"/>
      <c r="GW30" s="766"/>
      <c r="GX30" s="766"/>
      <c r="GY30" s="766"/>
      <c r="GZ30" s="766"/>
      <c r="HA30" s="766"/>
      <c r="HB30" s="766"/>
      <c r="HC30" s="766"/>
      <c r="HD30" s="766"/>
      <c r="HE30" s="766"/>
      <c r="HF30" s="766"/>
      <c r="HG30" s="766"/>
      <c r="HH30" s="766"/>
      <c r="HI30" s="766"/>
      <c r="HJ30" s="766"/>
      <c r="HK30" s="766"/>
      <c r="HL30" s="766"/>
      <c r="HM30" s="766"/>
      <c r="HN30" s="766"/>
      <c r="HO30" s="766"/>
      <c r="HP30" s="781"/>
      <c r="HQ30" s="781"/>
      <c r="HR30" s="781"/>
      <c r="HS30" s="781"/>
      <c r="HT30" s="781"/>
      <c r="HU30" s="781"/>
      <c r="HV30" s="781"/>
      <c r="HW30" s="781"/>
      <c r="HX30" s="781"/>
      <c r="HY30" s="781"/>
      <c r="HZ30" s="781"/>
      <c r="IA30" s="781"/>
      <c r="IB30" s="781"/>
      <c r="IC30" s="781"/>
      <c r="ID30" s="781"/>
      <c r="IE30" s="781"/>
      <c r="IF30" s="781"/>
      <c r="IG30" s="781"/>
      <c r="IH30" s="781"/>
      <c r="II30" s="781"/>
      <c r="IJ30" s="781"/>
      <c r="IK30" s="781"/>
      <c r="IL30" s="781"/>
      <c r="IM30" s="781"/>
      <c r="IN30" s="781"/>
      <c r="IO30" s="781"/>
      <c r="IP30" s="781"/>
      <c r="IQ30" s="781"/>
      <c r="IR30" s="781"/>
      <c r="IS30" s="781"/>
      <c r="IT30" s="781"/>
      <c r="IU30" s="781"/>
      <c r="IV30" s="781"/>
      <c r="IW30" s="766"/>
      <c r="IX30" s="766"/>
      <c r="IY30" s="766"/>
      <c r="IZ30" s="766"/>
      <c r="JA30" s="766"/>
      <c r="JB30" s="766"/>
      <c r="JC30" s="766"/>
      <c r="JD30" s="766"/>
      <c r="JE30" s="766"/>
      <c r="JF30" s="766"/>
      <c r="JG30" s="781"/>
      <c r="JH30" s="781" t="s">
        <v>5016</v>
      </c>
      <c r="JI30" s="781"/>
      <c r="JJ30" s="781"/>
      <c r="JK30" s="781"/>
      <c r="JL30" s="781"/>
      <c r="JM30" s="781"/>
      <c r="JN30" s="781"/>
      <c r="JO30" s="781"/>
      <c r="JP30" s="781"/>
      <c r="JQ30" s="781"/>
      <c r="JR30" s="781"/>
      <c r="JS30" s="781"/>
      <c r="JT30" s="781"/>
      <c r="JU30" s="781"/>
      <c r="JV30" s="781"/>
      <c r="JW30" s="781"/>
      <c r="JX30" s="781"/>
      <c r="JY30" s="781"/>
      <c r="JZ30" s="781"/>
      <c r="KA30" s="781"/>
      <c r="KB30" s="781"/>
      <c r="KC30" s="781"/>
      <c r="KD30" s="781"/>
      <c r="KE30" s="781"/>
      <c r="KF30" s="781"/>
      <c r="KG30" s="781"/>
      <c r="KH30" s="781"/>
      <c r="KI30" s="781"/>
      <c r="KJ30" s="781"/>
      <c r="KK30" s="781"/>
      <c r="KL30" s="782"/>
      <c r="KM30" s="782"/>
      <c r="KN30" s="782"/>
      <c r="KO30" s="776"/>
      <c r="KP30" s="776"/>
      <c r="KQ30" s="776"/>
      <c r="KR30" s="776"/>
      <c r="KS30" s="776"/>
      <c r="KT30" s="776"/>
      <c r="KU30" s="776"/>
      <c r="KV30" s="776"/>
      <c r="KW30" s="776"/>
      <c r="KX30" s="776"/>
      <c r="KY30" s="776"/>
      <c r="MM30" s="783"/>
      <c r="MN30" s="784"/>
      <c r="NZ30" s="785"/>
      <c r="SG30" s="758"/>
    </row>
    <row r="31" spans="4:501" ht="12.65" customHeight="1" x14ac:dyDescent="0.35">
      <c r="D31" s="758"/>
      <c r="K31" s="761"/>
      <c r="L31" s="761"/>
      <c r="M31" s="761"/>
      <c r="N31" s="761"/>
      <c r="O31" s="761"/>
      <c r="P31" s="761"/>
      <c r="Q31" s="761"/>
      <c r="R31" s="761"/>
      <c r="S31" s="761"/>
      <c r="DV31" s="763"/>
      <c r="DX31" s="761"/>
      <c r="DY31" s="761"/>
      <c r="EN31" s="786"/>
      <c r="FJ31" s="787"/>
      <c r="GV31" s="786"/>
      <c r="ID31" s="776"/>
      <c r="IE31" s="776"/>
      <c r="IF31" s="788"/>
      <c r="IG31" s="776"/>
      <c r="IH31" s="776"/>
      <c r="II31" s="776"/>
      <c r="IJ31" s="776"/>
      <c r="IK31" s="776"/>
      <c r="IL31" s="776"/>
      <c r="IM31" s="776"/>
      <c r="IN31" s="776"/>
      <c r="IO31" s="776"/>
      <c r="IP31" s="776"/>
      <c r="IQ31" s="776"/>
      <c r="IR31" s="776"/>
      <c r="IS31" s="776"/>
      <c r="IT31" s="776"/>
      <c r="IU31" s="776"/>
      <c r="IV31" s="776"/>
      <c r="JG31" s="776"/>
      <c r="JH31" s="776"/>
      <c r="JI31" s="776"/>
      <c r="JJ31" s="776"/>
      <c r="JK31" s="776"/>
      <c r="JL31" s="776"/>
      <c r="JM31" s="776"/>
      <c r="JN31" s="776"/>
      <c r="JO31" s="776"/>
      <c r="JP31" s="776"/>
      <c r="JQ31" s="776"/>
      <c r="JR31" s="788"/>
      <c r="JS31" s="776"/>
      <c r="JT31" s="776"/>
      <c r="JU31" s="776"/>
      <c r="JV31" s="776"/>
      <c r="JW31" s="776"/>
      <c r="JX31" s="776"/>
      <c r="JY31" s="776"/>
      <c r="JZ31" s="776"/>
      <c r="KA31" s="776"/>
      <c r="KB31" s="776"/>
      <c r="KC31" s="776"/>
      <c r="KD31" s="776"/>
      <c r="KE31" s="776"/>
      <c r="KF31" s="776"/>
      <c r="KG31" s="776"/>
      <c r="KH31" s="776"/>
      <c r="KI31" s="776"/>
      <c r="KJ31" s="776"/>
      <c r="KK31" s="776"/>
      <c r="KL31" s="776"/>
      <c r="KM31" s="776"/>
      <c r="KN31" s="789"/>
      <c r="KO31" s="776"/>
      <c r="KP31" s="776"/>
      <c r="KQ31" s="776"/>
      <c r="KR31" s="776"/>
      <c r="KS31" s="776"/>
      <c r="KT31" s="776"/>
      <c r="KU31" s="776"/>
      <c r="KV31" s="776"/>
      <c r="KW31" s="776"/>
      <c r="KX31" s="776"/>
      <c r="KY31" s="776"/>
      <c r="MN31" s="790"/>
      <c r="NZ31" s="791"/>
      <c r="SG31" s="758"/>
    </row>
    <row r="32" spans="4:501" ht="12.65" customHeight="1" x14ac:dyDescent="0.35">
      <c r="D32" s="758"/>
      <c r="K32" s="761"/>
      <c r="L32" s="761"/>
      <c r="M32" s="761"/>
      <c r="N32" s="761"/>
      <c r="O32" s="761"/>
      <c r="P32" s="761"/>
      <c r="Q32" s="761"/>
      <c r="R32" s="761"/>
      <c r="S32" s="761"/>
      <c r="DV32" s="763"/>
      <c r="DX32" s="761"/>
      <c r="DY32" s="761"/>
      <c r="EN32" s="786"/>
      <c r="FJ32" s="786"/>
      <c r="GV32" s="786"/>
      <c r="ID32" s="776"/>
      <c r="IE32" s="776"/>
      <c r="IF32" s="792"/>
      <c r="IG32" s="776"/>
      <c r="IH32" s="776"/>
      <c r="II32" s="776"/>
      <c r="IJ32" s="776"/>
      <c r="IK32" s="776"/>
      <c r="IL32" s="776"/>
      <c r="IM32" s="776"/>
      <c r="IN32" s="776"/>
      <c r="IO32" s="776"/>
      <c r="IP32" s="776"/>
      <c r="IQ32" s="776"/>
      <c r="IR32" s="776"/>
      <c r="IS32" s="776"/>
      <c r="IT32" s="776"/>
      <c r="IU32" s="776"/>
      <c r="IV32" s="776"/>
      <c r="JG32" s="776"/>
      <c r="JH32" s="776"/>
      <c r="JI32" s="776"/>
      <c r="JJ32" s="776"/>
      <c r="JK32" s="776"/>
      <c r="JL32" s="776"/>
      <c r="JM32" s="776"/>
      <c r="JN32" s="776"/>
      <c r="JO32" s="776"/>
      <c r="JP32" s="776"/>
      <c r="JQ32" s="776"/>
      <c r="JR32" s="792"/>
      <c r="JS32" s="776"/>
      <c r="JT32" s="776"/>
      <c r="JU32" s="776"/>
      <c r="JV32" s="776"/>
      <c r="JW32" s="776"/>
      <c r="JX32" s="776"/>
      <c r="JY32" s="776"/>
      <c r="JZ32" s="776"/>
      <c r="KA32" s="776"/>
      <c r="KB32" s="776"/>
      <c r="KC32" s="776"/>
      <c r="KD32" s="776"/>
      <c r="KE32" s="776"/>
      <c r="KF32" s="776"/>
      <c r="KG32" s="776"/>
      <c r="KH32" s="776"/>
      <c r="KI32" s="776"/>
      <c r="KJ32" s="776"/>
      <c r="KK32" s="776"/>
      <c r="KL32" s="776"/>
      <c r="KM32" s="776"/>
      <c r="KN32" s="789"/>
      <c r="KO32" s="776"/>
      <c r="KP32" s="776"/>
      <c r="KQ32" s="776"/>
      <c r="KR32" s="776"/>
      <c r="KS32" s="776"/>
      <c r="KT32" s="776"/>
      <c r="KU32" s="776"/>
      <c r="KV32" s="776"/>
      <c r="KW32" s="776"/>
      <c r="KX32" s="776"/>
      <c r="KY32" s="776"/>
      <c r="MN32" s="790"/>
      <c r="NZ32" s="791"/>
      <c r="SG32" s="758"/>
    </row>
    <row r="33" spans="4:501" ht="12.65" customHeight="1" x14ac:dyDescent="0.35">
      <c r="D33" s="758"/>
      <c r="K33" s="761"/>
      <c r="L33" s="761"/>
      <c r="M33" s="761"/>
      <c r="N33" s="761"/>
      <c r="O33" s="761"/>
      <c r="P33" s="761"/>
      <c r="Q33" s="761"/>
      <c r="R33" s="761"/>
      <c r="S33" s="761"/>
      <c r="DV33" s="763"/>
      <c r="DX33" s="761"/>
      <c r="DY33" s="761"/>
      <c r="EN33" s="786"/>
      <c r="FJ33" s="786"/>
      <c r="GV33" s="786"/>
      <c r="ID33" s="776"/>
      <c r="IE33" s="776"/>
      <c r="IF33" s="792"/>
      <c r="IG33" s="776"/>
      <c r="IH33" s="776"/>
      <c r="II33" s="776"/>
      <c r="IJ33" s="776"/>
      <c r="IK33" s="776"/>
      <c r="IL33" s="776"/>
      <c r="IM33" s="776"/>
      <c r="IN33" s="776"/>
      <c r="IO33" s="776"/>
      <c r="IP33" s="776"/>
      <c r="IQ33" s="776"/>
      <c r="IR33" s="776"/>
      <c r="IS33" s="776"/>
      <c r="IT33" s="776"/>
      <c r="IU33" s="776"/>
      <c r="IV33" s="776"/>
      <c r="JG33" s="776"/>
      <c r="JH33" s="776"/>
      <c r="JI33" s="776"/>
      <c r="JJ33" s="776"/>
      <c r="JK33" s="776"/>
      <c r="JL33" s="776"/>
      <c r="JM33" s="776"/>
      <c r="JN33" s="776"/>
      <c r="JO33" s="776"/>
      <c r="JP33" s="776"/>
      <c r="JQ33" s="776"/>
      <c r="JR33" s="792"/>
      <c r="JS33" s="776"/>
      <c r="JT33" s="776"/>
      <c r="JU33" s="776"/>
      <c r="JV33" s="776"/>
      <c r="JW33" s="776"/>
      <c r="JX33" s="776"/>
      <c r="JY33" s="776"/>
      <c r="JZ33" s="776"/>
      <c r="KA33" s="776"/>
      <c r="KB33" s="776"/>
      <c r="KC33" s="776"/>
      <c r="KD33" s="776"/>
      <c r="KE33" s="776"/>
      <c r="KF33" s="776"/>
      <c r="KG33" s="776"/>
      <c r="KH33" s="776"/>
      <c r="KI33" s="776"/>
      <c r="KJ33" s="776"/>
      <c r="KK33" s="776"/>
      <c r="KL33" s="776"/>
      <c r="KM33" s="776"/>
      <c r="KN33" s="789"/>
      <c r="KO33" s="776"/>
      <c r="KP33" s="776"/>
      <c r="KQ33" s="776"/>
      <c r="KR33" s="776"/>
      <c r="KS33" s="776"/>
      <c r="KT33" s="776"/>
      <c r="KU33" s="776"/>
      <c r="KV33" s="776"/>
      <c r="KW33" s="776"/>
      <c r="KX33" s="776"/>
      <c r="KY33" s="776"/>
      <c r="MN33" s="790"/>
      <c r="MU33" s="793"/>
      <c r="MV33" s="794"/>
      <c r="MW33" s="794"/>
      <c r="MX33" s="794"/>
      <c r="MY33" s="794"/>
      <c r="MZ33" s="1656" t="s">
        <v>5323</v>
      </c>
      <c r="NA33" s="1657"/>
      <c r="NB33" s="1657"/>
      <c r="NC33" s="1657"/>
      <c r="ND33" s="1657"/>
      <c r="NE33" s="1657"/>
      <c r="NF33" s="1658"/>
      <c r="NZ33" s="791"/>
      <c r="SG33" s="758"/>
    </row>
    <row r="34" spans="4:501" ht="12.65" customHeight="1" x14ac:dyDescent="0.35">
      <c r="D34" s="758"/>
      <c r="K34" s="761"/>
      <c r="L34" s="761"/>
      <c r="M34" s="761"/>
      <c r="N34" s="761"/>
      <c r="O34" s="761"/>
      <c r="P34" s="761"/>
      <c r="Q34" s="761"/>
      <c r="R34" s="761"/>
      <c r="S34" s="761"/>
      <c r="DV34" s="763"/>
      <c r="DX34" s="761"/>
      <c r="DY34" s="761"/>
      <c r="EN34" s="786"/>
      <c r="FJ34" s="786"/>
      <c r="GV34" s="786"/>
      <c r="ID34" s="776"/>
      <c r="IE34" s="776"/>
      <c r="IF34" s="792"/>
      <c r="IG34" s="776"/>
      <c r="IH34" s="776"/>
      <c r="II34" s="776"/>
      <c r="IJ34" s="776"/>
      <c r="IK34" s="776"/>
      <c r="IL34" s="776"/>
      <c r="IM34" s="776"/>
      <c r="IN34" s="776"/>
      <c r="IO34" s="776"/>
      <c r="IP34" s="776"/>
      <c r="IQ34" s="776"/>
      <c r="IR34" s="776"/>
      <c r="IS34" s="776"/>
      <c r="IT34" s="776"/>
      <c r="IU34" s="776"/>
      <c r="IV34" s="776"/>
      <c r="JG34" s="776"/>
      <c r="JH34" s="776"/>
      <c r="JI34" s="776"/>
      <c r="JJ34" s="776"/>
      <c r="JK34" s="776"/>
      <c r="JL34" s="776"/>
      <c r="JM34" s="776"/>
      <c r="JN34" s="776"/>
      <c r="JO34" s="776"/>
      <c r="JP34" s="776"/>
      <c r="JQ34" s="776"/>
      <c r="JR34" s="792"/>
      <c r="JS34" s="776"/>
      <c r="JT34" s="776"/>
      <c r="JU34" s="776"/>
      <c r="JV34" s="776"/>
      <c r="JW34" s="776"/>
      <c r="JX34" s="776"/>
      <c r="JY34" s="776"/>
      <c r="JZ34" s="776"/>
      <c r="KA34" s="776"/>
      <c r="KB34" s="776"/>
      <c r="KC34" s="776"/>
      <c r="KD34" s="776"/>
      <c r="KE34" s="776"/>
      <c r="KF34" s="776"/>
      <c r="KG34" s="776"/>
      <c r="KH34" s="776"/>
      <c r="KI34" s="776"/>
      <c r="KJ34" s="776"/>
      <c r="KK34" s="776"/>
      <c r="KL34" s="776"/>
      <c r="KM34" s="776"/>
      <c r="KN34" s="789"/>
      <c r="KO34" s="776"/>
      <c r="KP34" s="776"/>
      <c r="KQ34" s="776"/>
      <c r="KR34" s="776"/>
      <c r="KS34" s="776"/>
      <c r="KT34" s="776"/>
      <c r="KU34" s="776"/>
      <c r="KV34" s="776"/>
      <c r="KW34" s="776"/>
      <c r="KX34" s="776"/>
      <c r="KY34" s="776"/>
      <c r="MN34" s="790"/>
      <c r="MU34" s="795"/>
      <c r="NF34" s="796"/>
      <c r="NZ34" s="791"/>
      <c r="SG34" s="758"/>
    </row>
    <row r="35" spans="4:501" ht="12.65" customHeight="1" x14ac:dyDescent="0.35">
      <c r="D35" s="758"/>
      <c r="K35" s="761"/>
      <c r="L35" s="761"/>
      <c r="M35" s="761"/>
      <c r="N35" s="761"/>
      <c r="O35" s="761"/>
      <c r="P35" s="761"/>
      <c r="Q35" s="761"/>
      <c r="R35" s="761"/>
      <c r="S35" s="761"/>
      <c r="DV35" s="763"/>
      <c r="DX35" s="761"/>
      <c r="DY35" s="761"/>
      <c r="EN35" s="786"/>
      <c r="FJ35" s="786"/>
      <c r="GV35" s="786"/>
      <c r="IF35" s="786"/>
      <c r="JM35" s="776"/>
      <c r="JN35" s="776"/>
      <c r="JO35" s="776"/>
      <c r="JP35" s="776"/>
      <c r="JQ35" s="776"/>
      <c r="JR35" s="792"/>
      <c r="JS35" s="776"/>
      <c r="JT35" s="776"/>
      <c r="JU35" s="776"/>
      <c r="JV35" s="776"/>
      <c r="JW35" s="776"/>
      <c r="JX35" s="776"/>
      <c r="JY35" s="776"/>
      <c r="JZ35" s="776"/>
      <c r="KA35" s="776"/>
      <c r="KB35" s="776"/>
      <c r="KC35" s="776"/>
      <c r="KD35" s="776"/>
      <c r="KE35" s="776"/>
      <c r="KF35" s="776"/>
      <c r="KG35" s="776"/>
      <c r="KH35" s="776"/>
      <c r="KI35" s="776"/>
      <c r="KJ35" s="776"/>
      <c r="KK35" s="776"/>
      <c r="KL35" s="776"/>
      <c r="KM35" s="776"/>
      <c r="KN35" s="789"/>
      <c r="KO35" s="776"/>
      <c r="KP35" s="776"/>
      <c r="KQ35" s="776"/>
      <c r="KR35" s="776"/>
      <c r="KS35" s="776"/>
      <c r="KT35" s="797"/>
      <c r="KU35" s="776"/>
      <c r="KV35" s="776"/>
      <c r="KW35" s="776"/>
      <c r="KX35" s="776"/>
      <c r="KY35" s="776"/>
      <c r="KZ35" s="776"/>
      <c r="LA35" s="776"/>
      <c r="LB35" s="776"/>
      <c r="LC35" s="798"/>
      <c r="LD35" s="798"/>
      <c r="LE35" s="798"/>
      <c r="LF35" s="798"/>
      <c r="LG35" s="798"/>
      <c r="LH35" s="798"/>
      <c r="MN35" s="790"/>
      <c r="MO35" s="765"/>
      <c r="MP35" s="766"/>
      <c r="MQ35" s="766"/>
      <c r="MR35" s="766"/>
      <c r="MS35" s="766"/>
      <c r="MT35" s="766"/>
      <c r="MU35" s="799"/>
      <c r="MV35" s="800">
        <v>0.5</v>
      </c>
      <c r="MW35" s="1488" t="s">
        <v>5018</v>
      </c>
      <c r="MX35" s="1489"/>
      <c r="MY35" s="1489"/>
      <c r="MZ35" s="1489"/>
      <c r="NA35" s="1489"/>
      <c r="NB35" s="1489"/>
      <c r="NC35" s="1489"/>
      <c r="ND35" s="1489"/>
      <c r="NE35" s="1490"/>
      <c r="NF35" s="796"/>
      <c r="NZ35" s="791"/>
      <c r="SG35" s="758"/>
    </row>
    <row r="36" spans="4:501" ht="12.65" customHeight="1" x14ac:dyDescent="0.35">
      <c r="D36" s="758"/>
      <c r="K36" s="761"/>
      <c r="L36" s="761"/>
      <c r="M36" s="761"/>
      <c r="N36" s="761"/>
      <c r="O36" s="761"/>
      <c r="P36" s="761"/>
      <c r="Q36" s="761"/>
      <c r="R36" s="761"/>
      <c r="S36" s="761"/>
      <c r="BS36" s="801"/>
      <c r="BT36" s="802"/>
      <c r="BU36" s="802"/>
      <c r="BV36" s="802"/>
      <c r="BW36" s="802"/>
      <c r="BX36" s="802"/>
      <c r="BY36" s="802"/>
      <c r="BZ36" s="802"/>
      <c r="CA36" s="802"/>
      <c r="CB36" s="802"/>
      <c r="CC36" s="802"/>
      <c r="CD36" s="802"/>
      <c r="CE36" s="802"/>
      <c r="CF36" s="802"/>
      <c r="CG36" s="802"/>
      <c r="CH36" s="802"/>
      <c r="CI36" s="802"/>
      <c r="CJ36" s="802"/>
      <c r="CK36" s="802"/>
      <c r="CL36" s="802"/>
      <c r="CM36" s="802"/>
      <c r="CN36" s="802"/>
      <c r="CO36" s="802"/>
      <c r="CP36" s="802"/>
      <c r="CQ36" s="802"/>
      <c r="CR36" s="802"/>
      <c r="CS36" s="802"/>
      <c r="CT36" s="802"/>
      <c r="CU36" s="802"/>
      <c r="CV36" s="802"/>
      <c r="CW36" s="802"/>
      <c r="CX36" s="802"/>
      <c r="CY36" s="802"/>
      <c r="CZ36" s="802"/>
      <c r="DA36" s="802"/>
      <c r="DB36" s="802"/>
      <c r="DC36" s="802"/>
      <c r="DD36" s="802"/>
      <c r="DE36" s="802"/>
      <c r="DF36" s="802"/>
      <c r="DG36" s="802"/>
      <c r="DH36" s="802"/>
      <c r="DI36" s="802"/>
      <c r="DJ36" s="802"/>
      <c r="DK36" s="802"/>
      <c r="DL36" s="802"/>
      <c r="DM36" s="802"/>
      <c r="DN36" s="802"/>
      <c r="DO36" s="802"/>
      <c r="DP36" s="802"/>
      <c r="DQ36" s="802"/>
      <c r="DR36" s="802"/>
      <c r="DS36" s="802"/>
      <c r="DT36" s="802"/>
      <c r="DU36" s="802"/>
      <c r="DV36" s="803"/>
      <c r="DW36" s="802"/>
      <c r="DX36" s="804"/>
      <c r="DY36" s="804"/>
      <c r="DZ36" s="802"/>
      <c r="EA36" s="802"/>
      <c r="EB36" s="802"/>
      <c r="EC36" s="802"/>
      <c r="ED36" s="802"/>
      <c r="EE36" s="802"/>
      <c r="EF36" s="802"/>
      <c r="EG36" s="802"/>
      <c r="EH36" s="802"/>
      <c r="EI36" s="802"/>
      <c r="EJ36" s="802"/>
      <c r="EK36" s="802"/>
      <c r="EL36" s="802"/>
      <c r="EM36" s="802"/>
      <c r="EN36" s="805"/>
      <c r="EO36" s="802"/>
      <c r="EP36" s="802"/>
      <c r="EQ36" s="802"/>
      <c r="ER36" s="802"/>
      <c r="ES36" s="802"/>
      <c r="ET36" s="802"/>
      <c r="EU36" s="802"/>
      <c r="EV36" s="802"/>
      <c r="EW36" s="802"/>
      <c r="EX36" s="802"/>
      <c r="EY36" s="802"/>
      <c r="EZ36" s="802"/>
      <c r="FA36" s="802"/>
      <c r="FB36" s="802"/>
      <c r="FC36" s="802"/>
      <c r="FD36" s="802"/>
      <c r="FE36" s="802"/>
      <c r="FF36" s="802"/>
      <c r="FG36" s="802"/>
      <c r="FH36" s="802"/>
      <c r="FI36" s="802"/>
      <c r="FJ36" s="805"/>
      <c r="FK36" s="802"/>
      <c r="FL36" s="802"/>
      <c r="FM36" s="802"/>
      <c r="FN36" s="802"/>
      <c r="FO36" s="802"/>
      <c r="FP36" s="802"/>
      <c r="FQ36" s="802"/>
      <c r="FR36" s="802"/>
      <c r="FS36" s="802"/>
      <c r="FT36" s="802"/>
      <c r="FU36" s="802"/>
      <c r="FV36" s="802"/>
      <c r="FW36" s="802"/>
      <c r="FX36" s="802"/>
      <c r="FY36" s="802"/>
      <c r="FZ36" s="802"/>
      <c r="GA36" s="802"/>
      <c r="GB36" s="802"/>
      <c r="GC36" s="802"/>
      <c r="GD36" s="802"/>
      <c r="GE36" s="802"/>
      <c r="GF36" s="802"/>
      <c r="GG36" s="802"/>
      <c r="GH36" s="802"/>
      <c r="GI36" s="802"/>
      <c r="GJ36" s="802"/>
      <c r="GK36" s="802"/>
      <c r="GL36" s="802"/>
      <c r="GM36" s="802"/>
      <c r="GN36" s="802"/>
      <c r="GO36" s="802"/>
      <c r="GP36" s="802"/>
      <c r="GQ36" s="802"/>
      <c r="GR36" s="802"/>
      <c r="GS36" s="802"/>
      <c r="GT36" s="802"/>
      <c r="GU36" s="802"/>
      <c r="GV36" s="805"/>
      <c r="GW36" s="802"/>
      <c r="GX36" s="802"/>
      <c r="GY36" s="802"/>
      <c r="GZ36" s="802"/>
      <c r="HA36" s="802"/>
      <c r="HB36" s="802"/>
      <c r="HC36" s="802"/>
      <c r="HD36" s="802"/>
      <c r="HE36" s="802"/>
      <c r="HF36" s="802"/>
      <c r="HG36" s="802"/>
      <c r="HH36" s="802"/>
      <c r="HI36" s="802"/>
      <c r="HJ36" s="802"/>
      <c r="HK36" s="802"/>
      <c r="HL36" s="802"/>
      <c r="HM36" s="802"/>
      <c r="HN36" s="802"/>
      <c r="HO36" s="802"/>
      <c r="HP36" s="802"/>
      <c r="HQ36" s="802"/>
      <c r="HR36" s="802"/>
      <c r="HS36" s="802"/>
      <c r="HT36" s="802"/>
      <c r="HU36" s="802"/>
      <c r="HV36" s="802"/>
      <c r="HW36" s="802"/>
      <c r="HX36" s="802"/>
      <c r="HY36" s="802"/>
      <c r="HZ36" s="802"/>
      <c r="IA36" s="802"/>
      <c r="IB36" s="802"/>
      <c r="IC36" s="802"/>
      <c r="ID36" s="802"/>
      <c r="IE36" s="802"/>
      <c r="IF36" s="805"/>
      <c r="IG36" s="802"/>
      <c r="IH36" s="802"/>
      <c r="II36" s="802"/>
      <c r="IJ36" s="802"/>
      <c r="IK36" s="802"/>
      <c r="IL36" s="802"/>
      <c r="IM36" s="802"/>
      <c r="IN36" s="802"/>
      <c r="IO36" s="802"/>
      <c r="IP36" s="802"/>
      <c r="IQ36" s="802"/>
      <c r="IR36" s="802"/>
      <c r="IS36" s="802"/>
      <c r="IT36" s="802"/>
      <c r="IU36" s="802"/>
      <c r="IV36" s="802"/>
      <c r="IW36" s="802"/>
      <c r="IX36" s="802"/>
      <c r="IY36" s="802"/>
      <c r="IZ36" s="802"/>
      <c r="JA36" s="802"/>
      <c r="JB36" s="802"/>
      <c r="JC36" s="802"/>
      <c r="JD36" s="802"/>
      <c r="JE36" s="802"/>
      <c r="JF36" s="802"/>
      <c r="JG36" s="802"/>
      <c r="JH36" s="802"/>
      <c r="JI36" s="802"/>
      <c r="JJ36" s="802"/>
      <c r="JK36" s="802"/>
      <c r="JL36" s="802"/>
      <c r="JM36" s="806"/>
      <c r="JN36" s="806"/>
      <c r="JO36" s="806"/>
      <c r="JP36" s="806"/>
      <c r="JQ36" s="806"/>
      <c r="JR36" s="807"/>
      <c r="JS36" s="806"/>
      <c r="JT36" s="806"/>
      <c r="JU36" s="806"/>
      <c r="JV36" s="806"/>
      <c r="JW36" s="806"/>
      <c r="JX36" s="806"/>
      <c r="JY36" s="806"/>
      <c r="JZ36" s="806"/>
      <c r="KA36" s="806"/>
      <c r="KB36" s="806"/>
      <c r="KC36" s="806"/>
      <c r="KD36" s="806"/>
      <c r="KE36" s="806"/>
      <c r="KF36" s="806"/>
      <c r="KG36" s="806"/>
      <c r="KH36" s="806"/>
      <c r="KI36" s="806"/>
      <c r="KJ36" s="806"/>
      <c r="KK36" s="806"/>
      <c r="KL36" s="806"/>
      <c r="KM36" s="806"/>
      <c r="KN36" s="808"/>
      <c r="KO36" s="806"/>
      <c r="KP36" s="806"/>
      <c r="KQ36" s="806"/>
      <c r="KR36" s="806"/>
      <c r="KS36" s="806"/>
      <c r="KT36" s="806"/>
      <c r="KU36" s="806"/>
      <c r="KV36" s="806"/>
      <c r="KW36" s="806"/>
      <c r="KX36" s="806"/>
      <c r="KY36" s="806"/>
      <c r="KZ36" s="806"/>
      <c r="LA36" s="806"/>
      <c r="LB36" s="806"/>
      <c r="LH36" s="809"/>
      <c r="MN36" s="790"/>
      <c r="MU36" s="795"/>
      <c r="MV36" s="1482" t="s">
        <v>83</v>
      </c>
      <c r="MW36" s="1510"/>
      <c r="MX36" s="1510"/>
      <c r="MY36" s="1510"/>
      <c r="MZ36" s="1510"/>
      <c r="NA36" s="1510"/>
      <c r="NB36" s="1510"/>
      <c r="NC36" s="1510"/>
      <c r="ND36" s="1510"/>
      <c r="NE36" s="1511"/>
      <c r="NF36" s="796"/>
      <c r="NZ36" s="791"/>
      <c r="SG36" s="758"/>
    </row>
    <row r="37" spans="4:501" ht="12.75" customHeight="1" x14ac:dyDescent="0.35">
      <c r="D37" s="758"/>
      <c r="K37" s="761"/>
      <c r="L37" s="761"/>
      <c r="M37" s="761"/>
      <c r="N37" s="761"/>
      <c r="O37" s="761"/>
      <c r="P37" s="761"/>
      <c r="Q37" s="761"/>
      <c r="R37" s="761"/>
      <c r="S37" s="761"/>
      <c r="BS37" s="810"/>
      <c r="DV37" s="763"/>
      <c r="DX37" s="761"/>
      <c r="DY37" s="761"/>
      <c r="EN37" s="786"/>
      <c r="FJ37" s="786"/>
      <c r="GV37" s="786"/>
      <c r="IF37" s="786"/>
      <c r="JM37" s="776"/>
      <c r="JN37" s="776"/>
      <c r="JO37" s="776"/>
      <c r="JP37" s="776"/>
      <c r="JQ37" s="776"/>
      <c r="JR37" s="792"/>
      <c r="JS37" s="776"/>
      <c r="JT37" s="776"/>
      <c r="JU37" s="776"/>
      <c r="JV37" s="776"/>
      <c r="JW37" s="776"/>
      <c r="JX37" s="776"/>
      <c r="JY37" s="776"/>
      <c r="JZ37" s="776"/>
      <c r="KA37" s="776"/>
      <c r="KB37" s="776"/>
      <c r="KC37" s="776"/>
      <c r="KD37" s="776"/>
      <c r="KE37" s="776"/>
      <c r="KF37" s="776"/>
      <c r="KG37" s="776"/>
      <c r="KH37" s="776"/>
      <c r="KI37" s="776"/>
      <c r="KJ37" s="776"/>
      <c r="KK37" s="776"/>
      <c r="KL37" s="776"/>
      <c r="KM37" s="776"/>
      <c r="KN37" s="789"/>
      <c r="KO37" s="776"/>
      <c r="KP37" s="776"/>
      <c r="KQ37" s="776"/>
      <c r="KR37" s="776"/>
      <c r="KS37" s="776"/>
      <c r="KT37" s="776"/>
      <c r="KU37" s="776"/>
      <c r="KV37" s="776"/>
      <c r="KW37" s="776"/>
      <c r="KX37" s="776"/>
      <c r="KY37" s="776"/>
      <c r="KZ37" s="776"/>
      <c r="LA37" s="776"/>
      <c r="LB37" s="776"/>
      <c r="LH37" s="811"/>
      <c r="MN37" s="790"/>
      <c r="MU37" s="812"/>
      <c r="MV37" s="813"/>
      <c r="MW37" s="813"/>
      <c r="MX37" s="813"/>
      <c r="MY37" s="813"/>
      <c r="MZ37" s="813"/>
      <c r="NA37" s="813"/>
      <c r="NB37" s="813"/>
      <c r="NC37" s="813"/>
      <c r="ND37" s="813"/>
      <c r="NE37" s="813"/>
      <c r="NF37" s="814"/>
      <c r="NZ37" s="791"/>
      <c r="SG37" s="758"/>
    </row>
    <row r="38" spans="4:501" ht="12.75" customHeight="1" x14ac:dyDescent="0.35">
      <c r="D38" s="758"/>
      <c r="K38" s="761"/>
      <c r="L38" s="761"/>
      <c r="M38" s="761"/>
      <c r="N38" s="761"/>
      <c r="O38" s="761"/>
      <c r="P38" s="761"/>
      <c r="Q38" s="761"/>
      <c r="R38" s="761"/>
      <c r="S38" s="761"/>
      <c r="BS38" s="810"/>
      <c r="DV38" s="763"/>
      <c r="DX38" s="761"/>
      <c r="DY38" s="761"/>
      <c r="EN38" s="786"/>
      <c r="FJ38" s="786"/>
      <c r="GV38" s="786"/>
      <c r="IF38" s="786"/>
      <c r="JM38" s="776"/>
      <c r="JN38" s="776"/>
      <c r="JO38" s="776"/>
      <c r="JP38" s="776"/>
      <c r="JQ38" s="776"/>
      <c r="JR38" s="792"/>
      <c r="JS38" s="776"/>
      <c r="JT38" s="776"/>
      <c r="JU38" s="776"/>
      <c r="JV38" s="776"/>
      <c r="JW38" s="776"/>
      <c r="JX38" s="776"/>
      <c r="JY38" s="776"/>
      <c r="JZ38" s="776"/>
      <c r="KA38" s="776"/>
      <c r="KL38" s="776"/>
      <c r="KM38" s="776"/>
      <c r="KN38" s="789"/>
      <c r="KO38" s="776"/>
      <c r="KP38" s="776"/>
      <c r="KQ38" s="776"/>
      <c r="KR38" s="776"/>
      <c r="KS38" s="776"/>
      <c r="KT38" s="776"/>
      <c r="KU38" s="776"/>
      <c r="KV38" s="776"/>
      <c r="KW38" s="776"/>
      <c r="KX38" s="776"/>
      <c r="KY38" s="776"/>
      <c r="KZ38" s="776"/>
      <c r="LA38" s="776"/>
      <c r="LB38" s="776"/>
      <c r="LH38" s="811"/>
      <c r="MN38" s="790"/>
      <c r="NZ38" s="791"/>
      <c r="SG38" s="758"/>
    </row>
    <row r="39" spans="4:501" ht="12.75" customHeight="1" x14ac:dyDescent="0.35">
      <c r="D39" s="758"/>
      <c r="BS39" s="810"/>
      <c r="DV39" s="763"/>
      <c r="DX39" s="761"/>
      <c r="DY39" s="761"/>
      <c r="EN39" s="786"/>
      <c r="FJ39" s="786"/>
      <c r="GV39" s="786"/>
      <c r="IF39" s="786"/>
      <c r="JM39" s="776"/>
      <c r="JN39" s="776"/>
      <c r="JO39" s="776"/>
      <c r="JP39" s="776"/>
      <c r="JQ39" s="776"/>
      <c r="JR39" s="792"/>
      <c r="JS39" s="776"/>
      <c r="JT39" s="776"/>
      <c r="JU39" s="776"/>
      <c r="JV39" s="776"/>
      <c r="JW39" s="776"/>
      <c r="JX39" s="776"/>
      <c r="JY39" s="776"/>
      <c r="JZ39" s="776"/>
      <c r="KA39" s="776"/>
      <c r="KL39" s="776"/>
      <c r="KM39" s="776"/>
      <c r="KN39" s="789"/>
      <c r="KO39" s="776"/>
      <c r="KP39" s="776"/>
      <c r="KQ39" s="776"/>
      <c r="KR39" s="776"/>
      <c r="KS39" s="776"/>
      <c r="KT39" s="776"/>
      <c r="KU39" s="776"/>
      <c r="KV39" s="776"/>
      <c r="KW39" s="776"/>
      <c r="KX39" s="776"/>
      <c r="KY39" s="776"/>
      <c r="KZ39" s="776"/>
      <c r="LA39" s="776"/>
      <c r="LB39" s="776"/>
      <c r="LH39" s="811"/>
      <c r="MN39" s="790"/>
      <c r="NZ39" s="791"/>
      <c r="SG39" s="758"/>
    </row>
    <row r="40" spans="4:501" ht="12.75" customHeight="1" x14ac:dyDescent="0.35">
      <c r="D40" s="758"/>
      <c r="BS40" s="810"/>
      <c r="DV40" s="763"/>
      <c r="DX40" s="761"/>
      <c r="DY40" s="761"/>
      <c r="EN40" s="786"/>
      <c r="FJ40" s="786"/>
      <c r="GV40" s="786"/>
      <c r="IF40" s="786"/>
      <c r="JM40" s="776"/>
      <c r="JN40" s="776"/>
      <c r="JO40" s="776"/>
      <c r="JP40" s="776"/>
      <c r="JQ40" s="776"/>
      <c r="JR40" s="792"/>
      <c r="JS40" s="776"/>
      <c r="JT40" s="776"/>
      <c r="JU40" s="776"/>
      <c r="JV40" s="776"/>
      <c r="JW40" s="776"/>
      <c r="JX40" s="776"/>
      <c r="JY40" s="776"/>
      <c r="JZ40" s="776"/>
      <c r="KA40" s="776"/>
      <c r="KB40" s="776"/>
      <c r="KC40" s="776"/>
      <c r="KD40" s="776"/>
      <c r="KE40" s="776"/>
      <c r="KF40" s="776"/>
      <c r="KG40" s="776"/>
      <c r="KH40" s="776"/>
      <c r="KI40" s="776"/>
      <c r="KJ40" s="776"/>
      <c r="KK40" s="776"/>
      <c r="KL40" s="776"/>
      <c r="KM40" s="776"/>
      <c r="KN40" s="789"/>
      <c r="KO40" s="776"/>
      <c r="KP40" s="776"/>
      <c r="KQ40" s="776"/>
      <c r="KR40" s="776"/>
      <c r="KS40" s="776"/>
      <c r="KT40" s="776"/>
      <c r="KU40" s="776"/>
      <c r="KV40" s="776"/>
      <c r="KW40" s="776"/>
      <c r="KX40" s="776"/>
      <c r="KY40" s="776"/>
      <c r="KZ40" s="776"/>
      <c r="LA40" s="776"/>
      <c r="LB40" s="776"/>
      <c r="LH40" s="811"/>
      <c r="MN40" s="790"/>
      <c r="NZ40" s="791"/>
      <c r="SG40" s="758"/>
    </row>
    <row r="41" spans="4:501" ht="12.75" customHeight="1" x14ac:dyDescent="0.35">
      <c r="D41" s="758"/>
      <c r="BS41" s="810"/>
      <c r="DV41" s="763"/>
      <c r="DX41" s="761"/>
      <c r="DY41" s="761"/>
      <c r="EN41" s="786"/>
      <c r="FJ41" s="786"/>
      <c r="GV41" s="786"/>
      <c r="IF41" s="786"/>
      <c r="JM41" s="776"/>
      <c r="JN41" s="776"/>
      <c r="JO41" s="776"/>
      <c r="JP41" s="776"/>
      <c r="JQ41" s="776"/>
      <c r="JR41" s="792"/>
      <c r="JS41" s="776"/>
      <c r="JT41" s="776"/>
      <c r="JU41" s="776"/>
      <c r="JV41" s="776"/>
      <c r="JW41" s="776"/>
      <c r="JX41" s="776"/>
      <c r="JY41" s="776"/>
      <c r="JZ41" s="776"/>
      <c r="KA41" s="776"/>
      <c r="KB41" s="776"/>
      <c r="KC41" s="776"/>
      <c r="KD41" s="776"/>
      <c r="KE41" s="776"/>
      <c r="KF41" s="776"/>
      <c r="KG41" s="776"/>
      <c r="KH41" s="776"/>
      <c r="KI41" s="776"/>
      <c r="KJ41" s="776"/>
      <c r="KK41" s="776"/>
      <c r="KL41" s="776"/>
      <c r="KM41" s="776"/>
      <c r="KN41" s="789"/>
      <c r="KO41" s="776"/>
      <c r="KP41" s="776"/>
      <c r="KQ41" s="776"/>
      <c r="KR41" s="776"/>
      <c r="KS41" s="776"/>
      <c r="KT41" s="776"/>
      <c r="KU41" s="776"/>
      <c r="KV41" s="776"/>
      <c r="KW41" s="776"/>
      <c r="KX41" s="776"/>
      <c r="KY41" s="776"/>
      <c r="KZ41" s="776"/>
      <c r="LA41" s="776"/>
      <c r="LB41" s="776"/>
      <c r="LH41" s="811"/>
      <c r="MN41" s="790"/>
      <c r="NE41" s="815">
        <f>SUM(MJ47,LY53,LY55,LY57,LY59,MJ50,MJ52,MJ54,MJ56,MJ58,MJ60,MJ62,MJ64,MJ66,MJ68,MU53,MU55,MU57,LY61+MV35)</f>
        <v>17.5</v>
      </c>
      <c r="NZ41" s="791"/>
      <c r="OQ41" s="815">
        <f>OF54+OF57+OF59+OF61+OF63+NT63+NN54</f>
        <v>6.5</v>
      </c>
      <c r="SG41" s="758"/>
    </row>
    <row r="42" spans="4:501" ht="12.75" customHeight="1" x14ac:dyDescent="0.35">
      <c r="D42" s="758"/>
      <c r="BS42" s="810"/>
      <c r="DV42" s="763"/>
      <c r="DX42" s="761"/>
      <c r="DY42" s="761"/>
      <c r="EN42" s="816"/>
      <c r="ES42" s="817"/>
      <c r="FJ42" s="786"/>
      <c r="FO42" s="817">
        <f>SUM(FF43,GR50)</f>
        <v>21</v>
      </c>
      <c r="GV42" s="786"/>
      <c r="IF42" s="786"/>
      <c r="JM42" s="776"/>
      <c r="JN42" s="776"/>
      <c r="JO42" s="776"/>
      <c r="JP42" s="776"/>
      <c r="JQ42" s="776"/>
      <c r="JR42" s="792"/>
      <c r="JS42" s="776"/>
      <c r="JT42" s="776"/>
      <c r="JU42" s="776"/>
      <c r="JV42" s="776"/>
      <c r="JW42" s="776"/>
      <c r="JX42" s="776"/>
      <c r="JY42" s="776"/>
      <c r="KJ42" s="776"/>
      <c r="KK42" s="776"/>
      <c r="KL42" s="776"/>
      <c r="KM42" s="776"/>
      <c r="KN42" s="818"/>
      <c r="KO42" s="776"/>
      <c r="KP42" s="776"/>
      <c r="KQ42" s="776"/>
      <c r="KR42" s="776"/>
      <c r="KS42" s="819">
        <f>SUM(KJ43,KM53,LA53)</f>
        <v>6.5</v>
      </c>
      <c r="KT42" s="776"/>
      <c r="KU42" s="776"/>
      <c r="KV42" s="776"/>
      <c r="KW42" s="776"/>
      <c r="KX42" s="776"/>
      <c r="KY42" s="776"/>
      <c r="KZ42" s="776"/>
      <c r="LA42" s="776"/>
      <c r="LB42" s="776"/>
      <c r="LH42" s="811"/>
      <c r="LX42" s="801"/>
      <c r="LY42" s="802"/>
      <c r="LZ42" s="802"/>
      <c r="MA42" s="802"/>
      <c r="MB42" s="802"/>
      <c r="MC42" s="802"/>
      <c r="MD42" s="802"/>
      <c r="ME42" s="802"/>
      <c r="MF42" s="802"/>
      <c r="MG42" s="802"/>
      <c r="MH42" s="802"/>
      <c r="MI42" s="802"/>
      <c r="MJ42" s="802"/>
      <c r="MK42" s="802"/>
      <c r="ML42" s="802"/>
      <c r="MM42" s="802"/>
      <c r="MN42" s="820"/>
      <c r="MO42" s="802"/>
      <c r="MP42" s="802"/>
      <c r="MQ42" s="802"/>
      <c r="MR42" s="802"/>
      <c r="MS42" s="802"/>
      <c r="MT42" s="802"/>
      <c r="MU42" s="802"/>
      <c r="MV42" s="802"/>
      <c r="MW42" s="802"/>
      <c r="MX42" s="802"/>
      <c r="MY42" s="1656" t="s">
        <v>5324</v>
      </c>
      <c r="MZ42" s="1657"/>
      <c r="NA42" s="1657"/>
      <c r="NB42" s="1657"/>
      <c r="NC42" s="1657"/>
      <c r="ND42" s="1657"/>
      <c r="NE42" s="1658"/>
      <c r="NL42" s="801"/>
      <c r="NM42" s="802"/>
      <c r="NN42" s="802"/>
      <c r="NO42" s="802"/>
      <c r="NP42" s="802"/>
      <c r="NQ42" s="802"/>
      <c r="NR42" s="802"/>
      <c r="NS42" s="802"/>
      <c r="NT42" s="802"/>
      <c r="NU42" s="802"/>
      <c r="NV42" s="802"/>
      <c r="NW42" s="802"/>
      <c r="NX42" s="802"/>
      <c r="NY42" s="802"/>
      <c r="NZ42" s="821"/>
      <c r="OA42" s="802"/>
      <c r="OB42" s="802"/>
      <c r="OC42" s="802"/>
      <c r="OD42" s="802"/>
      <c r="OE42" s="802"/>
      <c r="OF42" s="802"/>
      <c r="OG42" s="802"/>
      <c r="OH42" s="802"/>
      <c r="OI42" s="802"/>
      <c r="OJ42" s="802"/>
      <c r="OK42" s="1656" t="s">
        <v>5325</v>
      </c>
      <c r="OL42" s="1657"/>
      <c r="OM42" s="1657"/>
      <c r="ON42" s="1657"/>
      <c r="OO42" s="1657"/>
      <c r="OP42" s="1657"/>
      <c r="OQ42" s="1658"/>
      <c r="SG42" s="758"/>
    </row>
    <row r="43" spans="4:501" ht="12.75" customHeight="1" x14ac:dyDescent="0.35">
      <c r="D43" s="758"/>
      <c r="BS43" s="810"/>
      <c r="DB43" s="769"/>
      <c r="DC43" s="769"/>
      <c r="DD43" s="769"/>
      <c r="DE43" s="769"/>
      <c r="DF43" s="769"/>
      <c r="DG43" s="769"/>
      <c r="DH43" s="769"/>
      <c r="DI43" s="769"/>
      <c r="DJ43" s="769"/>
      <c r="DK43" s="769"/>
      <c r="DL43" s="769"/>
      <c r="DM43" s="769"/>
      <c r="DN43" s="769"/>
      <c r="DO43" s="769"/>
      <c r="DP43" s="769"/>
      <c r="DQ43" s="769"/>
      <c r="DR43" s="769"/>
      <c r="DS43" s="769"/>
      <c r="DT43" s="769"/>
      <c r="DU43" s="769"/>
      <c r="DV43" s="769"/>
      <c r="DW43" s="769"/>
      <c r="DX43" s="769"/>
      <c r="DY43" s="769"/>
      <c r="DZ43" s="769"/>
      <c r="EA43" s="769"/>
      <c r="EB43" s="769"/>
      <c r="EC43" s="769"/>
      <c r="ED43" s="769"/>
      <c r="EE43" s="769"/>
      <c r="EF43" s="769"/>
      <c r="EG43" s="769"/>
      <c r="EH43" s="769"/>
      <c r="EI43" s="822"/>
      <c r="EJ43" s="777">
        <v>0.5</v>
      </c>
      <c r="EK43" s="1488" t="s">
        <v>5019</v>
      </c>
      <c r="EL43" s="1489"/>
      <c r="EM43" s="1489"/>
      <c r="EN43" s="1489"/>
      <c r="EO43" s="1489"/>
      <c r="EP43" s="1489"/>
      <c r="EQ43" s="1489"/>
      <c r="ER43" s="1489"/>
      <c r="ES43" s="1490"/>
      <c r="FF43" s="777">
        <v>1</v>
      </c>
      <c r="FG43" s="1488" t="s">
        <v>5020</v>
      </c>
      <c r="FH43" s="1489"/>
      <c r="FI43" s="1489"/>
      <c r="FJ43" s="1489"/>
      <c r="FK43" s="1489"/>
      <c r="FL43" s="1489"/>
      <c r="FM43" s="1489"/>
      <c r="FN43" s="1489"/>
      <c r="FO43" s="1490"/>
      <c r="GV43" s="786"/>
      <c r="IF43" s="786"/>
      <c r="JR43" s="786"/>
      <c r="KJ43" s="800">
        <v>0.5</v>
      </c>
      <c r="KK43" s="1653" t="s">
        <v>4842</v>
      </c>
      <c r="KL43" s="1653"/>
      <c r="KM43" s="1653"/>
      <c r="KN43" s="1653"/>
      <c r="KO43" s="1653"/>
      <c r="KP43" s="1653"/>
      <c r="KQ43" s="1653"/>
      <c r="KR43" s="1653"/>
      <c r="KS43" s="1653"/>
      <c r="LH43" s="811"/>
      <c r="LX43" s="810"/>
      <c r="MN43" s="790"/>
      <c r="NE43" s="811"/>
      <c r="NL43" s="810"/>
      <c r="NZ43" s="791"/>
      <c r="OQ43" s="811"/>
      <c r="SG43" s="758"/>
    </row>
    <row r="44" spans="4:501" ht="12.75" customHeight="1" x14ac:dyDescent="0.35">
      <c r="D44" s="758"/>
      <c r="BS44" s="810"/>
      <c r="DB44" s="823"/>
      <c r="DM44" s="824"/>
      <c r="EJ44" s="1482" t="s">
        <v>1529</v>
      </c>
      <c r="EK44" s="1510"/>
      <c r="EL44" s="1510"/>
      <c r="EM44" s="1510"/>
      <c r="EN44" s="1510"/>
      <c r="EO44" s="1510"/>
      <c r="EP44" s="1510"/>
      <c r="EQ44" s="1510"/>
      <c r="ER44" s="1510"/>
      <c r="ES44" s="1511"/>
      <c r="FF44" s="1482" t="s">
        <v>5326</v>
      </c>
      <c r="FG44" s="1510"/>
      <c r="FH44" s="1510"/>
      <c r="FI44" s="1510"/>
      <c r="FJ44" s="1510"/>
      <c r="FK44" s="1510"/>
      <c r="FL44" s="1510"/>
      <c r="FM44" s="1510"/>
      <c r="FN44" s="1510"/>
      <c r="FO44" s="1511"/>
      <c r="GV44" s="786"/>
      <c r="IF44" s="786"/>
      <c r="JR44" s="786"/>
      <c r="KJ44" s="1659" t="s">
        <v>5327</v>
      </c>
      <c r="KK44" s="1660" t="s">
        <v>4873</v>
      </c>
      <c r="KL44" s="1660"/>
      <c r="KM44" s="1660"/>
      <c r="KN44" s="1660"/>
      <c r="KO44" s="1660"/>
      <c r="KP44" s="1660"/>
      <c r="KQ44" s="1660"/>
      <c r="KR44" s="1660"/>
      <c r="KS44" s="1660"/>
      <c r="LH44" s="811"/>
      <c r="LX44" s="810"/>
      <c r="MN44" s="790"/>
      <c r="NE44" s="811"/>
      <c r="NL44" s="810"/>
      <c r="NZ44" s="791"/>
      <c r="OQ44" s="811"/>
      <c r="SG44" s="758"/>
    </row>
    <row r="45" spans="4:501" ht="12.75" customHeight="1" x14ac:dyDescent="0.35">
      <c r="D45" s="758"/>
      <c r="BQ45" s="761"/>
      <c r="BS45" s="810"/>
      <c r="DA45" s="791"/>
      <c r="FJ45" s="786"/>
      <c r="GV45" s="786"/>
      <c r="IF45" s="786"/>
      <c r="JR45" s="786"/>
      <c r="KN45" s="785"/>
      <c r="KS45" s="783"/>
      <c r="LH45" s="811"/>
      <c r="LX45" s="810"/>
      <c r="MN45" s="790"/>
      <c r="NE45" s="811"/>
      <c r="NL45" s="810"/>
      <c r="NZ45" s="791"/>
      <c r="OQ45" s="811"/>
      <c r="SG45" s="758"/>
    </row>
    <row r="46" spans="4:501" ht="12.75" customHeight="1" x14ac:dyDescent="0.35">
      <c r="D46" s="758"/>
      <c r="BS46" s="810"/>
      <c r="BX46" s="761"/>
      <c r="DA46" s="791"/>
      <c r="FJ46" s="786"/>
      <c r="GV46" s="786"/>
      <c r="IF46" s="816"/>
      <c r="JR46" s="816"/>
      <c r="JX46" s="825"/>
      <c r="KN46" s="791"/>
      <c r="LH46" s="811"/>
      <c r="LX46" s="810"/>
      <c r="MH46" s="759"/>
      <c r="MJ46" s="759"/>
      <c r="MK46" s="826"/>
      <c r="ML46" s="826"/>
      <c r="MM46" s="826"/>
      <c r="MN46" s="827"/>
      <c r="NE46" s="811"/>
      <c r="NL46" s="810"/>
      <c r="NZ46" s="791"/>
      <c r="OQ46" s="811"/>
      <c r="SG46" s="758"/>
    </row>
    <row r="47" spans="4:501" ht="12.75" customHeight="1" x14ac:dyDescent="0.35">
      <c r="D47" s="758"/>
      <c r="BS47" s="810"/>
      <c r="CB47" s="769"/>
      <c r="CC47" s="769"/>
      <c r="CD47" s="769"/>
      <c r="CE47" s="769"/>
      <c r="CF47" s="769"/>
      <c r="CG47" s="769"/>
      <c r="CH47" s="769"/>
      <c r="CI47" s="769"/>
      <c r="CJ47" s="769"/>
      <c r="CK47" s="769"/>
      <c r="CL47" s="769"/>
      <c r="CM47" s="769"/>
      <c r="CN47" s="828"/>
      <c r="CO47" s="769"/>
      <c r="CP47" s="769"/>
      <c r="CQ47" s="769"/>
      <c r="CR47" s="769"/>
      <c r="CS47" s="769"/>
      <c r="CT47" s="769"/>
      <c r="CU47" s="769"/>
      <c r="CV47" s="769"/>
      <c r="CW47" s="769"/>
      <c r="CX47" s="769"/>
      <c r="CY47" s="769"/>
      <c r="CZ47" s="769"/>
      <c r="DA47" s="829"/>
      <c r="DB47" s="769"/>
      <c r="DC47" s="769"/>
      <c r="DD47" s="769"/>
      <c r="DE47" s="769"/>
      <c r="DF47" s="769"/>
      <c r="DG47" s="769"/>
      <c r="DH47" s="769"/>
      <c r="DI47" s="769"/>
      <c r="DJ47" s="769"/>
      <c r="DK47" s="769"/>
      <c r="DL47" s="769"/>
      <c r="DM47" s="769"/>
      <c r="DN47" s="769"/>
      <c r="DO47" s="769"/>
      <c r="DP47" s="769"/>
      <c r="DQ47" s="769"/>
      <c r="DR47" s="769"/>
      <c r="DS47" s="769"/>
      <c r="DT47" s="769"/>
      <c r="DU47" s="769"/>
      <c r="DV47" s="769"/>
      <c r="DW47" s="769"/>
      <c r="DX47" s="769"/>
      <c r="DY47" s="769"/>
      <c r="DZ47" s="769"/>
      <c r="FJ47" s="786"/>
      <c r="GV47" s="786"/>
      <c r="IB47" s="777">
        <v>0.5</v>
      </c>
      <c r="IC47" s="1653" t="s">
        <v>5024</v>
      </c>
      <c r="ID47" s="1653"/>
      <c r="IE47" s="1653"/>
      <c r="IF47" s="1653"/>
      <c r="IG47" s="1653"/>
      <c r="IH47" s="1653"/>
      <c r="II47" s="1653"/>
      <c r="IJ47" s="1653"/>
      <c r="IK47" s="1653"/>
      <c r="IL47" s="830"/>
      <c r="IM47" s="831"/>
      <c r="IN47" s="831"/>
      <c r="IO47" s="831"/>
      <c r="IP47" s="831"/>
      <c r="IQ47" s="831"/>
      <c r="IR47" s="831"/>
      <c r="IS47" s="831"/>
      <c r="IT47" s="831"/>
      <c r="IU47" s="831"/>
      <c r="IV47" s="831"/>
      <c r="IW47" s="831"/>
      <c r="IX47" s="831"/>
      <c r="IY47" s="831"/>
      <c r="IZ47" s="831"/>
      <c r="JO47" s="800">
        <v>0.5</v>
      </c>
      <c r="JP47" s="1488" t="s">
        <v>5025</v>
      </c>
      <c r="JQ47" s="1489"/>
      <c r="JR47" s="1489"/>
      <c r="JS47" s="1489"/>
      <c r="JT47" s="1489"/>
      <c r="JU47" s="1489"/>
      <c r="JV47" s="1489"/>
      <c r="JW47" s="1489"/>
      <c r="JX47" s="1490"/>
      <c r="KN47" s="791"/>
      <c r="LH47" s="811"/>
      <c r="LX47" s="810"/>
      <c r="MD47" s="831"/>
      <c r="ME47" s="831"/>
      <c r="MF47" s="831"/>
      <c r="MG47" s="831"/>
      <c r="MH47" s="831"/>
      <c r="MI47" s="832"/>
      <c r="MJ47" s="833">
        <v>0.5</v>
      </c>
      <c r="MK47" s="1488" t="s">
        <v>5044</v>
      </c>
      <c r="ML47" s="1489"/>
      <c r="MM47" s="1489"/>
      <c r="MN47" s="1489"/>
      <c r="MO47" s="1489"/>
      <c r="MP47" s="1489"/>
      <c r="MQ47" s="1489"/>
      <c r="MR47" s="1489"/>
      <c r="MS47" s="1490"/>
      <c r="MT47" s="830"/>
      <c r="MU47" s="831"/>
      <c r="MV47" s="831"/>
      <c r="MW47" s="831"/>
      <c r="MX47" s="831"/>
      <c r="MY47" s="831"/>
      <c r="NE47" s="811"/>
      <c r="NL47" s="810"/>
      <c r="OA47" s="823"/>
      <c r="OQ47" s="811"/>
      <c r="SG47" s="758"/>
    </row>
    <row r="48" spans="4:501" ht="12.75" customHeight="1" x14ac:dyDescent="0.35">
      <c r="D48" s="758"/>
      <c r="BS48" s="810"/>
      <c r="CB48" s="823"/>
      <c r="CO48" s="763"/>
      <c r="CQ48" s="761"/>
      <c r="CR48" s="761"/>
      <c r="CS48" s="761"/>
      <c r="CT48" s="761"/>
      <c r="DA48" s="834"/>
      <c r="DC48" s="761"/>
      <c r="DD48" s="761"/>
      <c r="DE48" s="761"/>
      <c r="DF48" s="761"/>
      <c r="DG48" s="761"/>
      <c r="DZ48" s="834"/>
      <c r="FJ48" s="786"/>
      <c r="GV48" s="786"/>
      <c r="IB48" s="1654" t="s">
        <v>5328</v>
      </c>
      <c r="IC48" s="1655"/>
      <c r="ID48" s="1655"/>
      <c r="IE48" s="1655"/>
      <c r="IF48" s="1655"/>
      <c r="IG48" s="1655"/>
      <c r="IH48" s="1655"/>
      <c r="II48" s="1655"/>
      <c r="IJ48" s="1655"/>
      <c r="IK48" s="1655"/>
      <c r="IZ48" s="835"/>
      <c r="JO48" s="1652" t="s">
        <v>5028</v>
      </c>
      <c r="JP48" s="1510"/>
      <c r="JQ48" s="1510"/>
      <c r="JR48" s="1510"/>
      <c r="JS48" s="1510"/>
      <c r="JT48" s="1510"/>
      <c r="JU48" s="1510"/>
      <c r="JV48" s="1510"/>
      <c r="JW48" s="1510"/>
      <c r="JX48" s="1511"/>
      <c r="KN48" s="791"/>
      <c r="LH48" s="811"/>
      <c r="LX48" s="810"/>
      <c r="MC48" s="790"/>
      <c r="MI48" s="778"/>
      <c r="MJ48" s="1482" t="s">
        <v>5053</v>
      </c>
      <c r="MK48" s="1483"/>
      <c r="ML48" s="1483"/>
      <c r="MM48" s="1483"/>
      <c r="MN48" s="1483"/>
      <c r="MO48" s="1483"/>
      <c r="MP48" s="1483"/>
      <c r="MQ48" s="1483"/>
      <c r="MR48" s="1483"/>
      <c r="MS48" s="1484"/>
      <c r="MY48" s="835"/>
      <c r="NE48" s="811"/>
      <c r="NL48" s="810"/>
      <c r="NR48" s="769"/>
      <c r="NS48" s="769"/>
      <c r="NT48" s="769"/>
      <c r="NU48" s="769"/>
      <c r="NV48" s="769"/>
      <c r="NW48" s="769"/>
      <c r="NX48" s="769"/>
      <c r="NY48" s="769"/>
      <c r="NZ48" s="829"/>
      <c r="OA48" s="769"/>
      <c r="OB48" s="769"/>
      <c r="OC48" s="769"/>
      <c r="OD48" s="769"/>
      <c r="OE48" s="769"/>
      <c r="OF48" s="769"/>
      <c r="OG48" s="769"/>
      <c r="OH48" s="769"/>
      <c r="OI48" s="769"/>
      <c r="OJ48" s="769"/>
      <c r="OQ48" s="811"/>
      <c r="SG48" s="758"/>
    </row>
    <row r="49" spans="4:513" ht="12.75" customHeight="1" x14ac:dyDescent="0.35">
      <c r="D49" s="758"/>
      <c r="BS49" s="810"/>
      <c r="CB49" s="823"/>
      <c r="CN49" s="763"/>
      <c r="CO49" s="763"/>
      <c r="CQ49" s="761"/>
      <c r="CR49" s="761"/>
      <c r="CS49" s="761"/>
      <c r="CT49" s="761"/>
      <c r="DA49" s="791"/>
      <c r="DC49" s="761"/>
      <c r="DD49" s="761"/>
      <c r="DE49" s="761"/>
      <c r="DF49" s="761"/>
      <c r="DG49" s="761"/>
      <c r="DH49" s="761"/>
      <c r="DI49" s="761"/>
      <c r="DJ49" s="761"/>
      <c r="DK49" s="761"/>
      <c r="DL49" s="761"/>
      <c r="DZ49" s="791"/>
      <c r="FJ49" s="786"/>
      <c r="GV49" s="786"/>
      <c r="IF49" s="784"/>
      <c r="IZ49" s="790"/>
      <c r="KN49" s="791"/>
      <c r="LH49" s="811"/>
      <c r="LX49" s="810"/>
      <c r="MC49" s="790"/>
      <c r="MN49" s="790"/>
      <c r="MY49" s="790"/>
      <c r="NE49" s="811"/>
      <c r="NL49" s="810"/>
      <c r="NQ49" s="791"/>
      <c r="OI49" s="824"/>
      <c r="OJ49" s="834"/>
      <c r="OQ49" s="811"/>
      <c r="SG49" s="758"/>
    </row>
    <row r="50" spans="4:513" ht="12.75" customHeight="1" x14ac:dyDescent="0.35">
      <c r="D50" s="758"/>
      <c r="BS50" s="810"/>
      <c r="CB50" s="823"/>
      <c r="CI50" s="815">
        <f>SUM(BX53,BX56,BX58,BX60,BX62,BX64)</f>
        <v>3</v>
      </c>
      <c r="CN50" s="763"/>
      <c r="CO50" s="763"/>
      <c r="CQ50" s="761"/>
      <c r="CR50" s="761"/>
      <c r="CS50" s="761"/>
      <c r="CT50" s="761"/>
      <c r="DA50" s="791"/>
      <c r="DC50" s="761"/>
      <c r="DD50" s="761"/>
      <c r="DE50" s="761"/>
      <c r="DF50" s="761"/>
      <c r="DG50" s="761"/>
      <c r="DH50" s="761"/>
      <c r="DI50" s="761"/>
      <c r="DJ50" s="761"/>
      <c r="DK50" s="761"/>
      <c r="DL50" s="761"/>
      <c r="DM50" s="836">
        <f>SUM(CW53,CQ56,CQ58,CQ60,DC56,DC58,CQ65,DC65,DC67,CQ67,CQ69,DC69,CQ71,DC71,CQ73,DC73,CQ78,CQ80,CQ82,CQ84,CQ86,DC78,DC80,DC82,DC84,DC86,CQ91,DC91)</f>
        <v>28</v>
      </c>
      <c r="DZ50" s="791"/>
      <c r="EF50" s="815">
        <f>SUM(DV54,DV56,DV58)</f>
        <v>1.5</v>
      </c>
      <c r="FJ50" s="786"/>
      <c r="GR50" s="815">
        <f>SUM(EU55,FF55,EP66,EP68,EP70,EP72,FA66,FA68,FA70,FA72,FL66,FL68,FL70,FL72,FW66,FW68,FW70,FW72,GH66,GH68,GH70)</f>
        <v>20</v>
      </c>
      <c r="GV50" s="786"/>
      <c r="IF50" s="790"/>
      <c r="IG50" s="761"/>
      <c r="IS50" s="815">
        <f>SUM(HW55,IH55,IH57,IH59,IH61,IH63)</f>
        <v>6</v>
      </c>
      <c r="IZ50" s="790"/>
      <c r="JH50" s="815">
        <f>SUM(IW54,IW56,IW58)</f>
        <v>3</v>
      </c>
      <c r="KH50" s="766"/>
      <c r="KI50" s="766"/>
      <c r="KJ50" s="766"/>
      <c r="KK50" s="766"/>
      <c r="KL50" s="766"/>
      <c r="KM50" s="766"/>
      <c r="KN50" s="837"/>
      <c r="KO50" s="838"/>
      <c r="KP50" s="766"/>
      <c r="KQ50" s="766"/>
      <c r="KR50" s="766"/>
      <c r="KS50" s="766"/>
      <c r="KT50" s="766"/>
      <c r="KU50" s="766"/>
      <c r="KV50" s="766"/>
      <c r="LH50" s="811"/>
      <c r="LX50" s="810"/>
      <c r="MC50" s="790"/>
      <c r="MJ50" s="648">
        <v>1</v>
      </c>
      <c r="MK50" s="1488" t="s">
        <v>5329</v>
      </c>
      <c r="ML50" s="1489"/>
      <c r="MM50" s="1489"/>
      <c r="MN50" s="1489"/>
      <c r="MO50" s="1489"/>
      <c r="MP50" s="1489"/>
      <c r="MQ50" s="1489"/>
      <c r="MR50" s="1489"/>
      <c r="MS50" s="1490"/>
      <c r="MY50" s="790"/>
      <c r="NE50" s="811"/>
      <c r="NL50" s="810"/>
      <c r="NQ50" s="791"/>
      <c r="OJ50" s="791"/>
      <c r="OQ50" s="811"/>
      <c r="SG50" s="758"/>
      <c r="SL50" s="704"/>
      <c r="SM50" s="839"/>
      <c r="SN50" s="704"/>
      <c r="SO50" s="704"/>
      <c r="SP50" s="1665"/>
      <c r="SQ50" s="1665"/>
      <c r="SR50" s="1665"/>
      <c r="SS50" s="704"/>
    </row>
    <row r="51" spans="4:513" ht="12.75" customHeight="1" x14ac:dyDescent="0.35">
      <c r="D51" s="758"/>
      <c r="BS51" s="810"/>
      <c r="BV51" s="801"/>
      <c r="BW51" s="802"/>
      <c r="BX51" s="802"/>
      <c r="BY51" s="802"/>
      <c r="BZ51" s="802"/>
      <c r="CA51" s="1656" t="s">
        <v>5330</v>
      </c>
      <c r="CB51" s="1657"/>
      <c r="CC51" s="1657"/>
      <c r="CD51" s="1657"/>
      <c r="CE51" s="1657"/>
      <c r="CF51" s="1657"/>
      <c r="CG51" s="1657"/>
      <c r="CH51" s="1657"/>
      <c r="CI51" s="1658"/>
      <c r="CP51" s="793"/>
      <c r="CQ51" s="794"/>
      <c r="CR51" s="794"/>
      <c r="CS51" s="794"/>
      <c r="CT51" s="794"/>
      <c r="CU51" s="794"/>
      <c r="CV51" s="794"/>
      <c r="CW51" s="794"/>
      <c r="CX51" s="794"/>
      <c r="CY51" s="794"/>
      <c r="CZ51" s="794"/>
      <c r="DA51" s="840"/>
      <c r="DB51" s="794"/>
      <c r="DC51" s="794"/>
      <c r="DD51" s="794"/>
      <c r="DE51" s="794"/>
      <c r="DF51" s="1669" t="s">
        <v>4847</v>
      </c>
      <c r="DG51" s="1670"/>
      <c r="DH51" s="1670"/>
      <c r="DI51" s="1670"/>
      <c r="DJ51" s="1670"/>
      <c r="DK51" s="1670"/>
      <c r="DL51" s="1670"/>
      <c r="DM51" s="1671"/>
      <c r="DU51" s="793"/>
      <c r="DV51" s="794"/>
      <c r="DW51" s="794"/>
      <c r="DX51" s="1669" t="s">
        <v>5331</v>
      </c>
      <c r="DY51" s="1670"/>
      <c r="DZ51" s="1670"/>
      <c r="EA51" s="1670"/>
      <c r="EB51" s="1670"/>
      <c r="EC51" s="1670"/>
      <c r="ED51" s="1670"/>
      <c r="EE51" s="1670"/>
      <c r="EF51" s="1671"/>
      <c r="EN51" s="841"/>
      <c r="EO51" s="842"/>
      <c r="EP51" s="842"/>
      <c r="EQ51" s="842"/>
      <c r="ER51" s="842"/>
      <c r="ES51" s="842"/>
      <c r="ET51" s="842"/>
      <c r="EU51" s="842"/>
      <c r="EV51" s="842"/>
      <c r="EW51" s="842"/>
      <c r="EX51" s="842"/>
      <c r="EY51" s="842"/>
      <c r="EZ51" s="842"/>
      <c r="FA51" s="842"/>
      <c r="FB51" s="842"/>
      <c r="FC51" s="842"/>
      <c r="FD51" s="842"/>
      <c r="FE51" s="842"/>
      <c r="FF51" s="842"/>
      <c r="FG51" s="842"/>
      <c r="FH51" s="842"/>
      <c r="FI51" s="842"/>
      <c r="FJ51" s="843"/>
      <c r="FK51" s="842"/>
      <c r="FL51" s="842"/>
      <c r="FM51" s="842"/>
      <c r="FN51" s="842"/>
      <c r="FO51" s="842"/>
      <c r="FP51" s="842"/>
      <c r="FQ51" s="842"/>
      <c r="FR51" s="842"/>
      <c r="FS51" s="842"/>
      <c r="FT51" s="842"/>
      <c r="FU51" s="842"/>
      <c r="FV51" s="842"/>
      <c r="FW51" s="842"/>
      <c r="FX51" s="842"/>
      <c r="FY51" s="842"/>
      <c r="FZ51" s="842"/>
      <c r="GA51" s="842"/>
      <c r="GB51" s="842"/>
      <c r="GC51" s="842"/>
      <c r="GD51" s="842"/>
      <c r="GE51" s="842"/>
      <c r="GF51" s="842"/>
      <c r="GG51" s="842"/>
      <c r="GH51" s="842"/>
      <c r="GI51" s="842"/>
      <c r="GJ51" s="842"/>
      <c r="GK51" s="842"/>
      <c r="GL51" s="1672" t="s">
        <v>119</v>
      </c>
      <c r="GM51" s="1673"/>
      <c r="GN51" s="1673"/>
      <c r="GO51" s="1673"/>
      <c r="GP51" s="1673"/>
      <c r="GQ51" s="1673"/>
      <c r="GR51" s="1674"/>
      <c r="GV51" s="786"/>
      <c r="HU51" s="841"/>
      <c r="HV51" s="842"/>
      <c r="HW51" s="842"/>
      <c r="HX51" s="842"/>
      <c r="HY51" s="842"/>
      <c r="HZ51" s="842"/>
      <c r="IA51" s="842"/>
      <c r="IB51" s="842"/>
      <c r="IC51" s="842"/>
      <c r="ID51" s="842"/>
      <c r="IE51" s="842"/>
      <c r="IF51" s="842"/>
      <c r="IG51" s="844"/>
      <c r="IH51" s="842"/>
      <c r="II51" s="842"/>
      <c r="IJ51" s="842"/>
      <c r="IK51" s="842"/>
      <c r="IL51" s="842"/>
      <c r="IM51" s="1672" t="s">
        <v>137</v>
      </c>
      <c r="IN51" s="1673"/>
      <c r="IO51" s="1673"/>
      <c r="IP51" s="1673"/>
      <c r="IQ51" s="1673"/>
      <c r="IR51" s="1673"/>
      <c r="IS51" s="1674"/>
      <c r="IV51" s="801"/>
      <c r="IW51" s="802"/>
      <c r="IX51" s="802"/>
      <c r="IY51" s="802"/>
      <c r="IZ51" s="820"/>
      <c r="JA51" s="802"/>
      <c r="JB51" s="1656" t="s">
        <v>132</v>
      </c>
      <c r="JC51" s="1657"/>
      <c r="JD51" s="1657"/>
      <c r="JE51" s="1657"/>
      <c r="JF51" s="1657"/>
      <c r="JG51" s="1657"/>
      <c r="JH51" s="1658"/>
      <c r="KG51" s="845"/>
      <c r="KN51" s="791"/>
      <c r="KV51" s="787"/>
      <c r="LH51" s="811"/>
      <c r="LX51" s="810"/>
      <c r="MC51" s="790"/>
      <c r="MJ51" s="1482" t="s">
        <v>5332</v>
      </c>
      <c r="MK51" s="1483"/>
      <c r="ML51" s="1483"/>
      <c r="MM51" s="1483"/>
      <c r="MN51" s="1483"/>
      <c r="MO51" s="1483"/>
      <c r="MP51" s="1483"/>
      <c r="MQ51" s="1483"/>
      <c r="MR51" s="1483"/>
      <c r="MS51" s="1484"/>
      <c r="MY51" s="790"/>
      <c r="NE51" s="811"/>
      <c r="NL51" s="810"/>
      <c r="NQ51" s="846"/>
      <c r="OI51" s="798"/>
      <c r="OJ51" s="846"/>
      <c r="OQ51" s="811"/>
      <c r="SG51" s="758"/>
      <c r="SL51" s="704"/>
      <c r="SM51" s="704"/>
      <c r="SN51" s="704"/>
      <c r="SO51" s="704"/>
      <c r="SP51" s="704"/>
      <c r="SQ51" s="704"/>
      <c r="SR51" s="704"/>
      <c r="SS51" s="704"/>
    </row>
    <row r="52" spans="4:513" ht="12.75" customHeight="1" x14ac:dyDescent="0.35">
      <c r="D52" s="758"/>
      <c r="BS52" s="810"/>
      <c r="BV52" s="810"/>
      <c r="CA52" s="847"/>
      <c r="CI52" s="811"/>
      <c r="CP52" s="795"/>
      <c r="CW52" s="826"/>
      <c r="CX52" s="826"/>
      <c r="CY52" s="826"/>
      <c r="CZ52" s="826"/>
      <c r="DA52" s="848"/>
      <c r="DB52" s="826"/>
      <c r="DC52" s="826"/>
      <c r="DD52" s="826"/>
      <c r="DE52" s="826"/>
      <c r="DF52" s="826"/>
      <c r="DM52" s="796"/>
      <c r="DU52" s="795"/>
      <c r="DZ52" s="785"/>
      <c r="EE52" s="783"/>
      <c r="EF52" s="849"/>
      <c r="EN52" s="850"/>
      <c r="EZ52" s="831"/>
      <c r="FA52" s="831"/>
      <c r="FB52" s="831"/>
      <c r="FC52" s="831"/>
      <c r="FD52" s="831"/>
      <c r="FE52" s="831"/>
      <c r="FF52" s="831"/>
      <c r="FG52" s="831"/>
      <c r="FH52" s="831"/>
      <c r="FI52" s="831"/>
      <c r="FJ52" s="851"/>
      <c r="FK52" s="831"/>
      <c r="FL52" s="831"/>
      <c r="FM52" s="831"/>
      <c r="FN52" s="831"/>
      <c r="FO52" s="831"/>
      <c r="FP52" s="831"/>
      <c r="FQ52" s="831"/>
      <c r="FR52" s="831"/>
      <c r="FS52" s="831"/>
      <c r="FT52" s="831"/>
      <c r="FU52" s="831"/>
      <c r="FV52" s="831"/>
      <c r="FW52" s="831"/>
      <c r="FX52" s="831"/>
      <c r="FY52" s="831"/>
      <c r="FZ52" s="831"/>
      <c r="GA52" s="831"/>
      <c r="GB52" s="831"/>
      <c r="GC52" s="831"/>
      <c r="GD52" s="831"/>
      <c r="GE52" s="831"/>
      <c r="GF52" s="831"/>
      <c r="GG52" s="831"/>
      <c r="GH52" s="831"/>
      <c r="GI52" s="831"/>
      <c r="GJ52" s="831"/>
      <c r="GK52" s="831"/>
      <c r="GL52" s="831"/>
      <c r="GR52" s="852"/>
      <c r="GV52" s="786"/>
      <c r="HU52" s="850"/>
      <c r="IB52" s="831"/>
      <c r="IC52" s="831"/>
      <c r="ID52" s="831"/>
      <c r="IE52" s="831"/>
      <c r="IF52" s="831"/>
      <c r="IG52" s="853"/>
      <c r="IH52" s="831"/>
      <c r="II52" s="831"/>
      <c r="IJ52" s="831"/>
      <c r="IK52" s="831"/>
      <c r="IS52" s="852"/>
      <c r="IV52" s="810"/>
      <c r="IZ52" s="790"/>
      <c r="JH52" s="811"/>
      <c r="KF52" s="786"/>
      <c r="KN52" s="791"/>
      <c r="KV52" s="786"/>
      <c r="LH52" s="811"/>
      <c r="LX52" s="810"/>
      <c r="MC52" s="854"/>
      <c r="MJ52" s="648">
        <v>1</v>
      </c>
      <c r="MK52" s="1488" t="s">
        <v>5329</v>
      </c>
      <c r="ML52" s="1489"/>
      <c r="MM52" s="1489"/>
      <c r="MN52" s="1489"/>
      <c r="MO52" s="1489"/>
      <c r="MP52" s="1489"/>
      <c r="MQ52" s="1489"/>
      <c r="MR52" s="1489"/>
      <c r="MS52" s="1490"/>
      <c r="MY52" s="854"/>
      <c r="NE52" s="811"/>
      <c r="NL52" s="810"/>
      <c r="NM52" s="801"/>
      <c r="NN52" s="802"/>
      <c r="NO52" s="802"/>
      <c r="NP52" s="802"/>
      <c r="NQ52" s="802"/>
      <c r="NR52" s="1656" t="s">
        <v>113</v>
      </c>
      <c r="NS52" s="1657"/>
      <c r="NT52" s="1657"/>
      <c r="NU52" s="1657"/>
      <c r="NV52" s="1657"/>
      <c r="NW52" s="1657"/>
      <c r="NX52" s="1658"/>
      <c r="OE52" s="801"/>
      <c r="OF52" s="802"/>
      <c r="OG52" s="802"/>
      <c r="OH52" s="802"/>
      <c r="OI52" s="802"/>
      <c r="OJ52" s="1656" t="s">
        <v>5059</v>
      </c>
      <c r="OK52" s="1657"/>
      <c r="OL52" s="1657"/>
      <c r="OM52" s="1657"/>
      <c r="ON52" s="1657"/>
      <c r="OO52" s="1657"/>
      <c r="OP52" s="1658"/>
      <c r="OQ52" s="811"/>
      <c r="SG52" s="758"/>
      <c r="SL52" s="704"/>
      <c r="SM52" s="839"/>
      <c r="SN52" s="704"/>
      <c r="SO52" s="704"/>
      <c r="SP52" s="1665"/>
      <c r="SQ52" s="1665"/>
      <c r="SR52" s="1665"/>
      <c r="SS52" s="704"/>
    </row>
    <row r="53" spans="4:513" ht="12.75" customHeight="1" x14ac:dyDescent="0.35">
      <c r="D53" s="758"/>
      <c r="BS53" s="810"/>
      <c r="BV53" s="810"/>
      <c r="BX53" s="855">
        <v>0.5</v>
      </c>
      <c r="BY53" s="1488" t="s">
        <v>5032</v>
      </c>
      <c r="BZ53" s="1489"/>
      <c r="CA53" s="1489"/>
      <c r="CB53" s="1489"/>
      <c r="CC53" s="1489"/>
      <c r="CD53" s="1489"/>
      <c r="CE53" s="1489"/>
      <c r="CF53" s="1489"/>
      <c r="CG53" s="1490"/>
      <c r="CI53" s="811"/>
      <c r="CP53" s="795"/>
      <c r="CV53" s="778"/>
      <c r="CW53" s="648">
        <v>1</v>
      </c>
      <c r="CX53" s="1488" t="s">
        <v>5032</v>
      </c>
      <c r="CY53" s="1489"/>
      <c r="CZ53" s="1489"/>
      <c r="DA53" s="1489"/>
      <c r="DB53" s="1489"/>
      <c r="DC53" s="1489"/>
      <c r="DD53" s="1489"/>
      <c r="DE53" s="1489"/>
      <c r="DF53" s="1490"/>
      <c r="DG53" s="775"/>
      <c r="DH53" s="856"/>
      <c r="DM53" s="796"/>
      <c r="DU53" s="795"/>
      <c r="DZ53" s="857"/>
      <c r="EF53" s="796"/>
      <c r="EN53" s="850"/>
      <c r="EY53" s="854"/>
      <c r="FJ53" s="854"/>
      <c r="GA53" s="835"/>
      <c r="GL53" s="790"/>
      <c r="GR53" s="852"/>
      <c r="GV53" s="786"/>
      <c r="HU53" s="850"/>
      <c r="IA53" s="790"/>
      <c r="IK53" s="835"/>
      <c r="IS53" s="852"/>
      <c r="IV53" s="810"/>
      <c r="IW53" s="1653" t="s">
        <v>5034</v>
      </c>
      <c r="IX53" s="1653"/>
      <c r="IY53" s="1653"/>
      <c r="IZ53" s="1653"/>
      <c r="JA53" s="1653"/>
      <c r="JB53" s="1653"/>
      <c r="JC53" s="1653"/>
      <c r="JD53" s="1653"/>
      <c r="JE53" s="1653"/>
      <c r="JF53" s="1653"/>
      <c r="JH53" s="811"/>
      <c r="KF53" s="813"/>
      <c r="KG53" s="858"/>
      <c r="KH53" s="813"/>
      <c r="KM53" s="817"/>
      <c r="KN53" s="791"/>
      <c r="KU53" s="813"/>
      <c r="KV53" s="859"/>
      <c r="KW53" s="813"/>
      <c r="KX53" s="813"/>
      <c r="KY53" s="813"/>
      <c r="KZ53" s="813"/>
      <c r="LA53" s="815">
        <f>SUM(KQ56,KQ59,KQ61,KQ63,KQ65,KQ67)</f>
        <v>6</v>
      </c>
      <c r="LH53" s="811"/>
      <c r="LX53" s="810"/>
      <c r="LY53" s="648">
        <v>1</v>
      </c>
      <c r="LZ53" s="1488" t="s">
        <v>5062</v>
      </c>
      <c r="MA53" s="1489"/>
      <c r="MB53" s="1489"/>
      <c r="MC53" s="1489"/>
      <c r="MD53" s="1489"/>
      <c r="ME53" s="1489"/>
      <c r="MF53" s="1489"/>
      <c r="MG53" s="1489"/>
      <c r="MH53" s="1490"/>
      <c r="MJ53" s="1666" t="s">
        <v>4703</v>
      </c>
      <c r="MK53" s="1667"/>
      <c r="ML53" s="1667"/>
      <c r="MM53" s="1667"/>
      <c r="MN53" s="1667"/>
      <c r="MO53" s="1667"/>
      <c r="MP53" s="1667"/>
      <c r="MQ53" s="1667"/>
      <c r="MR53" s="1667"/>
      <c r="MS53" s="1668"/>
      <c r="MU53" s="833">
        <v>0.5</v>
      </c>
      <c r="MV53" s="1488" t="s">
        <v>5064</v>
      </c>
      <c r="MW53" s="1489"/>
      <c r="MX53" s="1489"/>
      <c r="MY53" s="1489"/>
      <c r="MZ53" s="1489"/>
      <c r="NA53" s="1489"/>
      <c r="NB53" s="1489"/>
      <c r="NC53" s="1489"/>
      <c r="ND53" s="1490"/>
      <c r="NE53" s="811"/>
      <c r="NL53" s="810"/>
      <c r="NM53" s="810"/>
      <c r="NR53" s="860"/>
      <c r="NX53" s="811"/>
      <c r="OE53" s="810"/>
      <c r="OI53" s="861"/>
      <c r="OJ53" s="862"/>
      <c r="OP53" s="811"/>
      <c r="OQ53" s="811"/>
      <c r="SG53" s="758"/>
      <c r="SL53" s="704"/>
      <c r="SM53" s="704"/>
      <c r="SN53" s="704"/>
      <c r="SO53" s="704"/>
      <c r="SP53" s="704"/>
      <c r="SQ53" s="704"/>
      <c r="SR53" s="704"/>
      <c r="SS53" s="704"/>
    </row>
    <row r="54" spans="4:513" ht="12.75" customHeight="1" x14ac:dyDescent="0.35">
      <c r="D54" s="758"/>
      <c r="BS54" s="810"/>
      <c r="BV54" s="810"/>
      <c r="BX54" s="1482" t="s">
        <v>3870</v>
      </c>
      <c r="BY54" s="1510"/>
      <c r="BZ54" s="1510"/>
      <c r="CA54" s="1510"/>
      <c r="CB54" s="1510"/>
      <c r="CC54" s="1510"/>
      <c r="CD54" s="1510"/>
      <c r="CE54" s="1510"/>
      <c r="CF54" s="1510"/>
      <c r="CG54" s="1511"/>
      <c r="CI54" s="811"/>
      <c r="CP54" s="795"/>
      <c r="CU54" s="863"/>
      <c r="CV54" s="864"/>
      <c r="CW54" s="1482" t="s">
        <v>3494</v>
      </c>
      <c r="CX54" s="1510"/>
      <c r="CY54" s="1510"/>
      <c r="CZ54" s="1510"/>
      <c r="DA54" s="1510"/>
      <c r="DB54" s="1510"/>
      <c r="DC54" s="1510"/>
      <c r="DD54" s="1510"/>
      <c r="DE54" s="1510"/>
      <c r="DF54" s="1511"/>
      <c r="DG54" s="863"/>
      <c r="DI54" s="865"/>
      <c r="DM54" s="796"/>
      <c r="DU54" s="795"/>
      <c r="DV54" s="855">
        <v>0.5</v>
      </c>
      <c r="DW54" s="1662" t="s">
        <v>5037</v>
      </c>
      <c r="DX54" s="1663"/>
      <c r="DY54" s="1663"/>
      <c r="DZ54" s="1663"/>
      <c r="EA54" s="1663"/>
      <c r="EB54" s="1663"/>
      <c r="EC54" s="1663"/>
      <c r="ED54" s="1663"/>
      <c r="EE54" s="1664"/>
      <c r="EF54" s="796"/>
      <c r="EN54" s="850"/>
      <c r="EU54" s="1488" t="s">
        <v>5333</v>
      </c>
      <c r="EV54" s="1489"/>
      <c r="EW54" s="1489"/>
      <c r="EX54" s="1489"/>
      <c r="EY54" s="1489"/>
      <c r="EZ54" s="1489"/>
      <c r="FA54" s="1489"/>
      <c r="FB54" s="1489"/>
      <c r="FC54" s="1489"/>
      <c r="FD54" s="1490"/>
      <c r="FF54" s="1488" t="s">
        <v>5333</v>
      </c>
      <c r="FG54" s="1489"/>
      <c r="FH54" s="1489"/>
      <c r="FI54" s="1489"/>
      <c r="FJ54" s="1489"/>
      <c r="FK54" s="1489"/>
      <c r="FL54" s="1489"/>
      <c r="FM54" s="1489"/>
      <c r="FN54" s="1489"/>
      <c r="FO54" s="1490"/>
      <c r="GA54" s="790"/>
      <c r="GL54" s="790"/>
      <c r="GR54" s="852"/>
      <c r="GV54" s="786"/>
      <c r="HU54" s="850"/>
      <c r="IA54" s="854"/>
      <c r="IK54" s="790"/>
      <c r="IS54" s="852"/>
      <c r="IV54" s="810"/>
      <c r="IW54" s="648">
        <v>1</v>
      </c>
      <c r="IX54" s="1488" t="s">
        <v>4834</v>
      </c>
      <c r="IY54" s="1489"/>
      <c r="IZ54" s="1489"/>
      <c r="JA54" s="1489"/>
      <c r="JB54" s="1489"/>
      <c r="JC54" s="1489"/>
      <c r="JD54" s="1489"/>
      <c r="JE54" s="1489"/>
      <c r="JF54" s="1490"/>
      <c r="JH54" s="811"/>
      <c r="KB54" s="793"/>
      <c r="KC54" s="794"/>
      <c r="KD54" s="794"/>
      <c r="KE54" s="794"/>
      <c r="KF54" s="794"/>
      <c r="KG54" s="1687" t="s">
        <v>5038</v>
      </c>
      <c r="KH54" s="1687"/>
      <c r="KI54" s="1687"/>
      <c r="KJ54" s="1687"/>
      <c r="KK54" s="1687"/>
      <c r="KL54" s="1687"/>
      <c r="KM54" s="1688"/>
      <c r="KN54" s="786"/>
      <c r="KP54" s="793"/>
      <c r="KQ54" s="794"/>
      <c r="KR54" s="794"/>
      <c r="KS54" s="794"/>
      <c r="KT54" s="794"/>
      <c r="KU54" s="1687" t="s">
        <v>4854</v>
      </c>
      <c r="KV54" s="1687"/>
      <c r="KW54" s="1687"/>
      <c r="KX54" s="1687"/>
      <c r="KY54" s="1687"/>
      <c r="KZ54" s="1687"/>
      <c r="LA54" s="1688"/>
      <c r="LH54" s="811"/>
      <c r="LX54" s="810"/>
      <c r="LY54" s="1482" t="s">
        <v>2389</v>
      </c>
      <c r="LZ54" s="1483"/>
      <c r="MA54" s="1483"/>
      <c r="MB54" s="1483"/>
      <c r="MC54" s="1483"/>
      <c r="MD54" s="1483"/>
      <c r="ME54" s="1483"/>
      <c r="MF54" s="1483"/>
      <c r="MG54" s="1483"/>
      <c r="MH54" s="1484"/>
      <c r="MJ54" s="648">
        <v>1</v>
      </c>
      <c r="MK54" s="1488" t="s">
        <v>5062</v>
      </c>
      <c r="ML54" s="1489"/>
      <c r="MM54" s="1489"/>
      <c r="MN54" s="1489"/>
      <c r="MO54" s="1489"/>
      <c r="MP54" s="1489"/>
      <c r="MQ54" s="1489"/>
      <c r="MR54" s="1489"/>
      <c r="MS54" s="1490"/>
      <c r="MU54" s="1482" t="s">
        <v>5334</v>
      </c>
      <c r="MV54" s="1483"/>
      <c r="MW54" s="1483"/>
      <c r="MX54" s="1483"/>
      <c r="MY54" s="1483"/>
      <c r="MZ54" s="1483"/>
      <c r="NA54" s="1483"/>
      <c r="NB54" s="1483"/>
      <c r="NC54" s="1483"/>
      <c r="ND54" s="1484"/>
      <c r="NE54" s="811"/>
      <c r="NL54" s="810"/>
      <c r="NM54" s="866"/>
      <c r="NN54" s="618">
        <v>1</v>
      </c>
      <c r="NO54" s="1488" t="s">
        <v>90</v>
      </c>
      <c r="NP54" s="1489"/>
      <c r="NQ54" s="1489"/>
      <c r="NR54" s="1489"/>
      <c r="NS54" s="1489"/>
      <c r="NT54" s="1489"/>
      <c r="NU54" s="1489"/>
      <c r="NV54" s="1489"/>
      <c r="NW54" s="1490"/>
      <c r="NX54" s="811"/>
      <c r="OE54" s="810"/>
      <c r="OF54" s="833">
        <v>0.5</v>
      </c>
      <c r="OG54" s="1488" t="s">
        <v>4812</v>
      </c>
      <c r="OH54" s="1489"/>
      <c r="OI54" s="1680"/>
      <c r="OJ54" s="1489"/>
      <c r="OK54" s="1489"/>
      <c r="OL54" s="1489"/>
      <c r="OM54" s="1489"/>
      <c r="ON54" s="1489"/>
      <c r="OO54" s="1490"/>
      <c r="OP54" s="811"/>
      <c r="OQ54" s="811"/>
      <c r="SG54" s="758"/>
      <c r="SL54" s="704"/>
      <c r="SM54" s="867"/>
      <c r="SN54" s="704"/>
      <c r="SO54" s="704"/>
      <c r="SP54" s="704"/>
      <c r="SQ54" s="704"/>
      <c r="SR54" s="704"/>
      <c r="SS54" s="704"/>
    </row>
    <row r="55" spans="4:513" ht="12.75" customHeight="1" x14ac:dyDescent="0.35">
      <c r="D55" s="758"/>
      <c r="BS55" s="810"/>
      <c r="BV55" s="810"/>
      <c r="CA55" s="847"/>
      <c r="CI55" s="811"/>
      <c r="CP55" s="795"/>
      <c r="CU55" s="770"/>
      <c r="DA55" s="783"/>
      <c r="DB55" s="764"/>
      <c r="DI55" s="868"/>
      <c r="DM55" s="796"/>
      <c r="DU55" s="795"/>
      <c r="DV55" s="1681" t="s">
        <v>2434</v>
      </c>
      <c r="DW55" s="1682"/>
      <c r="DX55" s="1682"/>
      <c r="DY55" s="1682"/>
      <c r="DZ55" s="1682"/>
      <c r="EA55" s="1682"/>
      <c r="EB55" s="1682"/>
      <c r="EC55" s="1682"/>
      <c r="ED55" s="1682"/>
      <c r="EE55" s="1683"/>
      <c r="EF55" s="796"/>
      <c r="EN55" s="850"/>
      <c r="EU55" s="648">
        <v>1</v>
      </c>
      <c r="EV55" s="1488" t="s">
        <v>5040</v>
      </c>
      <c r="EW55" s="1489"/>
      <c r="EX55" s="1489"/>
      <c r="EY55" s="1489"/>
      <c r="EZ55" s="1489"/>
      <c r="FA55" s="1489"/>
      <c r="FB55" s="1489"/>
      <c r="FC55" s="1489"/>
      <c r="FD55" s="1490"/>
      <c r="FF55" s="648">
        <v>1</v>
      </c>
      <c r="FG55" s="1488" t="s">
        <v>5094</v>
      </c>
      <c r="FH55" s="1489"/>
      <c r="FI55" s="1489"/>
      <c r="FJ55" s="1489"/>
      <c r="FK55" s="1489"/>
      <c r="FL55" s="1489"/>
      <c r="FM55" s="1489"/>
      <c r="FN55" s="1489"/>
      <c r="FO55" s="1490"/>
      <c r="GA55" s="790"/>
      <c r="GL55" s="790"/>
      <c r="GR55" s="852"/>
      <c r="GV55" s="786"/>
      <c r="HU55" s="850"/>
      <c r="HW55" s="869">
        <v>1</v>
      </c>
      <c r="HX55" s="1684" t="s">
        <v>5041</v>
      </c>
      <c r="HY55" s="1685"/>
      <c r="HZ55" s="1685"/>
      <c r="IA55" s="1685"/>
      <c r="IB55" s="1685"/>
      <c r="IC55" s="1685"/>
      <c r="ID55" s="1685"/>
      <c r="IE55" s="1685"/>
      <c r="IF55" s="1686"/>
      <c r="IH55" s="648">
        <v>1</v>
      </c>
      <c r="II55" s="1488" t="s">
        <v>104</v>
      </c>
      <c r="IJ55" s="1489"/>
      <c r="IK55" s="1489"/>
      <c r="IL55" s="1489"/>
      <c r="IM55" s="1489"/>
      <c r="IN55" s="1489"/>
      <c r="IO55" s="1489"/>
      <c r="IP55" s="1489"/>
      <c r="IQ55" s="1490"/>
      <c r="IS55" s="852"/>
      <c r="IV55" s="810"/>
      <c r="IW55" s="1482" t="s">
        <v>5335</v>
      </c>
      <c r="IX55" s="1510"/>
      <c r="IY55" s="1510"/>
      <c r="IZ55" s="1510"/>
      <c r="JA55" s="1510"/>
      <c r="JB55" s="1510"/>
      <c r="JC55" s="1510"/>
      <c r="JD55" s="1510"/>
      <c r="JE55" s="1510"/>
      <c r="JF55" s="1511"/>
      <c r="JH55" s="811"/>
      <c r="KB55" s="795"/>
      <c r="KC55" s="861"/>
      <c r="KE55" s="861"/>
      <c r="KF55" s="861"/>
      <c r="KK55" s="861"/>
      <c r="KM55" s="796"/>
      <c r="KN55" s="786"/>
      <c r="KP55" s="795"/>
      <c r="LA55" s="796"/>
      <c r="LH55" s="811"/>
      <c r="LX55" s="810"/>
      <c r="LY55" s="648">
        <v>1</v>
      </c>
      <c r="LZ55" s="1488" t="s">
        <v>5062</v>
      </c>
      <c r="MA55" s="1489"/>
      <c r="MB55" s="1489"/>
      <c r="MC55" s="1489"/>
      <c r="MD55" s="1489"/>
      <c r="ME55" s="1489"/>
      <c r="MF55" s="1489"/>
      <c r="MG55" s="1489"/>
      <c r="MH55" s="1490"/>
      <c r="MJ55" s="1666" t="s">
        <v>2494</v>
      </c>
      <c r="MK55" s="1667"/>
      <c r="ML55" s="1667"/>
      <c r="MM55" s="1667"/>
      <c r="MN55" s="1667"/>
      <c r="MO55" s="1667"/>
      <c r="MP55" s="1667"/>
      <c r="MQ55" s="1667"/>
      <c r="MR55" s="1667"/>
      <c r="MS55" s="1668"/>
      <c r="MU55" s="833">
        <v>0.5</v>
      </c>
      <c r="MV55" s="1488" t="s">
        <v>5336</v>
      </c>
      <c r="MW55" s="1489"/>
      <c r="MX55" s="1489"/>
      <c r="MY55" s="1489"/>
      <c r="MZ55" s="1489"/>
      <c r="NA55" s="1489"/>
      <c r="NB55" s="1489"/>
      <c r="NC55" s="1489"/>
      <c r="ND55" s="1490"/>
      <c r="NE55" s="811"/>
      <c r="NL55" s="810"/>
      <c r="NM55" s="866"/>
      <c r="NN55" s="1675" t="s">
        <v>1686</v>
      </c>
      <c r="NO55" s="1667"/>
      <c r="NP55" s="1667"/>
      <c r="NQ55" s="1667"/>
      <c r="NR55" s="1667"/>
      <c r="NS55" s="1667"/>
      <c r="NT55" s="1667"/>
      <c r="NU55" s="1667"/>
      <c r="NV55" s="1667"/>
      <c r="NW55" s="1668"/>
      <c r="NX55" s="811"/>
      <c r="OE55" s="810"/>
      <c r="OF55" s="1482" t="s">
        <v>2622</v>
      </c>
      <c r="OG55" s="1510"/>
      <c r="OH55" s="1510"/>
      <c r="OI55" s="1510"/>
      <c r="OJ55" s="1510"/>
      <c r="OK55" s="1510"/>
      <c r="OL55" s="1510"/>
      <c r="OM55" s="1510"/>
      <c r="ON55" s="1510"/>
      <c r="OO55" s="1511"/>
      <c r="OP55" s="811"/>
      <c r="OQ55" s="811"/>
      <c r="SG55" s="758"/>
      <c r="SL55" s="704"/>
      <c r="SM55" s="704"/>
      <c r="SN55" s="704"/>
      <c r="SO55" s="704"/>
      <c r="SP55" s="704"/>
      <c r="SQ55" s="704"/>
      <c r="SR55" s="704"/>
      <c r="SS55" s="704"/>
    </row>
    <row r="56" spans="4:513" ht="12.75" customHeight="1" x14ac:dyDescent="0.35">
      <c r="D56" s="758"/>
      <c r="BS56" s="810"/>
      <c r="BV56" s="810"/>
      <c r="BX56" s="648">
        <v>0.5</v>
      </c>
      <c r="BY56" s="1488" t="s">
        <v>4994</v>
      </c>
      <c r="BZ56" s="1489"/>
      <c r="CA56" s="1489"/>
      <c r="CB56" s="1489"/>
      <c r="CC56" s="1489"/>
      <c r="CD56" s="1489"/>
      <c r="CE56" s="1489"/>
      <c r="CF56" s="1489"/>
      <c r="CG56" s="1490"/>
      <c r="CI56" s="811"/>
      <c r="CP56" s="795"/>
      <c r="CQ56" s="648">
        <v>1</v>
      </c>
      <c r="CR56" s="1488" t="s">
        <v>5045</v>
      </c>
      <c r="CS56" s="1489"/>
      <c r="CT56" s="1489"/>
      <c r="CU56" s="1489"/>
      <c r="CV56" s="1489"/>
      <c r="CW56" s="1489"/>
      <c r="CX56" s="1489"/>
      <c r="CY56" s="1489"/>
      <c r="CZ56" s="1490"/>
      <c r="DB56" s="770"/>
      <c r="DC56" s="648">
        <v>1</v>
      </c>
      <c r="DD56" s="1488" t="s">
        <v>5007</v>
      </c>
      <c r="DE56" s="1489"/>
      <c r="DF56" s="1489"/>
      <c r="DG56" s="1489"/>
      <c r="DH56" s="1489"/>
      <c r="DI56" s="1489"/>
      <c r="DJ56" s="1489"/>
      <c r="DK56" s="1489"/>
      <c r="DL56" s="1490"/>
      <c r="DM56" s="796"/>
      <c r="DU56" s="795"/>
      <c r="DV56" s="855">
        <v>0.5</v>
      </c>
      <c r="DW56" s="1662" t="s">
        <v>5337</v>
      </c>
      <c r="DX56" s="1663"/>
      <c r="DY56" s="1663"/>
      <c r="DZ56" s="1663"/>
      <c r="EA56" s="1663"/>
      <c r="EB56" s="1663"/>
      <c r="EC56" s="1663"/>
      <c r="ED56" s="1663"/>
      <c r="EE56" s="1664"/>
      <c r="EF56" s="796"/>
      <c r="EN56" s="850"/>
      <c r="EU56" s="1482" t="s">
        <v>1330</v>
      </c>
      <c r="EV56" s="1510"/>
      <c r="EW56" s="1510"/>
      <c r="EX56" s="1510"/>
      <c r="EY56" s="1510"/>
      <c r="EZ56" s="1510"/>
      <c r="FA56" s="1510"/>
      <c r="FB56" s="1510"/>
      <c r="FC56" s="1510"/>
      <c r="FD56" s="1511"/>
      <c r="FF56" s="1676" t="s">
        <v>3130</v>
      </c>
      <c r="FG56" s="1677"/>
      <c r="FH56" s="1677"/>
      <c r="FI56" s="1677"/>
      <c r="FJ56" s="1677"/>
      <c r="FK56" s="1677"/>
      <c r="FL56" s="1677"/>
      <c r="FM56" s="1677"/>
      <c r="FN56" s="1677"/>
      <c r="FO56" s="1678"/>
      <c r="GA56" s="790"/>
      <c r="GL56" s="790"/>
      <c r="GR56" s="852"/>
      <c r="GV56" s="786"/>
      <c r="HU56" s="850"/>
      <c r="HW56" s="1679" t="s">
        <v>5338</v>
      </c>
      <c r="HX56" s="1679"/>
      <c r="HY56" s="1679"/>
      <c r="HZ56" s="1679"/>
      <c r="IA56" s="1679"/>
      <c r="IB56" s="1679"/>
      <c r="IC56" s="1679"/>
      <c r="ID56" s="1679"/>
      <c r="IE56" s="1679"/>
      <c r="IF56" s="1679"/>
      <c r="IH56" s="1652" t="s">
        <v>5339</v>
      </c>
      <c r="II56" s="1510"/>
      <c r="IJ56" s="1510"/>
      <c r="IK56" s="1510"/>
      <c r="IL56" s="1510"/>
      <c r="IM56" s="1510"/>
      <c r="IN56" s="1510"/>
      <c r="IO56" s="1510"/>
      <c r="IP56" s="1510"/>
      <c r="IQ56" s="1511"/>
      <c r="IS56" s="852"/>
      <c r="IV56" s="810"/>
      <c r="IW56" s="648">
        <v>1</v>
      </c>
      <c r="IX56" s="1488" t="s">
        <v>4834</v>
      </c>
      <c r="IY56" s="1489"/>
      <c r="IZ56" s="1489"/>
      <c r="JA56" s="1489"/>
      <c r="JB56" s="1489"/>
      <c r="JC56" s="1489"/>
      <c r="JD56" s="1489"/>
      <c r="JE56" s="1489"/>
      <c r="JF56" s="1490"/>
      <c r="JH56" s="811"/>
      <c r="KB56" s="795"/>
      <c r="KC56" s="777">
        <v>0.5</v>
      </c>
      <c r="KD56" s="1653" t="s">
        <v>173</v>
      </c>
      <c r="KE56" s="1653"/>
      <c r="KF56" s="1653"/>
      <c r="KG56" s="1653"/>
      <c r="KH56" s="1653"/>
      <c r="KI56" s="1653"/>
      <c r="KJ56" s="1653"/>
      <c r="KK56" s="1653"/>
      <c r="KL56" s="1653"/>
      <c r="KM56" s="796"/>
      <c r="KN56" s="786"/>
      <c r="KP56" s="795"/>
      <c r="KQ56" s="648">
        <v>1</v>
      </c>
      <c r="KR56" s="1653" t="s">
        <v>5052</v>
      </c>
      <c r="KS56" s="1653"/>
      <c r="KT56" s="1653"/>
      <c r="KU56" s="1653"/>
      <c r="KV56" s="1653"/>
      <c r="KW56" s="1653"/>
      <c r="KX56" s="1653"/>
      <c r="KY56" s="1653"/>
      <c r="KZ56" s="1653"/>
      <c r="LA56" s="796"/>
      <c r="LH56" s="811"/>
      <c r="LX56" s="810"/>
      <c r="LY56" s="1666" t="s">
        <v>4406</v>
      </c>
      <c r="LZ56" s="1667"/>
      <c r="MA56" s="1667"/>
      <c r="MB56" s="1667"/>
      <c r="MC56" s="1667"/>
      <c r="MD56" s="1667"/>
      <c r="ME56" s="1667"/>
      <c r="MF56" s="1667"/>
      <c r="MG56" s="1667"/>
      <c r="MH56" s="1668"/>
      <c r="MJ56" s="648">
        <v>1</v>
      </c>
      <c r="MK56" s="1488" t="s">
        <v>5329</v>
      </c>
      <c r="ML56" s="1489"/>
      <c r="MM56" s="1489"/>
      <c r="MN56" s="1489"/>
      <c r="MO56" s="1489"/>
      <c r="MP56" s="1489"/>
      <c r="MQ56" s="1489"/>
      <c r="MR56" s="1489"/>
      <c r="MS56" s="1490"/>
      <c r="MU56" s="1482" t="s">
        <v>3809</v>
      </c>
      <c r="MV56" s="1483"/>
      <c r="MW56" s="1483"/>
      <c r="MX56" s="1483"/>
      <c r="MY56" s="1483"/>
      <c r="MZ56" s="1483"/>
      <c r="NA56" s="1483"/>
      <c r="NB56" s="1483"/>
      <c r="NC56" s="1483"/>
      <c r="ND56" s="1484"/>
      <c r="NE56" s="811"/>
      <c r="NL56" s="810"/>
      <c r="NM56" s="870"/>
      <c r="NN56" s="798"/>
      <c r="NO56" s="798"/>
      <c r="NP56" s="798"/>
      <c r="NQ56" s="798"/>
      <c r="NR56" s="798"/>
      <c r="NS56" s="798"/>
      <c r="NT56" s="798"/>
      <c r="NU56" s="798"/>
      <c r="NV56" s="798"/>
      <c r="NW56" s="798"/>
      <c r="NX56" s="871"/>
      <c r="OE56" s="810"/>
      <c r="OJ56" s="872"/>
      <c r="OP56" s="811"/>
      <c r="OQ56" s="811"/>
      <c r="SG56" s="758"/>
      <c r="SL56" s="704"/>
      <c r="SM56" s="704"/>
      <c r="SN56" s="704"/>
      <c r="SO56" s="704"/>
      <c r="SP56" s="704"/>
      <c r="SQ56" s="704"/>
      <c r="SR56" s="704"/>
      <c r="SS56" s="704"/>
    </row>
    <row r="57" spans="4:513" ht="12.75" customHeight="1" x14ac:dyDescent="0.35">
      <c r="D57" s="758"/>
      <c r="BS57" s="810"/>
      <c r="BV57" s="810"/>
      <c r="BX57" s="1543" t="s">
        <v>4366</v>
      </c>
      <c r="BY57" s="1544"/>
      <c r="BZ57" s="1544"/>
      <c r="CA57" s="1544"/>
      <c r="CB57" s="1544"/>
      <c r="CC57" s="1544"/>
      <c r="CD57" s="1544"/>
      <c r="CE57" s="1544"/>
      <c r="CF57" s="1544"/>
      <c r="CG57" s="1545"/>
      <c r="CI57" s="811"/>
      <c r="CP57" s="795"/>
      <c r="CQ57" s="1482" t="s">
        <v>4110</v>
      </c>
      <c r="CR57" s="1510"/>
      <c r="CS57" s="1510"/>
      <c r="CT57" s="1510"/>
      <c r="CU57" s="1510"/>
      <c r="CV57" s="1510"/>
      <c r="CW57" s="1510"/>
      <c r="CX57" s="1510"/>
      <c r="CY57" s="1510"/>
      <c r="CZ57" s="1511"/>
      <c r="DB57" s="770"/>
      <c r="DC57" s="1692" t="s">
        <v>177</v>
      </c>
      <c r="DD57" s="1510"/>
      <c r="DE57" s="1510"/>
      <c r="DF57" s="1510"/>
      <c r="DG57" s="1510"/>
      <c r="DH57" s="1510"/>
      <c r="DI57" s="1510"/>
      <c r="DJ57" s="1510"/>
      <c r="DK57" s="1510"/>
      <c r="DL57" s="1511"/>
      <c r="DM57" s="796"/>
      <c r="DU57" s="795"/>
      <c r="DV57" s="1681" t="s">
        <v>1655</v>
      </c>
      <c r="DW57" s="1682"/>
      <c r="DX57" s="1682"/>
      <c r="DY57" s="1682"/>
      <c r="DZ57" s="1682"/>
      <c r="EA57" s="1682"/>
      <c r="EB57" s="1682"/>
      <c r="EC57" s="1682"/>
      <c r="ED57" s="1682"/>
      <c r="EE57" s="1683"/>
      <c r="EF57" s="796"/>
      <c r="EN57" s="850"/>
      <c r="EZ57" s="873"/>
      <c r="FA57" s="831"/>
      <c r="FB57" s="831"/>
      <c r="FC57" s="831"/>
      <c r="FD57" s="831"/>
      <c r="FE57" s="831"/>
      <c r="FF57" s="831"/>
      <c r="FG57" s="831"/>
      <c r="FH57" s="831"/>
      <c r="FI57" s="874"/>
      <c r="FJ57" s="875"/>
      <c r="GA57" s="790"/>
      <c r="GL57" s="790"/>
      <c r="GR57" s="852"/>
      <c r="GV57" s="786"/>
      <c r="HU57" s="850"/>
      <c r="IH57" s="648">
        <v>1</v>
      </c>
      <c r="II57" s="1488" t="s">
        <v>5042</v>
      </c>
      <c r="IJ57" s="1489"/>
      <c r="IK57" s="1489"/>
      <c r="IL57" s="1489"/>
      <c r="IM57" s="1489"/>
      <c r="IN57" s="1489"/>
      <c r="IO57" s="1489"/>
      <c r="IP57" s="1489"/>
      <c r="IQ57" s="1490"/>
      <c r="IS57" s="852"/>
      <c r="IV57" s="810"/>
      <c r="IW57" s="1482" t="s">
        <v>5340</v>
      </c>
      <c r="IX57" s="1510"/>
      <c r="IY57" s="1510"/>
      <c r="IZ57" s="1510"/>
      <c r="JA57" s="1510"/>
      <c r="JB57" s="1510"/>
      <c r="JC57" s="1510"/>
      <c r="JD57" s="1510"/>
      <c r="JE57" s="1510"/>
      <c r="JF57" s="1511"/>
      <c r="JH57" s="811"/>
      <c r="KB57" s="795"/>
      <c r="KC57" s="1482" t="s">
        <v>5057</v>
      </c>
      <c r="KD57" s="1510"/>
      <c r="KE57" s="1510"/>
      <c r="KF57" s="1510"/>
      <c r="KG57" s="1510"/>
      <c r="KH57" s="1510"/>
      <c r="KI57" s="1510"/>
      <c r="KJ57" s="1510"/>
      <c r="KK57" s="1510"/>
      <c r="KL57" s="1511"/>
      <c r="KM57" s="796"/>
      <c r="KN57" s="786"/>
      <c r="KP57" s="795"/>
      <c r="KQ57" s="1482" t="s">
        <v>1477</v>
      </c>
      <c r="KR57" s="1510"/>
      <c r="KS57" s="1510"/>
      <c r="KT57" s="1510"/>
      <c r="KU57" s="1510"/>
      <c r="KV57" s="1510"/>
      <c r="KW57" s="1510"/>
      <c r="KX57" s="1510"/>
      <c r="KY57" s="1510"/>
      <c r="KZ57" s="1511"/>
      <c r="LA57" s="796"/>
      <c r="LH57" s="811"/>
      <c r="LX57" s="810"/>
      <c r="LY57" s="648">
        <v>1</v>
      </c>
      <c r="LZ57" s="1488" t="s">
        <v>5062</v>
      </c>
      <c r="MA57" s="1489"/>
      <c r="MB57" s="1489"/>
      <c r="MC57" s="1489"/>
      <c r="MD57" s="1489"/>
      <c r="ME57" s="1489"/>
      <c r="MF57" s="1489"/>
      <c r="MG57" s="1489"/>
      <c r="MH57" s="1490"/>
      <c r="MJ57" s="1666" t="s">
        <v>1866</v>
      </c>
      <c r="MK57" s="1667"/>
      <c r="ML57" s="1667"/>
      <c r="MM57" s="1667"/>
      <c r="MN57" s="1667"/>
      <c r="MO57" s="1667"/>
      <c r="MP57" s="1667"/>
      <c r="MQ57" s="1667"/>
      <c r="MR57" s="1667"/>
      <c r="MS57" s="1668"/>
      <c r="MU57" s="833">
        <v>0.5</v>
      </c>
      <c r="MV57" s="1488" t="s">
        <v>5341</v>
      </c>
      <c r="MW57" s="1489"/>
      <c r="MX57" s="1489"/>
      <c r="MY57" s="1489"/>
      <c r="MZ57" s="1489"/>
      <c r="NA57" s="1489"/>
      <c r="NB57" s="1489"/>
      <c r="NC57" s="1489"/>
      <c r="ND57" s="1490"/>
      <c r="NE57" s="811"/>
      <c r="NL57" s="810"/>
      <c r="OE57" s="810"/>
      <c r="OF57" s="648">
        <v>1</v>
      </c>
      <c r="OG57" s="1488" t="s">
        <v>91</v>
      </c>
      <c r="OH57" s="1489"/>
      <c r="OI57" s="1489"/>
      <c r="OJ57" s="1489"/>
      <c r="OK57" s="1489"/>
      <c r="OL57" s="1489"/>
      <c r="OM57" s="1489"/>
      <c r="ON57" s="1489"/>
      <c r="OO57" s="1490"/>
      <c r="OP57" s="811"/>
      <c r="OQ57" s="811"/>
      <c r="SG57" s="758"/>
    </row>
    <row r="58" spans="4:513" ht="12.75" customHeight="1" x14ac:dyDescent="0.35">
      <c r="D58" s="758"/>
      <c r="BS58" s="810"/>
      <c r="BV58" s="810"/>
      <c r="BX58" s="648">
        <v>0.5</v>
      </c>
      <c r="BY58" s="1488" t="s">
        <v>4994</v>
      </c>
      <c r="BZ58" s="1489"/>
      <c r="CA58" s="1489"/>
      <c r="CB58" s="1489"/>
      <c r="CC58" s="1489"/>
      <c r="CD58" s="1489"/>
      <c r="CE58" s="1489"/>
      <c r="CF58" s="1489"/>
      <c r="CG58" s="1490"/>
      <c r="CI58" s="811"/>
      <c r="CP58" s="795"/>
      <c r="CQ58" s="648">
        <v>1</v>
      </c>
      <c r="CR58" s="1488" t="s">
        <v>5045</v>
      </c>
      <c r="CS58" s="1489"/>
      <c r="CT58" s="1489"/>
      <c r="CU58" s="1489"/>
      <c r="CV58" s="1489"/>
      <c r="CW58" s="1489"/>
      <c r="CX58" s="1489"/>
      <c r="CY58" s="1489"/>
      <c r="CZ58" s="1490"/>
      <c r="DB58" s="770"/>
      <c r="DC58" s="648">
        <v>1</v>
      </c>
      <c r="DD58" s="1488" t="s">
        <v>5007</v>
      </c>
      <c r="DE58" s="1489"/>
      <c r="DF58" s="1489"/>
      <c r="DG58" s="1489"/>
      <c r="DH58" s="1489"/>
      <c r="DI58" s="1489"/>
      <c r="DJ58" s="1489"/>
      <c r="DK58" s="1489"/>
      <c r="DL58" s="1490"/>
      <c r="DM58" s="796"/>
      <c r="DU58" s="795"/>
      <c r="DV58" s="855">
        <v>0.5</v>
      </c>
      <c r="DW58" s="1662" t="s">
        <v>5342</v>
      </c>
      <c r="DX58" s="1663"/>
      <c r="DY58" s="1663"/>
      <c r="DZ58" s="1663"/>
      <c r="EA58" s="1663"/>
      <c r="EB58" s="1663"/>
      <c r="EC58" s="1663"/>
      <c r="ED58" s="1663"/>
      <c r="EE58" s="1664"/>
      <c r="EF58" s="796"/>
      <c r="EN58" s="850"/>
      <c r="FD58" s="790"/>
      <c r="GA58" s="790"/>
      <c r="GL58" s="790"/>
      <c r="GR58" s="852"/>
      <c r="GV58" s="786"/>
      <c r="HU58" s="850"/>
      <c r="IH58" s="1482" t="s">
        <v>5343</v>
      </c>
      <c r="II58" s="1510"/>
      <c r="IJ58" s="1510"/>
      <c r="IK58" s="1510"/>
      <c r="IL58" s="1510"/>
      <c r="IM58" s="1510"/>
      <c r="IN58" s="1510"/>
      <c r="IO58" s="1510"/>
      <c r="IP58" s="1510"/>
      <c r="IQ58" s="1511"/>
      <c r="IS58" s="852"/>
      <c r="IU58" s="811"/>
      <c r="IW58" s="648">
        <v>1</v>
      </c>
      <c r="IX58" s="1488" t="s">
        <v>4834</v>
      </c>
      <c r="IY58" s="1489"/>
      <c r="IZ58" s="1489"/>
      <c r="JA58" s="1489"/>
      <c r="JB58" s="1489"/>
      <c r="JC58" s="1489"/>
      <c r="JD58" s="1489"/>
      <c r="JE58" s="1489"/>
      <c r="JF58" s="1490"/>
      <c r="JH58" s="811"/>
      <c r="KB58" s="812"/>
      <c r="KC58" s="813"/>
      <c r="KD58" s="813"/>
      <c r="KE58" s="813"/>
      <c r="KF58" s="813"/>
      <c r="KG58" s="813"/>
      <c r="KH58" s="813"/>
      <c r="KI58" s="813"/>
      <c r="KJ58" s="813"/>
      <c r="KK58" s="813"/>
      <c r="KL58" s="813"/>
      <c r="KM58" s="814"/>
      <c r="KN58" s="786"/>
      <c r="KP58" s="795"/>
      <c r="LA58" s="796"/>
      <c r="LH58" s="811"/>
      <c r="LX58" s="810"/>
      <c r="LY58" s="1689" t="s">
        <v>131</v>
      </c>
      <c r="LZ58" s="1690"/>
      <c r="MA58" s="1690"/>
      <c r="MB58" s="1690"/>
      <c r="MC58" s="1690"/>
      <c r="MD58" s="1690"/>
      <c r="ME58" s="1690"/>
      <c r="MF58" s="1690"/>
      <c r="MG58" s="1690"/>
      <c r="MH58" s="1691"/>
      <c r="MJ58" s="648">
        <v>1</v>
      </c>
      <c r="MK58" s="1488" t="s">
        <v>5329</v>
      </c>
      <c r="ML58" s="1489"/>
      <c r="MM58" s="1489"/>
      <c r="MN58" s="1489"/>
      <c r="MO58" s="1489"/>
      <c r="MP58" s="1489"/>
      <c r="MQ58" s="1489"/>
      <c r="MR58" s="1489"/>
      <c r="MS58" s="1490"/>
      <c r="MU58" s="1666" t="s">
        <v>1833</v>
      </c>
      <c r="MV58" s="1667"/>
      <c r="MW58" s="1667"/>
      <c r="MX58" s="1667"/>
      <c r="MY58" s="1667"/>
      <c r="MZ58" s="1667"/>
      <c r="NA58" s="1667"/>
      <c r="NB58" s="1667"/>
      <c r="NC58" s="1667"/>
      <c r="ND58" s="1668"/>
      <c r="NE58" s="811"/>
      <c r="NL58" s="810"/>
      <c r="OE58" s="810"/>
      <c r="OF58" s="1482" t="s">
        <v>5344</v>
      </c>
      <c r="OG58" s="1510"/>
      <c r="OH58" s="1510"/>
      <c r="OI58" s="1510"/>
      <c r="OJ58" s="1510"/>
      <c r="OK58" s="1510"/>
      <c r="OL58" s="1510"/>
      <c r="OM58" s="1510"/>
      <c r="ON58" s="1510"/>
      <c r="OO58" s="1511"/>
      <c r="OP58" s="811"/>
      <c r="OQ58" s="811"/>
      <c r="SG58" s="758"/>
    </row>
    <row r="59" spans="4:513" ht="12.75" customHeight="1" x14ac:dyDescent="0.35">
      <c r="D59" s="758"/>
      <c r="BS59" s="810"/>
      <c r="BV59" s="810"/>
      <c r="BX59" s="1482" t="s">
        <v>2904</v>
      </c>
      <c r="BY59" s="1510"/>
      <c r="BZ59" s="1510"/>
      <c r="CA59" s="1510"/>
      <c r="CB59" s="1510"/>
      <c r="CC59" s="1510"/>
      <c r="CD59" s="1510"/>
      <c r="CE59" s="1510"/>
      <c r="CF59" s="1510"/>
      <c r="CG59" s="1511"/>
      <c r="CI59" s="811"/>
      <c r="CP59" s="795"/>
      <c r="CQ59" s="1666" t="s">
        <v>2871</v>
      </c>
      <c r="CR59" s="1667"/>
      <c r="CS59" s="1667"/>
      <c r="CT59" s="1667"/>
      <c r="CU59" s="1667"/>
      <c r="CV59" s="1667"/>
      <c r="CW59" s="1667"/>
      <c r="CX59" s="1667"/>
      <c r="CY59" s="1667"/>
      <c r="CZ59" s="1668"/>
      <c r="DB59" s="770"/>
      <c r="DC59" s="1482" t="s">
        <v>3052</v>
      </c>
      <c r="DD59" s="1510"/>
      <c r="DE59" s="1510"/>
      <c r="DF59" s="1510"/>
      <c r="DG59" s="1510"/>
      <c r="DH59" s="1510"/>
      <c r="DI59" s="1510"/>
      <c r="DJ59" s="1510"/>
      <c r="DK59" s="1510"/>
      <c r="DL59" s="1511"/>
      <c r="DM59" s="796"/>
      <c r="DU59" s="795"/>
      <c r="DV59" s="1681" t="s">
        <v>1290</v>
      </c>
      <c r="DW59" s="1682"/>
      <c r="DX59" s="1682"/>
      <c r="DY59" s="1682"/>
      <c r="DZ59" s="1682"/>
      <c r="EA59" s="1682"/>
      <c r="EB59" s="1682"/>
      <c r="EC59" s="1682"/>
      <c r="ED59" s="1682"/>
      <c r="EE59" s="1683"/>
      <c r="EF59" s="796"/>
      <c r="EN59" s="850"/>
      <c r="FD59" s="790"/>
      <c r="GA59" s="790"/>
      <c r="GL59" s="790"/>
      <c r="GR59" s="852"/>
      <c r="GV59" s="786"/>
      <c r="HU59" s="850"/>
      <c r="IH59" s="648">
        <v>1</v>
      </c>
      <c r="II59" s="1488" t="s">
        <v>5042</v>
      </c>
      <c r="IJ59" s="1489"/>
      <c r="IK59" s="1489"/>
      <c r="IL59" s="1489"/>
      <c r="IM59" s="1489"/>
      <c r="IN59" s="1489"/>
      <c r="IO59" s="1489"/>
      <c r="IP59" s="1489"/>
      <c r="IQ59" s="1490"/>
      <c r="IS59" s="852"/>
      <c r="IU59" s="811"/>
      <c r="IW59" s="1447" t="s">
        <v>2545</v>
      </c>
      <c r="IX59" s="1448"/>
      <c r="IY59" s="1448"/>
      <c r="IZ59" s="1448"/>
      <c r="JA59" s="1448"/>
      <c r="JB59" s="1448"/>
      <c r="JC59" s="1448"/>
      <c r="JD59" s="1448"/>
      <c r="JE59" s="1448"/>
      <c r="JF59" s="1449"/>
      <c r="JH59" s="811"/>
      <c r="KE59" s="876"/>
      <c r="KF59" s="877"/>
      <c r="KG59" s="1699"/>
      <c r="KH59" s="1699"/>
      <c r="KI59" s="1699"/>
      <c r="KJ59" s="1699"/>
      <c r="KK59" s="1699"/>
      <c r="KL59" s="1699"/>
      <c r="KM59" s="1699"/>
      <c r="KN59" s="786"/>
      <c r="KP59" s="795"/>
      <c r="KQ59" s="648">
        <v>1</v>
      </c>
      <c r="KR59" s="1488" t="s">
        <v>171</v>
      </c>
      <c r="KS59" s="1489"/>
      <c r="KT59" s="1489"/>
      <c r="KU59" s="1489"/>
      <c r="KV59" s="1489"/>
      <c r="KW59" s="1489"/>
      <c r="KX59" s="1489"/>
      <c r="KY59" s="1489"/>
      <c r="KZ59" s="1490"/>
      <c r="LA59" s="796"/>
      <c r="LH59" s="811"/>
      <c r="LX59" s="810"/>
      <c r="LY59" s="648">
        <v>1</v>
      </c>
      <c r="LZ59" s="1488" t="s">
        <v>5063</v>
      </c>
      <c r="MA59" s="1489"/>
      <c r="MB59" s="1489"/>
      <c r="MC59" s="1489"/>
      <c r="MD59" s="1489"/>
      <c r="ME59" s="1489"/>
      <c r="MF59" s="1489"/>
      <c r="MG59" s="1489"/>
      <c r="MH59" s="1490"/>
      <c r="MJ59" s="1482" t="s">
        <v>5345</v>
      </c>
      <c r="MK59" s="1483"/>
      <c r="ML59" s="1483"/>
      <c r="MM59" s="1483"/>
      <c r="MN59" s="1483"/>
      <c r="MO59" s="1483"/>
      <c r="MP59" s="1483"/>
      <c r="MQ59" s="1483"/>
      <c r="MR59" s="1483"/>
      <c r="MS59" s="1484"/>
      <c r="NE59" s="811"/>
      <c r="NL59" s="810"/>
      <c r="OE59" s="810"/>
      <c r="OF59" s="648">
        <v>1</v>
      </c>
      <c r="OG59" s="1488" t="s">
        <v>91</v>
      </c>
      <c r="OH59" s="1489"/>
      <c r="OI59" s="1489"/>
      <c r="OJ59" s="1489"/>
      <c r="OK59" s="1489"/>
      <c r="OL59" s="1489"/>
      <c r="OM59" s="1489"/>
      <c r="ON59" s="1489"/>
      <c r="OO59" s="1490"/>
      <c r="OP59" s="811"/>
      <c r="OQ59" s="811"/>
      <c r="SG59" s="758"/>
    </row>
    <row r="60" spans="4:513" ht="12.75" customHeight="1" x14ac:dyDescent="0.35">
      <c r="D60" s="758"/>
      <c r="BS60" s="810"/>
      <c r="BV60" s="810"/>
      <c r="BX60" s="648">
        <v>0.5</v>
      </c>
      <c r="BY60" s="1488" t="s">
        <v>5076</v>
      </c>
      <c r="BZ60" s="1489"/>
      <c r="CA60" s="1489"/>
      <c r="CB60" s="1489"/>
      <c r="CC60" s="1489"/>
      <c r="CD60" s="1489"/>
      <c r="CE60" s="1489"/>
      <c r="CF60" s="1489"/>
      <c r="CG60" s="1490"/>
      <c r="CI60" s="811"/>
      <c r="CP60" s="795"/>
      <c r="CQ60" s="648">
        <v>1</v>
      </c>
      <c r="CR60" s="1488" t="s">
        <v>5346</v>
      </c>
      <c r="CS60" s="1489"/>
      <c r="CT60" s="1489"/>
      <c r="CU60" s="1489"/>
      <c r="CV60" s="1489"/>
      <c r="CW60" s="1489"/>
      <c r="CX60" s="1489"/>
      <c r="CY60" s="1489"/>
      <c r="CZ60" s="1490"/>
      <c r="DB60" s="770"/>
      <c r="DM60" s="796"/>
      <c r="DU60" s="812"/>
      <c r="DV60" s="813"/>
      <c r="DW60" s="813"/>
      <c r="DX60" s="813"/>
      <c r="DY60" s="813"/>
      <c r="DZ60" s="813"/>
      <c r="EA60" s="813"/>
      <c r="EB60" s="813"/>
      <c r="EC60" s="813"/>
      <c r="ED60" s="813"/>
      <c r="EE60" s="813"/>
      <c r="EF60" s="814"/>
      <c r="EN60" s="850"/>
      <c r="FD60" s="790"/>
      <c r="GA60" s="790"/>
      <c r="GL60" s="790"/>
      <c r="GR60" s="852"/>
      <c r="GV60" s="786"/>
      <c r="HU60" s="850"/>
      <c r="IH60" s="1482" t="s">
        <v>5347</v>
      </c>
      <c r="II60" s="1510"/>
      <c r="IJ60" s="1510"/>
      <c r="IK60" s="1510"/>
      <c r="IL60" s="1510"/>
      <c r="IM60" s="1510"/>
      <c r="IN60" s="1510"/>
      <c r="IO60" s="1510"/>
      <c r="IP60" s="1510"/>
      <c r="IQ60" s="1511"/>
      <c r="IS60" s="852"/>
      <c r="IV60" s="810"/>
      <c r="JH60" s="811"/>
      <c r="KN60" s="786"/>
      <c r="KP60" s="795"/>
      <c r="KQ60" s="1654" t="s">
        <v>5348</v>
      </c>
      <c r="KR60" s="1655"/>
      <c r="KS60" s="1655"/>
      <c r="KT60" s="1655"/>
      <c r="KU60" s="1655"/>
      <c r="KV60" s="1655"/>
      <c r="KW60" s="1655"/>
      <c r="KX60" s="1655"/>
      <c r="KY60" s="1655"/>
      <c r="KZ60" s="1655"/>
      <c r="LA60" s="796"/>
      <c r="LH60" s="811"/>
      <c r="LX60" s="810"/>
      <c r="LY60" s="1700" t="s">
        <v>3967</v>
      </c>
      <c r="LZ60" s="1701"/>
      <c r="MA60" s="1701"/>
      <c r="MB60" s="1701"/>
      <c r="MC60" s="1701"/>
      <c r="MD60" s="1701"/>
      <c r="ME60" s="1701"/>
      <c r="MF60" s="1701"/>
      <c r="MG60" s="1701"/>
      <c r="MH60" s="1702"/>
      <c r="MJ60" s="648">
        <v>1</v>
      </c>
      <c r="MK60" s="1488" t="s">
        <v>5329</v>
      </c>
      <c r="ML60" s="1489"/>
      <c r="MM60" s="1489"/>
      <c r="MN60" s="1489"/>
      <c r="MO60" s="1489"/>
      <c r="MP60" s="1489"/>
      <c r="MQ60" s="1489"/>
      <c r="MR60" s="1489"/>
      <c r="MS60" s="1490"/>
      <c r="NE60" s="811"/>
      <c r="NL60" s="810"/>
      <c r="OE60" s="810"/>
      <c r="OF60" s="1666" t="s">
        <v>3568</v>
      </c>
      <c r="OG60" s="1693"/>
      <c r="OH60" s="1693"/>
      <c r="OI60" s="1693"/>
      <c r="OJ60" s="1693"/>
      <c r="OK60" s="1693"/>
      <c r="OL60" s="1693"/>
      <c r="OM60" s="1693"/>
      <c r="ON60" s="1693"/>
      <c r="OO60" s="1694"/>
      <c r="OP60" s="811"/>
      <c r="OQ60" s="811"/>
      <c r="SG60" s="758"/>
    </row>
    <row r="61" spans="4:513" ht="12.75" customHeight="1" x14ac:dyDescent="0.35">
      <c r="D61" s="758"/>
      <c r="BS61" s="810"/>
      <c r="BV61" s="810"/>
      <c r="BX61" s="1482" t="s">
        <v>1621</v>
      </c>
      <c r="BY61" s="1510"/>
      <c r="BZ61" s="1510"/>
      <c r="CA61" s="1510"/>
      <c r="CB61" s="1510"/>
      <c r="CC61" s="1510"/>
      <c r="CD61" s="1510"/>
      <c r="CE61" s="1510"/>
      <c r="CF61" s="1510"/>
      <c r="CG61" s="1511"/>
      <c r="CI61" s="811"/>
      <c r="CP61" s="795"/>
      <c r="CQ61" s="1482" t="s">
        <v>3709</v>
      </c>
      <c r="CR61" s="1510"/>
      <c r="CS61" s="1510"/>
      <c r="CT61" s="1510"/>
      <c r="CU61" s="1510"/>
      <c r="CV61" s="1510"/>
      <c r="CW61" s="1510"/>
      <c r="CX61" s="1510"/>
      <c r="CY61" s="1510"/>
      <c r="CZ61" s="1511"/>
      <c r="DB61" s="770"/>
      <c r="DM61" s="796"/>
      <c r="DV61" s="878"/>
      <c r="DW61" s="878"/>
      <c r="DX61" s="1695"/>
      <c r="DY61" s="1695"/>
      <c r="DZ61" s="1695"/>
      <c r="EA61" s="1695"/>
      <c r="EB61" s="1695"/>
      <c r="EC61" s="1695"/>
      <c r="ED61" s="1695"/>
      <c r="EE61" s="1695"/>
      <c r="EF61" s="1695"/>
      <c r="EN61" s="850"/>
      <c r="FD61" s="790"/>
      <c r="GA61" s="790"/>
      <c r="GL61" s="790"/>
      <c r="GR61" s="852"/>
      <c r="GV61" s="786"/>
      <c r="HU61" s="850"/>
      <c r="IH61" s="648">
        <v>1</v>
      </c>
      <c r="II61" s="1488" t="s">
        <v>5042</v>
      </c>
      <c r="IJ61" s="1489"/>
      <c r="IK61" s="1489"/>
      <c r="IL61" s="1489"/>
      <c r="IM61" s="1489"/>
      <c r="IN61" s="1489"/>
      <c r="IO61" s="1489"/>
      <c r="IP61" s="1489"/>
      <c r="IQ61" s="1490"/>
      <c r="IS61" s="852"/>
      <c r="IV61" s="810"/>
      <c r="IW61" s="1653" t="s">
        <v>5349</v>
      </c>
      <c r="IX61" s="1653"/>
      <c r="IY61" s="1653"/>
      <c r="IZ61" s="1653"/>
      <c r="JA61" s="1653"/>
      <c r="JB61" s="1653"/>
      <c r="JC61" s="1653"/>
      <c r="JD61" s="1653"/>
      <c r="JE61" s="1653"/>
      <c r="JF61" s="1653"/>
      <c r="JH61" s="815">
        <f>IW62+IW64</f>
        <v>2</v>
      </c>
      <c r="KN61" s="786"/>
      <c r="KP61" s="795"/>
      <c r="KQ61" s="648">
        <v>1</v>
      </c>
      <c r="KR61" s="1488" t="s">
        <v>171</v>
      </c>
      <c r="KS61" s="1489"/>
      <c r="KT61" s="1489"/>
      <c r="KU61" s="1489"/>
      <c r="KV61" s="1489"/>
      <c r="KW61" s="1489"/>
      <c r="KX61" s="1489"/>
      <c r="KY61" s="1489"/>
      <c r="KZ61" s="1490"/>
      <c r="LA61" s="796"/>
      <c r="LH61" s="811"/>
      <c r="LX61" s="810"/>
      <c r="LY61" s="879">
        <v>1</v>
      </c>
      <c r="LZ61" s="1696" t="s">
        <v>5329</v>
      </c>
      <c r="MA61" s="1697"/>
      <c r="MB61" s="1697"/>
      <c r="MC61" s="1697"/>
      <c r="MD61" s="1697"/>
      <c r="ME61" s="1697"/>
      <c r="MF61" s="1697"/>
      <c r="MG61" s="1697"/>
      <c r="MH61" s="1698"/>
      <c r="MJ61" s="1482" t="s">
        <v>5350</v>
      </c>
      <c r="MK61" s="1483"/>
      <c r="ML61" s="1483"/>
      <c r="MM61" s="1483"/>
      <c r="MN61" s="1483"/>
      <c r="MO61" s="1483"/>
      <c r="MP61" s="1483"/>
      <c r="MQ61" s="1483"/>
      <c r="MR61" s="1483"/>
      <c r="MS61" s="1484"/>
      <c r="NE61" s="811"/>
      <c r="NL61" s="810"/>
      <c r="OE61" s="810"/>
      <c r="OF61" s="648">
        <v>1</v>
      </c>
      <c r="OG61" s="1488" t="s">
        <v>91</v>
      </c>
      <c r="OH61" s="1489"/>
      <c r="OI61" s="1489"/>
      <c r="OJ61" s="1489"/>
      <c r="OK61" s="1489"/>
      <c r="OL61" s="1489"/>
      <c r="OM61" s="1489"/>
      <c r="ON61" s="1489"/>
      <c r="OO61" s="1490"/>
      <c r="OP61" s="811"/>
      <c r="OQ61" s="811"/>
      <c r="SG61" s="758"/>
    </row>
    <row r="62" spans="4:513" ht="12.75" customHeight="1" x14ac:dyDescent="0.35">
      <c r="D62" s="758"/>
      <c r="BS62" s="810"/>
      <c r="BV62" s="810"/>
      <c r="BX62" s="648">
        <v>0.5</v>
      </c>
      <c r="BY62" s="1488" t="s">
        <v>5076</v>
      </c>
      <c r="BZ62" s="1489"/>
      <c r="CA62" s="1489"/>
      <c r="CB62" s="1489"/>
      <c r="CC62" s="1489"/>
      <c r="CD62" s="1489"/>
      <c r="CE62" s="1489"/>
      <c r="CF62" s="1489"/>
      <c r="CG62" s="1490"/>
      <c r="CI62" s="811"/>
      <c r="CP62" s="795"/>
      <c r="DB62" s="880"/>
      <c r="DM62" s="796"/>
      <c r="EN62" s="850"/>
      <c r="ET62" s="831"/>
      <c r="EU62" s="831"/>
      <c r="EV62" s="831"/>
      <c r="EW62" s="831"/>
      <c r="EX62" s="831"/>
      <c r="EY62" s="831"/>
      <c r="EZ62" s="831"/>
      <c r="FA62" s="831"/>
      <c r="FB62" s="831"/>
      <c r="FC62" s="831"/>
      <c r="FD62" s="851"/>
      <c r="FE62" s="831"/>
      <c r="FF62" s="831"/>
      <c r="FG62" s="831"/>
      <c r="FH62" s="831"/>
      <c r="FI62" s="831"/>
      <c r="FJ62" s="831"/>
      <c r="FK62" s="831"/>
      <c r="FL62" s="831"/>
      <c r="FM62" s="831"/>
      <c r="FN62" s="831"/>
      <c r="FO62" s="831"/>
      <c r="FP62" s="831"/>
      <c r="GA62" s="790"/>
      <c r="GL62" s="790"/>
      <c r="GR62" s="852"/>
      <c r="GV62" s="786"/>
      <c r="HU62" s="850"/>
      <c r="IH62" s="1482" t="s">
        <v>5351</v>
      </c>
      <c r="II62" s="1510"/>
      <c r="IJ62" s="1510"/>
      <c r="IK62" s="1510"/>
      <c r="IL62" s="1510"/>
      <c r="IM62" s="1510"/>
      <c r="IN62" s="1510"/>
      <c r="IO62" s="1510"/>
      <c r="IP62" s="1510"/>
      <c r="IQ62" s="1511"/>
      <c r="IS62" s="852"/>
      <c r="IV62" s="810"/>
      <c r="IW62" s="648">
        <v>1</v>
      </c>
      <c r="IX62" s="1488" t="s">
        <v>4834</v>
      </c>
      <c r="IY62" s="1489"/>
      <c r="IZ62" s="1489"/>
      <c r="JA62" s="1489"/>
      <c r="JB62" s="1489"/>
      <c r="JC62" s="1489"/>
      <c r="JD62" s="1489"/>
      <c r="JE62" s="1489"/>
      <c r="JF62" s="1490"/>
      <c r="JH62" s="811"/>
      <c r="KN62" s="786"/>
      <c r="KP62" s="795"/>
      <c r="KQ62" s="1715" t="s">
        <v>3931</v>
      </c>
      <c r="KR62" s="1716"/>
      <c r="KS62" s="1716"/>
      <c r="KT62" s="1716"/>
      <c r="KU62" s="1716"/>
      <c r="KV62" s="1716"/>
      <c r="KW62" s="1716"/>
      <c r="KX62" s="1716"/>
      <c r="KY62" s="1716"/>
      <c r="KZ62" s="1716"/>
      <c r="LA62" s="796"/>
      <c r="LH62" s="811"/>
      <c r="LX62" s="810"/>
      <c r="LY62" s="1717" t="s">
        <v>4577</v>
      </c>
      <c r="LZ62" s="1718"/>
      <c r="MA62" s="1718"/>
      <c r="MB62" s="1718"/>
      <c r="MC62" s="1718"/>
      <c r="MD62" s="1718"/>
      <c r="ME62" s="1718"/>
      <c r="MF62" s="1718"/>
      <c r="MG62" s="1718"/>
      <c r="MH62" s="1719"/>
      <c r="MJ62" s="648">
        <v>1</v>
      </c>
      <c r="MK62" s="1488" t="s">
        <v>5329</v>
      </c>
      <c r="ML62" s="1489"/>
      <c r="MM62" s="1489"/>
      <c r="MN62" s="1489"/>
      <c r="MO62" s="1489"/>
      <c r="MP62" s="1489"/>
      <c r="MQ62" s="1489"/>
      <c r="MR62" s="1489"/>
      <c r="MS62" s="1490"/>
      <c r="NE62" s="811"/>
      <c r="NL62" s="810"/>
      <c r="OE62" s="810"/>
      <c r="OF62" s="1482" t="s">
        <v>5352</v>
      </c>
      <c r="OG62" s="1510"/>
      <c r="OH62" s="1510"/>
      <c r="OI62" s="1510"/>
      <c r="OJ62" s="1510"/>
      <c r="OK62" s="1510"/>
      <c r="OL62" s="1510"/>
      <c r="OM62" s="1510"/>
      <c r="ON62" s="1510"/>
      <c r="OO62" s="1511"/>
      <c r="OP62" s="811"/>
      <c r="OQ62" s="811"/>
      <c r="SG62" s="758"/>
    </row>
    <row r="63" spans="4:513" ht="12.75" customHeight="1" x14ac:dyDescent="0.35">
      <c r="D63" s="758"/>
      <c r="BS63" s="810"/>
      <c r="BV63" s="810"/>
      <c r="BX63" s="1482" t="s">
        <v>3974</v>
      </c>
      <c r="BY63" s="1483"/>
      <c r="BZ63" s="1483"/>
      <c r="CA63" s="1483"/>
      <c r="CB63" s="1483"/>
      <c r="CC63" s="1483"/>
      <c r="CD63" s="1483"/>
      <c r="CE63" s="1483"/>
      <c r="CF63" s="1483"/>
      <c r="CG63" s="1484"/>
      <c r="CI63" s="811"/>
      <c r="CP63" s="795"/>
      <c r="CV63" s="863"/>
      <c r="CW63" s="881"/>
      <c r="CX63" s="881"/>
      <c r="CY63" s="881"/>
      <c r="CZ63" s="881"/>
      <c r="DA63" s="881"/>
      <c r="DB63" s="863"/>
      <c r="DC63" s="881"/>
      <c r="DD63" s="881"/>
      <c r="DE63" s="881"/>
      <c r="DF63" s="881"/>
      <c r="DG63" s="835"/>
      <c r="DH63" s="770"/>
      <c r="DM63" s="796"/>
      <c r="EN63" s="850"/>
      <c r="ES63" s="790"/>
      <c r="FD63" s="790"/>
      <c r="FP63" s="790"/>
      <c r="GA63" s="790"/>
      <c r="GL63" s="790"/>
      <c r="GR63" s="852"/>
      <c r="GV63" s="786"/>
      <c r="HU63" s="850"/>
      <c r="IH63" s="648">
        <v>1</v>
      </c>
      <c r="II63" s="1488" t="s">
        <v>5042</v>
      </c>
      <c r="IJ63" s="1489"/>
      <c r="IK63" s="1489"/>
      <c r="IL63" s="1489"/>
      <c r="IM63" s="1489"/>
      <c r="IN63" s="1489"/>
      <c r="IO63" s="1489"/>
      <c r="IP63" s="1489"/>
      <c r="IQ63" s="1490"/>
      <c r="IS63" s="852"/>
      <c r="IV63" s="810"/>
      <c r="IW63" s="1711" t="s">
        <v>1495</v>
      </c>
      <c r="IX63" s="1712"/>
      <c r="IY63" s="1712"/>
      <c r="IZ63" s="1712"/>
      <c r="JA63" s="1712"/>
      <c r="JB63" s="1712"/>
      <c r="JC63" s="1712"/>
      <c r="JD63" s="1712"/>
      <c r="JE63" s="1712"/>
      <c r="JF63" s="1713"/>
      <c r="JH63" s="811"/>
      <c r="KN63" s="786"/>
      <c r="KP63" s="795"/>
      <c r="KQ63" s="648">
        <v>1</v>
      </c>
      <c r="KR63" s="1488" t="s">
        <v>171</v>
      </c>
      <c r="KS63" s="1489"/>
      <c r="KT63" s="1489"/>
      <c r="KU63" s="1489"/>
      <c r="KV63" s="1489"/>
      <c r="KW63" s="1489"/>
      <c r="KX63" s="1489"/>
      <c r="KY63" s="1489"/>
      <c r="KZ63" s="1490"/>
      <c r="LA63" s="796"/>
      <c r="LH63" s="811"/>
      <c r="LX63" s="810"/>
      <c r="MJ63" s="1689" t="s">
        <v>177</v>
      </c>
      <c r="MK63" s="1690"/>
      <c r="ML63" s="1690"/>
      <c r="MM63" s="1690"/>
      <c r="MN63" s="1690"/>
      <c r="MO63" s="1690"/>
      <c r="MP63" s="1690"/>
      <c r="MQ63" s="1690"/>
      <c r="MR63" s="1690"/>
      <c r="MS63" s="1691"/>
      <c r="NE63" s="811"/>
      <c r="NL63" s="810"/>
      <c r="NT63" s="879">
        <v>1</v>
      </c>
      <c r="NU63" s="1714" t="s">
        <v>5353</v>
      </c>
      <c r="NV63" s="1714"/>
      <c r="NW63" s="1714"/>
      <c r="NX63" s="1714"/>
      <c r="NY63" s="1714"/>
      <c r="NZ63" s="1714"/>
      <c r="OA63" s="1714"/>
      <c r="OB63" s="1714"/>
      <c r="OC63" s="1714"/>
      <c r="OE63" s="810"/>
      <c r="OF63" s="648">
        <v>1</v>
      </c>
      <c r="OG63" s="1488" t="s">
        <v>91</v>
      </c>
      <c r="OH63" s="1489"/>
      <c r="OI63" s="1489"/>
      <c r="OJ63" s="1489"/>
      <c r="OK63" s="1489"/>
      <c r="OL63" s="1489"/>
      <c r="OM63" s="1489"/>
      <c r="ON63" s="1489"/>
      <c r="OO63" s="1490"/>
      <c r="OP63" s="811"/>
      <c r="OQ63" s="811"/>
      <c r="SG63" s="758"/>
    </row>
    <row r="64" spans="4:513" ht="12.75" customHeight="1" x14ac:dyDescent="0.35">
      <c r="D64" s="758"/>
      <c r="BS64" s="810"/>
      <c r="BV64" s="810"/>
      <c r="BX64" s="648">
        <v>0.5</v>
      </c>
      <c r="BY64" s="1466" t="s">
        <v>4994</v>
      </c>
      <c r="BZ64" s="1467"/>
      <c r="CA64" s="1467"/>
      <c r="CB64" s="1467"/>
      <c r="CC64" s="1467"/>
      <c r="CD64" s="1467"/>
      <c r="CE64" s="1467"/>
      <c r="CF64" s="1467"/>
      <c r="CG64" s="1468"/>
      <c r="CI64" s="811"/>
      <c r="CP64" s="795"/>
      <c r="CQ64" s="1488" t="s">
        <v>5077</v>
      </c>
      <c r="CR64" s="1489"/>
      <c r="CS64" s="1489"/>
      <c r="CT64" s="1489"/>
      <c r="CU64" s="1489"/>
      <c r="CV64" s="1489"/>
      <c r="CW64" s="1489"/>
      <c r="CX64" s="1489"/>
      <c r="CY64" s="1489"/>
      <c r="CZ64" s="1490"/>
      <c r="DB64" s="770"/>
      <c r="DC64" s="1488" t="s">
        <v>5078</v>
      </c>
      <c r="DD64" s="1489"/>
      <c r="DE64" s="1489"/>
      <c r="DF64" s="1489"/>
      <c r="DG64" s="1489"/>
      <c r="DH64" s="1489"/>
      <c r="DI64" s="1489"/>
      <c r="DJ64" s="1489"/>
      <c r="DK64" s="1489"/>
      <c r="DL64" s="1490"/>
      <c r="DM64" s="796"/>
      <c r="EN64" s="850"/>
      <c r="ES64" s="854"/>
      <c r="FD64" s="854"/>
      <c r="FP64" s="790"/>
      <c r="GA64" s="854"/>
      <c r="GL64" s="854"/>
      <c r="GR64" s="852"/>
      <c r="GV64" s="786"/>
      <c r="HU64" s="850"/>
      <c r="IH64" s="1703" t="s">
        <v>4610</v>
      </c>
      <c r="II64" s="1704"/>
      <c r="IJ64" s="1704"/>
      <c r="IK64" s="1704"/>
      <c r="IL64" s="1704"/>
      <c r="IM64" s="1704"/>
      <c r="IN64" s="1704"/>
      <c r="IO64" s="1704"/>
      <c r="IP64" s="1704"/>
      <c r="IQ64" s="1704"/>
      <c r="IS64" s="852"/>
      <c r="IV64" s="810"/>
      <c r="IW64" s="648">
        <v>1</v>
      </c>
      <c r="IX64" s="1488" t="s">
        <v>4834</v>
      </c>
      <c r="IY64" s="1489"/>
      <c r="IZ64" s="1489"/>
      <c r="JA64" s="1489"/>
      <c r="JB64" s="1489"/>
      <c r="JC64" s="1489"/>
      <c r="JD64" s="1489"/>
      <c r="JE64" s="1489"/>
      <c r="JF64" s="1490"/>
      <c r="JH64" s="811"/>
      <c r="KN64" s="786"/>
      <c r="KP64" s="795"/>
      <c r="KQ64" s="1705" t="s">
        <v>2924</v>
      </c>
      <c r="KR64" s="1706"/>
      <c r="KS64" s="1706"/>
      <c r="KT64" s="1706"/>
      <c r="KU64" s="1706"/>
      <c r="KV64" s="1706"/>
      <c r="KW64" s="1706"/>
      <c r="KX64" s="1706"/>
      <c r="KY64" s="1706"/>
      <c r="KZ64" s="1706"/>
      <c r="LA64" s="796"/>
      <c r="LH64" s="811"/>
      <c r="LX64" s="810"/>
      <c r="MJ64" s="648">
        <v>1</v>
      </c>
      <c r="MK64" s="1488" t="s">
        <v>5329</v>
      </c>
      <c r="ML64" s="1489"/>
      <c r="MM64" s="1489"/>
      <c r="MN64" s="1489"/>
      <c r="MO64" s="1489"/>
      <c r="MP64" s="1489"/>
      <c r="MQ64" s="1489"/>
      <c r="MR64" s="1489"/>
      <c r="MS64" s="1490"/>
      <c r="NE64" s="811"/>
      <c r="NL64" s="810"/>
      <c r="NT64" s="1707" t="s">
        <v>1278</v>
      </c>
      <c r="NU64" s="1708"/>
      <c r="NV64" s="1708"/>
      <c r="NW64" s="1708"/>
      <c r="NX64" s="1708"/>
      <c r="NY64" s="1708"/>
      <c r="NZ64" s="1708"/>
      <c r="OA64" s="1708"/>
      <c r="OB64" s="1708"/>
      <c r="OC64" s="1709"/>
      <c r="OE64" s="810"/>
      <c r="OF64" s="1710" t="s">
        <v>4040</v>
      </c>
      <c r="OG64" s="1693"/>
      <c r="OH64" s="1693"/>
      <c r="OI64" s="1693"/>
      <c r="OJ64" s="1693"/>
      <c r="OK64" s="1693"/>
      <c r="OL64" s="1693"/>
      <c r="OM64" s="1693"/>
      <c r="ON64" s="1693"/>
      <c r="OO64" s="1694"/>
      <c r="OP64" s="811"/>
      <c r="OQ64" s="811"/>
      <c r="SG64" s="758"/>
    </row>
    <row r="65" spans="4:501" ht="12.75" customHeight="1" x14ac:dyDescent="0.35">
      <c r="D65" s="758"/>
      <c r="BS65" s="810"/>
      <c r="BV65" s="810"/>
      <c r="BW65" s="778"/>
      <c r="BX65" s="1551" t="s">
        <v>3559</v>
      </c>
      <c r="BY65" s="1552"/>
      <c r="BZ65" s="1552"/>
      <c r="CA65" s="1552"/>
      <c r="CB65" s="1552"/>
      <c r="CC65" s="1552"/>
      <c r="CD65" s="1552"/>
      <c r="CE65" s="1552"/>
      <c r="CF65" s="1552"/>
      <c r="CG65" s="1553"/>
      <c r="CH65" s="775"/>
      <c r="CI65" s="811"/>
      <c r="CP65" s="795"/>
      <c r="CQ65" s="648">
        <v>1</v>
      </c>
      <c r="CR65" s="1488" t="s">
        <v>5081</v>
      </c>
      <c r="CS65" s="1489"/>
      <c r="CT65" s="1489"/>
      <c r="CU65" s="1489"/>
      <c r="CV65" s="1489"/>
      <c r="CW65" s="1489"/>
      <c r="CX65" s="1489"/>
      <c r="CY65" s="1489"/>
      <c r="CZ65" s="1490"/>
      <c r="DB65" s="770"/>
      <c r="DC65" s="648">
        <v>1</v>
      </c>
      <c r="DD65" s="1488" t="s">
        <v>5081</v>
      </c>
      <c r="DE65" s="1489"/>
      <c r="DF65" s="1489"/>
      <c r="DG65" s="1489"/>
      <c r="DH65" s="1489"/>
      <c r="DI65" s="1489"/>
      <c r="DJ65" s="1489"/>
      <c r="DK65" s="1489"/>
      <c r="DL65" s="1490"/>
      <c r="DM65" s="882"/>
      <c r="EN65" s="850"/>
      <c r="EP65" s="1488" t="s">
        <v>5084</v>
      </c>
      <c r="EQ65" s="1489"/>
      <c r="ER65" s="1489"/>
      <c r="ES65" s="1489"/>
      <c r="ET65" s="1489"/>
      <c r="EU65" s="1489"/>
      <c r="EV65" s="1489"/>
      <c r="EW65" s="1489"/>
      <c r="EX65" s="1489"/>
      <c r="EY65" s="1490"/>
      <c r="FA65" s="1488" t="s">
        <v>5085</v>
      </c>
      <c r="FB65" s="1489"/>
      <c r="FC65" s="1489"/>
      <c r="FD65" s="1489"/>
      <c r="FE65" s="1489"/>
      <c r="FF65" s="1489"/>
      <c r="FG65" s="1489"/>
      <c r="FH65" s="1489"/>
      <c r="FI65" s="1489"/>
      <c r="FJ65" s="1490"/>
      <c r="FL65" s="1724" t="s">
        <v>5086</v>
      </c>
      <c r="FM65" s="1724"/>
      <c r="FN65" s="1724"/>
      <c r="FO65" s="1724"/>
      <c r="FP65" s="1724"/>
      <c r="FQ65" s="1724"/>
      <c r="FR65" s="1724"/>
      <c r="FS65" s="1724"/>
      <c r="FT65" s="1724"/>
      <c r="FU65" s="1724"/>
      <c r="FW65" s="1488" t="s">
        <v>5354</v>
      </c>
      <c r="FX65" s="1489"/>
      <c r="FY65" s="1489"/>
      <c r="FZ65" s="1489"/>
      <c r="GA65" s="1489"/>
      <c r="GB65" s="1489"/>
      <c r="GC65" s="1489"/>
      <c r="GD65" s="1489"/>
      <c r="GE65" s="1489"/>
      <c r="GF65" s="1490"/>
      <c r="GH65" s="1488" t="s">
        <v>5088</v>
      </c>
      <c r="GI65" s="1489"/>
      <c r="GJ65" s="1489"/>
      <c r="GK65" s="1489"/>
      <c r="GL65" s="1489"/>
      <c r="GM65" s="1489"/>
      <c r="GN65" s="1489"/>
      <c r="GO65" s="1489"/>
      <c r="GP65" s="1489"/>
      <c r="GQ65" s="1490"/>
      <c r="GR65" s="852"/>
      <c r="GV65" s="786"/>
      <c r="HU65" s="884"/>
      <c r="HV65" s="885"/>
      <c r="HW65" s="885"/>
      <c r="HX65" s="885"/>
      <c r="HY65" s="885"/>
      <c r="HZ65" s="885"/>
      <c r="IA65" s="885"/>
      <c r="IB65" s="885"/>
      <c r="IC65" s="885"/>
      <c r="ID65" s="885"/>
      <c r="IE65" s="885"/>
      <c r="IF65" s="885"/>
      <c r="IG65" s="885"/>
      <c r="IH65" s="885"/>
      <c r="II65" s="885"/>
      <c r="IJ65" s="885"/>
      <c r="IK65" s="885"/>
      <c r="IL65" s="885"/>
      <c r="IM65" s="885"/>
      <c r="IN65" s="885"/>
      <c r="IO65" s="885"/>
      <c r="IP65" s="885"/>
      <c r="IQ65" s="885"/>
      <c r="IR65" s="885"/>
      <c r="IS65" s="886"/>
      <c r="IV65" s="810"/>
      <c r="IW65" s="1447" t="s">
        <v>5355</v>
      </c>
      <c r="IX65" s="1448"/>
      <c r="IY65" s="1448"/>
      <c r="IZ65" s="1448"/>
      <c r="JA65" s="1448"/>
      <c r="JB65" s="1448"/>
      <c r="JC65" s="1448"/>
      <c r="JD65" s="1448"/>
      <c r="JE65" s="1448"/>
      <c r="JF65" s="1449"/>
      <c r="JH65" s="811"/>
      <c r="KN65" s="786"/>
      <c r="KP65" s="795"/>
      <c r="KQ65" s="648">
        <v>1</v>
      </c>
      <c r="KR65" s="1488" t="s">
        <v>171</v>
      </c>
      <c r="KS65" s="1489"/>
      <c r="KT65" s="1489"/>
      <c r="KU65" s="1489"/>
      <c r="KV65" s="1489"/>
      <c r="KW65" s="1489"/>
      <c r="KX65" s="1489"/>
      <c r="KY65" s="1489"/>
      <c r="KZ65" s="1490"/>
      <c r="LA65" s="796"/>
      <c r="LH65" s="811"/>
      <c r="LX65" s="810"/>
      <c r="MJ65" s="1482" t="s">
        <v>5356</v>
      </c>
      <c r="MK65" s="1483"/>
      <c r="ML65" s="1483"/>
      <c r="MM65" s="1483"/>
      <c r="MN65" s="1483"/>
      <c r="MO65" s="1483"/>
      <c r="MP65" s="1483"/>
      <c r="MQ65" s="1483"/>
      <c r="MR65" s="1483"/>
      <c r="MS65" s="1484"/>
      <c r="NE65" s="811"/>
      <c r="NL65" s="810"/>
      <c r="OE65" s="870"/>
      <c r="OF65" s="798"/>
      <c r="OG65" s="798"/>
      <c r="OH65" s="798"/>
      <c r="OI65" s="798"/>
      <c r="OJ65" s="798"/>
      <c r="OK65" s="798"/>
      <c r="OL65" s="798"/>
      <c r="OM65" s="798"/>
      <c r="ON65" s="798"/>
      <c r="OO65" s="798"/>
      <c r="OP65" s="871"/>
      <c r="OQ65" s="811"/>
      <c r="SG65" s="758"/>
    </row>
    <row r="66" spans="4:501" ht="12.75" customHeight="1" x14ac:dyDescent="0.35">
      <c r="D66" s="758"/>
      <c r="BS66" s="810"/>
      <c r="BV66" s="870"/>
      <c r="BW66" s="798"/>
      <c r="BX66" s="798"/>
      <c r="BY66" s="798"/>
      <c r="BZ66" s="798"/>
      <c r="CA66" s="798"/>
      <c r="CB66" s="798"/>
      <c r="CC66" s="798"/>
      <c r="CD66" s="798"/>
      <c r="CE66" s="798"/>
      <c r="CF66" s="798"/>
      <c r="CG66" s="798"/>
      <c r="CH66" s="798"/>
      <c r="CI66" s="871"/>
      <c r="CP66" s="795"/>
      <c r="CQ66" s="1482" t="s">
        <v>1367</v>
      </c>
      <c r="CR66" s="1510"/>
      <c r="CS66" s="1510"/>
      <c r="CT66" s="1510"/>
      <c r="CU66" s="1510"/>
      <c r="CV66" s="1510"/>
      <c r="CW66" s="1510"/>
      <c r="CX66" s="1510"/>
      <c r="CY66" s="1510"/>
      <c r="CZ66" s="1511"/>
      <c r="DB66" s="770"/>
      <c r="DC66" s="1482" t="s">
        <v>4532</v>
      </c>
      <c r="DD66" s="1510"/>
      <c r="DE66" s="1510"/>
      <c r="DF66" s="1510"/>
      <c r="DG66" s="1510"/>
      <c r="DH66" s="1510"/>
      <c r="DI66" s="1510"/>
      <c r="DJ66" s="1510"/>
      <c r="DK66" s="1510"/>
      <c r="DL66" s="1511"/>
      <c r="DM66" s="796"/>
      <c r="EN66" s="850"/>
      <c r="EP66" s="648">
        <v>1</v>
      </c>
      <c r="EQ66" s="1488" t="s">
        <v>5094</v>
      </c>
      <c r="ER66" s="1489"/>
      <c r="ES66" s="1489"/>
      <c r="ET66" s="1489"/>
      <c r="EU66" s="1489"/>
      <c r="EV66" s="1489"/>
      <c r="EW66" s="1489"/>
      <c r="EX66" s="1489"/>
      <c r="EY66" s="1490"/>
      <c r="FA66" s="648">
        <v>1</v>
      </c>
      <c r="FB66" s="1488" t="s">
        <v>5094</v>
      </c>
      <c r="FC66" s="1489"/>
      <c r="FD66" s="1489"/>
      <c r="FE66" s="1489"/>
      <c r="FF66" s="1489"/>
      <c r="FG66" s="1489"/>
      <c r="FH66" s="1489"/>
      <c r="FI66" s="1489"/>
      <c r="FJ66" s="1490"/>
      <c r="FL66" s="887">
        <v>1</v>
      </c>
      <c r="FM66" s="1488" t="s">
        <v>82</v>
      </c>
      <c r="FN66" s="1489"/>
      <c r="FO66" s="1489"/>
      <c r="FP66" s="1489"/>
      <c r="FQ66" s="1489"/>
      <c r="FR66" s="1489"/>
      <c r="FS66" s="1489"/>
      <c r="FT66" s="1489"/>
      <c r="FU66" s="1490"/>
      <c r="FW66" s="648">
        <v>1</v>
      </c>
      <c r="FX66" s="1488" t="s">
        <v>5095</v>
      </c>
      <c r="FY66" s="1489"/>
      <c r="FZ66" s="1489"/>
      <c r="GA66" s="1489"/>
      <c r="GB66" s="1489"/>
      <c r="GC66" s="1489"/>
      <c r="GD66" s="1489"/>
      <c r="GE66" s="1489"/>
      <c r="GF66" s="1490"/>
      <c r="GH66" s="855">
        <v>0.5</v>
      </c>
      <c r="GI66" s="1488" t="s">
        <v>5094</v>
      </c>
      <c r="GJ66" s="1489"/>
      <c r="GK66" s="1489"/>
      <c r="GL66" s="1489"/>
      <c r="GM66" s="1489"/>
      <c r="GN66" s="1489"/>
      <c r="GO66" s="1489"/>
      <c r="GP66" s="1489"/>
      <c r="GQ66" s="1490"/>
      <c r="GR66" s="852"/>
      <c r="GV66" s="786"/>
      <c r="IB66" s="888"/>
      <c r="IC66" s="889"/>
      <c r="ID66" s="1721"/>
      <c r="IE66" s="1721"/>
      <c r="IF66" s="1721"/>
      <c r="IG66" s="1721"/>
      <c r="IH66" s="1721"/>
      <c r="II66" s="1721"/>
      <c r="IJ66" s="1721"/>
      <c r="IK66" s="1721"/>
      <c r="IL66" s="1721"/>
      <c r="IM66" s="1721"/>
      <c r="IN66" s="1721"/>
      <c r="IV66" s="870"/>
      <c r="IW66" s="798"/>
      <c r="IX66" s="798"/>
      <c r="IY66" s="798"/>
      <c r="IZ66" s="798"/>
      <c r="JA66" s="798"/>
      <c r="JB66" s="798"/>
      <c r="JC66" s="798"/>
      <c r="JD66" s="798"/>
      <c r="JE66" s="798"/>
      <c r="JF66" s="798"/>
      <c r="JG66" s="798"/>
      <c r="JH66" s="871"/>
      <c r="KN66" s="786"/>
      <c r="KP66" s="795"/>
      <c r="KQ66" s="1722" t="s">
        <v>2936</v>
      </c>
      <c r="KR66" s="1723"/>
      <c r="KS66" s="1723"/>
      <c r="KT66" s="1723"/>
      <c r="KU66" s="1723"/>
      <c r="KV66" s="1723"/>
      <c r="KW66" s="1723"/>
      <c r="KX66" s="1723"/>
      <c r="KY66" s="1723"/>
      <c r="KZ66" s="1723"/>
      <c r="LA66" s="796"/>
      <c r="LH66" s="811"/>
      <c r="LX66" s="810"/>
      <c r="MJ66" s="648">
        <v>1</v>
      </c>
      <c r="MK66" s="1488" t="s">
        <v>5329</v>
      </c>
      <c r="ML66" s="1489"/>
      <c r="MM66" s="1489"/>
      <c r="MN66" s="1489"/>
      <c r="MO66" s="1489"/>
      <c r="MP66" s="1489"/>
      <c r="MQ66" s="1489"/>
      <c r="MR66" s="1489"/>
      <c r="MS66" s="1490"/>
      <c r="NE66" s="811"/>
      <c r="NL66" s="870"/>
      <c r="NM66" s="798"/>
      <c r="NN66" s="798"/>
      <c r="NO66" s="798"/>
      <c r="NP66" s="798"/>
      <c r="NQ66" s="798"/>
      <c r="NR66" s="798"/>
      <c r="NS66" s="798"/>
      <c r="NT66" s="798"/>
      <c r="NU66" s="798"/>
      <c r="NV66" s="798"/>
      <c r="NW66" s="798"/>
      <c r="NX66" s="798"/>
      <c r="NY66" s="798"/>
      <c r="NZ66" s="798"/>
      <c r="OA66" s="798"/>
      <c r="OB66" s="798"/>
      <c r="OC66" s="798"/>
      <c r="OD66" s="798"/>
      <c r="OE66" s="798"/>
      <c r="OF66" s="798"/>
      <c r="OG66" s="798"/>
      <c r="OH66" s="798"/>
      <c r="OI66" s="798"/>
      <c r="OJ66" s="798"/>
      <c r="OK66" s="798"/>
      <c r="OL66" s="798"/>
      <c r="OM66" s="798"/>
      <c r="ON66" s="798"/>
      <c r="OO66" s="798"/>
      <c r="OP66" s="798"/>
      <c r="OQ66" s="871"/>
      <c r="SG66" s="758"/>
    </row>
    <row r="67" spans="4:501" ht="12.75" customHeight="1" x14ac:dyDescent="0.35">
      <c r="D67" s="758"/>
      <c r="BS67" s="810"/>
      <c r="BX67" s="889"/>
      <c r="BY67" s="889"/>
      <c r="BZ67" s="1720"/>
      <c r="CA67" s="1720"/>
      <c r="CB67" s="1720"/>
      <c r="CC67" s="1720"/>
      <c r="CD67" s="1720"/>
      <c r="CE67" s="1720"/>
      <c r="CF67" s="1720"/>
      <c r="CG67" s="1720"/>
      <c r="CH67" s="1720"/>
      <c r="CP67" s="795"/>
      <c r="CQ67" s="648">
        <v>1</v>
      </c>
      <c r="CR67" s="1488" t="s">
        <v>4737</v>
      </c>
      <c r="CS67" s="1489"/>
      <c r="CT67" s="1489"/>
      <c r="CU67" s="1489"/>
      <c r="CV67" s="1489"/>
      <c r="CW67" s="1489"/>
      <c r="CX67" s="1489"/>
      <c r="CY67" s="1489"/>
      <c r="CZ67" s="1490"/>
      <c r="DB67" s="770"/>
      <c r="DC67" s="648">
        <v>1</v>
      </c>
      <c r="DD67" s="1488" t="s">
        <v>4737</v>
      </c>
      <c r="DE67" s="1489"/>
      <c r="DF67" s="1489"/>
      <c r="DG67" s="1489"/>
      <c r="DH67" s="1489"/>
      <c r="DI67" s="1489"/>
      <c r="DJ67" s="1489"/>
      <c r="DK67" s="1489"/>
      <c r="DL67" s="1490"/>
      <c r="DM67" s="796"/>
      <c r="EN67" s="850"/>
      <c r="EP67" s="1482" t="s">
        <v>4255</v>
      </c>
      <c r="EQ67" s="1510"/>
      <c r="ER67" s="1510"/>
      <c r="ES67" s="1510"/>
      <c r="ET67" s="1510"/>
      <c r="EU67" s="1510"/>
      <c r="EV67" s="1510"/>
      <c r="EW67" s="1510"/>
      <c r="EX67" s="1510"/>
      <c r="EY67" s="1511"/>
      <c r="FA67" s="1666" t="s">
        <v>2750</v>
      </c>
      <c r="FB67" s="1667"/>
      <c r="FC67" s="1667"/>
      <c r="FD67" s="1667"/>
      <c r="FE67" s="1667"/>
      <c r="FF67" s="1667"/>
      <c r="FG67" s="1667"/>
      <c r="FH67" s="1667"/>
      <c r="FI67" s="1667"/>
      <c r="FJ67" s="1668"/>
      <c r="FL67" s="1728" t="s">
        <v>131</v>
      </c>
      <c r="FM67" s="1728"/>
      <c r="FN67" s="1728"/>
      <c r="FO67" s="1728"/>
      <c r="FP67" s="1728"/>
      <c r="FQ67" s="1728"/>
      <c r="FR67" s="1728"/>
      <c r="FS67" s="1728"/>
      <c r="FT67" s="1728"/>
      <c r="FU67" s="1728"/>
      <c r="FW67" s="1482" t="s">
        <v>5357</v>
      </c>
      <c r="FX67" s="1510"/>
      <c r="FY67" s="1510"/>
      <c r="FZ67" s="1510"/>
      <c r="GA67" s="1510"/>
      <c r="GB67" s="1510"/>
      <c r="GC67" s="1510"/>
      <c r="GD67" s="1510"/>
      <c r="GE67" s="1510"/>
      <c r="GF67" s="1511"/>
      <c r="GH67" s="1482" t="s">
        <v>5100</v>
      </c>
      <c r="GI67" s="1510"/>
      <c r="GJ67" s="1510"/>
      <c r="GK67" s="1510"/>
      <c r="GL67" s="1510"/>
      <c r="GM67" s="1510"/>
      <c r="GN67" s="1510"/>
      <c r="GO67" s="1510"/>
      <c r="GP67" s="1510"/>
      <c r="GQ67" s="1511"/>
      <c r="GR67" s="852"/>
      <c r="GV67" s="786"/>
      <c r="KN67" s="786"/>
      <c r="KP67" s="795"/>
      <c r="KQ67" s="648">
        <v>1</v>
      </c>
      <c r="KR67" s="1488" t="s">
        <v>171</v>
      </c>
      <c r="KS67" s="1489"/>
      <c r="KT67" s="1489"/>
      <c r="KU67" s="1489"/>
      <c r="KV67" s="1489"/>
      <c r="KW67" s="1489"/>
      <c r="KX67" s="1489"/>
      <c r="KY67" s="1489"/>
      <c r="KZ67" s="1490"/>
      <c r="LA67" s="796"/>
      <c r="LH67" s="811"/>
      <c r="LX67" s="810"/>
      <c r="MJ67" s="1482" t="s">
        <v>4427</v>
      </c>
      <c r="MK67" s="1483"/>
      <c r="ML67" s="1483"/>
      <c r="MM67" s="1483"/>
      <c r="MN67" s="1483"/>
      <c r="MO67" s="1483"/>
      <c r="MP67" s="1483"/>
      <c r="MQ67" s="1483"/>
      <c r="MR67" s="1483"/>
      <c r="MS67" s="1484"/>
      <c r="NE67" s="811"/>
      <c r="NU67" s="889"/>
      <c r="NV67" s="888"/>
      <c r="NW67" s="889"/>
      <c r="NX67" s="1720"/>
      <c r="NY67" s="1720"/>
      <c r="NZ67" s="1720"/>
      <c r="OA67" s="1720"/>
      <c r="OB67" s="1720"/>
      <c r="OC67" s="1720"/>
      <c r="OD67" s="1720"/>
      <c r="OE67" s="1720"/>
      <c r="OF67" s="1720"/>
      <c r="OG67" s="1720"/>
      <c r="OH67" s="1720"/>
      <c r="OI67" s="1720"/>
      <c r="OJ67" s="1720"/>
      <c r="OK67" s="1720"/>
      <c r="OL67" s="1720"/>
      <c r="SG67" s="758"/>
    </row>
    <row r="68" spans="4:501" ht="12.75" customHeight="1" x14ac:dyDescent="0.35">
      <c r="D68" s="758"/>
      <c r="BS68" s="810"/>
      <c r="CP68" s="795"/>
      <c r="CQ68" s="1482" t="s">
        <v>4439</v>
      </c>
      <c r="CR68" s="1510"/>
      <c r="CS68" s="1510"/>
      <c r="CT68" s="1510"/>
      <c r="CU68" s="1510"/>
      <c r="CV68" s="1510"/>
      <c r="CW68" s="1510"/>
      <c r="CX68" s="1510"/>
      <c r="CY68" s="1510"/>
      <c r="CZ68" s="1511"/>
      <c r="DB68" s="770"/>
      <c r="DC68" s="1482" t="s">
        <v>4655</v>
      </c>
      <c r="DD68" s="1510"/>
      <c r="DE68" s="1510"/>
      <c r="DF68" s="1510"/>
      <c r="DG68" s="1510"/>
      <c r="DH68" s="1510"/>
      <c r="DI68" s="1510"/>
      <c r="DJ68" s="1510"/>
      <c r="DK68" s="1510"/>
      <c r="DL68" s="1511"/>
      <c r="DM68" s="796"/>
      <c r="EN68" s="850"/>
      <c r="EP68" s="648">
        <v>1</v>
      </c>
      <c r="EQ68" s="1488" t="s">
        <v>5094</v>
      </c>
      <c r="ER68" s="1489"/>
      <c r="ES68" s="1489"/>
      <c r="ET68" s="1489"/>
      <c r="EU68" s="1489"/>
      <c r="EV68" s="1489"/>
      <c r="EW68" s="1489"/>
      <c r="EX68" s="1489"/>
      <c r="EY68" s="1490"/>
      <c r="FA68" s="648">
        <v>1</v>
      </c>
      <c r="FB68" s="1488" t="s">
        <v>82</v>
      </c>
      <c r="FC68" s="1489"/>
      <c r="FD68" s="1489"/>
      <c r="FE68" s="1489"/>
      <c r="FF68" s="1489"/>
      <c r="FG68" s="1489"/>
      <c r="FH68" s="1489"/>
      <c r="FI68" s="1489"/>
      <c r="FJ68" s="1490"/>
      <c r="FL68" s="890">
        <v>1</v>
      </c>
      <c r="FM68" s="1727" t="s">
        <v>5106</v>
      </c>
      <c r="FN68" s="1727"/>
      <c r="FO68" s="1727"/>
      <c r="FP68" s="1727"/>
      <c r="FQ68" s="1727"/>
      <c r="FR68" s="1727"/>
      <c r="FS68" s="1727"/>
      <c r="FT68" s="1727"/>
      <c r="FU68" s="1727"/>
      <c r="FW68" s="648">
        <v>1</v>
      </c>
      <c r="FX68" s="1488" t="s">
        <v>5106</v>
      </c>
      <c r="FY68" s="1489"/>
      <c r="FZ68" s="1489"/>
      <c r="GA68" s="1489"/>
      <c r="GB68" s="1489"/>
      <c r="GC68" s="1489"/>
      <c r="GD68" s="1489"/>
      <c r="GE68" s="1489"/>
      <c r="GF68" s="1490"/>
      <c r="GH68" s="648">
        <v>0.5</v>
      </c>
      <c r="GI68" s="1488" t="s">
        <v>5112</v>
      </c>
      <c r="GJ68" s="1489"/>
      <c r="GK68" s="1489"/>
      <c r="GL68" s="1489"/>
      <c r="GM68" s="1489"/>
      <c r="GN68" s="1489"/>
      <c r="GO68" s="1489"/>
      <c r="GP68" s="1489"/>
      <c r="GQ68" s="1490"/>
      <c r="GR68" s="852"/>
      <c r="GV68" s="786"/>
      <c r="KN68" s="786"/>
      <c r="KP68" s="795"/>
      <c r="KQ68" s="1654" t="s">
        <v>4679</v>
      </c>
      <c r="KR68" s="1655"/>
      <c r="KS68" s="1655"/>
      <c r="KT68" s="1655"/>
      <c r="KU68" s="1655"/>
      <c r="KV68" s="1655"/>
      <c r="KW68" s="1655"/>
      <c r="KX68" s="1655"/>
      <c r="KY68" s="1655"/>
      <c r="KZ68" s="1655"/>
      <c r="LA68" s="796"/>
      <c r="LH68" s="811"/>
      <c r="LX68" s="810"/>
      <c r="MJ68" s="648">
        <v>1</v>
      </c>
      <c r="MK68" s="1488" t="s">
        <v>5070</v>
      </c>
      <c r="ML68" s="1489"/>
      <c r="MM68" s="1489"/>
      <c r="MN68" s="1489"/>
      <c r="MO68" s="1489"/>
      <c r="MP68" s="1489"/>
      <c r="MQ68" s="1489"/>
      <c r="MR68" s="1489"/>
      <c r="MS68" s="1490"/>
      <c r="NE68" s="811"/>
      <c r="SG68" s="758"/>
    </row>
    <row r="69" spans="4:501" ht="12.75" customHeight="1" x14ac:dyDescent="0.35">
      <c r="D69" s="758"/>
      <c r="BS69" s="810"/>
      <c r="CP69" s="795"/>
      <c r="CQ69" s="648">
        <v>1</v>
      </c>
      <c r="CR69" s="1488" t="s">
        <v>4737</v>
      </c>
      <c r="CS69" s="1489"/>
      <c r="CT69" s="1489"/>
      <c r="CU69" s="1489"/>
      <c r="CV69" s="1489"/>
      <c r="CW69" s="1489"/>
      <c r="CX69" s="1489"/>
      <c r="CY69" s="1489"/>
      <c r="CZ69" s="1490"/>
      <c r="DB69" s="770"/>
      <c r="DC69" s="648">
        <v>1</v>
      </c>
      <c r="DD69" s="1488" t="s">
        <v>4737</v>
      </c>
      <c r="DE69" s="1489"/>
      <c r="DF69" s="1489"/>
      <c r="DG69" s="1489"/>
      <c r="DH69" s="1489"/>
      <c r="DI69" s="1489"/>
      <c r="DJ69" s="1489"/>
      <c r="DK69" s="1489"/>
      <c r="DL69" s="1490"/>
      <c r="DM69" s="796"/>
      <c r="EN69" s="850"/>
      <c r="EP69" s="1482" t="s">
        <v>1212</v>
      </c>
      <c r="EQ69" s="1510"/>
      <c r="ER69" s="1510"/>
      <c r="ES69" s="1510"/>
      <c r="ET69" s="1510"/>
      <c r="EU69" s="1510"/>
      <c r="EV69" s="1510"/>
      <c r="EW69" s="1510"/>
      <c r="EX69" s="1510"/>
      <c r="EY69" s="1511"/>
      <c r="FA69" s="1689" t="s">
        <v>131</v>
      </c>
      <c r="FB69" s="1690"/>
      <c r="FC69" s="1690"/>
      <c r="FD69" s="1690"/>
      <c r="FE69" s="1690"/>
      <c r="FF69" s="1690"/>
      <c r="FG69" s="1690"/>
      <c r="FH69" s="1690"/>
      <c r="FI69" s="1690"/>
      <c r="FJ69" s="1691"/>
      <c r="FL69" s="1725" t="s">
        <v>3892</v>
      </c>
      <c r="FM69" s="1726"/>
      <c r="FN69" s="1726"/>
      <c r="FO69" s="1726"/>
      <c r="FP69" s="1726"/>
      <c r="FQ69" s="1726"/>
      <c r="FR69" s="1726"/>
      <c r="FS69" s="1726"/>
      <c r="FT69" s="1726"/>
      <c r="FU69" s="1726"/>
      <c r="FW69" s="1482" t="s">
        <v>5358</v>
      </c>
      <c r="FX69" s="1510"/>
      <c r="FY69" s="1510"/>
      <c r="FZ69" s="1510"/>
      <c r="GA69" s="1510"/>
      <c r="GB69" s="1510"/>
      <c r="GC69" s="1510"/>
      <c r="GD69" s="1510"/>
      <c r="GE69" s="1510"/>
      <c r="GF69" s="1511"/>
      <c r="GH69" s="1482" t="s">
        <v>5116</v>
      </c>
      <c r="GI69" s="1510"/>
      <c r="GJ69" s="1510"/>
      <c r="GK69" s="1510"/>
      <c r="GL69" s="1510"/>
      <c r="GM69" s="1510"/>
      <c r="GN69" s="1510"/>
      <c r="GO69" s="1510"/>
      <c r="GP69" s="1510"/>
      <c r="GQ69" s="1511"/>
      <c r="GR69" s="852"/>
      <c r="GV69" s="786"/>
      <c r="KN69" s="786"/>
      <c r="KP69" s="812"/>
      <c r="KQ69" s="813"/>
      <c r="KR69" s="813"/>
      <c r="KS69" s="813"/>
      <c r="KT69" s="813"/>
      <c r="KU69" s="813"/>
      <c r="KV69" s="813"/>
      <c r="KW69" s="813"/>
      <c r="KX69" s="813"/>
      <c r="KY69" s="891"/>
      <c r="KZ69" s="813"/>
      <c r="LA69" s="814"/>
      <c r="LH69" s="811"/>
      <c r="LW69" s="811"/>
      <c r="MJ69" s="1482" t="s">
        <v>4580</v>
      </c>
      <c r="MK69" s="1483"/>
      <c r="ML69" s="1483"/>
      <c r="MM69" s="1483"/>
      <c r="MN69" s="1483"/>
      <c r="MO69" s="1483"/>
      <c r="MP69" s="1483"/>
      <c r="MQ69" s="1483"/>
      <c r="MR69" s="1483"/>
      <c r="MS69" s="1484"/>
      <c r="NE69" s="811"/>
      <c r="SG69" s="758"/>
    </row>
    <row r="70" spans="4:501" ht="12.75" customHeight="1" x14ac:dyDescent="0.35">
      <c r="D70" s="758"/>
      <c r="BS70" s="810"/>
      <c r="CP70" s="795"/>
      <c r="CQ70" s="1482" t="s">
        <v>4715</v>
      </c>
      <c r="CR70" s="1510"/>
      <c r="CS70" s="1510"/>
      <c r="CT70" s="1510"/>
      <c r="CU70" s="1510"/>
      <c r="CV70" s="1510"/>
      <c r="CW70" s="1510"/>
      <c r="CX70" s="1510"/>
      <c r="CY70" s="1510"/>
      <c r="CZ70" s="1511"/>
      <c r="DB70" s="770"/>
      <c r="DC70" s="1482" t="s">
        <v>2886</v>
      </c>
      <c r="DD70" s="1510"/>
      <c r="DE70" s="1510"/>
      <c r="DF70" s="1510"/>
      <c r="DG70" s="1510"/>
      <c r="DH70" s="1510"/>
      <c r="DI70" s="1510"/>
      <c r="DJ70" s="1510"/>
      <c r="DK70" s="1510"/>
      <c r="DL70" s="1511"/>
      <c r="DM70" s="796"/>
      <c r="EN70" s="850"/>
      <c r="EP70" s="648">
        <v>1</v>
      </c>
      <c r="EQ70" s="1488" t="s">
        <v>82</v>
      </c>
      <c r="ER70" s="1489"/>
      <c r="ES70" s="1489"/>
      <c r="ET70" s="1489"/>
      <c r="EU70" s="1489"/>
      <c r="EV70" s="1489"/>
      <c r="EW70" s="1489"/>
      <c r="EX70" s="1489"/>
      <c r="EY70" s="1490"/>
      <c r="FA70" s="648">
        <v>1</v>
      </c>
      <c r="FB70" s="1488" t="s">
        <v>82</v>
      </c>
      <c r="FC70" s="1489"/>
      <c r="FD70" s="1489"/>
      <c r="FE70" s="1489"/>
      <c r="FF70" s="1489"/>
      <c r="FG70" s="1489"/>
      <c r="FH70" s="1489"/>
      <c r="FI70" s="1489"/>
      <c r="FJ70" s="1490"/>
      <c r="FL70" s="892">
        <v>1</v>
      </c>
      <c r="FM70" s="1739" t="s">
        <v>5106</v>
      </c>
      <c r="FN70" s="1680"/>
      <c r="FO70" s="1680"/>
      <c r="FP70" s="1680"/>
      <c r="FQ70" s="1680"/>
      <c r="FR70" s="1680"/>
      <c r="FS70" s="1680"/>
      <c r="FT70" s="1680"/>
      <c r="FU70" s="1740"/>
      <c r="FW70" s="648">
        <v>1</v>
      </c>
      <c r="FX70" s="1488" t="s">
        <v>5106</v>
      </c>
      <c r="FY70" s="1489"/>
      <c r="FZ70" s="1489"/>
      <c r="GA70" s="1489"/>
      <c r="GB70" s="1489"/>
      <c r="GC70" s="1489"/>
      <c r="GD70" s="1489"/>
      <c r="GE70" s="1489"/>
      <c r="GF70" s="1490"/>
      <c r="GH70" s="648">
        <v>1</v>
      </c>
      <c r="GI70" s="1488" t="s">
        <v>5106</v>
      </c>
      <c r="GJ70" s="1489"/>
      <c r="GK70" s="1489"/>
      <c r="GL70" s="1489"/>
      <c r="GM70" s="1489"/>
      <c r="GN70" s="1489"/>
      <c r="GO70" s="1489"/>
      <c r="GP70" s="1489"/>
      <c r="GQ70" s="1490"/>
      <c r="GR70" s="852"/>
      <c r="GV70" s="786"/>
      <c r="IB70" s="761"/>
      <c r="KN70" s="786"/>
      <c r="KS70" s="888"/>
      <c r="KT70" s="1741"/>
      <c r="KU70" s="1741"/>
      <c r="KV70" s="1741"/>
      <c r="KW70" s="1741"/>
      <c r="KX70" s="1741"/>
      <c r="KY70" s="1741"/>
      <c r="KZ70" s="1741"/>
      <c r="LA70" s="1741"/>
      <c r="LH70" s="811"/>
      <c r="LW70" s="811"/>
      <c r="NE70" s="811"/>
      <c r="SG70" s="758"/>
    </row>
    <row r="71" spans="4:501" ht="12.75" customHeight="1" x14ac:dyDescent="0.35">
      <c r="D71" s="758"/>
      <c r="BS71" s="810"/>
      <c r="CP71" s="795"/>
      <c r="CQ71" s="648">
        <v>1</v>
      </c>
      <c r="CR71" s="1488" t="s">
        <v>5007</v>
      </c>
      <c r="CS71" s="1489"/>
      <c r="CT71" s="1489"/>
      <c r="CU71" s="1489"/>
      <c r="CV71" s="1489"/>
      <c r="CW71" s="1489"/>
      <c r="CX71" s="1489"/>
      <c r="CY71" s="1489"/>
      <c r="CZ71" s="1490"/>
      <c r="DB71" s="770"/>
      <c r="DC71" s="648">
        <v>1</v>
      </c>
      <c r="DD71" s="1488" t="s">
        <v>5007</v>
      </c>
      <c r="DE71" s="1489"/>
      <c r="DF71" s="1489"/>
      <c r="DG71" s="1489"/>
      <c r="DH71" s="1489"/>
      <c r="DI71" s="1489"/>
      <c r="DJ71" s="1489"/>
      <c r="DK71" s="1489"/>
      <c r="DL71" s="1490"/>
      <c r="DM71" s="796"/>
      <c r="EN71" s="850"/>
      <c r="EP71" s="1482" t="s">
        <v>5359</v>
      </c>
      <c r="EQ71" s="1510"/>
      <c r="ER71" s="1510"/>
      <c r="ES71" s="1510"/>
      <c r="ET71" s="1510"/>
      <c r="EU71" s="1510"/>
      <c r="EV71" s="1510"/>
      <c r="EW71" s="1510"/>
      <c r="EX71" s="1510"/>
      <c r="EY71" s="1511"/>
      <c r="FA71" s="1732" t="s">
        <v>1724</v>
      </c>
      <c r="FB71" s="1733"/>
      <c r="FC71" s="1733"/>
      <c r="FD71" s="1733"/>
      <c r="FE71" s="1733"/>
      <c r="FF71" s="1733"/>
      <c r="FG71" s="1733"/>
      <c r="FH71" s="1733"/>
      <c r="FI71" s="1733"/>
      <c r="FJ71" s="1734"/>
      <c r="FL71" s="1735" t="s">
        <v>2521</v>
      </c>
      <c r="FM71" s="1736"/>
      <c r="FN71" s="1736"/>
      <c r="FO71" s="1736"/>
      <c r="FP71" s="1736"/>
      <c r="FQ71" s="1736"/>
      <c r="FR71" s="1736"/>
      <c r="FS71" s="1736"/>
      <c r="FT71" s="1736"/>
      <c r="FU71" s="1737"/>
      <c r="FW71" s="1482" t="s">
        <v>5360</v>
      </c>
      <c r="FX71" s="1510"/>
      <c r="FY71" s="1510"/>
      <c r="FZ71" s="1510"/>
      <c r="GA71" s="1510"/>
      <c r="GB71" s="1510"/>
      <c r="GC71" s="1510"/>
      <c r="GD71" s="1510"/>
      <c r="GE71" s="1510"/>
      <c r="GF71" s="1738"/>
      <c r="GH71" s="1482" t="s">
        <v>1474</v>
      </c>
      <c r="GI71" s="1510"/>
      <c r="GJ71" s="1510"/>
      <c r="GK71" s="1510"/>
      <c r="GL71" s="1510"/>
      <c r="GM71" s="1510"/>
      <c r="GN71" s="1510"/>
      <c r="GO71" s="1510"/>
      <c r="GP71" s="1510"/>
      <c r="GQ71" s="1511"/>
      <c r="GR71" s="852"/>
      <c r="GS71" s="761"/>
      <c r="GV71" s="786"/>
      <c r="KN71" s="791"/>
      <c r="LH71" s="811"/>
      <c r="LW71" s="811"/>
      <c r="NE71" s="811"/>
      <c r="SG71" s="758"/>
    </row>
    <row r="72" spans="4:501" ht="12.75" customHeight="1" x14ac:dyDescent="0.35">
      <c r="D72" s="758"/>
      <c r="BS72" s="810"/>
      <c r="CP72" s="795"/>
      <c r="CQ72" s="1543" t="s">
        <v>1275</v>
      </c>
      <c r="CR72" s="1729"/>
      <c r="CS72" s="1729"/>
      <c r="CT72" s="1729"/>
      <c r="CU72" s="1729"/>
      <c r="CV72" s="1729"/>
      <c r="CW72" s="1729"/>
      <c r="CX72" s="1729"/>
      <c r="CY72" s="1729"/>
      <c r="CZ72" s="1730"/>
      <c r="DB72" s="770"/>
      <c r="DC72" s="1482" t="s">
        <v>4327</v>
      </c>
      <c r="DD72" s="1510"/>
      <c r="DE72" s="1510"/>
      <c r="DF72" s="1510"/>
      <c r="DG72" s="1510"/>
      <c r="DH72" s="1510"/>
      <c r="DI72" s="1510"/>
      <c r="DJ72" s="1510"/>
      <c r="DK72" s="1510"/>
      <c r="DL72" s="1511"/>
      <c r="DM72" s="796"/>
      <c r="EN72" s="850"/>
      <c r="EP72" s="648">
        <v>1</v>
      </c>
      <c r="EQ72" s="1488" t="s">
        <v>82</v>
      </c>
      <c r="ER72" s="1489"/>
      <c r="ES72" s="1489"/>
      <c r="ET72" s="1489"/>
      <c r="EU72" s="1489"/>
      <c r="EV72" s="1489"/>
      <c r="EW72" s="1489"/>
      <c r="EX72" s="1489"/>
      <c r="EY72" s="1490"/>
      <c r="FA72" s="883">
        <v>1</v>
      </c>
      <c r="FB72" s="1724" t="s">
        <v>82</v>
      </c>
      <c r="FC72" s="1724"/>
      <c r="FD72" s="1724"/>
      <c r="FE72" s="1724"/>
      <c r="FF72" s="1724"/>
      <c r="FG72" s="1724"/>
      <c r="FH72" s="1724"/>
      <c r="FI72" s="1724"/>
      <c r="FJ72" s="1724"/>
      <c r="FL72" s="648">
        <v>1</v>
      </c>
      <c r="FM72" s="1488" t="s">
        <v>5106</v>
      </c>
      <c r="FN72" s="1489"/>
      <c r="FO72" s="1489"/>
      <c r="FP72" s="1489"/>
      <c r="FQ72" s="1489"/>
      <c r="FR72" s="1489"/>
      <c r="FS72" s="1489"/>
      <c r="FT72" s="1489"/>
      <c r="FU72" s="1490"/>
      <c r="FW72" s="648">
        <v>1</v>
      </c>
      <c r="FX72" s="1488" t="s">
        <v>5121</v>
      </c>
      <c r="FY72" s="1489"/>
      <c r="FZ72" s="1489"/>
      <c r="GA72" s="1489"/>
      <c r="GB72" s="1489"/>
      <c r="GC72" s="1489"/>
      <c r="GD72" s="1489"/>
      <c r="GE72" s="1489"/>
      <c r="GF72" s="1490"/>
      <c r="GH72" s="889"/>
      <c r="GI72" s="889"/>
      <c r="GJ72" s="1731"/>
      <c r="GK72" s="1731"/>
      <c r="GL72" s="1731"/>
      <c r="GM72" s="1731"/>
      <c r="GN72" s="1731"/>
      <c r="GO72" s="1731"/>
      <c r="GP72" s="1731"/>
      <c r="GQ72" s="1731"/>
      <c r="GR72" s="852"/>
      <c r="GT72" s="761"/>
      <c r="GU72" s="761"/>
      <c r="GV72" s="786"/>
      <c r="KN72" s="791"/>
      <c r="LH72" s="811"/>
      <c r="LW72" s="811"/>
      <c r="NE72" s="811"/>
      <c r="SG72" s="758"/>
    </row>
    <row r="73" spans="4:501" ht="12.75" customHeight="1" x14ac:dyDescent="0.35">
      <c r="D73" s="758"/>
      <c r="BS73" s="810"/>
      <c r="CP73" s="795"/>
      <c r="CQ73" s="648">
        <v>1</v>
      </c>
      <c r="CR73" s="1488" t="s">
        <v>5007</v>
      </c>
      <c r="CS73" s="1489"/>
      <c r="CT73" s="1489"/>
      <c r="CU73" s="1489"/>
      <c r="CV73" s="1489"/>
      <c r="CW73" s="1489"/>
      <c r="CX73" s="1489"/>
      <c r="CY73" s="1489"/>
      <c r="CZ73" s="1490"/>
      <c r="DB73" s="770"/>
      <c r="DC73" s="648">
        <v>1</v>
      </c>
      <c r="DD73" s="1488" t="s">
        <v>5241</v>
      </c>
      <c r="DE73" s="1489"/>
      <c r="DF73" s="1489"/>
      <c r="DG73" s="1489"/>
      <c r="DH73" s="1489"/>
      <c r="DI73" s="1489"/>
      <c r="DJ73" s="1489"/>
      <c r="DK73" s="1489"/>
      <c r="DL73" s="1490"/>
      <c r="DM73" s="796"/>
      <c r="EN73" s="850"/>
      <c r="EP73" s="1482" t="s">
        <v>3127</v>
      </c>
      <c r="EQ73" s="1510"/>
      <c r="ER73" s="1510"/>
      <c r="ES73" s="1510"/>
      <c r="ET73" s="1510"/>
      <c r="EU73" s="1510"/>
      <c r="EV73" s="1510"/>
      <c r="EW73" s="1510"/>
      <c r="EX73" s="1510"/>
      <c r="EY73" s="1511"/>
      <c r="FA73" s="1725" t="s">
        <v>1872</v>
      </c>
      <c r="FB73" s="1726"/>
      <c r="FC73" s="1726"/>
      <c r="FD73" s="1726"/>
      <c r="FE73" s="1726"/>
      <c r="FF73" s="1726"/>
      <c r="FG73" s="1726"/>
      <c r="FH73" s="1726"/>
      <c r="FI73" s="1726"/>
      <c r="FJ73" s="1726"/>
      <c r="FL73" s="1742" t="s">
        <v>1312</v>
      </c>
      <c r="FM73" s="1743"/>
      <c r="FN73" s="1743"/>
      <c r="FO73" s="1743"/>
      <c r="FP73" s="1743"/>
      <c r="FQ73" s="1743"/>
      <c r="FR73" s="1743"/>
      <c r="FS73" s="1743"/>
      <c r="FT73" s="1743"/>
      <c r="FU73" s="1744"/>
      <c r="FW73" s="1482" t="s">
        <v>2069</v>
      </c>
      <c r="FX73" s="1510"/>
      <c r="FY73" s="1510"/>
      <c r="FZ73" s="1510"/>
      <c r="GA73" s="1510"/>
      <c r="GB73" s="1510"/>
      <c r="GC73" s="1510"/>
      <c r="GD73" s="1510"/>
      <c r="GE73" s="1510"/>
      <c r="GF73" s="1511"/>
      <c r="GR73" s="852"/>
      <c r="GT73" s="761"/>
      <c r="GU73" s="761"/>
      <c r="GV73" s="786"/>
      <c r="KN73" s="791"/>
      <c r="LH73" s="811"/>
      <c r="LW73" s="811"/>
      <c r="LX73" s="870"/>
      <c r="LY73" s="798"/>
      <c r="LZ73" s="798"/>
      <c r="MA73" s="798"/>
      <c r="MB73" s="798"/>
      <c r="MC73" s="798"/>
      <c r="MD73" s="798"/>
      <c r="ME73" s="798"/>
      <c r="MF73" s="798"/>
      <c r="MG73" s="798"/>
      <c r="MH73" s="798"/>
      <c r="MI73" s="798"/>
      <c r="MJ73" s="798"/>
      <c r="MK73" s="798"/>
      <c r="ML73" s="798"/>
      <c r="MM73" s="798"/>
      <c r="MN73" s="798"/>
      <c r="MO73" s="798"/>
      <c r="MP73" s="798"/>
      <c r="MQ73" s="798"/>
      <c r="MR73" s="798"/>
      <c r="MS73" s="798"/>
      <c r="MT73" s="798"/>
      <c r="MU73" s="798"/>
      <c r="MV73" s="798"/>
      <c r="MW73" s="798"/>
      <c r="MX73" s="798"/>
      <c r="MY73" s="798"/>
      <c r="MZ73" s="798"/>
      <c r="NA73" s="798"/>
      <c r="NB73" s="798"/>
      <c r="NC73" s="798"/>
      <c r="ND73" s="798"/>
      <c r="NE73" s="871"/>
      <c r="SG73" s="758"/>
    </row>
    <row r="74" spans="4:501" ht="12.75" customHeight="1" x14ac:dyDescent="0.35">
      <c r="D74" s="758"/>
      <c r="BS74" s="810"/>
      <c r="CP74" s="795"/>
      <c r="CQ74" s="1482" t="s">
        <v>4125</v>
      </c>
      <c r="CR74" s="1510"/>
      <c r="CS74" s="1510"/>
      <c r="CT74" s="1510"/>
      <c r="CU74" s="1510"/>
      <c r="CV74" s="1510"/>
      <c r="CW74" s="1510"/>
      <c r="CX74" s="1510"/>
      <c r="CY74" s="1510"/>
      <c r="CZ74" s="1511"/>
      <c r="DB74" s="770"/>
      <c r="DC74" s="1482" t="s">
        <v>1532</v>
      </c>
      <c r="DD74" s="1510"/>
      <c r="DE74" s="1510"/>
      <c r="DF74" s="1510"/>
      <c r="DG74" s="1510"/>
      <c r="DH74" s="1510"/>
      <c r="DI74" s="1510"/>
      <c r="DJ74" s="1510"/>
      <c r="DK74" s="1510"/>
      <c r="DL74" s="1511"/>
      <c r="DM74" s="796"/>
      <c r="EN74" s="850"/>
      <c r="FB74" s="893"/>
      <c r="FC74" s="878"/>
      <c r="FD74" s="878"/>
      <c r="FE74" s="878"/>
      <c r="FF74" s="878"/>
      <c r="FG74" s="878"/>
      <c r="FH74" s="878"/>
      <c r="FI74" s="878"/>
      <c r="FJ74" s="878"/>
      <c r="FK74" s="878"/>
      <c r="FL74" s="878"/>
      <c r="GI74" s="761"/>
      <c r="GJ74" s="761"/>
      <c r="GK74" s="761"/>
      <c r="GL74" s="761"/>
      <c r="GM74" s="761"/>
      <c r="GN74" s="761"/>
      <c r="GO74" s="761"/>
      <c r="GP74" s="761"/>
      <c r="GR74" s="852"/>
      <c r="GS74" s="761"/>
      <c r="GT74" s="761"/>
      <c r="GU74" s="761"/>
      <c r="GV74" s="786"/>
      <c r="KN74" s="791"/>
      <c r="LH74" s="811"/>
      <c r="MH74" s="704"/>
      <c r="MI74" s="888"/>
      <c r="MJ74" s="1720"/>
      <c r="MK74" s="1720"/>
      <c r="ML74" s="1720"/>
      <c r="MM74" s="1720"/>
      <c r="MN74" s="1720"/>
      <c r="MO74" s="1720"/>
      <c r="MP74" s="1720"/>
      <c r="MQ74" s="1720"/>
      <c r="MR74" s="1720"/>
      <c r="MS74" s="1720"/>
      <c r="MT74" s="1720"/>
      <c r="SG74" s="758"/>
    </row>
    <row r="75" spans="4:501" ht="12.75" customHeight="1" x14ac:dyDescent="0.35">
      <c r="D75" s="758"/>
      <c r="BS75" s="810"/>
      <c r="CP75" s="795"/>
      <c r="DB75" s="770"/>
      <c r="DM75" s="796"/>
      <c r="EN75" s="850"/>
      <c r="FB75" s="704"/>
      <c r="FC75" s="704"/>
      <c r="FD75" s="704"/>
      <c r="FE75" s="704"/>
      <c r="FF75" s="704"/>
      <c r="FG75" s="704"/>
      <c r="FH75" s="704"/>
      <c r="FI75" s="704"/>
      <c r="FJ75" s="704"/>
      <c r="FK75" s="704"/>
      <c r="FL75" s="704"/>
      <c r="GI75" s="761"/>
      <c r="GJ75" s="761"/>
      <c r="GK75" s="761"/>
      <c r="GL75" s="761"/>
      <c r="GM75" s="761"/>
      <c r="GN75" s="761"/>
      <c r="GO75" s="761"/>
      <c r="GP75" s="761"/>
      <c r="GR75" s="852"/>
      <c r="GS75" s="761"/>
      <c r="GT75" s="761"/>
      <c r="GU75" s="761"/>
      <c r="GV75" s="786"/>
      <c r="KN75" s="791"/>
      <c r="LH75" s="811"/>
      <c r="MH75" s="704"/>
      <c r="MI75" s="704"/>
      <c r="MJ75" s="704"/>
      <c r="MK75" s="704"/>
      <c r="ML75" s="704"/>
      <c r="MM75" s="704"/>
      <c r="MN75" s="704"/>
      <c r="MO75" s="704"/>
      <c r="MP75" s="704"/>
      <c r="MQ75" s="704"/>
      <c r="MR75" s="704"/>
      <c r="MS75" s="704"/>
      <c r="MT75" s="704"/>
      <c r="SG75" s="758"/>
    </row>
    <row r="76" spans="4:501" ht="12.75" customHeight="1" x14ac:dyDescent="0.35">
      <c r="D76" s="758"/>
      <c r="BS76" s="810"/>
      <c r="CP76" s="795"/>
      <c r="CU76" s="861"/>
      <c r="CV76" s="863"/>
      <c r="CW76" s="881"/>
      <c r="CX76" s="881"/>
      <c r="CY76" s="881"/>
      <c r="CZ76" s="881"/>
      <c r="DA76" s="881"/>
      <c r="DB76" s="863"/>
      <c r="DC76" s="881"/>
      <c r="DD76" s="881"/>
      <c r="DE76" s="881"/>
      <c r="DF76" s="881"/>
      <c r="DG76" s="894"/>
      <c r="DM76" s="796"/>
      <c r="EN76" s="884"/>
      <c r="EO76" s="885"/>
      <c r="EP76" s="885"/>
      <c r="EQ76" s="885"/>
      <c r="ER76" s="885"/>
      <c r="ES76" s="885"/>
      <c r="ET76" s="885"/>
      <c r="EU76" s="885"/>
      <c r="EV76" s="885"/>
      <c r="EW76" s="885"/>
      <c r="EX76" s="885"/>
      <c r="EY76" s="885"/>
      <c r="EZ76" s="885"/>
      <c r="FA76" s="885"/>
      <c r="FB76" s="885"/>
      <c r="FC76" s="885"/>
      <c r="FD76" s="885"/>
      <c r="FE76" s="885"/>
      <c r="FF76" s="885"/>
      <c r="FG76" s="885"/>
      <c r="FH76" s="885"/>
      <c r="FI76" s="885"/>
      <c r="FJ76" s="885"/>
      <c r="FK76" s="885"/>
      <c r="FL76" s="885"/>
      <c r="FM76" s="885"/>
      <c r="FN76" s="885"/>
      <c r="FO76" s="885"/>
      <c r="FP76" s="885"/>
      <c r="FQ76" s="885"/>
      <c r="FR76" s="885"/>
      <c r="FS76" s="885"/>
      <c r="FT76" s="885"/>
      <c r="FU76" s="885"/>
      <c r="FV76" s="885"/>
      <c r="FW76" s="885"/>
      <c r="FX76" s="885"/>
      <c r="FY76" s="885"/>
      <c r="FZ76" s="885"/>
      <c r="GA76" s="885"/>
      <c r="GB76" s="885"/>
      <c r="GC76" s="885"/>
      <c r="GD76" s="895"/>
      <c r="GE76" s="895"/>
      <c r="GF76" s="885"/>
      <c r="GG76" s="896"/>
      <c r="GH76" s="896"/>
      <c r="GI76" s="896"/>
      <c r="GJ76" s="896"/>
      <c r="GK76" s="896"/>
      <c r="GL76" s="896"/>
      <c r="GM76" s="896"/>
      <c r="GN76" s="896"/>
      <c r="GO76" s="896"/>
      <c r="GP76" s="896"/>
      <c r="GQ76" s="885"/>
      <c r="GR76" s="886"/>
      <c r="GS76" s="761"/>
      <c r="GT76" s="761"/>
      <c r="GU76" s="761"/>
      <c r="GV76" s="786"/>
      <c r="KN76" s="791"/>
      <c r="LH76" s="811"/>
      <c r="SG76" s="758"/>
    </row>
    <row r="77" spans="4:501" ht="12.75" customHeight="1" x14ac:dyDescent="0.35">
      <c r="D77" s="758"/>
      <c r="BS77" s="810"/>
      <c r="CP77" s="795"/>
      <c r="CQ77" s="1488" t="s">
        <v>5113</v>
      </c>
      <c r="CR77" s="1489"/>
      <c r="CS77" s="1489"/>
      <c r="CT77" s="1489"/>
      <c r="CU77" s="1489"/>
      <c r="CV77" s="1489"/>
      <c r="CW77" s="1489"/>
      <c r="CX77" s="1489"/>
      <c r="CY77" s="1489"/>
      <c r="CZ77" s="1490"/>
      <c r="DB77" s="770"/>
      <c r="DC77" s="1488" t="s">
        <v>5114</v>
      </c>
      <c r="DD77" s="1489"/>
      <c r="DE77" s="1489"/>
      <c r="DF77" s="1489"/>
      <c r="DG77" s="1489"/>
      <c r="DH77" s="1489"/>
      <c r="DI77" s="1489"/>
      <c r="DJ77" s="1489"/>
      <c r="DK77" s="1489"/>
      <c r="DL77" s="1490"/>
      <c r="DM77" s="796"/>
      <c r="GD77" s="763"/>
      <c r="GE77" s="763"/>
      <c r="GG77" s="761"/>
      <c r="GH77" s="761"/>
      <c r="GI77" s="761"/>
      <c r="GJ77" s="761"/>
      <c r="GK77" s="761"/>
      <c r="GL77" s="761"/>
      <c r="GM77" s="761"/>
      <c r="GN77" s="761"/>
      <c r="GO77" s="761"/>
      <c r="GP77" s="761"/>
      <c r="GS77" s="761"/>
      <c r="GT77" s="761"/>
      <c r="GU77" s="761"/>
      <c r="GV77" s="786"/>
      <c r="KN77" s="791"/>
      <c r="LH77" s="811"/>
      <c r="SG77" s="758"/>
    </row>
    <row r="78" spans="4:501" ht="12.75" customHeight="1" x14ac:dyDescent="0.35">
      <c r="D78" s="758"/>
      <c r="BS78" s="810"/>
      <c r="CP78" s="795"/>
      <c r="CQ78" s="648">
        <v>1</v>
      </c>
      <c r="CR78" s="1488" t="s">
        <v>5081</v>
      </c>
      <c r="CS78" s="1489"/>
      <c r="CT78" s="1489"/>
      <c r="CU78" s="1489"/>
      <c r="CV78" s="1489"/>
      <c r="CW78" s="1489"/>
      <c r="CX78" s="1489"/>
      <c r="CY78" s="1489"/>
      <c r="CZ78" s="1490"/>
      <c r="DB78" s="770"/>
      <c r="DC78" s="648">
        <v>1</v>
      </c>
      <c r="DD78" s="1488" t="s">
        <v>5081</v>
      </c>
      <c r="DE78" s="1489"/>
      <c r="DF78" s="1489"/>
      <c r="DG78" s="1489"/>
      <c r="DH78" s="1489"/>
      <c r="DI78" s="1489"/>
      <c r="DJ78" s="1489"/>
      <c r="DK78" s="1489"/>
      <c r="DL78" s="1490"/>
      <c r="DM78" s="796"/>
      <c r="GV78" s="786"/>
      <c r="KN78" s="791"/>
      <c r="LH78" s="811"/>
      <c r="SG78" s="758"/>
    </row>
    <row r="79" spans="4:501" ht="12.75" customHeight="1" x14ac:dyDescent="0.35">
      <c r="D79" s="758"/>
      <c r="BS79" s="810"/>
      <c r="CP79" s="795"/>
      <c r="CQ79" s="1482" t="s">
        <v>2717</v>
      </c>
      <c r="CR79" s="1510"/>
      <c r="CS79" s="1510"/>
      <c r="CT79" s="1510"/>
      <c r="CU79" s="1510"/>
      <c r="CV79" s="1510"/>
      <c r="CW79" s="1510"/>
      <c r="CX79" s="1510"/>
      <c r="CY79" s="1510"/>
      <c r="CZ79" s="1511"/>
      <c r="DB79" s="770"/>
      <c r="DC79" s="1482" t="s">
        <v>2416</v>
      </c>
      <c r="DD79" s="1510"/>
      <c r="DE79" s="1510"/>
      <c r="DF79" s="1510"/>
      <c r="DG79" s="1510"/>
      <c r="DH79" s="1510"/>
      <c r="DI79" s="1510"/>
      <c r="DJ79" s="1510"/>
      <c r="DK79" s="1510"/>
      <c r="DL79" s="1511"/>
      <c r="DM79" s="796"/>
      <c r="GV79" s="786"/>
      <c r="KN79" s="791"/>
      <c r="LH79" s="811"/>
      <c r="SG79" s="758"/>
    </row>
    <row r="80" spans="4:501" ht="12.75" customHeight="1" x14ac:dyDescent="0.35">
      <c r="D80" s="758"/>
      <c r="BS80" s="810"/>
      <c r="CP80" s="795"/>
      <c r="CQ80" s="648">
        <v>1</v>
      </c>
      <c r="CR80" s="1488" t="s">
        <v>4737</v>
      </c>
      <c r="CS80" s="1489"/>
      <c r="CT80" s="1489"/>
      <c r="CU80" s="1489"/>
      <c r="CV80" s="1489"/>
      <c r="CW80" s="1489"/>
      <c r="CX80" s="1489"/>
      <c r="CY80" s="1489"/>
      <c r="CZ80" s="1490"/>
      <c r="DB80" s="770"/>
      <c r="DC80" s="648">
        <v>1</v>
      </c>
      <c r="DD80" s="1488" t="s">
        <v>4737</v>
      </c>
      <c r="DE80" s="1489"/>
      <c r="DF80" s="1489"/>
      <c r="DG80" s="1489"/>
      <c r="DH80" s="1489"/>
      <c r="DI80" s="1489"/>
      <c r="DJ80" s="1489"/>
      <c r="DK80" s="1489"/>
      <c r="DL80" s="1490"/>
      <c r="DM80" s="796"/>
      <c r="GV80" s="786"/>
      <c r="KN80" s="791"/>
      <c r="KS80" s="786"/>
      <c r="LH80" s="811"/>
      <c r="SG80" s="758"/>
    </row>
    <row r="81" spans="4:501" ht="12.75" customHeight="1" x14ac:dyDescent="0.35">
      <c r="D81" s="758"/>
      <c r="BO81" s="761"/>
      <c r="BP81" s="761"/>
      <c r="BQ81" s="761"/>
      <c r="BR81" s="761"/>
      <c r="BS81" s="897"/>
      <c r="BT81" s="761"/>
      <c r="CP81" s="795"/>
      <c r="CQ81" s="1482" t="s">
        <v>1600</v>
      </c>
      <c r="CR81" s="1510"/>
      <c r="CS81" s="1510"/>
      <c r="CT81" s="1510"/>
      <c r="CU81" s="1510"/>
      <c r="CV81" s="1510"/>
      <c r="CW81" s="1510"/>
      <c r="CX81" s="1510"/>
      <c r="CY81" s="1510"/>
      <c r="CZ81" s="1511"/>
      <c r="DB81" s="770"/>
      <c r="DC81" s="1482" t="s">
        <v>3440</v>
      </c>
      <c r="DD81" s="1510"/>
      <c r="DE81" s="1510"/>
      <c r="DF81" s="1510"/>
      <c r="DG81" s="1510"/>
      <c r="DH81" s="1510"/>
      <c r="DI81" s="1510"/>
      <c r="DJ81" s="1510"/>
      <c r="DK81" s="1510"/>
      <c r="DL81" s="1511"/>
      <c r="DM81" s="796"/>
      <c r="GV81" s="786"/>
      <c r="KN81" s="791"/>
      <c r="LH81" s="811"/>
      <c r="SG81" s="758"/>
    </row>
    <row r="82" spans="4:501" ht="12.75" customHeight="1" x14ac:dyDescent="0.35">
      <c r="D82" s="758"/>
      <c r="BS82" s="810"/>
      <c r="CP82" s="795"/>
      <c r="CQ82" s="648">
        <v>1</v>
      </c>
      <c r="CR82" s="1488" t="s">
        <v>4737</v>
      </c>
      <c r="CS82" s="1489"/>
      <c r="CT82" s="1489"/>
      <c r="CU82" s="1489"/>
      <c r="CV82" s="1489"/>
      <c r="CW82" s="1489"/>
      <c r="CX82" s="1489"/>
      <c r="CY82" s="1489"/>
      <c r="CZ82" s="1490"/>
      <c r="DB82" s="770"/>
      <c r="DC82" s="648">
        <v>1</v>
      </c>
      <c r="DD82" s="1488" t="s">
        <v>4737</v>
      </c>
      <c r="DE82" s="1489"/>
      <c r="DF82" s="1489"/>
      <c r="DG82" s="1489"/>
      <c r="DH82" s="1489"/>
      <c r="DI82" s="1489"/>
      <c r="DJ82" s="1489"/>
      <c r="DK82" s="1489"/>
      <c r="DL82" s="1490"/>
      <c r="DM82" s="796"/>
      <c r="GV82" s="786"/>
      <c r="KN82" s="791"/>
      <c r="LH82" s="811"/>
      <c r="SG82" s="758"/>
    </row>
    <row r="83" spans="4:501" ht="12.75" customHeight="1" x14ac:dyDescent="0.35">
      <c r="D83" s="758"/>
      <c r="BO83" s="761"/>
      <c r="BP83" s="761"/>
      <c r="BQ83" s="761"/>
      <c r="BR83" s="761"/>
      <c r="BS83" s="897"/>
      <c r="BT83" s="761"/>
      <c r="CP83" s="795"/>
      <c r="CQ83" s="1746" t="s">
        <v>4122</v>
      </c>
      <c r="CR83" s="1747"/>
      <c r="CS83" s="1747"/>
      <c r="CT83" s="1747"/>
      <c r="CU83" s="1747"/>
      <c r="CV83" s="1747"/>
      <c r="CW83" s="1747"/>
      <c r="CX83" s="1747"/>
      <c r="CY83" s="1747"/>
      <c r="CZ83" s="1748"/>
      <c r="DB83" s="770"/>
      <c r="DC83" s="1735" t="s">
        <v>4155</v>
      </c>
      <c r="DD83" s="1736"/>
      <c r="DE83" s="1736"/>
      <c r="DF83" s="1736"/>
      <c r="DG83" s="1736"/>
      <c r="DH83" s="1736"/>
      <c r="DI83" s="1736"/>
      <c r="DJ83" s="1736"/>
      <c r="DK83" s="1736"/>
      <c r="DL83" s="1737"/>
      <c r="DM83" s="796"/>
      <c r="DS83" s="898"/>
      <c r="ES83" s="646"/>
      <c r="ET83" s="760"/>
      <c r="EV83" s="899"/>
      <c r="EW83" s="899"/>
      <c r="EX83" s="899"/>
      <c r="GV83" s="786"/>
      <c r="KN83" s="791"/>
      <c r="LH83" s="811"/>
      <c r="SG83" s="758"/>
    </row>
    <row r="84" spans="4:501" ht="12.75" customHeight="1" x14ac:dyDescent="0.35">
      <c r="D84" s="758"/>
      <c r="BO84" s="761"/>
      <c r="BP84" s="761"/>
      <c r="BQ84" s="761"/>
      <c r="BR84" s="761"/>
      <c r="BS84" s="897"/>
      <c r="BT84" s="761"/>
      <c r="CP84" s="795"/>
      <c r="CQ84" s="648">
        <v>1</v>
      </c>
      <c r="CR84" s="1488" t="s">
        <v>5007</v>
      </c>
      <c r="CS84" s="1489"/>
      <c r="CT84" s="1489"/>
      <c r="CU84" s="1489"/>
      <c r="CV84" s="1489"/>
      <c r="CW84" s="1489"/>
      <c r="CX84" s="1489"/>
      <c r="CY84" s="1489"/>
      <c r="CZ84" s="1490"/>
      <c r="DB84" s="770"/>
      <c r="DC84" s="648">
        <v>1</v>
      </c>
      <c r="DD84" s="1488" t="s">
        <v>5007</v>
      </c>
      <c r="DE84" s="1489"/>
      <c r="DF84" s="1489"/>
      <c r="DG84" s="1489"/>
      <c r="DH84" s="1489"/>
      <c r="DI84" s="1489"/>
      <c r="DJ84" s="1489"/>
      <c r="DK84" s="1489"/>
      <c r="DL84" s="1490"/>
      <c r="DM84" s="796"/>
      <c r="GV84" s="786"/>
      <c r="KN84" s="791"/>
      <c r="LH84" s="811"/>
      <c r="SG84" s="758"/>
    </row>
    <row r="85" spans="4:501" ht="12.75" customHeight="1" x14ac:dyDescent="0.35">
      <c r="D85" s="758"/>
      <c r="BS85" s="810"/>
      <c r="CP85" s="795"/>
      <c r="CQ85" s="1482" t="s">
        <v>2561</v>
      </c>
      <c r="CR85" s="1510"/>
      <c r="CS85" s="1510"/>
      <c r="CT85" s="1510"/>
      <c r="CU85" s="1510"/>
      <c r="CV85" s="1510"/>
      <c r="CW85" s="1510"/>
      <c r="CX85" s="1510"/>
      <c r="CY85" s="1510"/>
      <c r="CZ85" s="1511"/>
      <c r="DB85" s="770"/>
      <c r="DC85" s="1735" t="s">
        <v>2630</v>
      </c>
      <c r="DD85" s="1736"/>
      <c r="DE85" s="1736"/>
      <c r="DF85" s="1736"/>
      <c r="DG85" s="1736"/>
      <c r="DH85" s="1736"/>
      <c r="DI85" s="1736"/>
      <c r="DJ85" s="1736"/>
      <c r="DK85" s="1736"/>
      <c r="DL85" s="1737"/>
      <c r="DM85" s="796"/>
      <c r="GV85" s="786"/>
      <c r="KN85" s="791"/>
      <c r="LH85" s="811"/>
      <c r="SG85" s="758"/>
    </row>
    <row r="86" spans="4:501" ht="12.75" customHeight="1" x14ac:dyDescent="0.35">
      <c r="D86" s="758"/>
      <c r="BS86" s="810"/>
      <c r="CP86" s="795"/>
      <c r="CQ86" s="648">
        <v>1</v>
      </c>
      <c r="CR86" s="1488" t="s">
        <v>5007</v>
      </c>
      <c r="CS86" s="1489"/>
      <c r="CT86" s="1489"/>
      <c r="CU86" s="1489"/>
      <c r="CV86" s="1489"/>
      <c r="CW86" s="1489"/>
      <c r="CX86" s="1489"/>
      <c r="CY86" s="1489"/>
      <c r="CZ86" s="1490"/>
      <c r="DB86" s="770"/>
      <c r="DC86" s="648">
        <v>1</v>
      </c>
      <c r="DD86" s="1488" t="s">
        <v>5241</v>
      </c>
      <c r="DE86" s="1489"/>
      <c r="DF86" s="1489"/>
      <c r="DG86" s="1489"/>
      <c r="DH86" s="1489"/>
      <c r="DI86" s="1489"/>
      <c r="DJ86" s="1489"/>
      <c r="DK86" s="1489"/>
      <c r="DL86" s="1490"/>
      <c r="DM86" s="796"/>
      <c r="GV86" s="786"/>
      <c r="KN86" s="791"/>
      <c r="LH86" s="811"/>
      <c r="SG86" s="758"/>
    </row>
    <row r="87" spans="4:501" ht="12.75" customHeight="1" x14ac:dyDescent="0.35">
      <c r="D87" s="758"/>
      <c r="BS87" s="810"/>
      <c r="CP87" s="795"/>
      <c r="CQ87" s="1482" t="s">
        <v>4646</v>
      </c>
      <c r="CR87" s="1510"/>
      <c r="CS87" s="1510"/>
      <c r="CT87" s="1510"/>
      <c r="CU87" s="1510"/>
      <c r="CV87" s="1510"/>
      <c r="CW87" s="1510"/>
      <c r="CX87" s="1510"/>
      <c r="CY87" s="1510"/>
      <c r="CZ87" s="1511"/>
      <c r="DB87" s="770"/>
      <c r="DC87" s="1482" t="s">
        <v>3958</v>
      </c>
      <c r="DD87" s="1510"/>
      <c r="DE87" s="1510"/>
      <c r="DF87" s="1510"/>
      <c r="DG87" s="1510"/>
      <c r="DH87" s="1510"/>
      <c r="DI87" s="1510"/>
      <c r="DJ87" s="1510"/>
      <c r="DK87" s="1510"/>
      <c r="DL87" s="1511"/>
      <c r="DM87" s="796"/>
      <c r="GV87" s="786"/>
      <c r="KN87" s="791"/>
      <c r="LH87" s="811"/>
      <c r="SG87" s="758"/>
    </row>
    <row r="88" spans="4:501" ht="12.75" customHeight="1" x14ac:dyDescent="0.35">
      <c r="D88" s="758"/>
      <c r="BS88" s="810"/>
      <c r="CP88" s="795"/>
      <c r="DB88" s="770"/>
      <c r="DM88" s="796"/>
      <c r="GV88" s="786"/>
      <c r="KN88" s="791"/>
      <c r="LH88" s="811"/>
      <c r="SG88" s="758"/>
    </row>
    <row r="89" spans="4:501" ht="12.75" customHeight="1" x14ac:dyDescent="0.35">
      <c r="D89" s="758"/>
      <c r="BS89" s="810"/>
      <c r="CP89" s="795"/>
      <c r="DB89" s="770"/>
      <c r="DM89" s="900"/>
      <c r="GV89" s="786"/>
      <c r="KN89" s="791"/>
      <c r="LH89" s="811"/>
      <c r="SG89" s="758"/>
    </row>
    <row r="90" spans="4:501" ht="12.75" customHeight="1" x14ac:dyDescent="0.35">
      <c r="D90" s="758"/>
      <c r="BS90" s="810"/>
      <c r="CP90" s="795"/>
      <c r="DB90" s="770"/>
      <c r="DM90" s="901"/>
      <c r="GV90" s="786"/>
      <c r="KN90" s="791"/>
      <c r="LH90" s="811"/>
      <c r="SG90" s="758"/>
    </row>
    <row r="91" spans="4:501" ht="12.75" customHeight="1" x14ac:dyDescent="0.35">
      <c r="D91" s="758"/>
      <c r="BS91" s="810"/>
      <c r="CP91" s="795"/>
      <c r="CQ91" s="648">
        <v>1</v>
      </c>
      <c r="CR91" s="1488" t="s">
        <v>5046</v>
      </c>
      <c r="CS91" s="1489"/>
      <c r="CT91" s="1489"/>
      <c r="CU91" s="1489"/>
      <c r="CV91" s="1489"/>
      <c r="CW91" s="1489"/>
      <c r="CX91" s="1489"/>
      <c r="CY91" s="1489"/>
      <c r="CZ91" s="1490"/>
      <c r="DA91" s="759"/>
      <c r="DB91" s="902"/>
      <c r="DC91" s="648">
        <v>1</v>
      </c>
      <c r="DD91" s="1488" t="s">
        <v>5046</v>
      </c>
      <c r="DE91" s="1489"/>
      <c r="DF91" s="1489"/>
      <c r="DG91" s="1489"/>
      <c r="DH91" s="1489"/>
      <c r="DI91" s="1489"/>
      <c r="DJ91" s="1489"/>
      <c r="DK91" s="1489"/>
      <c r="DL91" s="1490"/>
      <c r="DM91" s="900"/>
      <c r="GV91" s="786"/>
      <c r="KN91" s="791"/>
      <c r="LH91" s="811"/>
      <c r="SG91" s="758"/>
    </row>
    <row r="92" spans="4:501" ht="12.75" customHeight="1" x14ac:dyDescent="0.35">
      <c r="D92" s="758"/>
      <c r="BS92" s="810"/>
      <c r="CP92" s="795"/>
      <c r="CQ92" s="1543" t="s">
        <v>4421</v>
      </c>
      <c r="CR92" s="1544"/>
      <c r="CS92" s="1544"/>
      <c r="CT92" s="1544"/>
      <c r="CU92" s="1544"/>
      <c r="CV92" s="1544"/>
      <c r="CW92" s="1544"/>
      <c r="CX92" s="1544"/>
      <c r="CY92" s="1544"/>
      <c r="CZ92" s="1545"/>
      <c r="DA92" s="903"/>
      <c r="DB92" s="864"/>
      <c r="DC92" s="1482" t="s">
        <v>3937</v>
      </c>
      <c r="DD92" s="1510"/>
      <c r="DE92" s="1510"/>
      <c r="DF92" s="1510"/>
      <c r="DG92" s="1510"/>
      <c r="DH92" s="1510"/>
      <c r="DI92" s="1510"/>
      <c r="DJ92" s="1510"/>
      <c r="DK92" s="1510"/>
      <c r="DL92" s="1511"/>
      <c r="DM92" s="904"/>
      <c r="GV92" s="786"/>
      <c r="KN92" s="791"/>
      <c r="LH92" s="811"/>
      <c r="SG92" s="758"/>
    </row>
    <row r="93" spans="4:501" ht="12.75" customHeight="1" x14ac:dyDescent="0.35">
      <c r="D93" s="758"/>
      <c r="BS93" s="810"/>
      <c r="CP93" s="812"/>
      <c r="CQ93" s="813"/>
      <c r="CR93" s="813"/>
      <c r="CS93" s="813"/>
      <c r="CT93" s="813"/>
      <c r="CU93" s="813"/>
      <c r="CV93" s="813"/>
      <c r="CW93" s="813"/>
      <c r="CX93" s="813"/>
      <c r="CY93" s="813"/>
      <c r="CZ93" s="813"/>
      <c r="DA93" s="813"/>
      <c r="DB93" s="813"/>
      <c r="DC93" s="813"/>
      <c r="DD93" s="813"/>
      <c r="DE93" s="813"/>
      <c r="DF93" s="813"/>
      <c r="DG93" s="813"/>
      <c r="DH93" s="813"/>
      <c r="DI93" s="813"/>
      <c r="DJ93" s="813"/>
      <c r="DK93" s="813"/>
      <c r="DL93" s="813"/>
      <c r="DM93" s="814"/>
      <c r="GV93" s="786"/>
      <c r="KN93" s="791"/>
      <c r="LH93" s="811"/>
      <c r="SG93" s="758"/>
    </row>
    <row r="94" spans="4:501" ht="12.75" customHeight="1" x14ac:dyDescent="0.35">
      <c r="D94" s="758"/>
      <c r="BS94" s="870"/>
      <c r="BT94" s="798"/>
      <c r="BU94" s="798"/>
      <c r="BV94" s="798"/>
      <c r="BW94" s="798"/>
      <c r="BX94" s="798"/>
      <c r="BY94" s="798"/>
      <c r="BZ94" s="798"/>
      <c r="CA94" s="798"/>
      <c r="CB94" s="798"/>
      <c r="CC94" s="798"/>
      <c r="CD94" s="798"/>
      <c r="CE94" s="798"/>
      <c r="CF94" s="798"/>
      <c r="CG94" s="798"/>
      <c r="CH94" s="798"/>
      <c r="CI94" s="798"/>
      <c r="CJ94" s="798"/>
      <c r="CK94" s="798"/>
      <c r="CL94" s="798"/>
      <c r="CM94" s="798"/>
      <c r="CN94" s="798"/>
      <c r="CO94" s="798"/>
      <c r="CP94" s="798"/>
      <c r="CQ94" s="798"/>
      <c r="CR94" s="798"/>
      <c r="CS94" s="798"/>
      <c r="CT94" s="798"/>
      <c r="CU94" s="905"/>
      <c r="CV94" s="905"/>
      <c r="CW94" s="905"/>
      <c r="CX94" s="1745"/>
      <c r="CY94" s="1745"/>
      <c r="CZ94" s="1745"/>
      <c r="DA94" s="1745"/>
      <c r="DB94" s="1745"/>
      <c r="DC94" s="1745"/>
      <c r="DD94" s="1745"/>
      <c r="DE94" s="1745"/>
      <c r="DF94" s="1745"/>
      <c r="DG94" s="1745"/>
      <c r="DH94" s="1745"/>
      <c r="DI94" s="798"/>
      <c r="DJ94" s="798"/>
      <c r="DK94" s="798"/>
      <c r="DL94" s="798"/>
      <c r="DM94" s="798"/>
      <c r="DN94" s="798"/>
      <c r="DO94" s="798"/>
      <c r="DP94" s="798"/>
      <c r="DQ94" s="798"/>
      <c r="DR94" s="798"/>
      <c r="DS94" s="798"/>
      <c r="DT94" s="798"/>
      <c r="DU94" s="798"/>
      <c r="DV94" s="798"/>
      <c r="DW94" s="798"/>
      <c r="DX94" s="798"/>
      <c r="DY94" s="798"/>
      <c r="DZ94" s="798"/>
      <c r="EA94" s="798"/>
      <c r="EB94" s="798"/>
      <c r="EC94" s="798"/>
      <c r="ED94" s="798"/>
      <c r="EE94" s="798"/>
      <c r="EF94" s="798"/>
      <c r="EG94" s="798"/>
      <c r="EH94" s="798"/>
      <c r="EI94" s="798"/>
      <c r="EJ94" s="798"/>
      <c r="EK94" s="798"/>
      <c r="EL94" s="798"/>
      <c r="EM94" s="798"/>
      <c r="EN94" s="798"/>
      <c r="EO94" s="798"/>
      <c r="EP94" s="798"/>
      <c r="EQ94" s="798"/>
      <c r="ER94" s="798"/>
      <c r="ES94" s="798"/>
      <c r="ET94" s="798"/>
      <c r="EU94" s="798"/>
      <c r="EV94" s="798"/>
      <c r="EW94" s="798"/>
      <c r="EX94" s="798"/>
      <c r="EY94" s="798"/>
      <c r="EZ94" s="798"/>
      <c r="FA94" s="798"/>
      <c r="FB94" s="798"/>
      <c r="FC94" s="798"/>
      <c r="FD94" s="798"/>
      <c r="FE94" s="798"/>
      <c r="FF94" s="798"/>
      <c r="FG94" s="798"/>
      <c r="FH94" s="798"/>
      <c r="FI94" s="798"/>
      <c r="FJ94" s="798"/>
      <c r="FK94" s="798"/>
      <c r="FL94" s="798"/>
      <c r="FM94" s="798"/>
      <c r="FN94" s="798"/>
      <c r="FO94" s="798"/>
      <c r="FP94" s="798"/>
      <c r="FQ94" s="798"/>
      <c r="FR94" s="798"/>
      <c r="FS94" s="798"/>
      <c r="FT94" s="798"/>
      <c r="FU94" s="798"/>
      <c r="FV94" s="798"/>
      <c r="FW94" s="798"/>
      <c r="FX94" s="798"/>
      <c r="FY94" s="798"/>
      <c r="FZ94" s="798"/>
      <c r="GA94" s="798"/>
      <c r="GB94" s="798"/>
      <c r="GC94" s="798"/>
      <c r="GD94" s="798"/>
      <c r="GE94" s="798"/>
      <c r="GF94" s="798"/>
      <c r="GG94" s="798"/>
      <c r="GH94" s="798"/>
      <c r="GI94" s="798"/>
      <c r="GJ94" s="798"/>
      <c r="GK94" s="798"/>
      <c r="GL94" s="798"/>
      <c r="GM94" s="798"/>
      <c r="GN94" s="798"/>
      <c r="GO94" s="798"/>
      <c r="GP94" s="798"/>
      <c r="GQ94" s="798"/>
      <c r="GR94" s="798"/>
      <c r="GS94" s="798"/>
      <c r="GT94" s="798"/>
      <c r="GU94" s="798"/>
      <c r="GV94" s="906"/>
      <c r="GW94" s="798"/>
      <c r="GX94" s="798"/>
      <c r="GY94" s="798"/>
      <c r="GZ94" s="798"/>
      <c r="HA94" s="798"/>
      <c r="HB94" s="798"/>
      <c r="HC94" s="798"/>
      <c r="HD94" s="798"/>
      <c r="HE94" s="798"/>
      <c r="HF94" s="798"/>
      <c r="HG94" s="798"/>
      <c r="HH94" s="798"/>
      <c r="HI94" s="798"/>
      <c r="HJ94" s="798"/>
      <c r="HK94" s="798"/>
      <c r="HL94" s="798"/>
      <c r="HM94" s="798"/>
      <c r="HN94" s="798"/>
      <c r="HO94" s="798"/>
      <c r="HP94" s="798"/>
      <c r="HQ94" s="798"/>
      <c r="HR94" s="798"/>
      <c r="HS94" s="798"/>
      <c r="HT94" s="798"/>
      <c r="HU94" s="798"/>
      <c r="HV94" s="798"/>
      <c r="HW94" s="798"/>
      <c r="HX94" s="798"/>
      <c r="HY94" s="798"/>
      <c r="HZ94" s="798"/>
      <c r="IA94" s="798"/>
      <c r="IB94" s="798"/>
      <c r="IC94" s="798"/>
      <c r="ID94" s="798"/>
      <c r="IE94" s="798"/>
      <c r="IF94" s="798"/>
      <c r="IG94" s="798"/>
      <c r="IH94" s="798"/>
      <c r="II94" s="798"/>
      <c r="IJ94" s="798"/>
      <c r="IK94" s="798"/>
      <c r="IL94" s="798"/>
      <c r="IM94" s="798"/>
      <c r="IN94" s="798"/>
      <c r="IO94" s="798"/>
      <c r="IP94" s="798"/>
      <c r="IQ94" s="798"/>
      <c r="IR94" s="798"/>
      <c r="IS94" s="798"/>
      <c r="IT94" s="798"/>
      <c r="IU94" s="798"/>
      <c r="IV94" s="798"/>
      <c r="IW94" s="798"/>
      <c r="IX94" s="798"/>
      <c r="IY94" s="798"/>
      <c r="IZ94" s="798"/>
      <c r="JA94" s="798"/>
      <c r="JB94" s="798"/>
      <c r="JC94" s="798"/>
      <c r="JD94" s="798"/>
      <c r="JE94" s="798"/>
      <c r="JF94" s="798"/>
      <c r="JG94" s="798"/>
      <c r="JH94" s="798"/>
      <c r="JI94" s="798"/>
      <c r="JJ94" s="798"/>
      <c r="JK94" s="798"/>
      <c r="JL94" s="798"/>
      <c r="JM94" s="798"/>
      <c r="JN94" s="798"/>
      <c r="JO94" s="798"/>
      <c r="JP94" s="798"/>
      <c r="JQ94" s="798"/>
      <c r="JR94" s="798"/>
      <c r="JS94" s="798"/>
      <c r="JT94" s="798"/>
      <c r="JU94" s="798"/>
      <c r="JV94" s="798"/>
      <c r="JW94" s="798"/>
      <c r="JX94" s="798"/>
      <c r="JY94" s="798"/>
      <c r="JZ94" s="798"/>
      <c r="KA94" s="798"/>
      <c r="KB94" s="798"/>
      <c r="KC94" s="798"/>
      <c r="KD94" s="798"/>
      <c r="KE94" s="798"/>
      <c r="KF94" s="798"/>
      <c r="KG94" s="798"/>
      <c r="KH94" s="798"/>
      <c r="KI94" s="798"/>
      <c r="KJ94" s="798"/>
      <c r="KK94" s="798"/>
      <c r="KL94" s="798"/>
      <c r="KM94" s="798"/>
      <c r="KN94" s="846"/>
      <c r="KO94" s="798"/>
      <c r="KP94" s="798"/>
      <c r="KQ94" s="798"/>
      <c r="KR94" s="798"/>
      <c r="KS94" s="798"/>
      <c r="KT94" s="798"/>
      <c r="KU94" s="798"/>
      <c r="KV94" s="798"/>
      <c r="KW94" s="798"/>
      <c r="KX94" s="798"/>
      <c r="KY94" s="798"/>
      <c r="KZ94" s="798"/>
      <c r="LA94" s="798"/>
      <c r="LB94" s="798"/>
      <c r="LC94" s="798"/>
      <c r="LD94" s="798"/>
      <c r="LE94" s="798"/>
      <c r="LF94" s="798"/>
      <c r="LG94" s="798"/>
      <c r="LH94" s="871"/>
      <c r="SG94" s="758"/>
    </row>
    <row r="95" spans="4:501" ht="12.75" customHeight="1" x14ac:dyDescent="0.35">
      <c r="D95" s="758"/>
      <c r="GV95" s="786"/>
      <c r="KN95" s="791"/>
      <c r="KT95" s="802"/>
      <c r="SG95" s="758"/>
    </row>
    <row r="96" spans="4:501" ht="12.75" customHeight="1" x14ac:dyDescent="0.35">
      <c r="D96" s="758"/>
      <c r="GV96" s="786"/>
      <c r="KN96" s="791"/>
      <c r="SG96" s="758"/>
    </row>
    <row r="97" spans="4:501" ht="12.75" customHeight="1" x14ac:dyDescent="0.35">
      <c r="D97" s="758"/>
      <c r="GV97" s="786"/>
      <c r="KN97" s="791"/>
      <c r="SG97" s="758"/>
    </row>
    <row r="98" spans="4:501" ht="12.75" customHeight="1" x14ac:dyDescent="0.35">
      <c r="D98" s="758"/>
      <c r="GV98" s="786"/>
      <c r="KN98" s="791"/>
      <c r="KO98" s="907"/>
      <c r="KP98" s="769"/>
      <c r="KQ98" s="769"/>
      <c r="KR98" s="769"/>
      <c r="KS98" s="769"/>
      <c r="KT98" s="769"/>
      <c r="KU98" s="766"/>
      <c r="KV98" s="766"/>
      <c r="KW98" s="766"/>
      <c r="KX98" s="766"/>
      <c r="KY98" s="766"/>
      <c r="KZ98" s="766"/>
      <c r="LA98" s="766"/>
      <c r="LB98" s="766"/>
      <c r="LC98" s="766"/>
      <c r="LD98" s="766"/>
      <c r="LE98" s="766"/>
      <c r="LF98" s="766"/>
      <c r="LG98" s="766"/>
      <c r="LH98" s="766"/>
      <c r="LI98" s="766"/>
      <c r="LJ98" s="766"/>
      <c r="LK98" s="766"/>
      <c r="LL98" s="766"/>
      <c r="LM98" s="766"/>
      <c r="LN98" s="766"/>
      <c r="LO98" s="766"/>
      <c r="LP98" s="766"/>
      <c r="LQ98" s="766"/>
      <c r="LR98" s="766"/>
      <c r="LS98" s="766"/>
      <c r="LT98" s="766"/>
      <c r="LU98" s="766"/>
      <c r="LV98" s="766"/>
      <c r="LW98" s="766"/>
      <c r="LX98" s="766"/>
      <c r="LY98" s="766"/>
      <c r="LZ98" s="766"/>
      <c r="MA98" s="766"/>
      <c r="MB98" s="766"/>
      <c r="MC98" s="766"/>
      <c r="MD98" s="766"/>
      <c r="ME98" s="766"/>
      <c r="MF98" s="766"/>
      <c r="MG98" s="766"/>
      <c r="MH98" s="766"/>
      <c r="MI98" s="766"/>
      <c r="MJ98" s="766"/>
      <c r="MK98" s="766"/>
      <c r="ML98" s="766"/>
      <c r="MM98" s="766"/>
      <c r="MN98" s="766"/>
      <c r="MO98" s="766"/>
      <c r="MP98" s="766"/>
      <c r="MQ98" s="766"/>
      <c r="MR98" s="766"/>
      <c r="MS98" s="766"/>
      <c r="MT98" s="766"/>
      <c r="MU98" s="766"/>
      <c r="MV98" s="766"/>
      <c r="MW98" s="766"/>
      <c r="MX98" s="766"/>
      <c r="MY98" s="766"/>
      <c r="MZ98" s="766"/>
      <c r="NA98" s="766"/>
      <c r="NB98" s="766"/>
      <c r="NC98" s="766"/>
      <c r="ND98" s="766"/>
      <c r="NE98" s="766"/>
      <c r="NF98" s="766"/>
      <c r="NG98" s="766"/>
      <c r="NH98" s="766"/>
      <c r="NI98" s="766"/>
      <c r="NJ98" s="766"/>
      <c r="NK98" s="766"/>
      <c r="NL98" s="766"/>
      <c r="NM98" s="766"/>
      <c r="NN98" s="766"/>
      <c r="NO98" s="766"/>
      <c r="NP98" s="766"/>
      <c r="NQ98" s="766"/>
      <c r="NR98" s="766"/>
      <c r="NS98" s="766"/>
      <c r="NT98" s="766"/>
      <c r="NU98" s="766"/>
      <c r="NV98" s="766"/>
      <c r="NW98" s="766"/>
      <c r="NX98" s="766"/>
      <c r="NY98" s="766"/>
      <c r="NZ98" s="766"/>
      <c r="OA98" s="766"/>
      <c r="OB98" s="766"/>
      <c r="OC98" s="766"/>
      <c r="OD98" s="766"/>
      <c r="OE98" s="766"/>
      <c r="OF98" s="766"/>
      <c r="OG98" s="766"/>
      <c r="OH98" s="766"/>
      <c r="OI98" s="766"/>
      <c r="OJ98" s="766"/>
      <c r="OK98" s="766"/>
      <c r="OL98" s="766"/>
      <c r="OM98" s="766"/>
      <c r="ON98" s="766"/>
      <c r="OO98" s="766"/>
      <c r="OP98" s="766"/>
      <c r="OQ98" s="766"/>
      <c r="OR98" s="766"/>
      <c r="OS98" s="766"/>
      <c r="OT98" s="766"/>
      <c r="OU98" s="766"/>
      <c r="OV98" s="766"/>
      <c r="OW98" s="766"/>
      <c r="OX98" s="766"/>
      <c r="OY98" s="766"/>
      <c r="OZ98" s="766"/>
      <c r="PA98" s="766"/>
      <c r="PB98" s="766"/>
      <c r="PC98" s="766"/>
      <c r="PD98" s="766"/>
      <c r="PE98" s="766"/>
      <c r="PF98" s="766"/>
      <c r="SG98" s="758"/>
    </row>
    <row r="99" spans="4:501" ht="12.75" customHeight="1" x14ac:dyDescent="0.35">
      <c r="D99" s="758"/>
      <c r="GV99" s="786"/>
      <c r="PF99" s="787"/>
      <c r="SG99" s="758"/>
    </row>
    <row r="100" spans="4:501" ht="12.75" customHeight="1" x14ac:dyDescent="0.35">
      <c r="D100" s="758"/>
      <c r="GV100" s="816"/>
      <c r="HA100" s="704"/>
      <c r="PF100" s="786"/>
      <c r="SG100" s="758"/>
    </row>
    <row r="101" spans="4:501" ht="12.75" customHeight="1" x14ac:dyDescent="0.35">
      <c r="D101" s="758"/>
      <c r="GQ101" s="777">
        <v>1</v>
      </c>
      <c r="GR101" s="1488" t="s">
        <v>140</v>
      </c>
      <c r="GS101" s="1489"/>
      <c r="GT101" s="1489"/>
      <c r="GU101" s="1489"/>
      <c r="GV101" s="1489"/>
      <c r="GW101" s="1489"/>
      <c r="GX101" s="1489"/>
      <c r="GY101" s="1489"/>
      <c r="GZ101" s="1489"/>
      <c r="HA101" s="1490"/>
      <c r="PF101" s="786"/>
      <c r="SG101" s="758"/>
    </row>
    <row r="102" spans="4:501" ht="12.75" customHeight="1" x14ac:dyDescent="0.2">
      <c r="D102" s="758"/>
      <c r="GQ102" s="1749" t="s">
        <v>2237</v>
      </c>
      <c r="GR102" s="1750"/>
      <c r="GS102" s="1750"/>
      <c r="GT102" s="1750"/>
      <c r="GU102" s="1750"/>
      <c r="GV102" s="1750"/>
      <c r="GW102" s="1750"/>
      <c r="GX102" s="1750"/>
      <c r="GY102" s="1750"/>
      <c r="GZ102" s="1750"/>
      <c r="HA102" s="1751"/>
      <c r="PF102" s="786"/>
      <c r="SG102" s="758"/>
    </row>
    <row r="103" spans="4:501" ht="12.75" customHeight="1" x14ac:dyDescent="0.35">
      <c r="D103" s="758"/>
      <c r="GV103" s="908"/>
      <c r="GW103" s="909"/>
      <c r="GX103" s="769"/>
      <c r="GY103" s="769"/>
      <c r="GZ103" s="769"/>
      <c r="HA103" s="769"/>
      <c r="HB103" s="769"/>
      <c r="HC103" s="769"/>
      <c r="HD103" s="769"/>
      <c r="HE103" s="769"/>
      <c r="HF103" s="769"/>
      <c r="HG103" s="822"/>
      <c r="HH103" s="777">
        <v>1</v>
      </c>
      <c r="HI103" s="1488" t="s">
        <v>5346</v>
      </c>
      <c r="HJ103" s="1489"/>
      <c r="HK103" s="1489"/>
      <c r="HL103" s="1489"/>
      <c r="HM103" s="1489"/>
      <c r="HN103" s="1489"/>
      <c r="HO103" s="1489"/>
      <c r="HP103" s="1489"/>
      <c r="HQ103" s="1489"/>
      <c r="HR103" s="1490"/>
      <c r="PF103" s="786"/>
      <c r="SG103" s="758"/>
    </row>
    <row r="104" spans="4:501" ht="12.75" customHeight="1" x14ac:dyDescent="0.35">
      <c r="D104" s="758"/>
      <c r="GV104" s="786"/>
      <c r="HH104" s="1655" t="s">
        <v>1692</v>
      </c>
      <c r="HI104" s="1655"/>
      <c r="HJ104" s="1655"/>
      <c r="HK104" s="1655"/>
      <c r="HL104" s="1655"/>
      <c r="HM104" s="1655"/>
      <c r="HN104" s="1655"/>
      <c r="HO104" s="1655"/>
      <c r="HP104" s="1655"/>
      <c r="HQ104" s="1655"/>
      <c r="HR104" s="1655"/>
      <c r="PF104" s="786"/>
      <c r="SG104" s="758"/>
    </row>
    <row r="105" spans="4:501" ht="12.75" customHeight="1" x14ac:dyDescent="0.35">
      <c r="D105" s="758"/>
      <c r="AJ105" s="766"/>
      <c r="AK105" s="766"/>
      <c r="AL105" s="766"/>
      <c r="AM105" s="766"/>
      <c r="AN105" s="766"/>
      <c r="AO105" s="766"/>
      <c r="AP105" s="766"/>
      <c r="AQ105" s="766"/>
      <c r="AR105" s="766"/>
      <c r="AS105" s="766"/>
      <c r="AT105" s="766"/>
      <c r="AU105" s="766"/>
      <c r="AV105" s="766"/>
      <c r="AW105" s="766"/>
      <c r="AX105" s="766"/>
      <c r="AY105" s="766"/>
      <c r="AZ105" s="766"/>
      <c r="BA105" s="766"/>
      <c r="BB105" s="766"/>
      <c r="BC105" s="766"/>
      <c r="BD105" s="766"/>
      <c r="BE105" s="766"/>
      <c r="BF105" s="766"/>
      <c r="BG105" s="766"/>
      <c r="BH105" s="766"/>
      <c r="BI105" s="766"/>
      <c r="BJ105" s="766"/>
      <c r="BK105" s="766"/>
      <c r="BL105" s="766"/>
      <c r="BM105" s="766"/>
      <c r="BN105" s="766"/>
      <c r="BO105" s="766"/>
      <c r="BP105" s="766"/>
      <c r="BQ105" s="766"/>
      <c r="BR105" s="766"/>
      <c r="BS105" s="766"/>
      <c r="BT105" s="766"/>
      <c r="BU105" s="766"/>
      <c r="BV105" s="766"/>
      <c r="BW105" s="766"/>
      <c r="BX105" s="766"/>
      <c r="BY105" s="766"/>
      <c r="BZ105" s="766"/>
      <c r="CA105" s="766"/>
      <c r="CB105" s="766"/>
      <c r="CC105" s="766"/>
      <c r="CD105" s="766"/>
      <c r="CE105" s="766"/>
      <c r="CF105" s="766"/>
      <c r="CG105" s="766"/>
      <c r="CH105" s="766"/>
      <c r="CI105" s="766"/>
      <c r="CJ105" s="766"/>
      <c r="CK105" s="766"/>
      <c r="CL105" s="766"/>
      <c r="CM105" s="766"/>
      <c r="CN105" s="766"/>
      <c r="CO105" s="766"/>
      <c r="CP105" s="766"/>
      <c r="CQ105" s="766"/>
      <c r="CR105" s="766"/>
      <c r="CS105" s="766"/>
      <c r="CT105" s="766"/>
      <c r="CU105" s="766"/>
      <c r="CV105" s="766"/>
      <c r="CW105" s="766"/>
      <c r="CX105" s="766"/>
      <c r="CY105" s="766"/>
      <c r="CZ105" s="766"/>
      <c r="DA105" s="766"/>
      <c r="DB105" s="766"/>
      <c r="DC105" s="766"/>
      <c r="DD105" s="766"/>
      <c r="DE105" s="766"/>
      <c r="DF105" s="766"/>
      <c r="DG105" s="766"/>
      <c r="DH105" s="766"/>
      <c r="DI105" s="766"/>
      <c r="DJ105" s="766"/>
      <c r="DK105" s="766"/>
      <c r="DL105" s="766"/>
      <c r="DM105" s="766"/>
      <c r="DN105" s="766"/>
      <c r="DO105" s="766"/>
      <c r="DP105" s="766"/>
      <c r="DQ105" s="766"/>
      <c r="DR105" s="766"/>
      <c r="DS105" s="766"/>
      <c r="DT105" s="766"/>
      <c r="DU105" s="766"/>
      <c r="DV105" s="766"/>
      <c r="DW105" s="766"/>
      <c r="DX105" s="766"/>
      <c r="DY105" s="766"/>
      <c r="DZ105" s="766"/>
      <c r="EA105" s="766"/>
      <c r="EB105" s="766"/>
      <c r="EC105" s="766"/>
      <c r="ED105" s="766"/>
      <c r="EE105" s="766"/>
      <c r="EF105" s="766"/>
      <c r="EG105" s="766"/>
      <c r="EH105" s="766"/>
      <c r="EI105" s="766"/>
      <c r="EJ105" s="766"/>
      <c r="EK105" s="766"/>
      <c r="EL105" s="766"/>
      <c r="EM105" s="766"/>
      <c r="EN105" s="766"/>
      <c r="EO105" s="766"/>
      <c r="EP105" s="766"/>
      <c r="EQ105" s="766"/>
      <c r="ER105" s="766"/>
      <c r="ES105" s="766"/>
      <c r="ET105" s="766"/>
      <c r="EU105" s="766"/>
      <c r="EV105" s="766"/>
      <c r="EW105" s="766"/>
      <c r="EX105" s="766"/>
      <c r="EY105" s="766"/>
      <c r="EZ105" s="766"/>
      <c r="FA105" s="766"/>
      <c r="FB105" s="766"/>
      <c r="FC105" s="766"/>
      <c r="FD105" s="766"/>
      <c r="FE105" s="766"/>
      <c r="FF105" s="766"/>
      <c r="FG105" s="766"/>
      <c r="FH105" s="766"/>
      <c r="FI105" s="766"/>
      <c r="FJ105" s="766"/>
      <c r="FK105" s="766"/>
      <c r="FL105" s="766"/>
      <c r="FM105" s="766"/>
      <c r="FN105" s="766"/>
      <c r="FO105" s="766"/>
      <c r="FP105" s="766"/>
      <c r="FQ105" s="766"/>
      <c r="FR105" s="766"/>
      <c r="FS105" s="766"/>
      <c r="FT105" s="766"/>
      <c r="FU105" s="766"/>
      <c r="FV105" s="766"/>
      <c r="FW105" s="766"/>
      <c r="FX105" s="766"/>
      <c r="FY105" s="766"/>
      <c r="FZ105" s="766"/>
      <c r="GA105" s="766"/>
      <c r="GB105" s="766"/>
      <c r="GC105" s="766"/>
      <c r="GD105" s="766"/>
      <c r="GE105" s="766"/>
      <c r="GF105" s="766"/>
      <c r="GG105" s="766"/>
      <c r="GH105" s="766"/>
      <c r="GI105" s="766"/>
      <c r="GJ105" s="766"/>
      <c r="GK105" s="766"/>
      <c r="GL105" s="766"/>
      <c r="GM105" s="766"/>
      <c r="GN105" s="766"/>
      <c r="GO105" s="766"/>
      <c r="GP105" s="766"/>
      <c r="GQ105" s="766"/>
      <c r="GR105" s="766"/>
      <c r="GS105" s="766"/>
      <c r="GT105" s="766"/>
      <c r="GU105" s="766"/>
      <c r="GV105" s="910"/>
      <c r="GW105" s="766"/>
      <c r="GX105" s="766"/>
      <c r="GY105" s="766"/>
      <c r="GZ105" s="766"/>
      <c r="HA105" s="766"/>
      <c r="HB105" s="766"/>
      <c r="HC105" s="766"/>
      <c r="HD105" s="766"/>
      <c r="HE105" s="766"/>
      <c r="HF105" s="766"/>
      <c r="HG105" s="766"/>
      <c r="HH105" s="766"/>
      <c r="HI105" s="766"/>
      <c r="HJ105" s="766"/>
      <c r="HK105" s="766"/>
      <c r="HL105" s="766"/>
      <c r="HM105" s="766"/>
      <c r="HN105" s="766"/>
      <c r="HO105" s="766"/>
      <c r="HP105" s="766"/>
      <c r="HQ105" s="766"/>
      <c r="HR105" s="766"/>
      <c r="HS105" s="766"/>
      <c r="HT105" s="766"/>
      <c r="HU105" s="766"/>
      <c r="HV105" s="766"/>
      <c r="HW105" s="766"/>
      <c r="HX105" s="766"/>
      <c r="HY105" s="766"/>
      <c r="HZ105" s="766"/>
      <c r="IA105" s="766"/>
      <c r="IB105" s="766"/>
      <c r="IC105" s="766"/>
      <c r="ID105" s="766"/>
      <c r="IE105" s="766"/>
      <c r="IF105" s="766"/>
      <c r="IG105" s="766"/>
      <c r="IH105" s="766"/>
      <c r="II105" s="766"/>
      <c r="IJ105" s="766"/>
      <c r="IK105" s="766"/>
      <c r="IL105" s="766"/>
      <c r="IM105" s="766"/>
      <c r="IN105" s="766"/>
      <c r="IO105" s="766"/>
      <c r="IP105" s="766"/>
      <c r="IQ105" s="766"/>
      <c r="IR105" s="766"/>
      <c r="IS105" s="766"/>
      <c r="IT105" s="766"/>
      <c r="IU105" s="766"/>
      <c r="IV105" s="766"/>
      <c r="IW105" s="766"/>
      <c r="IX105" s="766"/>
      <c r="IY105" s="766"/>
      <c r="IZ105" s="766"/>
      <c r="JA105" s="766"/>
      <c r="JB105" s="766"/>
      <c r="JC105" s="766"/>
      <c r="JD105" s="766"/>
      <c r="JE105" s="766"/>
      <c r="JF105" s="766"/>
      <c r="JG105" s="766"/>
      <c r="JH105" s="766"/>
      <c r="JI105" s="766"/>
      <c r="JJ105" s="766"/>
      <c r="JK105" s="766"/>
      <c r="JL105" s="766"/>
      <c r="JM105" s="766"/>
      <c r="JN105" s="766"/>
      <c r="JO105" s="766"/>
      <c r="JP105" s="766"/>
      <c r="JQ105" s="766"/>
      <c r="JR105" s="766"/>
      <c r="JS105" s="766"/>
      <c r="JT105" s="766"/>
      <c r="JU105" s="766"/>
      <c r="JV105" s="766"/>
      <c r="JW105" s="766"/>
      <c r="JX105" s="766"/>
      <c r="JY105" s="766"/>
      <c r="JZ105" s="766"/>
      <c r="KA105" s="766"/>
      <c r="KB105" s="766"/>
      <c r="KC105" s="766"/>
      <c r="KD105" s="766"/>
      <c r="KE105" s="766"/>
      <c r="KF105" s="766"/>
      <c r="KG105" s="766"/>
      <c r="KH105" s="766"/>
      <c r="KI105" s="766"/>
      <c r="KJ105" s="766"/>
      <c r="KK105" s="766"/>
      <c r="KL105" s="766"/>
      <c r="KM105" s="766"/>
      <c r="KN105" s="766"/>
      <c r="KO105" s="766"/>
      <c r="KP105" s="766"/>
      <c r="KQ105" s="766"/>
      <c r="KR105" s="766"/>
      <c r="KS105" s="766"/>
      <c r="KT105" s="766"/>
      <c r="KU105" s="766"/>
      <c r="KV105" s="766"/>
      <c r="KW105" s="766"/>
      <c r="KX105" s="766"/>
      <c r="KY105" s="766"/>
      <c r="KZ105" s="766"/>
      <c r="LA105" s="766"/>
      <c r="LB105" s="766"/>
      <c r="LC105" s="766"/>
      <c r="LD105" s="766"/>
      <c r="LE105" s="766"/>
      <c r="LF105" s="766"/>
      <c r="LG105" s="766"/>
      <c r="LH105" s="766"/>
      <c r="LI105" s="766"/>
      <c r="LJ105" s="766"/>
      <c r="LK105" s="766"/>
      <c r="LL105" s="766"/>
      <c r="LM105" s="766"/>
      <c r="LN105" s="766"/>
      <c r="LO105" s="766"/>
      <c r="LP105" s="766"/>
      <c r="LQ105" s="766"/>
      <c r="LR105" s="766"/>
      <c r="LS105" s="766"/>
      <c r="LT105" s="766"/>
      <c r="LU105" s="766"/>
      <c r="LV105" s="766"/>
      <c r="LW105" s="766"/>
      <c r="LX105" s="766"/>
      <c r="LY105" s="766"/>
      <c r="LZ105" s="766"/>
      <c r="MA105" s="766"/>
      <c r="MB105" s="766"/>
      <c r="MC105" s="766"/>
      <c r="MD105" s="766"/>
      <c r="ME105" s="766"/>
      <c r="MF105" s="766"/>
      <c r="MG105" s="766"/>
      <c r="MH105" s="766"/>
      <c r="MI105" s="766"/>
      <c r="MJ105" s="766"/>
      <c r="MK105" s="766"/>
      <c r="ML105" s="766"/>
      <c r="MM105" s="766"/>
      <c r="MN105" s="766"/>
      <c r="MO105" s="766"/>
      <c r="MP105" s="766"/>
      <c r="MQ105" s="766"/>
      <c r="MR105" s="766"/>
      <c r="MS105" s="766"/>
      <c r="MT105" s="766"/>
      <c r="MU105" s="766"/>
      <c r="MV105" s="766"/>
      <c r="MW105" s="766"/>
      <c r="MX105" s="766"/>
      <c r="MY105" s="766"/>
      <c r="MZ105" s="766"/>
      <c r="NA105" s="766"/>
      <c r="NB105" s="766"/>
      <c r="NC105" s="766"/>
      <c r="ND105" s="766"/>
      <c r="NE105" s="766"/>
      <c r="NF105" s="766"/>
      <c r="NG105" s="766"/>
      <c r="NH105" s="766"/>
      <c r="NI105" s="766"/>
      <c r="NJ105" s="766"/>
      <c r="NK105" s="766"/>
      <c r="NL105" s="766"/>
      <c r="NM105" s="766"/>
      <c r="NN105" s="766"/>
      <c r="NO105" s="766"/>
      <c r="NP105" s="766"/>
      <c r="NQ105" s="766"/>
      <c r="NR105" s="766"/>
      <c r="NS105" s="766"/>
      <c r="NT105" s="766"/>
      <c r="NU105" s="766"/>
      <c r="NV105" s="766"/>
      <c r="NW105" s="766"/>
      <c r="NX105" s="766"/>
      <c r="NY105" s="766"/>
      <c r="NZ105" s="766"/>
      <c r="OA105" s="766"/>
      <c r="OB105" s="766"/>
      <c r="OC105" s="766"/>
      <c r="OD105" s="766"/>
      <c r="OE105" s="766"/>
      <c r="OF105" s="766"/>
      <c r="OG105" s="766"/>
      <c r="OH105" s="766"/>
      <c r="OI105" s="766"/>
      <c r="OJ105" s="766"/>
      <c r="OK105" s="766"/>
      <c r="OL105" s="766"/>
      <c r="OM105" s="766"/>
      <c r="ON105" s="766"/>
      <c r="OO105" s="766"/>
      <c r="OP105" s="766"/>
      <c r="OQ105" s="766"/>
      <c r="OR105" s="766"/>
      <c r="OS105" s="766"/>
      <c r="OT105" s="766"/>
      <c r="OU105" s="766"/>
      <c r="OV105" s="766"/>
      <c r="OW105" s="766"/>
      <c r="OX105" s="766"/>
      <c r="OY105" s="766"/>
      <c r="OZ105" s="766"/>
      <c r="PA105" s="766"/>
      <c r="PB105" s="766"/>
      <c r="PC105" s="766"/>
      <c r="PD105" s="766"/>
      <c r="PE105" s="766"/>
      <c r="PF105" s="910"/>
      <c r="SG105" s="758"/>
    </row>
    <row r="106" spans="4:501" ht="12.75" customHeight="1" x14ac:dyDescent="0.35">
      <c r="D106" s="758"/>
      <c r="AI106" s="816"/>
      <c r="AN106" s="911"/>
      <c r="BV106" s="786"/>
      <c r="DB106" s="786"/>
      <c r="EJ106" s="786"/>
      <c r="GU106" s="911"/>
      <c r="GV106" s="816"/>
      <c r="KY106" s="786"/>
      <c r="PF106" s="816"/>
      <c r="PG106" s="912"/>
      <c r="SG106" s="758"/>
    </row>
    <row r="107" spans="4:501" ht="12.75" customHeight="1" x14ac:dyDescent="0.35">
      <c r="D107" s="758"/>
      <c r="AE107" s="777">
        <v>1</v>
      </c>
      <c r="AF107" s="1488" t="s">
        <v>5361</v>
      </c>
      <c r="AG107" s="1489"/>
      <c r="AH107" s="1489"/>
      <c r="AI107" s="1489"/>
      <c r="AJ107" s="1489"/>
      <c r="AK107" s="1489"/>
      <c r="AL107" s="1489"/>
      <c r="AM107" s="1489"/>
      <c r="AN107" s="1490"/>
      <c r="AW107" s="899"/>
      <c r="AX107" s="761"/>
      <c r="AY107" s="761"/>
      <c r="BD107" s="913"/>
      <c r="BE107" s="755"/>
      <c r="BF107" s="755"/>
      <c r="BG107" s="755"/>
      <c r="BH107" s="755"/>
      <c r="BI107" s="755"/>
      <c r="BJ107" s="755"/>
      <c r="BK107" s="761"/>
      <c r="BL107" s="761"/>
      <c r="BM107" s="761"/>
      <c r="BN107" s="761"/>
      <c r="BO107" s="761"/>
      <c r="BP107" s="761"/>
      <c r="BQ107" s="913"/>
      <c r="BR107" s="777">
        <v>1</v>
      </c>
      <c r="BS107" s="1488" t="s">
        <v>5362</v>
      </c>
      <c r="BT107" s="1489"/>
      <c r="BU107" s="1489"/>
      <c r="BV107" s="1489"/>
      <c r="BW107" s="1489"/>
      <c r="BX107" s="1489"/>
      <c r="BY107" s="1489"/>
      <c r="BZ107" s="1489"/>
      <c r="CA107" s="1490"/>
      <c r="CD107" s="899"/>
      <c r="CX107" s="777">
        <v>1</v>
      </c>
      <c r="CY107" s="1488" t="s">
        <v>5136</v>
      </c>
      <c r="CZ107" s="1489"/>
      <c r="DA107" s="1489"/>
      <c r="DB107" s="1489"/>
      <c r="DC107" s="1489"/>
      <c r="DD107" s="1489"/>
      <c r="DE107" s="1489"/>
      <c r="DF107" s="1489"/>
      <c r="DG107" s="1490"/>
      <c r="DL107" s="646"/>
      <c r="DM107" s="760"/>
      <c r="DN107" s="760"/>
      <c r="DO107" s="771"/>
      <c r="DP107" s="771"/>
      <c r="DQ107" s="771"/>
      <c r="DR107" s="771"/>
      <c r="DS107" s="771"/>
      <c r="DT107" s="771"/>
      <c r="DU107" s="771"/>
      <c r="DV107" s="899"/>
      <c r="DW107" s="899"/>
      <c r="EF107" s="777">
        <v>1</v>
      </c>
      <c r="EG107" s="1488" t="s">
        <v>4956</v>
      </c>
      <c r="EH107" s="1489"/>
      <c r="EI107" s="1489"/>
      <c r="EJ107" s="1489"/>
      <c r="EK107" s="1489"/>
      <c r="EL107" s="1489"/>
      <c r="EM107" s="1489"/>
      <c r="EN107" s="1489"/>
      <c r="EO107" s="1490"/>
      <c r="GQ107" s="914">
        <v>0.5</v>
      </c>
      <c r="GR107" s="1488" t="s">
        <v>4865</v>
      </c>
      <c r="GS107" s="1489"/>
      <c r="GT107" s="1489"/>
      <c r="GU107" s="1489"/>
      <c r="GV107" s="1489"/>
      <c r="GW107" s="1489"/>
      <c r="GX107" s="1489"/>
      <c r="GY107" s="1489"/>
      <c r="GZ107" s="1489"/>
      <c r="HA107" s="1490"/>
      <c r="KU107" s="777">
        <v>1</v>
      </c>
      <c r="KV107" s="1488" t="s">
        <v>5137</v>
      </c>
      <c r="KW107" s="1489"/>
      <c r="KX107" s="1489"/>
      <c r="KY107" s="1489"/>
      <c r="KZ107" s="1489"/>
      <c r="LA107" s="1489"/>
      <c r="LB107" s="1489"/>
      <c r="LC107" s="1489"/>
      <c r="LD107" s="1490"/>
      <c r="PB107" s="777">
        <v>1</v>
      </c>
      <c r="PC107" s="1653" t="s">
        <v>380</v>
      </c>
      <c r="PD107" s="1653"/>
      <c r="PE107" s="1653"/>
      <c r="PF107" s="1653"/>
      <c r="PG107" s="1653"/>
      <c r="PH107" s="1653"/>
      <c r="PI107" s="1653"/>
      <c r="PJ107" s="1653"/>
      <c r="PK107" s="1653"/>
      <c r="SG107" s="758"/>
    </row>
    <row r="108" spans="4:501" ht="12.75" customHeight="1" x14ac:dyDescent="0.35">
      <c r="D108" s="758"/>
      <c r="AE108" s="1482" t="s">
        <v>2198</v>
      </c>
      <c r="AF108" s="1510"/>
      <c r="AG108" s="1510"/>
      <c r="AH108" s="1510"/>
      <c r="AI108" s="1510"/>
      <c r="AJ108" s="1510"/>
      <c r="AK108" s="1510"/>
      <c r="AL108" s="1510"/>
      <c r="AM108" s="1510"/>
      <c r="AN108" s="1511"/>
      <c r="AX108" s="761"/>
      <c r="AY108" s="761"/>
      <c r="BD108" s="913"/>
      <c r="BE108" s="755"/>
      <c r="BF108" s="755"/>
      <c r="BG108" s="755"/>
      <c r="BH108" s="755"/>
      <c r="BI108" s="755"/>
      <c r="BJ108" s="755"/>
      <c r="BK108" s="761"/>
      <c r="BL108" s="761"/>
      <c r="BM108" s="761"/>
      <c r="BN108" s="761"/>
      <c r="BO108" s="761"/>
      <c r="BP108" s="761"/>
      <c r="BQ108" s="913"/>
      <c r="BR108" s="1482" t="s">
        <v>3784</v>
      </c>
      <c r="BS108" s="1510"/>
      <c r="BT108" s="1510"/>
      <c r="BU108" s="1510"/>
      <c r="BV108" s="1510"/>
      <c r="BW108" s="1510"/>
      <c r="BX108" s="1510"/>
      <c r="BY108" s="1510"/>
      <c r="BZ108" s="1510"/>
      <c r="CA108" s="1511"/>
      <c r="CX108" s="1482" t="s">
        <v>2448</v>
      </c>
      <c r="CY108" s="1510"/>
      <c r="CZ108" s="1510"/>
      <c r="DA108" s="1510"/>
      <c r="DB108" s="1510"/>
      <c r="DC108" s="1510"/>
      <c r="DD108" s="1510"/>
      <c r="DE108" s="1510"/>
      <c r="DF108" s="1510"/>
      <c r="DG108" s="1511"/>
      <c r="EF108" s="1652" t="s">
        <v>5313</v>
      </c>
      <c r="EG108" s="1510"/>
      <c r="EH108" s="1510"/>
      <c r="EI108" s="1510"/>
      <c r="EJ108" s="1510"/>
      <c r="EK108" s="1510"/>
      <c r="EL108" s="1510"/>
      <c r="EM108" s="1510"/>
      <c r="EN108" s="1510"/>
      <c r="EO108" s="1511"/>
      <c r="GQ108" s="1482" t="s">
        <v>2527</v>
      </c>
      <c r="GR108" s="1510"/>
      <c r="GS108" s="1510"/>
      <c r="GT108" s="1510"/>
      <c r="GU108" s="1510"/>
      <c r="GV108" s="1510"/>
      <c r="GW108" s="1510"/>
      <c r="GX108" s="1510"/>
      <c r="GY108" s="1510"/>
      <c r="GZ108" s="1510"/>
      <c r="HA108" s="1511"/>
      <c r="KU108" s="1652" t="s">
        <v>3625</v>
      </c>
      <c r="KV108" s="1510"/>
      <c r="KW108" s="1510"/>
      <c r="KX108" s="1510"/>
      <c r="KY108" s="1510"/>
      <c r="KZ108" s="1510"/>
      <c r="LA108" s="1510"/>
      <c r="LB108" s="1510"/>
      <c r="LC108" s="1510"/>
      <c r="LD108" s="1511"/>
      <c r="PB108" s="1659" t="s">
        <v>2732</v>
      </c>
      <c r="PC108" s="1660" t="s">
        <v>4873</v>
      </c>
      <c r="PD108" s="1660"/>
      <c r="PE108" s="1660"/>
      <c r="PF108" s="1660"/>
      <c r="PG108" s="1660"/>
      <c r="PH108" s="1660"/>
      <c r="PI108" s="1660"/>
      <c r="PJ108" s="1660"/>
      <c r="PK108" s="1660"/>
      <c r="SG108" s="758"/>
    </row>
    <row r="109" spans="4:501" ht="12.75" customHeight="1" x14ac:dyDescent="0.35">
      <c r="D109" s="758"/>
      <c r="AI109" s="908"/>
      <c r="AN109" s="783"/>
      <c r="BV109" s="786"/>
      <c r="DB109" s="786"/>
      <c r="EJ109" s="908"/>
      <c r="GV109" s="908"/>
      <c r="KY109" s="784"/>
      <c r="PF109" s="908"/>
      <c r="SG109" s="758"/>
    </row>
    <row r="110" spans="4:501" ht="12.75" customHeight="1" x14ac:dyDescent="0.35">
      <c r="D110" s="758"/>
      <c r="AI110" s="786"/>
      <c r="BV110" s="786"/>
      <c r="DB110" s="786"/>
      <c r="EJ110" s="786"/>
      <c r="GV110" s="816"/>
      <c r="KY110" s="790"/>
      <c r="PF110" s="786"/>
      <c r="SG110" s="758"/>
    </row>
    <row r="111" spans="4:501" ht="12.75" customHeight="1" x14ac:dyDescent="0.35">
      <c r="D111" s="758"/>
      <c r="AI111" s="786"/>
      <c r="BV111" s="786"/>
      <c r="DB111" s="786"/>
      <c r="EJ111" s="786"/>
      <c r="EU111" s="646"/>
      <c r="EV111" s="760"/>
      <c r="GQ111" s="777">
        <v>1</v>
      </c>
      <c r="GR111" s="1488" t="s">
        <v>5363</v>
      </c>
      <c r="GS111" s="1489"/>
      <c r="GT111" s="1489"/>
      <c r="GU111" s="1489"/>
      <c r="GV111" s="1489"/>
      <c r="GW111" s="1489"/>
      <c r="GX111" s="1489"/>
      <c r="GY111" s="1489"/>
      <c r="GZ111" s="1489"/>
      <c r="HA111" s="1490"/>
      <c r="KY111" s="790"/>
      <c r="PF111" s="786"/>
      <c r="SG111" s="758"/>
    </row>
    <row r="112" spans="4:501" ht="12.75" customHeight="1" x14ac:dyDescent="0.35">
      <c r="D112" s="758"/>
      <c r="AI112" s="786"/>
      <c r="BV112" s="786"/>
      <c r="DB112" s="786"/>
      <c r="EJ112" s="786"/>
      <c r="GQ112" s="1752" t="s">
        <v>1303</v>
      </c>
      <c r="GR112" s="1712"/>
      <c r="GS112" s="1712"/>
      <c r="GT112" s="1712"/>
      <c r="GU112" s="1712"/>
      <c r="GV112" s="1712"/>
      <c r="GW112" s="1712"/>
      <c r="GX112" s="1712"/>
      <c r="GY112" s="1712"/>
      <c r="GZ112" s="1712"/>
      <c r="HA112" s="1713"/>
      <c r="KY112" s="790"/>
      <c r="PF112" s="786"/>
      <c r="SG112" s="758"/>
    </row>
    <row r="113" spans="4:501" ht="12.75" customHeight="1" x14ac:dyDescent="0.35">
      <c r="D113" s="758"/>
      <c r="AI113" s="786"/>
      <c r="AJ113" s="761"/>
      <c r="AK113" s="761"/>
      <c r="AL113" s="761"/>
      <c r="AO113" s="761"/>
      <c r="AP113" s="761"/>
      <c r="AQ113" s="761"/>
      <c r="AR113" s="761"/>
      <c r="AS113" s="761"/>
      <c r="AT113" s="761"/>
      <c r="AV113" s="761"/>
      <c r="AW113" s="761"/>
      <c r="BB113" s="913"/>
      <c r="BC113" s="755"/>
      <c r="BD113" s="755"/>
      <c r="BE113" s="755"/>
      <c r="BF113" s="755"/>
      <c r="BG113" s="755"/>
      <c r="BH113" s="755"/>
      <c r="BI113" s="761"/>
      <c r="BJ113" s="761"/>
      <c r="BK113" s="761"/>
      <c r="BL113" s="761"/>
      <c r="BM113" s="761"/>
      <c r="BN113" s="761"/>
      <c r="BO113" s="913"/>
      <c r="BP113" s="913"/>
      <c r="BQ113" s="776"/>
      <c r="BR113" s="776"/>
      <c r="BS113" s="776"/>
      <c r="BT113" s="776"/>
      <c r="BU113" s="776"/>
      <c r="BV113" s="776"/>
      <c r="BW113" s="770"/>
      <c r="DB113" s="786"/>
      <c r="EJ113" s="786"/>
      <c r="FP113" s="831"/>
      <c r="FQ113" s="831"/>
      <c r="FR113" s="831"/>
      <c r="FS113" s="831"/>
      <c r="FT113" s="831"/>
      <c r="FU113" s="831"/>
      <c r="FV113" s="831"/>
      <c r="FW113" s="831"/>
      <c r="FX113" s="831"/>
      <c r="FY113" s="831"/>
      <c r="FZ113" s="831"/>
      <c r="GA113" s="831"/>
      <c r="GB113" s="831"/>
      <c r="GC113" s="831"/>
      <c r="GD113" s="831"/>
      <c r="GE113" s="831"/>
      <c r="GF113" s="831"/>
      <c r="GG113" s="831"/>
      <c r="GH113" s="831"/>
      <c r="GI113" s="831"/>
      <c r="GJ113" s="831"/>
      <c r="GK113" s="831"/>
      <c r="GL113" s="831"/>
      <c r="GM113" s="831"/>
      <c r="GN113" s="831"/>
      <c r="GO113" s="831"/>
      <c r="GP113" s="831"/>
      <c r="GQ113" s="831"/>
      <c r="GR113" s="831"/>
      <c r="GS113" s="831"/>
      <c r="GT113" s="831"/>
      <c r="GU113" s="874"/>
      <c r="GV113" s="915"/>
      <c r="GW113" s="831"/>
      <c r="GX113" s="831"/>
      <c r="GY113" s="831"/>
      <c r="GZ113" s="831"/>
      <c r="HA113" s="831"/>
      <c r="HB113" s="831"/>
      <c r="HC113" s="831"/>
      <c r="HD113" s="831"/>
      <c r="HE113" s="831"/>
      <c r="HF113" s="831"/>
      <c r="HG113" s="831"/>
      <c r="HH113" s="831"/>
      <c r="HI113" s="831"/>
      <c r="HJ113" s="831"/>
      <c r="HK113" s="831"/>
      <c r="HL113" s="831"/>
      <c r="HM113" s="831"/>
      <c r="HN113" s="831"/>
      <c r="HO113" s="831"/>
      <c r="HP113" s="831"/>
      <c r="HQ113" s="831"/>
      <c r="HR113" s="831"/>
      <c r="HS113" s="831"/>
      <c r="HT113" s="831"/>
      <c r="HU113" s="831"/>
      <c r="HV113" s="831"/>
      <c r="HW113" s="831"/>
      <c r="HX113" s="831"/>
      <c r="KY113" s="790"/>
      <c r="PF113" s="786"/>
      <c r="SG113" s="758"/>
    </row>
    <row r="114" spans="4:501" ht="12.75" customHeight="1" x14ac:dyDescent="0.35">
      <c r="D114" s="758"/>
      <c r="W114" s="761"/>
      <c r="X114" s="761"/>
      <c r="Z114" s="761"/>
      <c r="AI114" s="786"/>
      <c r="AK114" s="761"/>
      <c r="AL114" s="761"/>
      <c r="AO114" s="761"/>
      <c r="AP114" s="761"/>
      <c r="AQ114" s="761"/>
      <c r="AR114" s="761"/>
      <c r="AS114" s="761"/>
      <c r="AT114" s="761"/>
      <c r="AV114" s="761"/>
      <c r="AW114" s="761"/>
      <c r="BG114" s="836">
        <f>Y121+Y124+Y126+Y128+Y130+Y132+Y134+AK121+AK124+AK126+AK128+AK130+AK132+AK134+AK136+AW121+AW124+AW126+AW128+AW130+AW132+AW134+AW136+AE116</f>
        <v>24</v>
      </c>
      <c r="BW114" s="770"/>
      <c r="CH114" s="836">
        <f>BR117+BL120+BL123+BL125+BL127+BL129+BL131+BL133+BX120+BX123+BX125+BX127+BX129+BX131+BX133+BX135+BL139+BL141+BL143+BX139+BX141+BX143+BL147+BX147+BX149</f>
        <v>24</v>
      </c>
      <c r="DC114" s="770"/>
      <c r="DU114" s="836">
        <f>SUM(CY117,,CM120,CM123,CM125,CM127,CM129,CM131,CM133,CM135,CM137,CM139,CM141,CY123,CY125,DK120,DK123,DK125,DK127,DK129,DK131,DK133,DK135,DK137,DK139,DK141)</f>
        <v>21</v>
      </c>
      <c r="EJ114" s="786"/>
      <c r="EV114" s="836">
        <f>SUM(EF117,EF120,EF122,EF124,EF126,EF128,EF130,EF132,EF134,EF136,EF138,EF140)</f>
        <v>12</v>
      </c>
      <c r="FO114" s="790"/>
      <c r="GC114" s="836">
        <f>SUM(FC119,FC121,FC123,FC125,FC127,FC129,FC131,FC133,FS119,FS121,FS123,FS125,FS127,FS129,FS131+FC135)</f>
        <v>15</v>
      </c>
      <c r="HX114" s="835"/>
      <c r="JC114" s="836">
        <f>SUM(GQ117,HC117,HP117,IC117,IP117,JB117+GQ111)</f>
        <v>102</v>
      </c>
      <c r="KY114" s="790"/>
      <c r="MH114" s="836">
        <f>SUM(JU117,LM117,LR122,JS126,KD126,KO126,KZ126,LK126,LV126,MG126)</f>
        <v>38</v>
      </c>
      <c r="PF114" s="786"/>
      <c r="RZ114" s="836">
        <f>SUM(QU118,NU118)</f>
        <v>100</v>
      </c>
      <c r="SG114" s="758"/>
    </row>
    <row r="115" spans="4:501" ht="12.75" customHeight="1" x14ac:dyDescent="0.35">
      <c r="D115" s="758"/>
      <c r="V115" s="801"/>
      <c r="W115" s="802"/>
      <c r="X115" s="802"/>
      <c r="Y115" s="802"/>
      <c r="Z115" s="802"/>
      <c r="AA115" s="802"/>
      <c r="AB115" s="802"/>
      <c r="AC115" s="802"/>
      <c r="AD115" s="802"/>
      <c r="AE115" s="802"/>
      <c r="AF115" s="802"/>
      <c r="AG115" s="802"/>
      <c r="AH115" s="802"/>
      <c r="AI115" s="916"/>
      <c r="AJ115" s="802"/>
      <c r="AK115" s="802"/>
      <c r="AL115" s="802"/>
      <c r="AM115" s="802"/>
      <c r="AN115" s="802"/>
      <c r="AO115" s="802"/>
      <c r="AP115" s="802"/>
      <c r="AQ115" s="802"/>
      <c r="AR115" s="802"/>
      <c r="AS115" s="802"/>
      <c r="AT115" s="802"/>
      <c r="AU115" s="802"/>
      <c r="AV115" s="802"/>
      <c r="AW115" s="802"/>
      <c r="AX115" s="917"/>
      <c r="AY115" s="918"/>
      <c r="AZ115" s="918"/>
      <c r="BA115" s="918"/>
      <c r="BB115" s="919"/>
      <c r="BC115" s="1656" t="s">
        <v>4774</v>
      </c>
      <c r="BD115" s="1657"/>
      <c r="BE115" s="1657"/>
      <c r="BF115" s="1657"/>
      <c r="BG115" s="1658"/>
      <c r="BK115" s="801"/>
      <c r="BL115" s="802"/>
      <c r="BM115" s="802"/>
      <c r="BN115" s="802"/>
      <c r="BO115" s="802"/>
      <c r="BP115" s="802"/>
      <c r="BQ115" s="802"/>
      <c r="BR115" s="802"/>
      <c r="BS115" s="802"/>
      <c r="BT115" s="802"/>
      <c r="BU115" s="802"/>
      <c r="BV115" s="802"/>
      <c r="BW115" s="920"/>
      <c r="BX115" s="802"/>
      <c r="BY115" s="917"/>
      <c r="BZ115" s="919"/>
      <c r="CA115" s="1656" t="s">
        <v>5364</v>
      </c>
      <c r="CB115" s="1657"/>
      <c r="CC115" s="1657"/>
      <c r="CD115" s="1657"/>
      <c r="CE115" s="1657"/>
      <c r="CF115" s="1657"/>
      <c r="CG115" s="1657"/>
      <c r="CH115" s="1658"/>
      <c r="CL115" s="801"/>
      <c r="CM115" s="802"/>
      <c r="CN115" s="802"/>
      <c r="CO115" s="802"/>
      <c r="CP115" s="802"/>
      <c r="CQ115" s="802"/>
      <c r="CR115" s="802"/>
      <c r="CS115" s="802"/>
      <c r="CT115" s="802"/>
      <c r="CU115" s="802"/>
      <c r="CV115" s="802"/>
      <c r="CW115" s="802"/>
      <c r="CX115" s="802"/>
      <c r="CY115" s="804"/>
      <c r="CZ115" s="804"/>
      <c r="DA115" s="802"/>
      <c r="DB115" s="802"/>
      <c r="DC115" s="920"/>
      <c r="DD115" s="802"/>
      <c r="DE115" s="802"/>
      <c r="DF115" s="802"/>
      <c r="DG115" s="802"/>
      <c r="DH115" s="802"/>
      <c r="DI115" s="802"/>
      <c r="DJ115" s="802"/>
      <c r="DK115" s="918"/>
      <c r="DL115" s="918"/>
      <c r="DM115" s="918"/>
      <c r="DN115" s="921"/>
      <c r="DO115" s="1656" t="s">
        <v>5365</v>
      </c>
      <c r="DP115" s="1657"/>
      <c r="DQ115" s="1657"/>
      <c r="DR115" s="1657"/>
      <c r="DS115" s="1657"/>
      <c r="DT115" s="1657"/>
      <c r="DU115" s="1658"/>
      <c r="DY115" s="801"/>
      <c r="DZ115" s="802"/>
      <c r="EA115" s="802"/>
      <c r="EB115" s="802"/>
      <c r="EC115" s="802"/>
      <c r="ED115" s="802"/>
      <c r="EE115" s="802"/>
      <c r="EF115" s="802"/>
      <c r="EG115" s="802"/>
      <c r="EH115" s="802"/>
      <c r="EI115" s="802"/>
      <c r="EJ115" s="802"/>
      <c r="EK115" s="920"/>
      <c r="EL115" s="802"/>
      <c r="EM115" s="917"/>
      <c r="EN115" s="918"/>
      <c r="EO115" s="802"/>
      <c r="EP115" s="1656" t="s">
        <v>5366</v>
      </c>
      <c r="EQ115" s="1657"/>
      <c r="ER115" s="1657"/>
      <c r="ES115" s="1657"/>
      <c r="ET115" s="1657"/>
      <c r="EU115" s="1657"/>
      <c r="EV115" s="1658"/>
      <c r="FB115" s="801"/>
      <c r="FC115" s="802"/>
      <c r="FD115" s="802"/>
      <c r="FE115" s="802"/>
      <c r="FF115" s="802"/>
      <c r="FG115" s="802"/>
      <c r="FH115" s="802"/>
      <c r="FI115" s="802"/>
      <c r="FJ115" s="802"/>
      <c r="FK115" s="922"/>
      <c r="FL115" s="922"/>
      <c r="FM115" s="922"/>
      <c r="FN115" s="922"/>
      <c r="FO115" s="923"/>
      <c r="FP115" s="922"/>
      <c r="FQ115" s="922"/>
      <c r="FR115" s="922"/>
      <c r="FS115" s="922"/>
      <c r="FT115" s="922"/>
      <c r="FU115" s="802"/>
      <c r="FV115" s="1656" t="s">
        <v>5367</v>
      </c>
      <c r="FW115" s="1657"/>
      <c r="FX115" s="1657"/>
      <c r="FY115" s="1657"/>
      <c r="FZ115" s="1657"/>
      <c r="GA115" s="1657"/>
      <c r="GB115" s="1657"/>
      <c r="GC115" s="1658"/>
      <c r="GG115" s="801"/>
      <c r="GH115" s="802"/>
      <c r="GI115" s="802"/>
      <c r="GJ115" s="802"/>
      <c r="GK115" s="802"/>
      <c r="GL115" s="802"/>
      <c r="GM115" s="802"/>
      <c r="GN115" s="802"/>
      <c r="GO115" s="802"/>
      <c r="GP115" s="802"/>
      <c r="GQ115" s="802"/>
      <c r="GR115" s="802"/>
      <c r="GS115" s="802"/>
      <c r="GT115" s="802"/>
      <c r="GU115" s="802"/>
      <c r="GV115" s="802"/>
      <c r="GW115" s="802"/>
      <c r="GX115" s="802"/>
      <c r="GY115" s="802"/>
      <c r="GZ115" s="802"/>
      <c r="HA115" s="802"/>
      <c r="HB115" s="802"/>
      <c r="HC115" s="802"/>
      <c r="HD115" s="802"/>
      <c r="HE115" s="802"/>
      <c r="HF115" s="802"/>
      <c r="HG115" s="802"/>
      <c r="HH115" s="802"/>
      <c r="HI115" s="802"/>
      <c r="HJ115" s="802"/>
      <c r="HK115" s="802"/>
      <c r="HL115" s="802"/>
      <c r="HM115" s="802"/>
      <c r="HN115" s="802"/>
      <c r="HO115" s="802"/>
      <c r="HP115" s="802"/>
      <c r="HQ115" s="802"/>
      <c r="HR115" s="802"/>
      <c r="HS115" s="802"/>
      <c r="HT115" s="802"/>
      <c r="HU115" s="802"/>
      <c r="HV115" s="802"/>
      <c r="HW115" s="802"/>
      <c r="HX115" s="820"/>
      <c r="HY115" s="802"/>
      <c r="HZ115" s="802"/>
      <c r="IA115" s="802"/>
      <c r="IB115" s="802"/>
      <c r="IC115" s="802"/>
      <c r="ID115" s="802"/>
      <c r="IE115" s="802"/>
      <c r="IF115" s="802"/>
      <c r="IG115" s="802"/>
      <c r="IH115" s="802"/>
      <c r="II115" s="802"/>
      <c r="IJ115" s="802"/>
      <c r="IK115" s="802"/>
      <c r="IL115" s="802"/>
      <c r="IM115" s="802"/>
      <c r="IN115" s="802"/>
      <c r="IO115" s="802"/>
      <c r="IP115" s="802"/>
      <c r="IQ115" s="802"/>
      <c r="IR115" s="802"/>
      <c r="IS115" s="802"/>
      <c r="IT115" s="802"/>
      <c r="IU115" s="802"/>
      <c r="IV115" s="802"/>
      <c r="IW115" s="802"/>
      <c r="IX115" s="802"/>
      <c r="IY115" s="1656" t="s">
        <v>251</v>
      </c>
      <c r="IZ115" s="1657"/>
      <c r="JA115" s="1657"/>
      <c r="JB115" s="1657"/>
      <c r="JC115" s="1658"/>
      <c r="JI115" s="801"/>
      <c r="JJ115" s="802"/>
      <c r="JK115" s="802"/>
      <c r="JL115" s="802"/>
      <c r="JM115" s="802"/>
      <c r="JN115" s="802"/>
      <c r="JO115" s="802"/>
      <c r="JP115" s="802"/>
      <c r="JQ115" s="802"/>
      <c r="JR115" s="802"/>
      <c r="JS115" s="802"/>
      <c r="JT115" s="802"/>
      <c r="JU115" s="802"/>
      <c r="JV115" s="802"/>
      <c r="JW115" s="802"/>
      <c r="JX115" s="802"/>
      <c r="JY115" s="802"/>
      <c r="JZ115" s="922"/>
      <c r="KA115" s="922"/>
      <c r="KB115" s="922"/>
      <c r="KC115" s="922"/>
      <c r="KD115" s="922"/>
      <c r="KE115" s="922"/>
      <c r="KF115" s="922"/>
      <c r="KG115" s="922"/>
      <c r="KH115" s="922"/>
      <c r="KI115" s="922"/>
      <c r="KJ115" s="922"/>
      <c r="KK115" s="922"/>
      <c r="KL115" s="922"/>
      <c r="KM115" s="922"/>
      <c r="KN115" s="922"/>
      <c r="KO115" s="922"/>
      <c r="KP115" s="922"/>
      <c r="KQ115" s="922"/>
      <c r="KR115" s="922"/>
      <c r="KS115" s="922"/>
      <c r="KT115" s="922"/>
      <c r="KU115" s="922"/>
      <c r="KV115" s="922"/>
      <c r="KW115" s="922"/>
      <c r="KX115" s="922"/>
      <c r="KY115" s="923"/>
      <c r="KZ115" s="924"/>
      <c r="LA115" s="922"/>
      <c r="LB115" s="922"/>
      <c r="LC115" s="922"/>
      <c r="LD115" s="922"/>
      <c r="LE115" s="922"/>
      <c r="LF115" s="922"/>
      <c r="LG115" s="922"/>
      <c r="LH115" s="922"/>
      <c r="LI115" s="922"/>
      <c r="LJ115" s="922"/>
      <c r="LK115" s="922"/>
      <c r="LL115" s="922"/>
      <c r="LM115" s="922"/>
      <c r="LN115" s="922"/>
      <c r="LO115" s="922"/>
      <c r="LP115" s="922"/>
      <c r="LQ115" s="922"/>
      <c r="LR115" s="802"/>
      <c r="LS115" s="802"/>
      <c r="LT115" s="802"/>
      <c r="LU115" s="802"/>
      <c r="LV115" s="802"/>
      <c r="LW115" s="802"/>
      <c r="LX115" s="802"/>
      <c r="LY115" s="802"/>
      <c r="LZ115" s="802"/>
      <c r="MA115" s="802"/>
      <c r="MB115" s="802"/>
      <c r="MC115" s="802"/>
      <c r="MD115" s="1656" t="s">
        <v>5368</v>
      </c>
      <c r="ME115" s="1657"/>
      <c r="MF115" s="1657"/>
      <c r="MG115" s="1657"/>
      <c r="MH115" s="1658"/>
      <c r="MP115" s="801"/>
      <c r="MQ115" s="802"/>
      <c r="MR115" s="802"/>
      <c r="MS115" s="802"/>
      <c r="MT115" s="802"/>
      <c r="MU115" s="802"/>
      <c r="MV115" s="802"/>
      <c r="MW115" s="802"/>
      <c r="MX115" s="802"/>
      <c r="MY115" s="802"/>
      <c r="MZ115" s="802"/>
      <c r="NA115" s="802"/>
      <c r="NB115" s="802"/>
      <c r="NC115" s="802"/>
      <c r="ND115" s="802"/>
      <c r="NE115" s="802"/>
      <c r="NF115" s="802"/>
      <c r="NG115" s="802"/>
      <c r="NH115" s="802"/>
      <c r="NI115" s="802"/>
      <c r="NJ115" s="802"/>
      <c r="NK115" s="802"/>
      <c r="NL115" s="802"/>
      <c r="NM115" s="802"/>
      <c r="NN115" s="802"/>
      <c r="NO115" s="802"/>
      <c r="NP115" s="802"/>
      <c r="NQ115" s="802"/>
      <c r="NR115" s="802"/>
      <c r="NS115" s="802"/>
      <c r="NT115" s="802"/>
      <c r="NU115" s="802"/>
      <c r="NV115" s="802"/>
      <c r="NW115" s="802"/>
      <c r="NX115" s="802"/>
      <c r="NY115" s="802"/>
      <c r="NZ115" s="802"/>
      <c r="OA115" s="802"/>
      <c r="OB115" s="802"/>
      <c r="OC115" s="802"/>
      <c r="OD115" s="802"/>
      <c r="OE115" s="802"/>
      <c r="OF115" s="802"/>
      <c r="OG115" s="802"/>
      <c r="OH115" s="802"/>
      <c r="OI115" s="802"/>
      <c r="OJ115" s="802"/>
      <c r="OK115" s="802"/>
      <c r="OL115" s="802"/>
      <c r="OM115" s="802"/>
      <c r="ON115" s="802"/>
      <c r="OO115" s="802"/>
      <c r="OP115" s="802"/>
      <c r="OQ115" s="802"/>
      <c r="OR115" s="802"/>
      <c r="OS115" s="802"/>
      <c r="OT115" s="802"/>
      <c r="OU115" s="802"/>
      <c r="OV115" s="802"/>
      <c r="OW115" s="802"/>
      <c r="OX115" s="802"/>
      <c r="OY115" s="802"/>
      <c r="OZ115" s="802"/>
      <c r="PA115" s="802"/>
      <c r="PB115" s="802"/>
      <c r="PC115" s="802"/>
      <c r="PD115" s="802"/>
      <c r="PE115" s="802"/>
      <c r="PF115" s="805"/>
      <c r="PG115" s="802"/>
      <c r="PH115" s="802"/>
      <c r="PI115" s="802"/>
      <c r="PJ115" s="802"/>
      <c r="PK115" s="802"/>
      <c r="PL115" s="802"/>
      <c r="PM115" s="802"/>
      <c r="PN115" s="802"/>
      <c r="PO115" s="802"/>
      <c r="PP115" s="802"/>
      <c r="PQ115" s="802"/>
      <c r="PR115" s="802"/>
      <c r="PS115" s="802"/>
      <c r="PT115" s="802"/>
      <c r="PU115" s="802"/>
      <c r="PV115" s="802"/>
      <c r="PW115" s="802"/>
      <c r="PX115" s="802"/>
      <c r="PY115" s="802"/>
      <c r="PZ115" s="802"/>
      <c r="QA115" s="802"/>
      <c r="QB115" s="802"/>
      <c r="QC115" s="802"/>
      <c r="QD115" s="802"/>
      <c r="QE115" s="802"/>
      <c r="QF115" s="802"/>
      <c r="QG115" s="802"/>
      <c r="QH115" s="802"/>
      <c r="QI115" s="802"/>
      <c r="QJ115" s="802"/>
      <c r="QK115" s="802"/>
      <c r="QL115" s="802"/>
      <c r="QM115" s="802"/>
      <c r="QN115" s="802"/>
      <c r="QO115" s="802"/>
      <c r="QP115" s="802"/>
      <c r="QQ115" s="802"/>
      <c r="QR115" s="802"/>
      <c r="QS115" s="802"/>
      <c r="QT115" s="802"/>
      <c r="QU115" s="802"/>
      <c r="QV115" s="802"/>
      <c r="QW115" s="802"/>
      <c r="QX115" s="802"/>
      <c r="QY115" s="802"/>
      <c r="QZ115" s="802"/>
      <c r="RA115" s="802"/>
      <c r="RB115" s="802"/>
      <c r="RC115" s="802"/>
      <c r="RD115" s="802"/>
      <c r="RE115" s="802"/>
      <c r="RF115" s="802"/>
      <c r="RG115" s="802"/>
      <c r="RH115" s="802"/>
      <c r="RI115" s="802"/>
      <c r="RJ115" s="802"/>
      <c r="RK115" s="802"/>
      <c r="RL115" s="802"/>
      <c r="RM115" s="802"/>
      <c r="RN115" s="802"/>
      <c r="RO115" s="802"/>
      <c r="RP115" s="802"/>
      <c r="RQ115" s="802"/>
      <c r="RR115" s="802"/>
      <c r="RS115" s="802"/>
      <c r="RT115" s="802"/>
      <c r="RU115" s="802"/>
      <c r="RV115" s="1656" t="s">
        <v>382</v>
      </c>
      <c r="RW115" s="1657"/>
      <c r="RX115" s="1657"/>
      <c r="RY115" s="1657"/>
      <c r="RZ115" s="1658"/>
      <c r="SG115" s="758"/>
    </row>
    <row r="116" spans="4:501" ht="12.75" customHeight="1" x14ac:dyDescent="0.35">
      <c r="D116" s="758"/>
      <c r="V116" s="810"/>
      <c r="W116" s="759"/>
      <c r="X116" s="759"/>
      <c r="AE116" s="648">
        <v>1</v>
      </c>
      <c r="AF116" s="1488" t="s">
        <v>4850</v>
      </c>
      <c r="AG116" s="1489"/>
      <c r="AH116" s="1489"/>
      <c r="AI116" s="1489"/>
      <c r="AJ116" s="1489"/>
      <c r="AK116" s="1489"/>
      <c r="AL116" s="1489"/>
      <c r="AM116" s="1489"/>
      <c r="AN116" s="1490"/>
      <c r="AV116" s="761"/>
      <c r="AW116" s="761"/>
      <c r="BG116" s="811"/>
      <c r="BK116" s="810"/>
      <c r="BR116" s="826"/>
      <c r="BS116" s="826"/>
      <c r="BT116" s="826"/>
      <c r="BU116" s="826"/>
      <c r="BV116" s="826"/>
      <c r="BW116" s="925"/>
      <c r="BX116" s="826"/>
      <c r="BY116" s="826"/>
      <c r="BZ116" s="826"/>
      <c r="CA116" s="826"/>
      <c r="CH116" s="811"/>
      <c r="CL116" s="810"/>
      <c r="CN116" s="913"/>
      <c r="CO116" s="755"/>
      <c r="CP116" s="755"/>
      <c r="CQ116" s="755"/>
      <c r="CR116" s="755"/>
      <c r="CY116" s="861"/>
      <c r="CZ116" s="861"/>
      <c r="DA116" s="861"/>
      <c r="DB116" s="861"/>
      <c r="DC116" s="926"/>
      <c r="DH116" s="755"/>
      <c r="DI116" s="755"/>
      <c r="DJ116" s="755"/>
      <c r="DK116" s="755"/>
      <c r="DL116" s="755"/>
      <c r="DM116" s="755"/>
      <c r="DN116" s="755"/>
      <c r="DU116" s="811"/>
      <c r="DY116" s="810"/>
      <c r="EF116" s="826"/>
      <c r="EG116" s="826"/>
      <c r="EH116" s="826"/>
      <c r="EI116" s="826"/>
      <c r="EJ116" s="826"/>
      <c r="EK116" s="925"/>
      <c r="EL116" s="826"/>
      <c r="EM116" s="826"/>
      <c r="EN116" s="826"/>
      <c r="EO116" s="826"/>
      <c r="EV116" s="811"/>
      <c r="FB116" s="810"/>
      <c r="FJ116" s="790"/>
      <c r="FT116" s="790"/>
      <c r="GC116" s="811"/>
      <c r="GG116" s="810"/>
      <c r="HB116" s="831"/>
      <c r="HC116" s="831"/>
      <c r="HD116" s="831"/>
      <c r="HE116" s="831"/>
      <c r="HF116" s="831"/>
      <c r="HG116" s="831"/>
      <c r="HH116" s="831"/>
      <c r="HI116" s="831"/>
      <c r="HJ116" s="831"/>
      <c r="HK116" s="831"/>
      <c r="HL116" s="831"/>
      <c r="HM116" s="831"/>
      <c r="HN116" s="831"/>
      <c r="HO116" s="831"/>
      <c r="HP116" s="831"/>
      <c r="HQ116" s="831"/>
      <c r="HR116" s="831"/>
      <c r="HS116" s="831"/>
      <c r="HT116" s="831"/>
      <c r="HU116" s="831"/>
      <c r="HV116" s="831"/>
      <c r="HW116" s="831"/>
      <c r="HX116" s="851"/>
      <c r="HY116" s="831"/>
      <c r="HZ116" s="831"/>
      <c r="IA116" s="831"/>
      <c r="IB116" s="831"/>
      <c r="IC116" s="831"/>
      <c r="ID116" s="831"/>
      <c r="IE116" s="831"/>
      <c r="IF116" s="831"/>
      <c r="IG116" s="831"/>
      <c r="IH116" s="831"/>
      <c r="II116" s="831"/>
      <c r="IJ116" s="831"/>
      <c r="IK116" s="831"/>
      <c r="IL116" s="831"/>
      <c r="IM116" s="831"/>
      <c r="IN116" s="831"/>
      <c r="IO116" s="831"/>
      <c r="IP116" s="831"/>
      <c r="IQ116" s="831"/>
      <c r="IR116" s="831"/>
      <c r="IS116" s="831"/>
      <c r="IT116" s="831"/>
      <c r="JC116" s="811"/>
      <c r="JI116" s="810"/>
      <c r="JZ116" s="926"/>
      <c r="KY116" s="835"/>
      <c r="LR116" s="926"/>
      <c r="MH116" s="811"/>
      <c r="MP116" s="810"/>
      <c r="PF116" s="786"/>
      <c r="RZ116" s="811"/>
      <c r="SG116" s="758"/>
    </row>
    <row r="117" spans="4:501" ht="12.75" customHeight="1" x14ac:dyDescent="0.35">
      <c r="D117" s="758"/>
      <c r="V117" s="810"/>
      <c r="AE117" s="1652" t="s">
        <v>5369</v>
      </c>
      <c r="AF117" s="1510"/>
      <c r="AG117" s="1510"/>
      <c r="AH117" s="1510"/>
      <c r="AI117" s="1510"/>
      <c r="AJ117" s="1510"/>
      <c r="AK117" s="1510"/>
      <c r="AL117" s="1510"/>
      <c r="AM117" s="1510"/>
      <c r="AN117" s="1511"/>
      <c r="AV117" s="761"/>
      <c r="AW117" s="761"/>
      <c r="BG117" s="811"/>
      <c r="BK117" s="810"/>
      <c r="BQ117" s="832"/>
      <c r="BR117" s="648">
        <v>1</v>
      </c>
      <c r="BS117" s="1488" t="s">
        <v>4850</v>
      </c>
      <c r="BT117" s="1489"/>
      <c r="BU117" s="1489"/>
      <c r="BV117" s="1489"/>
      <c r="BW117" s="1489"/>
      <c r="BX117" s="1489"/>
      <c r="BY117" s="1489"/>
      <c r="BZ117" s="1489"/>
      <c r="CA117" s="1490"/>
      <c r="CB117" s="775"/>
      <c r="CH117" s="811"/>
      <c r="CL117" s="810"/>
      <c r="CN117" s="759"/>
      <c r="CO117" s="759"/>
      <c r="CP117" s="759"/>
      <c r="CQ117" s="759"/>
      <c r="CR117" s="759"/>
      <c r="CY117" s="648">
        <v>1</v>
      </c>
      <c r="CZ117" s="1488" t="s">
        <v>4850</v>
      </c>
      <c r="DA117" s="1489"/>
      <c r="DB117" s="1489"/>
      <c r="DC117" s="1489"/>
      <c r="DD117" s="1489"/>
      <c r="DE117" s="1489"/>
      <c r="DF117" s="1489"/>
      <c r="DG117" s="1489"/>
      <c r="DH117" s="1490"/>
      <c r="DU117" s="927"/>
      <c r="DY117" s="810"/>
      <c r="EE117" s="778"/>
      <c r="EF117" s="648">
        <v>1</v>
      </c>
      <c r="EG117" s="1488" t="s">
        <v>4850</v>
      </c>
      <c r="EH117" s="1489"/>
      <c r="EI117" s="1489"/>
      <c r="EJ117" s="1489"/>
      <c r="EK117" s="1489"/>
      <c r="EL117" s="1489"/>
      <c r="EM117" s="1489"/>
      <c r="EN117" s="1489"/>
      <c r="EO117" s="1490"/>
      <c r="EP117" s="775"/>
      <c r="EV117" s="811"/>
      <c r="FB117" s="810"/>
      <c r="FJ117" s="854"/>
      <c r="FT117" s="854"/>
      <c r="GC117" s="811"/>
      <c r="GG117" s="810"/>
      <c r="GQ117" s="754">
        <f>SUM(GH119,GH121,GH123,GH125,GH127,GH129,GH131,GH133,GH135,GH137,GH139,GH141)</f>
        <v>12</v>
      </c>
      <c r="HB117" s="926"/>
      <c r="HC117" s="754">
        <f>SUM(GT119,GT121,GT123,GT125,GT127,GT129,GT131,GT133,GT135,GT137,GT139,GT141,GT143,GT145,GT147,GT149,GT151,GT153,GT155,GT157,GT159,GT161,GT163,GT165)</f>
        <v>24</v>
      </c>
      <c r="HK117" s="894"/>
      <c r="HP117" s="754">
        <f>SUM(HG119,HG121,HG123,HG125,HG127,HG129,HG131,HG133,HG135,HG137,HG139,HG141,HG143,HG145,HG147,HG149,HG151,HG153,HG155,HG157,HG159,HG161,HG163)</f>
        <v>23</v>
      </c>
      <c r="HX117" s="854"/>
      <c r="IC117" s="754">
        <f>SUM(HT119,HT121,HT123,HT125,HT127,HT129,HT131,HT133,HT135,HT137,HT139,HT141,HT143)</f>
        <v>13</v>
      </c>
      <c r="IK117" s="835"/>
      <c r="IP117" s="754">
        <f>SUM(IG119,IG121,IG123,IG125,IG127,IG129,IG131,IG133,IG135,IG139,IG141,IG137,IG143)</f>
        <v>13</v>
      </c>
      <c r="IT117" s="894"/>
      <c r="JB117" s="754">
        <f>SUM(IS119,IS121,IS123,IS125,IS127,IS129,IS131,IS133,IS135,IS137,IS139,IS141,IS143,IS145,IS147,IS149)</f>
        <v>16</v>
      </c>
      <c r="JC117" s="811"/>
      <c r="JI117" s="810"/>
      <c r="JU117" s="648">
        <v>1</v>
      </c>
      <c r="JV117" s="1488" t="s">
        <v>4850</v>
      </c>
      <c r="JW117" s="1489"/>
      <c r="JX117" s="1489"/>
      <c r="JY117" s="1489"/>
      <c r="JZ117" s="1489"/>
      <c r="KA117" s="1489"/>
      <c r="KB117" s="1489"/>
      <c r="KC117" s="1489"/>
      <c r="KD117" s="1490"/>
      <c r="KY117" s="790"/>
      <c r="LM117" s="648">
        <v>1</v>
      </c>
      <c r="LN117" s="1488" t="s">
        <v>5025</v>
      </c>
      <c r="LO117" s="1489"/>
      <c r="LP117" s="1489"/>
      <c r="LQ117" s="1489"/>
      <c r="LR117" s="1489"/>
      <c r="LS117" s="1489"/>
      <c r="LT117" s="1489"/>
      <c r="LU117" s="1489"/>
      <c r="LV117" s="1490"/>
      <c r="MH117" s="811"/>
      <c r="MP117" s="810"/>
      <c r="NQ117" s="766"/>
      <c r="NR117" s="766"/>
      <c r="NS117" s="766"/>
      <c r="NT117" s="766"/>
      <c r="NU117" s="766"/>
      <c r="NV117" s="766"/>
      <c r="NW117" s="766"/>
      <c r="NX117" s="766"/>
      <c r="NY117" s="766"/>
      <c r="NZ117" s="766"/>
      <c r="OA117" s="766"/>
      <c r="OB117" s="766"/>
      <c r="OC117" s="766"/>
      <c r="OD117" s="766"/>
      <c r="OE117" s="766"/>
      <c r="OF117" s="766"/>
      <c r="OG117" s="766"/>
      <c r="OH117" s="766"/>
      <c r="OI117" s="766"/>
      <c r="OJ117" s="766"/>
      <c r="OK117" s="766"/>
      <c r="OL117" s="766"/>
      <c r="OM117" s="766"/>
      <c r="ON117" s="766"/>
      <c r="OO117" s="766"/>
      <c r="OP117" s="766"/>
      <c r="OQ117" s="766"/>
      <c r="OR117" s="766"/>
      <c r="OS117" s="766"/>
      <c r="OT117" s="766"/>
      <c r="OU117" s="766"/>
      <c r="OV117" s="766"/>
      <c r="OW117" s="766"/>
      <c r="OX117" s="766"/>
      <c r="OY117" s="766"/>
      <c r="OZ117" s="766"/>
      <c r="PA117" s="766"/>
      <c r="PB117" s="766"/>
      <c r="PC117" s="766"/>
      <c r="PD117" s="766"/>
      <c r="PE117" s="766"/>
      <c r="PF117" s="910"/>
      <c r="PG117" s="766"/>
      <c r="PH117" s="766"/>
      <c r="PI117" s="766"/>
      <c r="PJ117" s="766"/>
      <c r="PK117" s="766"/>
      <c r="PL117" s="766"/>
      <c r="PM117" s="766"/>
      <c r="PN117" s="766"/>
      <c r="PO117" s="766"/>
      <c r="PP117" s="766"/>
      <c r="PQ117" s="766"/>
      <c r="PR117" s="766"/>
      <c r="PS117" s="766"/>
      <c r="PT117" s="766"/>
      <c r="PU117" s="766"/>
      <c r="PV117" s="766"/>
      <c r="PW117" s="766"/>
      <c r="PX117" s="766"/>
      <c r="PY117" s="766"/>
      <c r="PZ117" s="766"/>
      <c r="QA117" s="766"/>
      <c r="QB117" s="766"/>
      <c r="QC117" s="766"/>
      <c r="QD117" s="766"/>
      <c r="QE117" s="766"/>
      <c r="QF117" s="766"/>
      <c r="QG117" s="766"/>
      <c r="QH117" s="766"/>
      <c r="QI117" s="766"/>
      <c r="QJ117" s="766"/>
      <c r="QK117" s="766"/>
      <c r="QL117" s="766"/>
      <c r="QM117" s="766"/>
      <c r="QN117" s="766"/>
      <c r="QO117" s="766"/>
      <c r="QP117" s="766"/>
      <c r="RZ117" s="811"/>
      <c r="SG117" s="758"/>
    </row>
    <row r="118" spans="4:501" ht="12.75" customHeight="1" x14ac:dyDescent="0.35">
      <c r="D118" s="758"/>
      <c r="V118" s="810"/>
      <c r="AD118" s="831"/>
      <c r="AE118" s="831"/>
      <c r="AF118" s="831"/>
      <c r="AG118" s="831"/>
      <c r="AH118" s="831"/>
      <c r="AI118" s="875"/>
      <c r="AJ118" s="831"/>
      <c r="AK118" s="831"/>
      <c r="AL118" s="831"/>
      <c r="AM118" s="831"/>
      <c r="AN118" s="831"/>
      <c r="AO118" s="831"/>
      <c r="AP118" s="831"/>
      <c r="AQ118" s="831"/>
      <c r="AR118" s="831"/>
      <c r="AS118" s="831"/>
      <c r="AT118" s="831"/>
      <c r="AU118" s="831"/>
      <c r="AV118" s="928"/>
      <c r="AW118" s="928"/>
      <c r="AX118" s="831"/>
      <c r="AY118" s="831"/>
      <c r="AZ118" s="831"/>
      <c r="BG118" s="811"/>
      <c r="BK118" s="810"/>
      <c r="BQ118" s="929"/>
      <c r="BR118" s="1482" t="s">
        <v>1974</v>
      </c>
      <c r="BS118" s="1510"/>
      <c r="BT118" s="1510"/>
      <c r="BU118" s="1510"/>
      <c r="BV118" s="1510"/>
      <c r="BW118" s="1510"/>
      <c r="BX118" s="1510"/>
      <c r="BY118" s="1510"/>
      <c r="BZ118" s="1510"/>
      <c r="CA118" s="1511"/>
      <c r="CB118" s="930"/>
      <c r="CH118" s="811"/>
      <c r="CL118" s="810"/>
      <c r="CN118" s="913"/>
      <c r="CO118" s="755"/>
      <c r="CP118" s="755"/>
      <c r="CQ118" s="931"/>
      <c r="CR118" s="932"/>
      <c r="CS118" s="881"/>
      <c r="CT118" s="881"/>
      <c r="CU118" s="881"/>
      <c r="CV118" s="881"/>
      <c r="CW118" s="881"/>
      <c r="CX118" s="881"/>
      <c r="CY118" s="1472" t="s">
        <v>5370</v>
      </c>
      <c r="CZ118" s="1472"/>
      <c r="DA118" s="1472"/>
      <c r="DB118" s="1472"/>
      <c r="DC118" s="1472"/>
      <c r="DD118" s="1472"/>
      <c r="DE118" s="1472"/>
      <c r="DF118" s="1472"/>
      <c r="DG118" s="1472"/>
      <c r="DH118" s="1472"/>
      <c r="DI118" s="932"/>
      <c r="DJ118" s="932"/>
      <c r="DK118" s="932"/>
      <c r="DL118" s="932"/>
      <c r="DM118" s="932"/>
      <c r="DN118" s="932"/>
      <c r="DO118" s="881"/>
      <c r="DP118" s="770"/>
      <c r="DU118" s="933"/>
      <c r="DY118" s="810"/>
      <c r="EE118" s="778"/>
      <c r="EF118" s="1652" t="s">
        <v>5371</v>
      </c>
      <c r="EG118" s="1510"/>
      <c r="EH118" s="1510"/>
      <c r="EI118" s="1510"/>
      <c r="EJ118" s="1510"/>
      <c r="EK118" s="1510"/>
      <c r="EL118" s="1510"/>
      <c r="EM118" s="1510"/>
      <c r="EN118" s="1510"/>
      <c r="EO118" s="1511"/>
      <c r="EP118" s="775"/>
      <c r="EV118" s="811"/>
      <c r="FB118" s="810"/>
      <c r="FC118" s="1653" t="s">
        <v>5146</v>
      </c>
      <c r="FD118" s="1653"/>
      <c r="FE118" s="1653"/>
      <c r="FF118" s="1653"/>
      <c r="FG118" s="1653"/>
      <c r="FH118" s="1653"/>
      <c r="FI118" s="1653"/>
      <c r="FJ118" s="1653"/>
      <c r="FK118" s="1653"/>
      <c r="FL118" s="1653"/>
      <c r="FS118" s="1653" t="s">
        <v>5147</v>
      </c>
      <c r="FT118" s="1653"/>
      <c r="FU118" s="1653"/>
      <c r="FV118" s="1653"/>
      <c r="FW118" s="1653"/>
      <c r="FX118" s="1653"/>
      <c r="FY118" s="1653"/>
      <c r="FZ118" s="1653"/>
      <c r="GA118" s="1653"/>
      <c r="GB118" s="1653"/>
      <c r="GC118" s="811"/>
      <c r="GG118" s="810"/>
      <c r="GH118" s="1488" t="s">
        <v>5148</v>
      </c>
      <c r="GI118" s="1489"/>
      <c r="GJ118" s="1489"/>
      <c r="GK118" s="1489"/>
      <c r="GL118" s="1489"/>
      <c r="GM118" s="1489"/>
      <c r="GN118" s="1489"/>
      <c r="GO118" s="1489"/>
      <c r="GP118" s="1489"/>
      <c r="GQ118" s="1490"/>
      <c r="GT118" s="1653" t="s">
        <v>5372</v>
      </c>
      <c r="GU118" s="1653"/>
      <c r="GV118" s="1653"/>
      <c r="GW118" s="1653"/>
      <c r="GX118" s="1653"/>
      <c r="GY118" s="1653"/>
      <c r="GZ118" s="1653"/>
      <c r="HA118" s="1653"/>
      <c r="HB118" s="1653"/>
      <c r="HC118" s="1653"/>
      <c r="HG118" s="1653" t="s">
        <v>5373</v>
      </c>
      <c r="HH118" s="1653"/>
      <c r="HI118" s="1653"/>
      <c r="HJ118" s="1653"/>
      <c r="HK118" s="1653"/>
      <c r="HL118" s="1653"/>
      <c r="HM118" s="1653"/>
      <c r="HN118" s="1653"/>
      <c r="HO118" s="1653"/>
      <c r="HP118" s="1653"/>
      <c r="HT118" s="1653" t="s">
        <v>5374</v>
      </c>
      <c r="HU118" s="1653"/>
      <c r="HV118" s="1653"/>
      <c r="HW118" s="1653"/>
      <c r="HX118" s="1653"/>
      <c r="HY118" s="1653"/>
      <c r="HZ118" s="1653"/>
      <c r="IA118" s="1653"/>
      <c r="IB118" s="1653"/>
      <c r="IC118" s="1653"/>
      <c r="IG118" s="1653" t="s">
        <v>5375</v>
      </c>
      <c r="IH118" s="1653"/>
      <c r="II118" s="1653"/>
      <c r="IJ118" s="1653"/>
      <c r="IK118" s="1653"/>
      <c r="IL118" s="1653"/>
      <c r="IM118" s="1653"/>
      <c r="IN118" s="1653"/>
      <c r="IO118" s="1653"/>
      <c r="IP118" s="1653"/>
      <c r="IS118" s="1653" t="s">
        <v>5376</v>
      </c>
      <c r="IT118" s="1653"/>
      <c r="IU118" s="1653"/>
      <c r="IV118" s="1653"/>
      <c r="IW118" s="1653"/>
      <c r="IX118" s="1653"/>
      <c r="IY118" s="1653"/>
      <c r="IZ118" s="1653"/>
      <c r="JA118" s="1653"/>
      <c r="JB118" s="1653"/>
      <c r="JC118" s="811"/>
      <c r="JI118" s="810"/>
      <c r="JU118" s="1753" t="s">
        <v>131</v>
      </c>
      <c r="JV118" s="1712"/>
      <c r="JW118" s="1712"/>
      <c r="JX118" s="1712"/>
      <c r="JY118" s="1712"/>
      <c r="JZ118" s="1712"/>
      <c r="KA118" s="1712"/>
      <c r="KB118" s="1712"/>
      <c r="KC118" s="1712"/>
      <c r="KD118" s="1713"/>
      <c r="KY118" s="790"/>
      <c r="LL118" s="778"/>
      <c r="LM118" s="1652" t="s">
        <v>2859</v>
      </c>
      <c r="LN118" s="1510"/>
      <c r="LO118" s="1510"/>
      <c r="LP118" s="1510"/>
      <c r="LQ118" s="1510"/>
      <c r="LR118" s="1510"/>
      <c r="LS118" s="1510"/>
      <c r="LT118" s="1510"/>
      <c r="LU118" s="1510"/>
      <c r="LV118" s="1511"/>
      <c r="MH118" s="811"/>
      <c r="MP118" s="810"/>
      <c r="NQ118" s="912"/>
      <c r="NU118" s="760">
        <f>SUM(NL119,NF123,OJ123,OR128)</f>
        <v>38</v>
      </c>
      <c r="QQ118" s="912"/>
      <c r="QU118" s="760">
        <f>SUM(QL119,PS123,RR123)</f>
        <v>62</v>
      </c>
      <c r="RZ118" s="811"/>
      <c r="SG118" s="758"/>
    </row>
    <row r="119" spans="4:501" ht="12.75" customHeight="1" x14ac:dyDescent="0.35">
      <c r="D119" s="758"/>
      <c r="V119" s="810"/>
      <c r="AC119" s="854"/>
      <c r="AD119" s="926"/>
      <c r="AO119" s="894"/>
      <c r="AV119" s="761"/>
      <c r="AW119" s="760"/>
      <c r="AZ119" s="861"/>
      <c r="BA119" s="894"/>
      <c r="BG119" s="811"/>
      <c r="BK119" s="810"/>
      <c r="BQ119" s="926"/>
      <c r="BV119" s="783"/>
      <c r="BW119" s="764"/>
      <c r="CB119" s="854"/>
      <c r="CH119" s="811"/>
      <c r="CL119" s="810"/>
      <c r="CQ119" s="770"/>
      <c r="DB119" s="908"/>
      <c r="DP119" s="926"/>
      <c r="DU119" s="927"/>
      <c r="DY119" s="810"/>
      <c r="EI119" s="783"/>
      <c r="EJ119" s="826"/>
      <c r="EK119" s="925"/>
      <c r="EV119" s="811"/>
      <c r="FB119" s="810"/>
      <c r="FC119" s="648">
        <v>1</v>
      </c>
      <c r="FD119" s="1653" t="s">
        <v>5154</v>
      </c>
      <c r="FE119" s="1653"/>
      <c r="FF119" s="1653"/>
      <c r="FG119" s="1653"/>
      <c r="FH119" s="1653"/>
      <c r="FI119" s="1653"/>
      <c r="FJ119" s="1653"/>
      <c r="FK119" s="1653"/>
      <c r="FL119" s="1653"/>
      <c r="FS119" s="648">
        <v>1</v>
      </c>
      <c r="FT119" s="1653" t="s">
        <v>5154</v>
      </c>
      <c r="FU119" s="1653"/>
      <c r="FV119" s="1653"/>
      <c r="FW119" s="1653"/>
      <c r="FX119" s="1653"/>
      <c r="FY119" s="1653"/>
      <c r="FZ119" s="1653"/>
      <c r="GA119" s="1653"/>
      <c r="GB119" s="1653"/>
      <c r="GC119" s="811"/>
      <c r="GG119" s="810"/>
      <c r="GH119" s="648">
        <v>1</v>
      </c>
      <c r="GI119" s="1488" t="s">
        <v>5377</v>
      </c>
      <c r="GJ119" s="1489"/>
      <c r="GK119" s="1489"/>
      <c r="GL119" s="1489"/>
      <c r="GM119" s="1489"/>
      <c r="GN119" s="1489"/>
      <c r="GO119" s="1489"/>
      <c r="GP119" s="1489"/>
      <c r="GQ119" s="1490"/>
      <c r="GT119" s="648">
        <v>1</v>
      </c>
      <c r="GU119" s="1653" t="s">
        <v>5052</v>
      </c>
      <c r="GV119" s="1653"/>
      <c r="GW119" s="1653"/>
      <c r="GX119" s="1653"/>
      <c r="GY119" s="1653"/>
      <c r="GZ119" s="1653"/>
      <c r="HA119" s="1653"/>
      <c r="HB119" s="1653"/>
      <c r="HC119" s="1653"/>
      <c r="HG119" s="648">
        <v>1</v>
      </c>
      <c r="HH119" s="1653" t="s">
        <v>5052</v>
      </c>
      <c r="HI119" s="1653"/>
      <c r="HJ119" s="1653"/>
      <c r="HK119" s="1653"/>
      <c r="HL119" s="1653"/>
      <c r="HM119" s="1653"/>
      <c r="HN119" s="1653"/>
      <c r="HO119" s="1653"/>
      <c r="HP119" s="1653"/>
      <c r="HT119" s="648">
        <v>1</v>
      </c>
      <c r="HU119" s="1653" t="s">
        <v>5052</v>
      </c>
      <c r="HV119" s="1653"/>
      <c r="HW119" s="1653"/>
      <c r="HX119" s="1653"/>
      <c r="HY119" s="1653"/>
      <c r="HZ119" s="1653"/>
      <c r="IA119" s="1653"/>
      <c r="IB119" s="1653"/>
      <c r="IC119" s="1653"/>
      <c r="IG119" s="648">
        <v>1</v>
      </c>
      <c r="IH119" s="1653" t="s">
        <v>5052</v>
      </c>
      <c r="II119" s="1653"/>
      <c r="IJ119" s="1653"/>
      <c r="IK119" s="1653"/>
      <c r="IL119" s="1653"/>
      <c r="IM119" s="1653"/>
      <c r="IN119" s="1653"/>
      <c r="IO119" s="1653"/>
      <c r="IP119" s="1653"/>
      <c r="IS119" s="648">
        <v>1</v>
      </c>
      <c r="IT119" s="1653" t="s">
        <v>5052</v>
      </c>
      <c r="IU119" s="1653"/>
      <c r="IV119" s="1653"/>
      <c r="IW119" s="1653"/>
      <c r="IX119" s="1653"/>
      <c r="IY119" s="1653"/>
      <c r="IZ119" s="1653"/>
      <c r="JA119" s="1653"/>
      <c r="JB119" s="1653"/>
      <c r="JC119" s="811"/>
      <c r="JI119" s="810"/>
      <c r="JY119" s="784"/>
      <c r="KY119" s="790"/>
      <c r="LQ119" s="784"/>
      <c r="LR119" s="873"/>
      <c r="LS119" s="874"/>
      <c r="LT119" s="874"/>
      <c r="LU119" s="874"/>
      <c r="LV119" s="874"/>
      <c r="MH119" s="811"/>
      <c r="MP119" s="810"/>
      <c r="NL119" s="648">
        <v>1</v>
      </c>
      <c r="NM119" s="1653" t="s">
        <v>5025</v>
      </c>
      <c r="NN119" s="1653"/>
      <c r="NO119" s="1653"/>
      <c r="NP119" s="1653"/>
      <c r="NQ119" s="1653"/>
      <c r="NR119" s="1653"/>
      <c r="NS119" s="1653"/>
      <c r="NT119" s="1653"/>
      <c r="NU119" s="1653"/>
      <c r="QL119" s="648">
        <v>1</v>
      </c>
      <c r="QM119" s="1653" t="s">
        <v>5025</v>
      </c>
      <c r="QN119" s="1653"/>
      <c r="QO119" s="1653"/>
      <c r="QP119" s="1653"/>
      <c r="QQ119" s="1653"/>
      <c r="QR119" s="1653"/>
      <c r="QS119" s="1653"/>
      <c r="QT119" s="1653"/>
      <c r="QU119" s="1653"/>
      <c r="RZ119" s="811"/>
      <c r="SG119" s="758"/>
    </row>
    <row r="120" spans="4:501" ht="12.75" customHeight="1" x14ac:dyDescent="0.35">
      <c r="D120" s="758"/>
      <c r="V120" s="810"/>
      <c r="Y120" s="1652" t="s">
        <v>5378</v>
      </c>
      <c r="Z120" s="1510"/>
      <c r="AA120" s="1510"/>
      <c r="AB120" s="1510"/>
      <c r="AC120" s="1510"/>
      <c r="AD120" s="1510"/>
      <c r="AE120" s="1510"/>
      <c r="AF120" s="1510"/>
      <c r="AG120" s="1510"/>
      <c r="AH120" s="1511"/>
      <c r="AK120" s="1652" t="s">
        <v>5379</v>
      </c>
      <c r="AL120" s="1510"/>
      <c r="AM120" s="1510"/>
      <c r="AN120" s="1510"/>
      <c r="AO120" s="1510"/>
      <c r="AP120" s="1510"/>
      <c r="AQ120" s="1510"/>
      <c r="AR120" s="1510"/>
      <c r="AS120" s="1510"/>
      <c r="AT120" s="1511"/>
      <c r="AW120" s="1652" t="s">
        <v>5372</v>
      </c>
      <c r="AX120" s="1510"/>
      <c r="AY120" s="1510"/>
      <c r="AZ120" s="1510"/>
      <c r="BA120" s="1510"/>
      <c r="BB120" s="1510"/>
      <c r="BC120" s="1510"/>
      <c r="BD120" s="1510"/>
      <c r="BE120" s="1510"/>
      <c r="BF120" s="1511"/>
      <c r="BG120" s="811"/>
      <c r="BK120" s="810"/>
      <c r="BL120" s="934">
        <v>1</v>
      </c>
      <c r="BM120" s="1488" t="s">
        <v>5052</v>
      </c>
      <c r="BN120" s="1489"/>
      <c r="BO120" s="1489"/>
      <c r="BP120" s="1489"/>
      <c r="BQ120" s="1489"/>
      <c r="BR120" s="1489"/>
      <c r="BS120" s="1489"/>
      <c r="BT120" s="1489"/>
      <c r="BU120" s="1490"/>
      <c r="BW120" s="935"/>
      <c r="BX120" s="648">
        <v>1</v>
      </c>
      <c r="BY120" s="1488" t="s">
        <v>5052</v>
      </c>
      <c r="BZ120" s="1489"/>
      <c r="CA120" s="1489"/>
      <c r="CB120" s="1489"/>
      <c r="CC120" s="1489"/>
      <c r="CD120" s="1489"/>
      <c r="CE120" s="1489"/>
      <c r="CF120" s="1489"/>
      <c r="CG120" s="1490"/>
      <c r="CH120" s="811"/>
      <c r="CL120" s="810"/>
      <c r="CM120" s="648">
        <v>1</v>
      </c>
      <c r="CN120" s="1488" t="s">
        <v>5052</v>
      </c>
      <c r="CO120" s="1489"/>
      <c r="CP120" s="1489"/>
      <c r="CQ120" s="1489"/>
      <c r="CR120" s="1489"/>
      <c r="CS120" s="1489"/>
      <c r="CT120" s="1489"/>
      <c r="CU120" s="1489"/>
      <c r="CV120" s="1490"/>
      <c r="DB120" s="786"/>
      <c r="DK120" s="648">
        <v>1</v>
      </c>
      <c r="DL120" s="1488" t="s">
        <v>5052</v>
      </c>
      <c r="DM120" s="1489"/>
      <c r="DN120" s="1489"/>
      <c r="DO120" s="1489"/>
      <c r="DP120" s="1489"/>
      <c r="DQ120" s="1489"/>
      <c r="DR120" s="1489"/>
      <c r="DS120" s="1489"/>
      <c r="DT120" s="1490"/>
      <c r="DU120" s="933"/>
      <c r="DY120" s="810"/>
      <c r="EF120" s="648">
        <v>1</v>
      </c>
      <c r="EG120" s="1488" t="s">
        <v>5052</v>
      </c>
      <c r="EH120" s="1489"/>
      <c r="EI120" s="1489"/>
      <c r="EJ120" s="1489"/>
      <c r="EK120" s="1489"/>
      <c r="EL120" s="1489"/>
      <c r="EM120" s="1489"/>
      <c r="EN120" s="1489"/>
      <c r="EO120" s="1490"/>
      <c r="EV120" s="811"/>
      <c r="FB120" s="810"/>
      <c r="FC120" s="1654" t="s">
        <v>1930</v>
      </c>
      <c r="FD120" s="1655"/>
      <c r="FE120" s="1655"/>
      <c r="FF120" s="1655"/>
      <c r="FG120" s="1655"/>
      <c r="FH120" s="1655"/>
      <c r="FI120" s="1655"/>
      <c r="FJ120" s="1655"/>
      <c r="FK120" s="1655"/>
      <c r="FL120" s="1655"/>
      <c r="FS120" s="1654" t="s">
        <v>2883</v>
      </c>
      <c r="FT120" s="1655"/>
      <c r="FU120" s="1655"/>
      <c r="FV120" s="1655"/>
      <c r="FW120" s="1655"/>
      <c r="FX120" s="1655"/>
      <c r="FY120" s="1655"/>
      <c r="FZ120" s="1655"/>
      <c r="GA120" s="1655"/>
      <c r="GB120" s="1655"/>
      <c r="GC120" s="811"/>
      <c r="GG120" s="810"/>
      <c r="GH120" s="1482" t="s">
        <v>2930</v>
      </c>
      <c r="GI120" s="1510"/>
      <c r="GJ120" s="1510"/>
      <c r="GK120" s="1510"/>
      <c r="GL120" s="1510"/>
      <c r="GM120" s="1510"/>
      <c r="GN120" s="1510"/>
      <c r="GO120" s="1510"/>
      <c r="GP120" s="1510"/>
      <c r="GQ120" s="1511"/>
      <c r="GT120" s="1654" t="s">
        <v>2316</v>
      </c>
      <c r="GU120" s="1655"/>
      <c r="GV120" s="1655"/>
      <c r="GW120" s="1655"/>
      <c r="GX120" s="1655"/>
      <c r="GY120" s="1655"/>
      <c r="GZ120" s="1655"/>
      <c r="HA120" s="1655"/>
      <c r="HB120" s="1655"/>
      <c r="HC120" s="1655"/>
      <c r="HG120" s="1666" t="s">
        <v>1161</v>
      </c>
      <c r="HH120" s="1667"/>
      <c r="HI120" s="1667"/>
      <c r="HJ120" s="1667"/>
      <c r="HK120" s="1667"/>
      <c r="HL120" s="1667"/>
      <c r="HM120" s="1667"/>
      <c r="HN120" s="1667"/>
      <c r="HO120" s="1667"/>
      <c r="HP120" s="1668"/>
      <c r="HT120" s="1756" t="s">
        <v>4373</v>
      </c>
      <c r="HU120" s="1757"/>
      <c r="HV120" s="1757"/>
      <c r="HW120" s="1757"/>
      <c r="HX120" s="1757"/>
      <c r="HY120" s="1757"/>
      <c r="HZ120" s="1757"/>
      <c r="IA120" s="1757"/>
      <c r="IB120" s="1757"/>
      <c r="IC120" s="1758"/>
      <c r="IG120" s="1482" t="s">
        <v>4016</v>
      </c>
      <c r="IH120" s="1483"/>
      <c r="II120" s="1483"/>
      <c r="IJ120" s="1483"/>
      <c r="IK120" s="1483"/>
      <c r="IL120" s="1483"/>
      <c r="IM120" s="1483"/>
      <c r="IN120" s="1483"/>
      <c r="IO120" s="1483"/>
      <c r="IP120" s="1484"/>
      <c r="IS120" s="1482" t="s">
        <v>1355</v>
      </c>
      <c r="IT120" s="1483"/>
      <c r="IU120" s="1483"/>
      <c r="IV120" s="1483"/>
      <c r="IW120" s="1483"/>
      <c r="IX120" s="1483"/>
      <c r="IY120" s="1483"/>
      <c r="IZ120" s="1483"/>
      <c r="JA120" s="1483"/>
      <c r="JB120" s="1484"/>
      <c r="JC120" s="811"/>
      <c r="JI120" s="810"/>
      <c r="JY120" s="790"/>
      <c r="KY120" s="790"/>
      <c r="LV120" s="835"/>
      <c r="MH120" s="811"/>
      <c r="MP120" s="810"/>
      <c r="NL120" s="1660" t="s">
        <v>5380</v>
      </c>
      <c r="NM120" s="1660" t="s">
        <v>4873</v>
      </c>
      <c r="NN120" s="1660"/>
      <c r="NO120" s="1660"/>
      <c r="NP120" s="1660"/>
      <c r="NQ120" s="1660"/>
      <c r="NR120" s="1660"/>
      <c r="NS120" s="1660"/>
      <c r="NT120" s="1660"/>
      <c r="NU120" s="1660"/>
      <c r="QL120" s="1660" t="s">
        <v>4625</v>
      </c>
      <c r="QM120" s="1660"/>
      <c r="QN120" s="1660"/>
      <c r="QO120" s="1660"/>
      <c r="QP120" s="1660"/>
      <c r="QQ120" s="1660"/>
      <c r="QR120" s="1660"/>
      <c r="QS120" s="1660"/>
      <c r="QT120" s="1660"/>
      <c r="QU120" s="1660"/>
      <c r="RZ120" s="811"/>
      <c r="SG120" s="758"/>
    </row>
    <row r="121" spans="4:501" ht="12.75" customHeight="1" x14ac:dyDescent="0.35">
      <c r="D121" s="758"/>
      <c r="V121" s="810"/>
      <c r="Y121" s="648">
        <v>1</v>
      </c>
      <c r="Z121" s="1488" t="s">
        <v>5052</v>
      </c>
      <c r="AA121" s="1489"/>
      <c r="AB121" s="1489"/>
      <c r="AC121" s="1489"/>
      <c r="AD121" s="1489"/>
      <c r="AE121" s="1489"/>
      <c r="AF121" s="1489"/>
      <c r="AG121" s="1489"/>
      <c r="AH121" s="1490"/>
      <c r="AK121" s="648">
        <v>1</v>
      </c>
      <c r="AL121" s="1488" t="s">
        <v>5052</v>
      </c>
      <c r="AM121" s="1489"/>
      <c r="AN121" s="1489"/>
      <c r="AO121" s="1489"/>
      <c r="AP121" s="1489"/>
      <c r="AQ121" s="1489"/>
      <c r="AR121" s="1489"/>
      <c r="AS121" s="1489"/>
      <c r="AT121" s="1490"/>
      <c r="AW121" s="648">
        <v>1</v>
      </c>
      <c r="AX121" s="1488" t="s">
        <v>5052</v>
      </c>
      <c r="AY121" s="1489"/>
      <c r="AZ121" s="1489"/>
      <c r="BA121" s="1489"/>
      <c r="BB121" s="1489"/>
      <c r="BC121" s="1489"/>
      <c r="BD121" s="1489"/>
      <c r="BE121" s="1489"/>
      <c r="BF121" s="1490"/>
      <c r="BG121" s="811"/>
      <c r="BK121" s="810"/>
      <c r="BL121" s="1482" t="s">
        <v>2457</v>
      </c>
      <c r="BM121" s="1510"/>
      <c r="BN121" s="1510"/>
      <c r="BO121" s="1510"/>
      <c r="BP121" s="1510"/>
      <c r="BQ121" s="1510"/>
      <c r="BR121" s="1510"/>
      <c r="BS121" s="1510"/>
      <c r="BT121" s="1510"/>
      <c r="BU121" s="1511"/>
      <c r="BV121" s="790"/>
      <c r="BW121" s="778"/>
      <c r="BX121" s="1482" t="s">
        <v>3919</v>
      </c>
      <c r="BY121" s="1510"/>
      <c r="BZ121" s="1510"/>
      <c r="CA121" s="1510"/>
      <c r="CB121" s="1510"/>
      <c r="CC121" s="1510"/>
      <c r="CD121" s="1510"/>
      <c r="CE121" s="1510"/>
      <c r="CF121" s="1510"/>
      <c r="CG121" s="1511"/>
      <c r="CH121" s="811"/>
      <c r="CL121" s="810"/>
      <c r="CM121" s="1754" t="s">
        <v>1879</v>
      </c>
      <c r="CN121" s="1755"/>
      <c r="CO121" s="1755"/>
      <c r="CP121" s="1755"/>
      <c r="CQ121" s="1755"/>
      <c r="CR121" s="1755"/>
      <c r="CS121" s="1755"/>
      <c r="CT121" s="1755"/>
      <c r="CU121" s="1755"/>
      <c r="CV121" s="1755"/>
      <c r="DB121" s="786"/>
      <c r="DK121" s="1654" t="s">
        <v>3925</v>
      </c>
      <c r="DL121" s="1655"/>
      <c r="DM121" s="1655"/>
      <c r="DN121" s="1655"/>
      <c r="DO121" s="1655"/>
      <c r="DP121" s="1655"/>
      <c r="DQ121" s="1655"/>
      <c r="DR121" s="1655"/>
      <c r="DS121" s="1655"/>
      <c r="DT121" s="1655"/>
      <c r="DU121" s="811"/>
      <c r="DY121" s="810"/>
      <c r="EF121" s="1652" t="s">
        <v>3989</v>
      </c>
      <c r="EG121" s="1510"/>
      <c r="EH121" s="1510"/>
      <c r="EI121" s="1510"/>
      <c r="EJ121" s="1510"/>
      <c r="EK121" s="1510"/>
      <c r="EL121" s="1510"/>
      <c r="EM121" s="1510"/>
      <c r="EN121" s="1510"/>
      <c r="EO121" s="1511"/>
      <c r="EV121" s="811"/>
      <c r="FB121" s="810"/>
      <c r="FC121" s="648">
        <v>1</v>
      </c>
      <c r="FD121" s="1653" t="s">
        <v>5381</v>
      </c>
      <c r="FE121" s="1653"/>
      <c r="FF121" s="1653"/>
      <c r="FG121" s="1653"/>
      <c r="FH121" s="1653"/>
      <c r="FI121" s="1653"/>
      <c r="FJ121" s="1653"/>
      <c r="FK121" s="1653"/>
      <c r="FL121" s="1653"/>
      <c r="FS121" s="648">
        <v>1</v>
      </c>
      <c r="FT121" s="1653" t="s">
        <v>5382</v>
      </c>
      <c r="FU121" s="1653"/>
      <c r="FV121" s="1653"/>
      <c r="FW121" s="1653"/>
      <c r="FX121" s="1653"/>
      <c r="FY121" s="1653"/>
      <c r="FZ121" s="1653"/>
      <c r="GA121" s="1653"/>
      <c r="GB121" s="1653"/>
      <c r="GC121" s="811"/>
      <c r="GG121" s="810"/>
      <c r="GH121" s="648">
        <v>1</v>
      </c>
      <c r="GI121" s="1488" t="s">
        <v>5383</v>
      </c>
      <c r="GJ121" s="1489"/>
      <c r="GK121" s="1489"/>
      <c r="GL121" s="1489"/>
      <c r="GM121" s="1489"/>
      <c r="GN121" s="1489"/>
      <c r="GO121" s="1489"/>
      <c r="GP121" s="1489"/>
      <c r="GQ121" s="1490"/>
      <c r="GT121" s="648">
        <v>1</v>
      </c>
      <c r="GU121" s="1653" t="s">
        <v>5165</v>
      </c>
      <c r="GV121" s="1653"/>
      <c r="GW121" s="1653"/>
      <c r="GX121" s="1653"/>
      <c r="GY121" s="1653"/>
      <c r="GZ121" s="1653"/>
      <c r="HA121" s="1653"/>
      <c r="HB121" s="1653"/>
      <c r="HC121" s="1653"/>
      <c r="HG121" s="648">
        <v>1</v>
      </c>
      <c r="HH121" s="1653" t="s">
        <v>5165</v>
      </c>
      <c r="HI121" s="1653"/>
      <c r="HJ121" s="1653"/>
      <c r="HK121" s="1653"/>
      <c r="HL121" s="1653"/>
      <c r="HM121" s="1653"/>
      <c r="HN121" s="1653"/>
      <c r="HO121" s="1653"/>
      <c r="HP121" s="1653"/>
      <c r="HT121" s="648">
        <v>1</v>
      </c>
      <c r="HU121" s="1653" t="s">
        <v>5165</v>
      </c>
      <c r="HV121" s="1653"/>
      <c r="HW121" s="1653"/>
      <c r="HX121" s="1653"/>
      <c r="HY121" s="1653"/>
      <c r="HZ121" s="1653"/>
      <c r="IA121" s="1653"/>
      <c r="IB121" s="1653"/>
      <c r="IC121" s="1653"/>
      <c r="IG121" s="648">
        <v>1</v>
      </c>
      <c r="IH121" s="1653" t="s">
        <v>5165</v>
      </c>
      <c r="II121" s="1653"/>
      <c r="IJ121" s="1653"/>
      <c r="IK121" s="1653"/>
      <c r="IL121" s="1653"/>
      <c r="IM121" s="1653"/>
      <c r="IN121" s="1653"/>
      <c r="IO121" s="1653"/>
      <c r="IP121" s="1653"/>
      <c r="IS121" s="648">
        <v>1</v>
      </c>
      <c r="IT121" s="1653" t="s">
        <v>5165</v>
      </c>
      <c r="IU121" s="1653"/>
      <c r="IV121" s="1653"/>
      <c r="IW121" s="1653"/>
      <c r="IX121" s="1653"/>
      <c r="IY121" s="1653"/>
      <c r="IZ121" s="1653"/>
      <c r="JA121" s="1653"/>
      <c r="JB121" s="1653"/>
      <c r="JC121" s="811"/>
      <c r="JI121" s="810"/>
      <c r="JY121" s="790"/>
      <c r="KY121" s="790"/>
      <c r="LT121" s="861"/>
      <c r="LU121" s="861"/>
      <c r="LV121" s="854"/>
      <c r="MH121" s="811"/>
      <c r="MP121" s="810"/>
      <c r="NP121" s="908"/>
      <c r="QP121" s="908"/>
      <c r="QQ121" s="783"/>
      <c r="RZ121" s="811"/>
      <c r="SG121" s="758"/>
    </row>
    <row r="122" spans="4:501" ht="12.75" customHeight="1" x14ac:dyDescent="0.35">
      <c r="D122" s="758"/>
      <c r="V122" s="810"/>
      <c r="Y122" s="1482" t="s">
        <v>1649</v>
      </c>
      <c r="Z122" s="1510"/>
      <c r="AA122" s="1510"/>
      <c r="AB122" s="1510"/>
      <c r="AC122" s="1510"/>
      <c r="AD122" s="1510"/>
      <c r="AE122" s="1510"/>
      <c r="AF122" s="1510"/>
      <c r="AG122" s="1510"/>
      <c r="AH122" s="1511"/>
      <c r="AK122" s="1482" t="s">
        <v>3877</v>
      </c>
      <c r="AL122" s="1510"/>
      <c r="AM122" s="1510"/>
      <c r="AN122" s="1510"/>
      <c r="AO122" s="1510"/>
      <c r="AP122" s="1510"/>
      <c r="AQ122" s="1510"/>
      <c r="AR122" s="1510"/>
      <c r="AS122" s="1510"/>
      <c r="AT122" s="1511"/>
      <c r="AW122" s="1482" t="s">
        <v>2437</v>
      </c>
      <c r="AX122" s="1510"/>
      <c r="AY122" s="1510"/>
      <c r="AZ122" s="1510"/>
      <c r="BA122" s="1510"/>
      <c r="BB122" s="1510"/>
      <c r="BC122" s="1510"/>
      <c r="BD122" s="1510"/>
      <c r="BE122" s="1510"/>
      <c r="BF122" s="1511"/>
      <c r="BG122" s="811"/>
      <c r="BK122" s="810"/>
      <c r="BP122" s="872"/>
      <c r="BQ122" s="936"/>
      <c r="BR122" s="831"/>
      <c r="BS122" s="831"/>
      <c r="BT122" s="831"/>
      <c r="BU122" s="831"/>
      <c r="BV122" s="790"/>
      <c r="BX122" s="874"/>
      <c r="BY122" s="874"/>
      <c r="BZ122" s="874"/>
      <c r="CA122" s="874"/>
      <c r="CB122" s="872"/>
      <c r="CC122" s="936"/>
      <c r="CH122" s="811"/>
      <c r="CL122" s="810"/>
      <c r="CQ122" s="936"/>
      <c r="DB122" s="786"/>
      <c r="DP122" s="936"/>
      <c r="DU122" s="811"/>
      <c r="DY122" s="810"/>
      <c r="EF122" s="648">
        <v>1</v>
      </c>
      <c r="EG122" s="1488" t="s">
        <v>5168</v>
      </c>
      <c r="EH122" s="1489"/>
      <c r="EI122" s="1489"/>
      <c r="EJ122" s="1489"/>
      <c r="EK122" s="1489"/>
      <c r="EL122" s="1489"/>
      <c r="EM122" s="1489"/>
      <c r="EN122" s="1489"/>
      <c r="EO122" s="1490"/>
      <c r="EV122" s="811"/>
      <c r="FB122" s="810"/>
      <c r="FC122" s="1654" t="s">
        <v>3079</v>
      </c>
      <c r="FD122" s="1655"/>
      <c r="FE122" s="1655"/>
      <c r="FF122" s="1655"/>
      <c r="FG122" s="1655"/>
      <c r="FH122" s="1655"/>
      <c r="FI122" s="1655"/>
      <c r="FJ122" s="1655"/>
      <c r="FK122" s="1655"/>
      <c r="FL122" s="1655"/>
      <c r="FS122" s="1654" t="s">
        <v>1854</v>
      </c>
      <c r="FT122" s="1655"/>
      <c r="FU122" s="1655"/>
      <c r="FV122" s="1655"/>
      <c r="FW122" s="1655"/>
      <c r="FX122" s="1655"/>
      <c r="FY122" s="1655"/>
      <c r="FZ122" s="1655"/>
      <c r="GA122" s="1655"/>
      <c r="GB122" s="1655"/>
      <c r="GC122" s="811"/>
      <c r="GG122" s="810"/>
      <c r="GH122" s="1482" t="s">
        <v>3886</v>
      </c>
      <c r="GI122" s="1510"/>
      <c r="GJ122" s="1510"/>
      <c r="GK122" s="1510"/>
      <c r="GL122" s="1510"/>
      <c r="GM122" s="1510"/>
      <c r="GN122" s="1510"/>
      <c r="GO122" s="1510"/>
      <c r="GP122" s="1510"/>
      <c r="GQ122" s="1511"/>
      <c r="GT122" s="1482" t="s">
        <v>1294</v>
      </c>
      <c r="GU122" s="1483"/>
      <c r="GV122" s="1483"/>
      <c r="GW122" s="1483"/>
      <c r="GX122" s="1483"/>
      <c r="GY122" s="1483"/>
      <c r="GZ122" s="1483"/>
      <c r="HA122" s="1483"/>
      <c r="HB122" s="1483"/>
      <c r="HC122" s="1484"/>
      <c r="HG122" s="1482" t="s">
        <v>1110</v>
      </c>
      <c r="HH122" s="1483"/>
      <c r="HI122" s="1483"/>
      <c r="HJ122" s="1483"/>
      <c r="HK122" s="1483"/>
      <c r="HL122" s="1483"/>
      <c r="HM122" s="1483"/>
      <c r="HN122" s="1483"/>
      <c r="HO122" s="1483"/>
      <c r="HP122" s="1484"/>
      <c r="HT122" s="1756" t="s">
        <v>1191</v>
      </c>
      <c r="HU122" s="1757"/>
      <c r="HV122" s="1757"/>
      <c r="HW122" s="1757"/>
      <c r="HX122" s="1757"/>
      <c r="HY122" s="1757"/>
      <c r="HZ122" s="1757"/>
      <c r="IA122" s="1757"/>
      <c r="IB122" s="1757"/>
      <c r="IC122" s="1758"/>
      <c r="IG122" s="1482" t="s">
        <v>1259</v>
      </c>
      <c r="IH122" s="1483"/>
      <c r="II122" s="1483"/>
      <c r="IJ122" s="1483"/>
      <c r="IK122" s="1483"/>
      <c r="IL122" s="1483"/>
      <c r="IM122" s="1483"/>
      <c r="IN122" s="1483"/>
      <c r="IO122" s="1483"/>
      <c r="IP122" s="1484"/>
      <c r="IS122" s="1482" t="s">
        <v>5384</v>
      </c>
      <c r="IT122" s="1483"/>
      <c r="IU122" s="1483"/>
      <c r="IV122" s="1483"/>
      <c r="IW122" s="1483"/>
      <c r="IX122" s="1483"/>
      <c r="IY122" s="1483"/>
      <c r="IZ122" s="1483"/>
      <c r="JA122" s="1483"/>
      <c r="JB122" s="1484"/>
      <c r="JC122" s="811"/>
      <c r="JI122" s="810"/>
      <c r="JY122" s="790"/>
      <c r="KY122" s="790"/>
      <c r="LR122" s="648">
        <v>1</v>
      </c>
      <c r="LS122" s="1488" t="s">
        <v>5154</v>
      </c>
      <c r="LT122" s="1489"/>
      <c r="LU122" s="1489"/>
      <c r="LV122" s="1489"/>
      <c r="LW122" s="1489"/>
      <c r="LX122" s="1489"/>
      <c r="LY122" s="1489"/>
      <c r="LZ122" s="1489"/>
      <c r="MA122" s="1490"/>
      <c r="MH122" s="811"/>
      <c r="MO122" s="811"/>
      <c r="NB122" s="766"/>
      <c r="NC122" s="766"/>
      <c r="ND122" s="766"/>
      <c r="NE122" s="766"/>
      <c r="NF122" s="766"/>
      <c r="NG122" s="766"/>
      <c r="NH122" s="766"/>
      <c r="NI122" s="766"/>
      <c r="NJ122" s="766"/>
      <c r="NK122" s="766"/>
      <c r="NL122" s="766"/>
      <c r="NM122" s="766"/>
      <c r="NN122" s="766"/>
      <c r="NO122" s="766"/>
      <c r="NP122" s="910"/>
      <c r="NQ122" s="937"/>
      <c r="NR122" s="766"/>
      <c r="NS122" s="766"/>
      <c r="NT122" s="766"/>
      <c r="NU122" s="766"/>
      <c r="NV122" s="766"/>
      <c r="NW122" s="766"/>
      <c r="NX122" s="766"/>
      <c r="NY122" s="766"/>
      <c r="NZ122" s="766"/>
      <c r="OA122" s="766"/>
      <c r="OB122" s="766"/>
      <c r="OC122" s="766"/>
      <c r="OD122" s="766"/>
      <c r="OE122" s="766"/>
      <c r="OF122" s="766"/>
      <c r="OG122" s="766"/>
      <c r="OH122" s="766"/>
      <c r="OI122" s="766"/>
      <c r="OJ122" s="766"/>
      <c r="OK122" s="766"/>
      <c r="OL122" s="766"/>
      <c r="OM122" s="766"/>
      <c r="ON122" s="766"/>
      <c r="OO122" s="766"/>
      <c r="OP122" s="766"/>
      <c r="OQ122" s="766"/>
      <c r="OR122" s="766"/>
      <c r="OS122" s="766"/>
      <c r="OT122" s="766"/>
      <c r="OU122" s="766"/>
      <c r="OV122" s="766"/>
      <c r="OW122" s="766"/>
      <c r="OX122" s="766"/>
      <c r="OY122" s="766"/>
      <c r="OZ122" s="766"/>
      <c r="PA122" s="766"/>
      <c r="PB122" s="766"/>
      <c r="PC122" s="766"/>
      <c r="PD122" s="766"/>
      <c r="PE122" s="766"/>
      <c r="PF122" s="766"/>
      <c r="PG122" s="766"/>
      <c r="PH122" s="766"/>
      <c r="PI122" s="766"/>
      <c r="PJ122" s="766"/>
      <c r="PK122" s="766"/>
      <c r="PL122" s="766"/>
      <c r="PM122" s="766"/>
      <c r="PN122" s="766"/>
      <c r="PO122" s="766"/>
      <c r="PP122" s="766"/>
      <c r="PQ122" s="766"/>
      <c r="PR122" s="766"/>
      <c r="PS122" s="766"/>
      <c r="PT122" s="766"/>
      <c r="PU122" s="766"/>
      <c r="PV122" s="766"/>
      <c r="PW122" s="766"/>
      <c r="PX122" s="766"/>
      <c r="PY122" s="766"/>
      <c r="PZ122" s="766"/>
      <c r="QA122" s="766"/>
      <c r="QB122" s="766"/>
      <c r="QC122" s="766"/>
      <c r="QD122" s="766"/>
      <c r="QE122" s="766"/>
      <c r="QF122" s="766"/>
      <c r="QG122" s="766"/>
      <c r="QH122" s="766"/>
      <c r="QI122" s="766"/>
      <c r="QJ122" s="766"/>
      <c r="QK122" s="766"/>
      <c r="QL122" s="766"/>
      <c r="QM122" s="766"/>
      <c r="QN122" s="766"/>
      <c r="QO122" s="766"/>
      <c r="QP122" s="910"/>
      <c r="QQ122" s="766"/>
      <c r="QR122" s="766"/>
      <c r="QS122" s="766"/>
      <c r="QT122" s="766"/>
      <c r="QU122" s="766"/>
      <c r="QV122" s="766"/>
      <c r="QW122" s="766"/>
      <c r="QX122" s="766"/>
      <c r="QY122" s="766"/>
      <c r="QZ122" s="766"/>
      <c r="RA122" s="766"/>
      <c r="RB122" s="766"/>
      <c r="RC122" s="766"/>
      <c r="RD122" s="766"/>
      <c r="RE122" s="766"/>
      <c r="RF122" s="766"/>
      <c r="RG122" s="766"/>
      <c r="RH122" s="766"/>
      <c r="RI122" s="766"/>
      <c r="RJ122" s="766"/>
      <c r="RK122" s="766"/>
      <c r="RL122" s="766"/>
      <c r="RM122" s="766"/>
      <c r="RZ122" s="811"/>
      <c r="SG122" s="758"/>
    </row>
    <row r="123" spans="4:501" ht="12.75" customHeight="1" x14ac:dyDescent="0.35">
      <c r="D123" s="758"/>
      <c r="V123" s="810"/>
      <c r="AD123" s="926"/>
      <c r="AO123" s="872"/>
      <c r="AP123" s="936"/>
      <c r="AV123" s="761"/>
      <c r="AW123" s="761"/>
      <c r="BB123" s="936"/>
      <c r="BG123" s="811"/>
      <c r="BK123" s="810"/>
      <c r="BL123" s="648">
        <v>1</v>
      </c>
      <c r="BM123" s="1488" t="s">
        <v>5171</v>
      </c>
      <c r="BN123" s="1489"/>
      <c r="BO123" s="1489"/>
      <c r="BP123" s="1489"/>
      <c r="BQ123" s="1489"/>
      <c r="BR123" s="1489"/>
      <c r="BS123" s="1489"/>
      <c r="BT123" s="1489"/>
      <c r="BU123" s="1490"/>
      <c r="BV123" s="938"/>
      <c r="BW123" s="778"/>
      <c r="BX123" s="648">
        <v>1</v>
      </c>
      <c r="BY123" s="1488" t="s">
        <v>5171</v>
      </c>
      <c r="BZ123" s="1489"/>
      <c r="CA123" s="1489"/>
      <c r="CB123" s="1489"/>
      <c r="CC123" s="1489"/>
      <c r="CD123" s="1489"/>
      <c r="CE123" s="1489"/>
      <c r="CF123" s="1489"/>
      <c r="CG123" s="1490"/>
      <c r="CH123" s="811"/>
      <c r="CL123" s="810"/>
      <c r="CM123" s="648">
        <v>1</v>
      </c>
      <c r="CN123" s="1488" t="s">
        <v>5181</v>
      </c>
      <c r="CO123" s="1489"/>
      <c r="CP123" s="1489"/>
      <c r="CQ123" s="1489"/>
      <c r="CR123" s="1489"/>
      <c r="CS123" s="1489"/>
      <c r="CT123" s="1489"/>
      <c r="CU123" s="1489"/>
      <c r="CV123" s="1490"/>
      <c r="CY123" s="939"/>
      <c r="CZ123" s="1762"/>
      <c r="DA123" s="1762"/>
      <c r="DB123" s="1762"/>
      <c r="DC123" s="1762"/>
      <c r="DD123" s="1762"/>
      <c r="DE123" s="1762"/>
      <c r="DF123" s="1762"/>
      <c r="DG123" s="1762"/>
      <c r="DH123" s="1762"/>
      <c r="DK123" s="648">
        <v>1</v>
      </c>
      <c r="DL123" s="1488" t="s">
        <v>5181</v>
      </c>
      <c r="DM123" s="1489"/>
      <c r="DN123" s="1489"/>
      <c r="DO123" s="1489"/>
      <c r="DP123" s="1489"/>
      <c r="DQ123" s="1489"/>
      <c r="DR123" s="1489"/>
      <c r="DS123" s="1489"/>
      <c r="DT123" s="1490"/>
      <c r="DU123" s="811"/>
      <c r="DY123" s="810"/>
      <c r="EF123" s="1652" t="s">
        <v>2310</v>
      </c>
      <c r="EG123" s="1510"/>
      <c r="EH123" s="1510"/>
      <c r="EI123" s="1510"/>
      <c r="EJ123" s="1510"/>
      <c r="EK123" s="1510"/>
      <c r="EL123" s="1510"/>
      <c r="EM123" s="1510"/>
      <c r="EN123" s="1510"/>
      <c r="EO123" s="1511"/>
      <c r="EV123" s="811"/>
      <c r="FB123" s="810"/>
      <c r="FC123" s="940">
        <v>1</v>
      </c>
      <c r="FD123" s="1653" t="s">
        <v>5381</v>
      </c>
      <c r="FE123" s="1653"/>
      <c r="FF123" s="1653"/>
      <c r="FG123" s="1653"/>
      <c r="FH123" s="1653"/>
      <c r="FI123" s="1653"/>
      <c r="FJ123" s="1653"/>
      <c r="FK123" s="1653"/>
      <c r="FL123" s="1653"/>
      <c r="FS123" s="648">
        <v>1</v>
      </c>
      <c r="FT123" s="1653" t="s">
        <v>183</v>
      </c>
      <c r="FU123" s="1653"/>
      <c r="FV123" s="1653"/>
      <c r="FW123" s="1653"/>
      <c r="FX123" s="1653"/>
      <c r="FY123" s="1653"/>
      <c r="FZ123" s="1653"/>
      <c r="GA123" s="1653"/>
      <c r="GB123" s="1653"/>
      <c r="GC123" s="811"/>
      <c r="GG123" s="810"/>
      <c r="GH123" s="648">
        <v>1</v>
      </c>
      <c r="GI123" s="1488" t="s">
        <v>5383</v>
      </c>
      <c r="GJ123" s="1489"/>
      <c r="GK123" s="1489"/>
      <c r="GL123" s="1489"/>
      <c r="GM123" s="1489"/>
      <c r="GN123" s="1489"/>
      <c r="GO123" s="1489"/>
      <c r="GP123" s="1489"/>
      <c r="GQ123" s="1490"/>
      <c r="GT123" s="648">
        <v>1</v>
      </c>
      <c r="GU123" s="1759" t="s">
        <v>5165</v>
      </c>
      <c r="GV123" s="1760"/>
      <c r="GW123" s="1760"/>
      <c r="GX123" s="1760"/>
      <c r="GY123" s="1760"/>
      <c r="GZ123" s="1760"/>
      <c r="HA123" s="1760"/>
      <c r="HB123" s="1760"/>
      <c r="HC123" s="1761"/>
      <c r="HG123" s="648">
        <v>1</v>
      </c>
      <c r="HH123" s="1653" t="s">
        <v>5165</v>
      </c>
      <c r="HI123" s="1653"/>
      <c r="HJ123" s="1653"/>
      <c r="HK123" s="1653"/>
      <c r="HL123" s="1653"/>
      <c r="HM123" s="1653"/>
      <c r="HN123" s="1653"/>
      <c r="HO123" s="1653"/>
      <c r="HP123" s="1653"/>
      <c r="HT123" s="648">
        <v>1</v>
      </c>
      <c r="HU123" s="1653" t="s">
        <v>5165</v>
      </c>
      <c r="HV123" s="1653"/>
      <c r="HW123" s="1653"/>
      <c r="HX123" s="1653"/>
      <c r="HY123" s="1653"/>
      <c r="HZ123" s="1653"/>
      <c r="IA123" s="1653"/>
      <c r="IB123" s="1653"/>
      <c r="IC123" s="1653"/>
      <c r="IG123" s="648">
        <v>1</v>
      </c>
      <c r="IH123" s="1653" t="s">
        <v>5165</v>
      </c>
      <c r="II123" s="1653"/>
      <c r="IJ123" s="1653"/>
      <c r="IK123" s="1653"/>
      <c r="IL123" s="1653"/>
      <c r="IM123" s="1653"/>
      <c r="IN123" s="1653"/>
      <c r="IO123" s="1653"/>
      <c r="IP123" s="1653"/>
      <c r="IS123" s="648">
        <v>1</v>
      </c>
      <c r="IT123" s="1653" t="s">
        <v>5165</v>
      </c>
      <c r="IU123" s="1653"/>
      <c r="IV123" s="1653"/>
      <c r="IW123" s="1653"/>
      <c r="IX123" s="1653"/>
      <c r="IY123" s="1653"/>
      <c r="IZ123" s="1653"/>
      <c r="JA123" s="1653"/>
      <c r="JB123" s="1653"/>
      <c r="JC123" s="811"/>
      <c r="JI123" s="810"/>
      <c r="JY123" s="790"/>
      <c r="KY123" s="790"/>
      <c r="LR123" s="1652" t="s">
        <v>2910</v>
      </c>
      <c r="LS123" s="1510"/>
      <c r="LT123" s="1510"/>
      <c r="LU123" s="1510"/>
      <c r="LV123" s="1510"/>
      <c r="LW123" s="1510"/>
      <c r="LX123" s="1510"/>
      <c r="LY123" s="1510"/>
      <c r="LZ123" s="1510"/>
      <c r="MA123" s="1511"/>
      <c r="MH123" s="811"/>
      <c r="MO123" s="811"/>
      <c r="MZ123" s="861"/>
      <c r="NA123" s="816"/>
      <c r="NF123" s="754">
        <f>SUM(MZ133,NL133,MW124)</f>
        <v>14</v>
      </c>
      <c r="OF123" s="911"/>
      <c r="OG123" s="912"/>
      <c r="OJ123" s="754">
        <f>SUM(OA124,NX134,OJ133,OU134)</f>
        <v>22</v>
      </c>
      <c r="OV123" s="787"/>
      <c r="PN123" s="816"/>
      <c r="PS123" s="754">
        <f>SUM(PJ124,PG134,PS133,QD134,QO135)</f>
        <v>33</v>
      </c>
      <c r="RM123" s="816"/>
      <c r="RR123" s="754">
        <f>SUM(RI124,RL133,RX133,QZ137)</f>
        <v>28</v>
      </c>
      <c r="RZ123" s="811"/>
      <c r="SG123" s="758"/>
    </row>
    <row r="124" spans="4:501" ht="12.75" customHeight="1" x14ac:dyDescent="0.35">
      <c r="D124" s="758"/>
      <c r="V124" s="810"/>
      <c r="Y124" s="648">
        <v>1</v>
      </c>
      <c r="Z124" s="1488" t="s">
        <v>5007</v>
      </c>
      <c r="AA124" s="1489"/>
      <c r="AB124" s="1489"/>
      <c r="AC124" s="1489"/>
      <c r="AD124" s="1489"/>
      <c r="AE124" s="1489"/>
      <c r="AF124" s="1489"/>
      <c r="AG124" s="1489"/>
      <c r="AH124" s="1490"/>
      <c r="AK124" s="710">
        <v>1</v>
      </c>
      <c r="AL124" s="1567" t="s">
        <v>5385</v>
      </c>
      <c r="AM124" s="1568"/>
      <c r="AN124" s="1568"/>
      <c r="AO124" s="1568"/>
      <c r="AP124" s="1568"/>
      <c r="AQ124" s="1568"/>
      <c r="AR124" s="1568"/>
      <c r="AS124" s="1568"/>
      <c r="AT124" s="1569"/>
      <c r="AU124" s="704"/>
      <c r="AV124" s="941"/>
      <c r="AW124" s="710">
        <v>1</v>
      </c>
      <c r="AX124" s="1567" t="s">
        <v>5385</v>
      </c>
      <c r="AY124" s="1568"/>
      <c r="AZ124" s="1568"/>
      <c r="BA124" s="1568"/>
      <c r="BB124" s="1568"/>
      <c r="BC124" s="1568"/>
      <c r="BD124" s="1568"/>
      <c r="BE124" s="1568"/>
      <c r="BF124" s="1569"/>
      <c r="BG124" s="811"/>
      <c r="BK124" s="810"/>
      <c r="BL124" s="1482" t="s">
        <v>2045</v>
      </c>
      <c r="BM124" s="1510"/>
      <c r="BN124" s="1510"/>
      <c r="BO124" s="1510"/>
      <c r="BP124" s="1510"/>
      <c r="BQ124" s="1510"/>
      <c r="BR124" s="1510"/>
      <c r="BS124" s="1510"/>
      <c r="BT124" s="1510"/>
      <c r="BU124" s="1511"/>
      <c r="BV124" s="790"/>
      <c r="BX124" s="1447" t="s">
        <v>2460</v>
      </c>
      <c r="BY124" s="1448"/>
      <c r="BZ124" s="1448"/>
      <c r="CA124" s="1448"/>
      <c r="CB124" s="1448"/>
      <c r="CC124" s="1448"/>
      <c r="CD124" s="1448"/>
      <c r="CE124" s="1448"/>
      <c r="CF124" s="1448"/>
      <c r="CG124" s="1449"/>
      <c r="CH124" s="811"/>
      <c r="CL124" s="810"/>
      <c r="CM124" s="1754" t="s">
        <v>4152</v>
      </c>
      <c r="CN124" s="1755"/>
      <c r="CO124" s="1755"/>
      <c r="CP124" s="1755"/>
      <c r="CQ124" s="1755"/>
      <c r="CR124" s="1755"/>
      <c r="CS124" s="1755"/>
      <c r="CT124" s="1755"/>
      <c r="CU124" s="1755"/>
      <c r="CV124" s="1755"/>
      <c r="CY124" s="1766"/>
      <c r="CZ124" s="1762"/>
      <c r="DA124" s="1762"/>
      <c r="DB124" s="1762"/>
      <c r="DC124" s="1762"/>
      <c r="DD124" s="1762"/>
      <c r="DE124" s="1762"/>
      <c r="DF124" s="1762"/>
      <c r="DG124" s="1762"/>
      <c r="DH124" s="1762"/>
      <c r="DK124" s="1654" t="s">
        <v>2847</v>
      </c>
      <c r="DL124" s="1655"/>
      <c r="DM124" s="1655"/>
      <c r="DN124" s="1655"/>
      <c r="DO124" s="1655"/>
      <c r="DP124" s="1655"/>
      <c r="DQ124" s="1655"/>
      <c r="DR124" s="1655"/>
      <c r="DS124" s="1655"/>
      <c r="DT124" s="1655"/>
      <c r="DU124" s="811"/>
      <c r="DY124" s="810"/>
      <c r="EF124" s="648">
        <v>1</v>
      </c>
      <c r="EG124" s="1488" t="s">
        <v>5386</v>
      </c>
      <c r="EH124" s="1489"/>
      <c r="EI124" s="1489"/>
      <c r="EJ124" s="1489"/>
      <c r="EK124" s="1489"/>
      <c r="EL124" s="1489"/>
      <c r="EM124" s="1489"/>
      <c r="EN124" s="1489"/>
      <c r="EO124" s="1490"/>
      <c r="EV124" s="811"/>
      <c r="FB124" s="810"/>
      <c r="FC124" s="1543" t="s">
        <v>4179</v>
      </c>
      <c r="FD124" s="1729"/>
      <c r="FE124" s="1729"/>
      <c r="FF124" s="1729"/>
      <c r="FG124" s="1729"/>
      <c r="FH124" s="1729"/>
      <c r="FI124" s="1729"/>
      <c r="FJ124" s="1729"/>
      <c r="FK124" s="1729"/>
      <c r="FL124" s="1730"/>
      <c r="FS124" s="1722" t="s">
        <v>3027</v>
      </c>
      <c r="FT124" s="1723"/>
      <c r="FU124" s="1723"/>
      <c r="FV124" s="1723"/>
      <c r="FW124" s="1723"/>
      <c r="FX124" s="1723"/>
      <c r="FY124" s="1723"/>
      <c r="FZ124" s="1723"/>
      <c r="GA124" s="1723"/>
      <c r="GB124" s="1723"/>
      <c r="GC124" s="811"/>
      <c r="GG124" s="810"/>
      <c r="GH124" s="1482" t="s">
        <v>4077</v>
      </c>
      <c r="GI124" s="1510"/>
      <c r="GJ124" s="1510"/>
      <c r="GK124" s="1510"/>
      <c r="GL124" s="1510"/>
      <c r="GM124" s="1510"/>
      <c r="GN124" s="1510"/>
      <c r="GO124" s="1510"/>
      <c r="GP124" s="1510"/>
      <c r="GQ124" s="1511"/>
      <c r="GT124" s="1482" t="s">
        <v>1315</v>
      </c>
      <c r="GU124" s="1483"/>
      <c r="GV124" s="1483"/>
      <c r="GW124" s="1483"/>
      <c r="GX124" s="1483"/>
      <c r="GY124" s="1483"/>
      <c r="GZ124" s="1483"/>
      <c r="HA124" s="1483"/>
      <c r="HB124" s="1483"/>
      <c r="HC124" s="1484"/>
      <c r="HG124" s="1482" t="s">
        <v>1134</v>
      </c>
      <c r="HH124" s="1483"/>
      <c r="HI124" s="1483"/>
      <c r="HJ124" s="1483"/>
      <c r="HK124" s="1483"/>
      <c r="HL124" s="1483"/>
      <c r="HM124" s="1483"/>
      <c r="HN124" s="1483"/>
      <c r="HO124" s="1483"/>
      <c r="HP124" s="1484"/>
      <c r="HT124" s="1666" t="s">
        <v>2524</v>
      </c>
      <c r="HU124" s="1667"/>
      <c r="HV124" s="1667"/>
      <c r="HW124" s="1667"/>
      <c r="HX124" s="1667"/>
      <c r="HY124" s="1667"/>
      <c r="HZ124" s="1667"/>
      <c r="IA124" s="1667"/>
      <c r="IB124" s="1667"/>
      <c r="IC124" s="1668"/>
      <c r="IG124" s="1482" t="s">
        <v>2114</v>
      </c>
      <c r="IH124" s="1483"/>
      <c r="II124" s="1483"/>
      <c r="IJ124" s="1483"/>
      <c r="IK124" s="1483"/>
      <c r="IL124" s="1483"/>
      <c r="IM124" s="1483"/>
      <c r="IN124" s="1483"/>
      <c r="IO124" s="1483"/>
      <c r="IP124" s="1484"/>
      <c r="IS124" s="1482" t="s">
        <v>2186</v>
      </c>
      <c r="IT124" s="1483"/>
      <c r="IU124" s="1483"/>
      <c r="IV124" s="1483"/>
      <c r="IW124" s="1483"/>
      <c r="IX124" s="1483"/>
      <c r="IY124" s="1483"/>
      <c r="IZ124" s="1483"/>
      <c r="JA124" s="1483"/>
      <c r="JB124" s="1484"/>
      <c r="JC124" s="811"/>
      <c r="JI124" s="810"/>
      <c r="JO124" s="831"/>
      <c r="JP124" s="831"/>
      <c r="JQ124" s="831"/>
      <c r="JR124" s="831"/>
      <c r="JS124" s="831"/>
      <c r="JT124" s="831"/>
      <c r="JU124" s="831"/>
      <c r="JV124" s="831"/>
      <c r="JW124" s="831"/>
      <c r="JX124" s="831"/>
      <c r="JY124" s="851"/>
      <c r="JZ124" s="831"/>
      <c r="KA124" s="831"/>
      <c r="KB124" s="831"/>
      <c r="KC124" s="831"/>
      <c r="KD124" s="831"/>
      <c r="KE124" s="831"/>
      <c r="KF124" s="831"/>
      <c r="KG124" s="831"/>
      <c r="KH124" s="831"/>
      <c r="KI124" s="831"/>
      <c r="KJ124" s="831"/>
      <c r="KY124" s="790"/>
      <c r="LU124" s="783"/>
      <c r="LW124" s="764"/>
      <c r="MH124" s="811"/>
      <c r="MO124" s="811"/>
      <c r="MW124" s="648">
        <v>1</v>
      </c>
      <c r="MX124" s="1653" t="s">
        <v>5154</v>
      </c>
      <c r="MY124" s="1653"/>
      <c r="MZ124" s="1653"/>
      <c r="NA124" s="1653"/>
      <c r="NB124" s="1653"/>
      <c r="NC124" s="1653"/>
      <c r="ND124" s="1653"/>
      <c r="NE124" s="1653"/>
      <c r="NF124" s="1653"/>
      <c r="OA124" s="648">
        <v>1</v>
      </c>
      <c r="OB124" s="1653" t="s">
        <v>5154</v>
      </c>
      <c r="OC124" s="1653"/>
      <c r="OD124" s="1653"/>
      <c r="OE124" s="1653"/>
      <c r="OF124" s="1653"/>
      <c r="OG124" s="1653"/>
      <c r="OH124" s="1653"/>
      <c r="OI124" s="1653"/>
      <c r="OJ124" s="1653"/>
      <c r="OV124" s="786"/>
      <c r="PJ124" s="648">
        <v>1</v>
      </c>
      <c r="PK124" s="1653" t="s">
        <v>5154</v>
      </c>
      <c r="PL124" s="1653"/>
      <c r="PM124" s="1653"/>
      <c r="PN124" s="1653"/>
      <c r="PO124" s="1653"/>
      <c r="PP124" s="1653"/>
      <c r="PQ124" s="1653"/>
      <c r="PR124" s="1653"/>
      <c r="PS124" s="1653"/>
      <c r="RH124" s="778"/>
      <c r="RI124" s="648">
        <v>1</v>
      </c>
      <c r="RJ124" s="1653" t="s">
        <v>5154</v>
      </c>
      <c r="RK124" s="1653"/>
      <c r="RL124" s="1653"/>
      <c r="RM124" s="1653"/>
      <c r="RN124" s="1653"/>
      <c r="RO124" s="1653"/>
      <c r="RP124" s="1653"/>
      <c r="RQ124" s="1653"/>
      <c r="RR124" s="1653"/>
      <c r="RZ124" s="811"/>
      <c r="SG124" s="758"/>
    </row>
    <row r="125" spans="4:501" ht="12.75" customHeight="1" x14ac:dyDescent="0.35">
      <c r="D125" s="758"/>
      <c r="V125" s="810"/>
      <c r="W125" s="899"/>
      <c r="Y125" s="1763" t="s">
        <v>5387</v>
      </c>
      <c r="Z125" s="1764"/>
      <c r="AA125" s="1764"/>
      <c r="AB125" s="1764"/>
      <c r="AC125" s="1764"/>
      <c r="AD125" s="1764"/>
      <c r="AE125" s="1764"/>
      <c r="AF125" s="1764"/>
      <c r="AG125" s="1764"/>
      <c r="AH125" s="1765"/>
      <c r="AK125" s="1735" t="s">
        <v>4631</v>
      </c>
      <c r="AL125" s="1736"/>
      <c r="AM125" s="1736"/>
      <c r="AN125" s="1736"/>
      <c r="AO125" s="1736"/>
      <c r="AP125" s="1736"/>
      <c r="AQ125" s="1736"/>
      <c r="AR125" s="1736"/>
      <c r="AS125" s="1736"/>
      <c r="AT125" s="1737"/>
      <c r="AU125" s="942"/>
      <c r="AV125" s="943"/>
      <c r="AW125" s="1735" t="s">
        <v>5388</v>
      </c>
      <c r="AX125" s="1736"/>
      <c r="AY125" s="1736"/>
      <c r="AZ125" s="1736"/>
      <c r="BA125" s="1736"/>
      <c r="BB125" s="1736"/>
      <c r="BC125" s="1736"/>
      <c r="BD125" s="1736"/>
      <c r="BE125" s="1736"/>
      <c r="BF125" s="1737"/>
      <c r="BG125" s="811"/>
      <c r="BK125" s="810"/>
      <c r="BL125" s="648">
        <v>1</v>
      </c>
      <c r="BM125" s="1488" t="s">
        <v>5007</v>
      </c>
      <c r="BN125" s="1489"/>
      <c r="BO125" s="1489"/>
      <c r="BP125" s="1489"/>
      <c r="BQ125" s="1489"/>
      <c r="BR125" s="1489"/>
      <c r="BS125" s="1489"/>
      <c r="BT125" s="1489"/>
      <c r="BU125" s="1490"/>
      <c r="BV125" s="790"/>
      <c r="BX125" s="648">
        <v>1</v>
      </c>
      <c r="BY125" s="1488" t="s">
        <v>4997</v>
      </c>
      <c r="BZ125" s="1489"/>
      <c r="CA125" s="1489"/>
      <c r="CB125" s="1489"/>
      <c r="CC125" s="1489"/>
      <c r="CD125" s="1489"/>
      <c r="CE125" s="1489"/>
      <c r="CF125" s="1489"/>
      <c r="CG125" s="1490"/>
      <c r="CH125" s="811"/>
      <c r="CL125" s="810"/>
      <c r="CM125" s="648">
        <v>1</v>
      </c>
      <c r="CN125" s="1488" t="s">
        <v>5389</v>
      </c>
      <c r="CO125" s="1489"/>
      <c r="CP125" s="1489"/>
      <c r="CQ125" s="1489"/>
      <c r="CR125" s="1489"/>
      <c r="CS125" s="1489"/>
      <c r="CT125" s="1489"/>
      <c r="CU125" s="1489"/>
      <c r="CV125" s="1490"/>
      <c r="CY125" s="939"/>
      <c r="CZ125" s="1762"/>
      <c r="DA125" s="1762"/>
      <c r="DB125" s="1762"/>
      <c r="DC125" s="1762"/>
      <c r="DD125" s="1762"/>
      <c r="DE125" s="1762"/>
      <c r="DF125" s="1762"/>
      <c r="DG125" s="1762"/>
      <c r="DH125" s="1762"/>
      <c r="DK125" s="648">
        <v>1</v>
      </c>
      <c r="DL125" s="1488" t="s">
        <v>5390</v>
      </c>
      <c r="DM125" s="1489"/>
      <c r="DN125" s="1489"/>
      <c r="DO125" s="1489"/>
      <c r="DP125" s="1489"/>
      <c r="DQ125" s="1489"/>
      <c r="DR125" s="1489"/>
      <c r="DS125" s="1489"/>
      <c r="DT125" s="1490"/>
      <c r="DU125" s="811"/>
      <c r="DY125" s="810"/>
      <c r="EF125" s="1652" t="s">
        <v>5391</v>
      </c>
      <c r="EG125" s="1510"/>
      <c r="EH125" s="1510"/>
      <c r="EI125" s="1510"/>
      <c r="EJ125" s="1510"/>
      <c r="EK125" s="1510"/>
      <c r="EL125" s="1510"/>
      <c r="EM125" s="1510"/>
      <c r="EN125" s="1510"/>
      <c r="EO125" s="1511"/>
      <c r="EV125" s="811"/>
      <c r="FB125" s="810"/>
      <c r="FC125" s="648">
        <v>1</v>
      </c>
      <c r="FD125" s="1653" t="s">
        <v>5382</v>
      </c>
      <c r="FE125" s="1653"/>
      <c r="FF125" s="1653"/>
      <c r="FG125" s="1653"/>
      <c r="FH125" s="1653"/>
      <c r="FI125" s="1653"/>
      <c r="FJ125" s="1653"/>
      <c r="FK125" s="1653"/>
      <c r="FL125" s="1653"/>
      <c r="FS125" s="648">
        <v>1</v>
      </c>
      <c r="FT125" s="1653" t="s">
        <v>5163</v>
      </c>
      <c r="FU125" s="1653"/>
      <c r="FV125" s="1653"/>
      <c r="FW125" s="1653"/>
      <c r="FX125" s="1653"/>
      <c r="FY125" s="1653"/>
      <c r="FZ125" s="1653"/>
      <c r="GA125" s="1653"/>
      <c r="GB125" s="1653"/>
      <c r="GC125" s="811"/>
      <c r="GG125" s="810"/>
      <c r="GH125" s="648">
        <v>1</v>
      </c>
      <c r="GI125" s="1653" t="s">
        <v>5165</v>
      </c>
      <c r="GJ125" s="1653"/>
      <c r="GK125" s="1653"/>
      <c r="GL125" s="1653"/>
      <c r="GM125" s="1653"/>
      <c r="GN125" s="1653"/>
      <c r="GO125" s="1653"/>
      <c r="GP125" s="1653"/>
      <c r="GQ125" s="1653"/>
      <c r="GT125" s="648">
        <v>1</v>
      </c>
      <c r="GU125" s="1759" t="s">
        <v>5165</v>
      </c>
      <c r="GV125" s="1760"/>
      <c r="GW125" s="1760"/>
      <c r="GX125" s="1760"/>
      <c r="GY125" s="1760"/>
      <c r="GZ125" s="1760"/>
      <c r="HA125" s="1760"/>
      <c r="HB125" s="1760"/>
      <c r="HC125" s="1761"/>
      <c r="HG125" s="648">
        <v>1</v>
      </c>
      <c r="HH125" s="1653" t="s">
        <v>5165</v>
      </c>
      <c r="HI125" s="1653"/>
      <c r="HJ125" s="1653"/>
      <c r="HK125" s="1653"/>
      <c r="HL125" s="1653"/>
      <c r="HM125" s="1653"/>
      <c r="HN125" s="1653"/>
      <c r="HO125" s="1653"/>
      <c r="HP125" s="1653"/>
      <c r="HT125" s="648">
        <v>1</v>
      </c>
      <c r="HU125" s="1653" t="s">
        <v>5165</v>
      </c>
      <c r="HV125" s="1653"/>
      <c r="HW125" s="1653"/>
      <c r="HX125" s="1653"/>
      <c r="HY125" s="1653"/>
      <c r="HZ125" s="1653"/>
      <c r="IA125" s="1653"/>
      <c r="IB125" s="1653"/>
      <c r="IC125" s="1653"/>
      <c r="IG125" s="648">
        <v>1</v>
      </c>
      <c r="IH125" s="1653" t="s">
        <v>5392</v>
      </c>
      <c r="II125" s="1653"/>
      <c r="IJ125" s="1653"/>
      <c r="IK125" s="1653"/>
      <c r="IL125" s="1653"/>
      <c r="IM125" s="1653"/>
      <c r="IN125" s="1653"/>
      <c r="IO125" s="1653"/>
      <c r="IP125" s="1653"/>
      <c r="IS125" s="648">
        <v>1</v>
      </c>
      <c r="IT125" s="1653" t="s">
        <v>5165</v>
      </c>
      <c r="IU125" s="1653"/>
      <c r="IV125" s="1653"/>
      <c r="IW125" s="1653"/>
      <c r="IX125" s="1653"/>
      <c r="IY125" s="1653"/>
      <c r="IZ125" s="1653"/>
      <c r="JA125" s="1653"/>
      <c r="JB125" s="1653"/>
      <c r="JC125" s="811"/>
      <c r="JI125" s="810"/>
      <c r="JN125" s="790"/>
      <c r="JY125" s="790"/>
      <c r="KJ125" s="835"/>
      <c r="KK125" s="770"/>
      <c r="KR125" s="831"/>
      <c r="KS125" s="831"/>
      <c r="KT125" s="831"/>
      <c r="KU125" s="831"/>
      <c r="KV125" s="831"/>
      <c r="KW125" s="831"/>
      <c r="KX125" s="831"/>
      <c r="KY125" s="851"/>
      <c r="KZ125" s="831"/>
      <c r="LA125" s="831"/>
      <c r="LB125" s="831"/>
      <c r="LC125" s="831"/>
      <c r="LD125" s="831"/>
      <c r="LE125" s="831"/>
      <c r="LF125" s="831"/>
      <c r="LG125" s="831"/>
      <c r="LH125" s="831"/>
      <c r="LI125" s="831"/>
      <c r="LR125" s="831"/>
      <c r="LS125" s="831"/>
      <c r="LT125" s="831"/>
      <c r="LU125" s="831"/>
      <c r="LV125" s="831"/>
      <c r="LW125" s="880"/>
      <c r="LX125" s="831"/>
      <c r="LY125" s="831"/>
      <c r="LZ125" s="831"/>
      <c r="MA125" s="831"/>
      <c r="MH125" s="811"/>
      <c r="MO125" s="811"/>
      <c r="MW125" s="1660" t="s">
        <v>5393</v>
      </c>
      <c r="MX125" s="1660" t="s">
        <v>4873</v>
      </c>
      <c r="MY125" s="1660"/>
      <c r="MZ125" s="1660"/>
      <c r="NA125" s="1660"/>
      <c r="NB125" s="1660"/>
      <c r="NC125" s="1660"/>
      <c r="ND125" s="1660"/>
      <c r="NE125" s="1660"/>
      <c r="NF125" s="1660"/>
      <c r="OA125" s="1660" t="s">
        <v>3901</v>
      </c>
      <c r="OB125" s="1660"/>
      <c r="OC125" s="1660"/>
      <c r="OD125" s="1660"/>
      <c r="OE125" s="1660"/>
      <c r="OF125" s="1660"/>
      <c r="OG125" s="1660"/>
      <c r="OH125" s="1660"/>
      <c r="OI125" s="1660"/>
      <c r="OJ125" s="1660"/>
      <c r="OV125" s="786"/>
      <c r="PJ125" s="1706" t="s">
        <v>4167</v>
      </c>
      <c r="PK125" s="1706" t="s">
        <v>4873</v>
      </c>
      <c r="PL125" s="1706"/>
      <c r="PM125" s="1706"/>
      <c r="PN125" s="1706"/>
      <c r="PO125" s="1706"/>
      <c r="PP125" s="1706"/>
      <c r="PQ125" s="1706"/>
      <c r="PR125" s="1706"/>
      <c r="PS125" s="1706"/>
      <c r="RI125" s="1660" t="s">
        <v>5394</v>
      </c>
      <c r="RJ125" s="1660" t="s">
        <v>4873</v>
      </c>
      <c r="RK125" s="1660"/>
      <c r="RL125" s="1660"/>
      <c r="RM125" s="1660"/>
      <c r="RN125" s="1660"/>
      <c r="RO125" s="1660"/>
      <c r="RP125" s="1660"/>
      <c r="RQ125" s="1660"/>
      <c r="RR125" s="1660"/>
      <c r="RZ125" s="811"/>
      <c r="SG125" s="758"/>
    </row>
    <row r="126" spans="4:501" ht="12.75" customHeight="1" x14ac:dyDescent="0.35">
      <c r="D126" s="758"/>
      <c r="V126" s="810"/>
      <c r="Y126" s="648">
        <v>1</v>
      </c>
      <c r="Z126" s="1488" t="s">
        <v>5007</v>
      </c>
      <c r="AA126" s="1489"/>
      <c r="AB126" s="1489"/>
      <c r="AC126" s="1489"/>
      <c r="AD126" s="1489"/>
      <c r="AE126" s="1489"/>
      <c r="AF126" s="1489"/>
      <c r="AG126" s="1489"/>
      <c r="AH126" s="1490"/>
      <c r="AK126" s="648">
        <v>1</v>
      </c>
      <c r="AL126" s="1488" t="s">
        <v>5007</v>
      </c>
      <c r="AM126" s="1489"/>
      <c r="AN126" s="1489"/>
      <c r="AO126" s="1489"/>
      <c r="AP126" s="1489"/>
      <c r="AQ126" s="1489"/>
      <c r="AR126" s="1489"/>
      <c r="AS126" s="1489"/>
      <c r="AT126" s="1490"/>
      <c r="AV126" s="761"/>
      <c r="AW126" s="648">
        <v>1</v>
      </c>
      <c r="AX126" s="1488" t="s">
        <v>5007</v>
      </c>
      <c r="AY126" s="1489"/>
      <c r="AZ126" s="1489"/>
      <c r="BA126" s="1489"/>
      <c r="BB126" s="1489"/>
      <c r="BC126" s="1489"/>
      <c r="BD126" s="1489"/>
      <c r="BE126" s="1489"/>
      <c r="BF126" s="1490"/>
      <c r="BG126" s="811"/>
      <c r="BK126" s="810"/>
      <c r="BL126" s="1710" t="s">
        <v>2413</v>
      </c>
      <c r="BM126" s="1693"/>
      <c r="BN126" s="1693"/>
      <c r="BO126" s="1693"/>
      <c r="BP126" s="1693"/>
      <c r="BQ126" s="1693"/>
      <c r="BR126" s="1693"/>
      <c r="BS126" s="1693"/>
      <c r="BT126" s="1693"/>
      <c r="BU126" s="1694"/>
      <c r="BV126" s="790"/>
      <c r="BX126" s="1482" t="s">
        <v>1757</v>
      </c>
      <c r="BY126" s="1510"/>
      <c r="BZ126" s="1510"/>
      <c r="CA126" s="1510"/>
      <c r="CB126" s="1510"/>
      <c r="CC126" s="1510"/>
      <c r="CD126" s="1510"/>
      <c r="CE126" s="1510"/>
      <c r="CF126" s="1510"/>
      <c r="CG126" s="1511"/>
      <c r="CH126" s="811"/>
      <c r="CL126" s="810"/>
      <c r="CM126" s="1654" t="s">
        <v>2988</v>
      </c>
      <c r="CN126" s="1655"/>
      <c r="CO126" s="1655"/>
      <c r="CP126" s="1655"/>
      <c r="CQ126" s="1655"/>
      <c r="CR126" s="1655"/>
      <c r="CS126" s="1655"/>
      <c r="CT126" s="1655"/>
      <c r="CU126" s="1655"/>
      <c r="CV126" s="1655"/>
      <c r="CY126" s="1766"/>
      <c r="CZ126" s="1762"/>
      <c r="DA126" s="1762"/>
      <c r="DB126" s="1762"/>
      <c r="DC126" s="1762"/>
      <c r="DD126" s="1762"/>
      <c r="DE126" s="1762"/>
      <c r="DF126" s="1762"/>
      <c r="DG126" s="1762"/>
      <c r="DH126" s="1762"/>
      <c r="DK126" s="1654" t="s">
        <v>2147</v>
      </c>
      <c r="DL126" s="1655"/>
      <c r="DM126" s="1655"/>
      <c r="DN126" s="1655"/>
      <c r="DO126" s="1655"/>
      <c r="DP126" s="1655"/>
      <c r="DQ126" s="1655"/>
      <c r="DR126" s="1655"/>
      <c r="DS126" s="1655"/>
      <c r="DT126" s="1655"/>
      <c r="DU126" s="811"/>
      <c r="DY126" s="810"/>
      <c r="EF126" s="648">
        <v>1</v>
      </c>
      <c r="EG126" s="1488" t="s">
        <v>5395</v>
      </c>
      <c r="EH126" s="1489"/>
      <c r="EI126" s="1489"/>
      <c r="EJ126" s="1489"/>
      <c r="EK126" s="1489"/>
      <c r="EL126" s="1489"/>
      <c r="EM126" s="1489"/>
      <c r="EN126" s="1489"/>
      <c r="EO126" s="1490"/>
      <c r="EV126" s="811"/>
      <c r="FB126" s="810"/>
      <c r="FC126" s="1654" t="s">
        <v>3181</v>
      </c>
      <c r="FD126" s="1655"/>
      <c r="FE126" s="1655"/>
      <c r="FF126" s="1655"/>
      <c r="FG126" s="1655"/>
      <c r="FH126" s="1655"/>
      <c r="FI126" s="1655"/>
      <c r="FJ126" s="1655"/>
      <c r="FK126" s="1655"/>
      <c r="FL126" s="1655"/>
      <c r="FS126" s="1654" t="s">
        <v>3745</v>
      </c>
      <c r="FT126" s="1655"/>
      <c r="FU126" s="1655"/>
      <c r="FV126" s="1655"/>
      <c r="FW126" s="1655"/>
      <c r="FX126" s="1655"/>
      <c r="FY126" s="1655"/>
      <c r="FZ126" s="1655"/>
      <c r="GA126" s="1655"/>
      <c r="GB126" s="1655"/>
      <c r="GC126" s="811"/>
      <c r="GG126" s="810"/>
      <c r="GH126" s="1543" t="s">
        <v>3160</v>
      </c>
      <c r="GI126" s="1544"/>
      <c r="GJ126" s="1544"/>
      <c r="GK126" s="1544"/>
      <c r="GL126" s="1544"/>
      <c r="GM126" s="1544"/>
      <c r="GN126" s="1544"/>
      <c r="GO126" s="1544"/>
      <c r="GP126" s="1544"/>
      <c r="GQ126" s="1545"/>
      <c r="GT126" s="1482" t="s">
        <v>1480</v>
      </c>
      <c r="GU126" s="1483"/>
      <c r="GV126" s="1483"/>
      <c r="GW126" s="1483"/>
      <c r="GX126" s="1483"/>
      <c r="GY126" s="1483"/>
      <c r="GZ126" s="1483"/>
      <c r="HA126" s="1483"/>
      <c r="HB126" s="1483"/>
      <c r="HC126" s="1484"/>
      <c r="HG126" s="1482" t="s">
        <v>1416</v>
      </c>
      <c r="HH126" s="1483"/>
      <c r="HI126" s="1483"/>
      <c r="HJ126" s="1483"/>
      <c r="HK126" s="1483"/>
      <c r="HL126" s="1483"/>
      <c r="HM126" s="1483"/>
      <c r="HN126" s="1483"/>
      <c r="HO126" s="1483"/>
      <c r="HP126" s="1484"/>
      <c r="HT126" s="1482" t="s">
        <v>1661</v>
      </c>
      <c r="HU126" s="1483"/>
      <c r="HV126" s="1483"/>
      <c r="HW126" s="1483"/>
      <c r="HX126" s="1483"/>
      <c r="HY126" s="1483"/>
      <c r="HZ126" s="1483"/>
      <c r="IA126" s="1483"/>
      <c r="IB126" s="1483"/>
      <c r="IC126" s="1484"/>
      <c r="IG126" s="1482" t="s">
        <v>4472</v>
      </c>
      <c r="IH126" s="1483"/>
      <c r="II126" s="1483"/>
      <c r="IJ126" s="1483"/>
      <c r="IK126" s="1483"/>
      <c r="IL126" s="1483"/>
      <c r="IM126" s="1483"/>
      <c r="IN126" s="1483"/>
      <c r="IO126" s="1483"/>
      <c r="IP126" s="1484"/>
      <c r="IS126" s="1768" t="s">
        <v>1507</v>
      </c>
      <c r="IT126" s="1483"/>
      <c r="IU126" s="1483"/>
      <c r="IV126" s="1483"/>
      <c r="IW126" s="1483"/>
      <c r="IX126" s="1483"/>
      <c r="IY126" s="1483"/>
      <c r="IZ126" s="1483"/>
      <c r="JA126" s="1483"/>
      <c r="JB126" s="1484"/>
      <c r="JC126" s="811"/>
      <c r="JI126" s="810"/>
      <c r="JN126" s="854"/>
      <c r="JS126" s="754">
        <f>SUM(JJ128,JJ130)</f>
        <v>2</v>
      </c>
      <c r="JY126" s="854"/>
      <c r="KA126" s="861"/>
      <c r="KD126" s="754">
        <f>SUM(JU128,JU130,JU132,JU134,JU136,JU138)</f>
        <v>5</v>
      </c>
      <c r="KJ126" s="854"/>
      <c r="KM126" s="861"/>
      <c r="KO126" s="754">
        <f>SUM(KF128,KF130,KF132,KF134,KF136,KF138,KF140,KF142,KF144,KF146,KF148)</f>
        <v>11</v>
      </c>
      <c r="KQ126" s="854"/>
      <c r="KU126" s="861"/>
      <c r="KV126" s="861"/>
      <c r="KZ126" s="754">
        <f>SUM(KQ128,KQ130,KQ132)</f>
        <v>2</v>
      </c>
      <c r="LF126" s="861"/>
      <c r="LG126" s="861"/>
      <c r="LI126" s="894"/>
      <c r="LK126" s="754">
        <f>SUM(LB128,LB130)</f>
        <v>1</v>
      </c>
      <c r="LN126" s="861"/>
      <c r="LQ126" s="854"/>
      <c r="LV126" s="754">
        <f>SUM(LM128,LM130,LM132,LM134,LM136,LM138+LM140+LM142)</f>
        <v>5</v>
      </c>
      <c r="MA126" s="894"/>
      <c r="MB126" s="861"/>
      <c r="MG126" s="754">
        <f>SUM(LX128,LX130,LX132,LX134,LX136,LX138,LX140,LX144,LX142)</f>
        <v>9</v>
      </c>
      <c r="MH126" s="811"/>
      <c r="MO126" s="811"/>
      <c r="NA126" s="908"/>
      <c r="OE126" s="908"/>
      <c r="OV126" s="786"/>
      <c r="PN126" s="908"/>
      <c r="RM126" s="785"/>
      <c r="RZ126" s="811"/>
      <c r="SG126" s="758"/>
    </row>
    <row r="127" spans="4:501" ht="12.75" customHeight="1" x14ac:dyDescent="0.35">
      <c r="D127" s="758"/>
      <c r="V127" s="810"/>
      <c r="Y127" s="1482" t="s">
        <v>3670</v>
      </c>
      <c r="Z127" s="1510"/>
      <c r="AA127" s="1510"/>
      <c r="AB127" s="1510"/>
      <c r="AC127" s="1510"/>
      <c r="AD127" s="1510"/>
      <c r="AE127" s="1510"/>
      <c r="AF127" s="1510"/>
      <c r="AG127" s="1510"/>
      <c r="AH127" s="1511"/>
      <c r="AK127" s="1482" t="s">
        <v>4589</v>
      </c>
      <c r="AL127" s="1510"/>
      <c r="AM127" s="1510"/>
      <c r="AN127" s="1510"/>
      <c r="AO127" s="1510"/>
      <c r="AP127" s="1510"/>
      <c r="AQ127" s="1510"/>
      <c r="AR127" s="1510"/>
      <c r="AS127" s="1510"/>
      <c r="AT127" s="1511"/>
      <c r="AV127" s="761"/>
      <c r="AW127" s="1482" t="s">
        <v>2340</v>
      </c>
      <c r="AX127" s="1510"/>
      <c r="AY127" s="1510"/>
      <c r="AZ127" s="1510"/>
      <c r="BA127" s="1510"/>
      <c r="BB127" s="1510"/>
      <c r="BC127" s="1510"/>
      <c r="BD127" s="1510"/>
      <c r="BE127" s="1510"/>
      <c r="BF127" s="1511"/>
      <c r="BG127" s="811"/>
      <c r="BK127" s="810"/>
      <c r="BL127" s="648">
        <v>1</v>
      </c>
      <c r="BM127" s="1488" t="s">
        <v>5396</v>
      </c>
      <c r="BN127" s="1489"/>
      <c r="BO127" s="1489"/>
      <c r="BP127" s="1489"/>
      <c r="BQ127" s="1489"/>
      <c r="BR127" s="1489"/>
      <c r="BS127" s="1489"/>
      <c r="BT127" s="1489"/>
      <c r="BU127" s="1490"/>
      <c r="BV127" s="790"/>
      <c r="BX127" s="648">
        <v>1</v>
      </c>
      <c r="BY127" s="1488" t="s">
        <v>5396</v>
      </c>
      <c r="BZ127" s="1489"/>
      <c r="CA127" s="1489"/>
      <c r="CB127" s="1489"/>
      <c r="CC127" s="1489"/>
      <c r="CD127" s="1489"/>
      <c r="CE127" s="1489"/>
      <c r="CF127" s="1489"/>
      <c r="CG127" s="1490"/>
      <c r="CH127" s="944"/>
      <c r="CL127" s="810"/>
      <c r="CM127" s="648">
        <v>1</v>
      </c>
      <c r="CN127" s="1488" t="s">
        <v>5390</v>
      </c>
      <c r="CO127" s="1489"/>
      <c r="CP127" s="1489"/>
      <c r="CQ127" s="1489"/>
      <c r="CR127" s="1489"/>
      <c r="CS127" s="1489"/>
      <c r="CT127" s="1489"/>
      <c r="CU127" s="1489"/>
      <c r="CV127" s="1490"/>
      <c r="DK127" s="617">
        <v>1</v>
      </c>
      <c r="DL127" s="1488" t="s">
        <v>5390</v>
      </c>
      <c r="DM127" s="1489"/>
      <c r="DN127" s="1489"/>
      <c r="DO127" s="1489"/>
      <c r="DP127" s="1489"/>
      <c r="DQ127" s="1489"/>
      <c r="DR127" s="1489"/>
      <c r="DS127" s="1489"/>
      <c r="DT127" s="1490"/>
      <c r="DU127" s="811"/>
      <c r="DY127" s="810"/>
      <c r="EF127" s="1652" t="s">
        <v>4451</v>
      </c>
      <c r="EG127" s="1510"/>
      <c r="EH127" s="1510"/>
      <c r="EI127" s="1510"/>
      <c r="EJ127" s="1510"/>
      <c r="EK127" s="1510"/>
      <c r="EL127" s="1510"/>
      <c r="EM127" s="1510"/>
      <c r="EN127" s="1510"/>
      <c r="EO127" s="1511"/>
      <c r="EV127" s="811"/>
      <c r="FB127" s="810"/>
      <c r="FC127" s="648">
        <v>1</v>
      </c>
      <c r="FD127" s="1653" t="s">
        <v>5163</v>
      </c>
      <c r="FE127" s="1653"/>
      <c r="FF127" s="1653"/>
      <c r="FG127" s="1653"/>
      <c r="FH127" s="1653"/>
      <c r="FI127" s="1653"/>
      <c r="FJ127" s="1653"/>
      <c r="FK127" s="1653"/>
      <c r="FL127" s="1653"/>
      <c r="FS127" s="648">
        <v>1</v>
      </c>
      <c r="FT127" s="1653" t="s">
        <v>5163</v>
      </c>
      <c r="FU127" s="1653"/>
      <c r="FV127" s="1653"/>
      <c r="FW127" s="1653"/>
      <c r="FX127" s="1653"/>
      <c r="FY127" s="1653"/>
      <c r="FZ127" s="1653"/>
      <c r="GA127" s="1653"/>
      <c r="GB127" s="1653"/>
      <c r="GC127" s="811"/>
      <c r="GG127" s="810"/>
      <c r="GH127" s="648">
        <v>1</v>
      </c>
      <c r="GI127" s="1653" t="s">
        <v>5165</v>
      </c>
      <c r="GJ127" s="1653"/>
      <c r="GK127" s="1653"/>
      <c r="GL127" s="1653"/>
      <c r="GM127" s="1653"/>
      <c r="GN127" s="1653"/>
      <c r="GO127" s="1653"/>
      <c r="GP127" s="1653"/>
      <c r="GQ127" s="1653"/>
      <c r="GT127" s="648">
        <v>1</v>
      </c>
      <c r="GU127" s="1759" t="s">
        <v>5165</v>
      </c>
      <c r="GV127" s="1760"/>
      <c r="GW127" s="1760"/>
      <c r="GX127" s="1760"/>
      <c r="GY127" s="1760"/>
      <c r="GZ127" s="1760"/>
      <c r="HA127" s="1760"/>
      <c r="HB127" s="1760"/>
      <c r="HC127" s="1761"/>
      <c r="HG127" s="648">
        <v>1</v>
      </c>
      <c r="HH127" s="1653" t="s">
        <v>5165</v>
      </c>
      <c r="HI127" s="1653"/>
      <c r="HJ127" s="1653"/>
      <c r="HK127" s="1653"/>
      <c r="HL127" s="1653"/>
      <c r="HM127" s="1653"/>
      <c r="HN127" s="1653"/>
      <c r="HO127" s="1653"/>
      <c r="HP127" s="1653"/>
      <c r="HT127" s="648">
        <v>1</v>
      </c>
      <c r="HU127" s="1653" t="s">
        <v>5165</v>
      </c>
      <c r="HV127" s="1653"/>
      <c r="HW127" s="1653"/>
      <c r="HX127" s="1653"/>
      <c r="HY127" s="1653"/>
      <c r="HZ127" s="1653"/>
      <c r="IA127" s="1653"/>
      <c r="IB127" s="1653"/>
      <c r="IC127" s="1653"/>
      <c r="IG127" s="648">
        <v>1</v>
      </c>
      <c r="IH127" s="1653" t="s">
        <v>5165</v>
      </c>
      <c r="II127" s="1653"/>
      <c r="IJ127" s="1653"/>
      <c r="IK127" s="1653"/>
      <c r="IL127" s="1653"/>
      <c r="IM127" s="1653"/>
      <c r="IN127" s="1653"/>
      <c r="IO127" s="1653"/>
      <c r="IP127" s="1653"/>
      <c r="IS127" s="648">
        <v>1</v>
      </c>
      <c r="IT127" s="1653" t="s">
        <v>5165</v>
      </c>
      <c r="IU127" s="1653"/>
      <c r="IV127" s="1653"/>
      <c r="IW127" s="1653"/>
      <c r="IX127" s="1653"/>
      <c r="IY127" s="1653"/>
      <c r="IZ127" s="1653"/>
      <c r="JA127" s="1653"/>
      <c r="JB127" s="1653"/>
      <c r="JC127" s="811"/>
      <c r="JI127" s="810"/>
      <c r="JJ127" s="1653" t="s">
        <v>5397</v>
      </c>
      <c r="JK127" s="1653"/>
      <c r="JL127" s="1653"/>
      <c r="JM127" s="1653"/>
      <c r="JN127" s="1653"/>
      <c r="JO127" s="1653"/>
      <c r="JP127" s="1653"/>
      <c r="JQ127" s="1653"/>
      <c r="JR127" s="1653"/>
      <c r="JS127" s="1653"/>
      <c r="JU127" s="1653" t="s">
        <v>5398</v>
      </c>
      <c r="JV127" s="1653"/>
      <c r="JW127" s="1653"/>
      <c r="JX127" s="1653"/>
      <c r="JY127" s="1653"/>
      <c r="JZ127" s="1653"/>
      <c r="KA127" s="1653"/>
      <c r="KB127" s="1653"/>
      <c r="KC127" s="1653"/>
      <c r="KD127" s="1653"/>
      <c r="KF127" s="1653" t="s">
        <v>5399</v>
      </c>
      <c r="KG127" s="1653"/>
      <c r="KH127" s="1653"/>
      <c r="KI127" s="1653"/>
      <c r="KJ127" s="1653"/>
      <c r="KK127" s="1653"/>
      <c r="KL127" s="1653"/>
      <c r="KM127" s="1653"/>
      <c r="KN127" s="1653"/>
      <c r="KO127" s="1653"/>
      <c r="KQ127" s="1767" t="s">
        <v>5400</v>
      </c>
      <c r="KR127" s="1767"/>
      <c r="KS127" s="1767"/>
      <c r="KT127" s="1767"/>
      <c r="KU127" s="1767"/>
      <c r="KV127" s="1767"/>
      <c r="KW127" s="1767"/>
      <c r="KX127" s="1767"/>
      <c r="KY127" s="1767"/>
      <c r="KZ127" s="1767"/>
      <c r="LB127" s="1653" t="s">
        <v>5191</v>
      </c>
      <c r="LC127" s="1653"/>
      <c r="LD127" s="1653"/>
      <c r="LE127" s="1653"/>
      <c r="LF127" s="1653"/>
      <c r="LG127" s="1653"/>
      <c r="LH127" s="1653"/>
      <c r="LI127" s="1653"/>
      <c r="LJ127" s="1653"/>
      <c r="LK127" s="1653"/>
      <c r="LM127" s="1653" t="s">
        <v>5401</v>
      </c>
      <c r="LN127" s="1653"/>
      <c r="LO127" s="1653"/>
      <c r="LP127" s="1653"/>
      <c r="LQ127" s="1653"/>
      <c r="LR127" s="1653"/>
      <c r="LS127" s="1653"/>
      <c r="LT127" s="1653"/>
      <c r="LU127" s="1653"/>
      <c r="LV127" s="1653"/>
      <c r="LX127" s="1488" t="s">
        <v>5402</v>
      </c>
      <c r="LY127" s="1489"/>
      <c r="LZ127" s="1489"/>
      <c r="MA127" s="1489"/>
      <c r="MB127" s="1489"/>
      <c r="MC127" s="1489"/>
      <c r="MD127" s="1489"/>
      <c r="ME127" s="1489"/>
      <c r="MF127" s="1489"/>
      <c r="MG127" s="1490"/>
      <c r="MH127" s="811"/>
      <c r="MO127" s="811"/>
      <c r="NA127" s="786"/>
      <c r="OE127" s="786"/>
      <c r="OV127" s="816"/>
      <c r="PN127" s="786"/>
      <c r="RM127" s="791"/>
      <c r="RZ127" s="811"/>
      <c r="SG127" s="758"/>
    </row>
    <row r="128" spans="4:501" ht="12.75" customHeight="1" x14ac:dyDescent="0.2">
      <c r="D128" s="758"/>
      <c r="V128" s="810"/>
      <c r="Y128" s="648">
        <v>1</v>
      </c>
      <c r="Z128" s="1488" t="s">
        <v>5007</v>
      </c>
      <c r="AA128" s="1489"/>
      <c r="AB128" s="1489"/>
      <c r="AC128" s="1489"/>
      <c r="AD128" s="1489"/>
      <c r="AE128" s="1489"/>
      <c r="AF128" s="1489"/>
      <c r="AG128" s="1489"/>
      <c r="AH128" s="1490"/>
      <c r="AK128" s="648">
        <v>1</v>
      </c>
      <c r="AL128" s="1488" t="s">
        <v>5007</v>
      </c>
      <c r="AM128" s="1489"/>
      <c r="AN128" s="1489"/>
      <c r="AO128" s="1489"/>
      <c r="AP128" s="1489"/>
      <c r="AQ128" s="1489"/>
      <c r="AR128" s="1489"/>
      <c r="AS128" s="1489"/>
      <c r="AT128" s="1490"/>
      <c r="AV128" s="761"/>
      <c r="AW128" s="648">
        <v>1</v>
      </c>
      <c r="AX128" s="1488" t="s">
        <v>5007</v>
      </c>
      <c r="AY128" s="1489"/>
      <c r="AZ128" s="1489"/>
      <c r="BA128" s="1489"/>
      <c r="BB128" s="1489"/>
      <c r="BC128" s="1489"/>
      <c r="BD128" s="1489"/>
      <c r="BE128" s="1489"/>
      <c r="BF128" s="1490"/>
      <c r="BG128" s="811"/>
      <c r="BK128" s="810"/>
      <c r="BL128" s="1482" t="s">
        <v>2933</v>
      </c>
      <c r="BM128" s="1510"/>
      <c r="BN128" s="1510"/>
      <c r="BO128" s="1510"/>
      <c r="BP128" s="1510"/>
      <c r="BQ128" s="1510"/>
      <c r="BR128" s="1510"/>
      <c r="BS128" s="1510"/>
      <c r="BT128" s="1510"/>
      <c r="BU128" s="1511"/>
      <c r="BV128" s="790"/>
      <c r="BX128" s="1482" t="s">
        <v>3151</v>
      </c>
      <c r="BY128" s="1510"/>
      <c r="BZ128" s="1510"/>
      <c r="CA128" s="1510"/>
      <c r="CB128" s="1510"/>
      <c r="CC128" s="1510"/>
      <c r="CD128" s="1510"/>
      <c r="CE128" s="1510"/>
      <c r="CF128" s="1510"/>
      <c r="CG128" s="1511"/>
      <c r="CH128" s="944"/>
      <c r="CL128" s="810"/>
      <c r="CM128" s="1654" t="s">
        <v>1095</v>
      </c>
      <c r="CN128" s="1655"/>
      <c r="CO128" s="1655"/>
      <c r="CP128" s="1655"/>
      <c r="CQ128" s="1655"/>
      <c r="CR128" s="1655"/>
      <c r="CS128" s="1655"/>
      <c r="CT128" s="1655"/>
      <c r="CU128" s="1655"/>
      <c r="CV128" s="1655"/>
      <c r="DK128" s="1654" t="s">
        <v>3846</v>
      </c>
      <c r="DL128" s="1770"/>
      <c r="DM128" s="1770"/>
      <c r="DN128" s="1770"/>
      <c r="DO128" s="1770"/>
      <c r="DP128" s="1770"/>
      <c r="DQ128" s="1770"/>
      <c r="DR128" s="1770"/>
      <c r="DS128" s="1770"/>
      <c r="DT128" s="1770"/>
      <c r="DU128" s="811"/>
      <c r="DY128" s="810"/>
      <c r="EF128" s="648">
        <v>1</v>
      </c>
      <c r="EG128" s="1488" t="s">
        <v>5403</v>
      </c>
      <c r="EH128" s="1489"/>
      <c r="EI128" s="1489"/>
      <c r="EJ128" s="1489"/>
      <c r="EK128" s="1489"/>
      <c r="EL128" s="1489"/>
      <c r="EM128" s="1489"/>
      <c r="EN128" s="1489"/>
      <c r="EO128" s="1490"/>
      <c r="EV128" s="811"/>
      <c r="FB128" s="810"/>
      <c r="FC128" s="1722" t="s">
        <v>2591</v>
      </c>
      <c r="FD128" s="1723"/>
      <c r="FE128" s="1723"/>
      <c r="FF128" s="1723"/>
      <c r="FG128" s="1723"/>
      <c r="FH128" s="1723"/>
      <c r="FI128" s="1723"/>
      <c r="FJ128" s="1723"/>
      <c r="FK128" s="1723"/>
      <c r="FL128" s="1723"/>
      <c r="FS128" s="1654" t="s">
        <v>2014</v>
      </c>
      <c r="FT128" s="1655"/>
      <c r="FU128" s="1655"/>
      <c r="FV128" s="1655"/>
      <c r="FW128" s="1655"/>
      <c r="FX128" s="1655"/>
      <c r="FY128" s="1655"/>
      <c r="FZ128" s="1655"/>
      <c r="GA128" s="1655"/>
      <c r="GB128" s="1655"/>
      <c r="GC128" s="811"/>
      <c r="GG128" s="810"/>
      <c r="GH128" s="1482" t="s">
        <v>1514</v>
      </c>
      <c r="GI128" s="1510"/>
      <c r="GJ128" s="1510"/>
      <c r="GK128" s="1510"/>
      <c r="GL128" s="1510"/>
      <c r="GM128" s="1510"/>
      <c r="GN128" s="1510"/>
      <c r="GO128" s="1510"/>
      <c r="GP128" s="1510"/>
      <c r="GQ128" s="1511"/>
      <c r="GT128" s="1482" t="s">
        <v>1763</v>
      </c>
      <c r="GU128" s="1483"/>
      <c r="GV128" s="1483"/>
      <c r="GW128" s="1483"/>
      <c r="GX128" s="1483"/>
      <c r="GY128" s="1483"/>
      <c r="GZ128" s="1483"/>
      <c r="HA128" s="1483"/>
      <c r="HB128" s="1483"/>
      <c r="HC128" s="1484"/>
      <c r="HG128" s="1482" t="s">
        <v>1446</v>
      </c>
      <c r="HH128" s="1483"/>
      <c r="HI128" s="1483"/>
      <c r="HJ128" s="1483"/>
      <c r="HK128" s="1483"/>
      <c r="HL128" s="1483"/>
      <c r="HM128" s="1483"/>
      <c r="HN128" s="1483"/>
      <c r="HO128" s="1483"/>
      <c r="HP128" s="1484"/>
      <c r="HT128" s="1482" t="s">
        <v>2395</v>
      </c>
      <c r="HU128" s="1483"/>
      <c r="HV128" s="1483"/>
      <c r="HW128" s="1483"/>
      <c r="HX128" s="1483"/>
      <c r="HY128" s="1483"/>
      <c r="HZ128" s="1483"/>
      <c r="IA128" s="1483"/>
      <c r="IB128" s="1483"/>
      <c r="IC128" s="1484"/>
      <c r="IG128" s="1666" t="s">
        <v>1300</v>
      </c>
      <c r="IH128" s="1667"/>
      <c r="II128" s="1667"/>
      <c r="IJ128" s="1667"/>
      <c r="IK128" s="1667"/>
      <c r="IL128" s="1667"/>
      <c r="IM128" s="1667"/>
      <c r="IN128" s="1667"/>
      <c r="IO128" s="1667"/>
      <c r="IP128" s="1668"/>
      <c r="IS128" s="1710" t="s">
        <v>4397</v>
      </c>
      <c r="IT128" s="1667"/>
      <c r="IU128" s="1667"/>
      <c r="IV128" s="1667"/>
      <c r="IW128" s="1667"/>
      <c r="IX128" s="1667"/>
      <c r="IY128" s="1667"/>
      <c r="IZ128" s="1667"/>
      <c r="JA128" s="1667"/>
      <c r="JB128" s="1668"/>
      <c r="JC128" s="811"/>
      <c r="JI128" s="810"/>
      <c r="JJ128" s="648">
        <v>1</v>
      </c>
      <c r="JK128" s="1576" t="s">
        <v>4933</v>
      </c>
      <c r="JL128" s="1577"/>
      <c r="JM128" s="1577"/>
      <c r="JN128" s="1577"/>
      <c r="JO128" s="1577"/>
      <c r="JP128" s="1577"/>
      <c r="JQ128" s="1577"/>
      <c r="JR128" s="1577"/>
      <c r="JS128" s="1578"/>
      <c r="JU128" s="648">
        <v>1</v>
      </c>
      <c r="JV128" s="1488" t="s">
        <v>5346</v>
      </c>
      <c r="JW128" s="1489"/>
      <c r="JX128" s="1489"/>
      <c r="JY128" s="1489"/>
      <c r="JZ128" s="1489"/>
      <c r="KA128" s="1489"/>
      <c r="KB128" s="1489"/>
      <c r="KC128" s="1489"/>
      <c r="KD128" s="1490"/>
      <c r="KF128" s="648">
        <v>1</v>
      </c>
      <c r="KG128" s="1488" t="s">
        <v>5154</v>
      </c>
      <c r="KH128" s="1489"/>
      <c r="KI128" s="1489"/>
      <c r="KJ128" s="1489"/>
      <c r="KK128" s="1489"/>
      <c r="KL128" s="1489"/>
      <c r="KM128" s="1489"/>
      <c r="KN128" s="1489"/>
      <c r="KO128" s="1490"/>
      <c r="KQ128" s="887">
        <v>1</v>
      </c>
      <c r="KR128" s="1769" t="s">
        <v>5346</v>
      </c>
      <c r="KS128" s="1769"/>
      <c r="KT128" s="1769"/>
      <c r="KU128" s="1769"/>
      <c r="KV128" s="1769"/>
      <c r="KW128" s="1769"/>
      <c r="KX128" s="1769"/>
      <c r="KY128" s="1769"/>
      <c r="KZ128" s="1769"/>
      <c r="LB128" s="648">
        <v>1</v>
      </c>
      <c r="LC128" s="1488" t="s">
        <v>5165</v>
      </c>
      <c r="LD128" s="1489"/>
      <c r="LE128" s="1489"/>
      <c r="LF128" s="1489"/>
      <c r="LG128" s="1489"/>
      <c r="LH128" s="1489"/>
      <c r="LI128" s="1489"/>
      <c r="LJ128" s="1489"/>
      <c r="LK128" s="1490"/>
      <c r="LM128" s="648">
        <v>1</v>
      </c>
      <c r="LN128" s="1488" t="s">
        <v>5404</v>
      </c>
      <c r="LO128" s="1489"/>
      <c r="LP128" s="1489"/>
      <c r="LQ128" s="1489"/>
      <c r="LR128" s="1489"/>
      <c r="LS128" s="1489"/>
      <c r="LT128" s="1489"/>
      <c r="LU128" s="1489"/>
      <c r="LV128" s="1490"/>
      <c r="LX128" s="648">
        <v>1</v>
      </c>
      <c r="LY128" s="1488" t="s">
        <v>5007</v>
      </c>
      <c r="LZ128" s="1489"/>
      <c r="MA128" s="1489"/>
      <c r="MB128" s="1489"/>
      <c r="MC128" s="1489"/>
      <c r="MD128" s="1489"/>
      <c r="ME128" s="1489"/>
      <c r="MF128" s="1489"/>
      <c r="MG128" s="1490"/>
      <c r="MH128" s="811"/>
      <c r="MO128" s="811"/>
      <c r="NA128" s="786"/>
      <c r="OE128" s="786"/>
      <c r="OR128" s="648">
        <v>1</v>
      </c>
      <c r="OS128" s="1653" t="s">
        <v>5405</v>
      </c>
      <c r="OT128" s="1653"/>
      <c r="OU128" s="1653"/>
      <c r="OV128" s="1653"/>
      <c r="OW128" s="1653"/>
      <c r="OX128" s="1653"/>
      <c r="OY128" s="1653"/>
      <c r="OZ128" s="1653"/>
      <c r="PA128" s="1653"/>
      <c r="PN128" s="786"/>
      <c r="RM128" s="791"/>
      <c r="RZ128" s="811"/>
      <c r="SG128" s="758"/>
    </row>
    <row r="129" spans="4:551" ht="12.75" customHeight="1" x14ac:dyDescent="0.35">
      <c r="D129" s="758"/>
      <c r="V129" s="810"/>
      <c r="Y129" s="1482" t="s">
        <v>2482</v>
      </c>
      <c r="Z129" s="1510"/>
      <c r="AA129" s="1510"/>
      <c r="AB129" s="1510"/>
      <c r="AC129" s="1510"/>
      <c r="AD129" s="1510"/>
      <c r="AE129" s="1510"/>
      <c r="AF129" s="1510"/>
      <c r="AG129" s="1510"/>
      <c r="AH129" s="1511"/>
      <c r="AK129" s="1482" t="s">
        <v>5406</v>
      </c>
      <c r="AL129" s="1510"/>
      <c r="AM129" s="1510"/>
      <c r="AN129" s="1510"/>
      <c r="AO129" s="1510"/>
      <c r="AP129" s="1510"/>
      <c r="AQ129" s="1510"/>
      <c r="AR129" s="1510"/>
      <c r="AS129" s="1510"/>
      <c r="AT129" s="1511"/>
      <c r="AV129" s="761"/>
      <c r="AW129" s="1763" t="s">
        <v>4499</v>
      </c>
      <c r="AX129" s="1764"/>
      <c r="AY129" s="1764"/>
      <c r="AZ129" s="1764"/>
      <c r="BA129" s="1764"/>
      <c r="BB129" s="1764"/>
      <c r="BC129" s="1764"/>
      <c r="BD129" s="1764"/>
      <c r="BE129" s="1764"/>
      <c r="BF129" s="1765"/>
      <c r="BG129" s="811"/>
      <c r="BK129" s="810"/>
      <c r="BL129" s="648">
        <v>1</v>
      </c>
      <c r="BM129" s="1488" t="s">
        <v>5220</v>
      </c>
      <c r="BN129" s="1489"/>
      <c r="BO129" s="1489"/>
      <c r="BP129" s="1489"/>
      <c r="BQ129" s="1489"/>
      <c r="BR129" s="1489"/>
      <c r="BS129" s="1489"/>
      <c r="BT129" s="1489"/>
      <c r="BU129" s="1490"/>
      <c r="BV129" s="790"/>
      <c r="BX129" s="648">
        <v>1</v>
      </c>
      <c r="BY129" s="1488" t="s">
        <v>5220</v>
      </c>
      <c r="BZ129" s="1489"/>
      <c r="CA129" s="1489"/>
      <c r="CB129" s="1489"/>
      <c r="CC129" s="1489"/>
      <c r="CD129" s="1489"/>
      <c r="CE129" s="1489"/>
      <c r="CF129" s="1489"/>
      <c r="CG129" s="1490"/>
      <c r="CH129" s="944"/>
      <c r="CL129" s="810"/>
      <c r="CM129" s="648">
        <v>1</v>
      </c>
      <c r="CN129" s="1488" t="s">
        <v>5407</v>
      </c>
      <c r="CO129" s="1489"/>
      <c r="CP129" s="1489"/>
      <c r="CQ129" s="1489"/>
      <c r="CR129" s="1489"/>
      <c r="CS129" s="1489"/>
      <c r="CT129" s="1489"/>
      <c r="CU129" s="1489"/>
      <c r="CV129" s="1490"/>
      <c r="DK129" s="617">
        <v>1</v>
      </c>
      <c r="DL129" s="1488" t="s">
        <v>5408</v>
      </c>
      <c r="DM129" s="1489"/>
      <c r="DN129" s="1489"/>
      <c r="DO129" s="1489"/>
      <c r="DP129" s="1489"/>
      <c r="DQ129" s="1489"/>
      <c r="DR129" s="1489"/>
      <c r="DS129" s="1489"/>
      <c r="DT129" s="1490"/>
      <c r="DU129" s="811"/>
      <c r="DY129" s="810"/>
      <c r="EF129" s="1652" t="s">
        <v>5409</v>
      </c>
      <c r="EG129" s="1510"/>
      <c r="EH129" s="1510"/>
      <c r="EI129" s="1510"/>
      <c r="EJ129" s="1510"/>
      <c r="EK129" s="1510"/>
      <c r="EL129" s="1510"/>
      <c r="EM129" s="1510"/>
      <c r="EN129" s="1510"/>
      <c r="EO129" s="1511"/>
      <c r="EV129" s="811"/>
      <c r="FB129" s="810"/>
      <c r="FC129" s="648">
        <v>1</v>
      </c>
      <c r="FD129" s="1653" t="s">
        <v>5163</v>
      </c>
      <c r="FE129" s="1653"/>
      <c r="FF129" s="1653"/>
      <c r="FG129" s="1653"/>
      <c r="FH129" s="1653"/>
      <c r="FI129" s="1653"/>
      <c r="FJ129" s="1653"/>
      <c r="FK129" s="1653"/>
      <c r="FL129" s="1653"/>
      <c r="FS129" s="648">
        <v>1</v>
      </c>
      <c r="FT129" s="1653" t="s">
        <v>5163</v>
      </c>
      <c r="FU129" s="1653"/>
      <c r="FV129" s="1653"/>
      <c r="FW129" s="1653"/>
      <c r="FX129" s="1653"/>
      <c r="FY129" s="1653"/>
      <c r="FZ129" s="1653"/>
      <c r="GA129" s="1653"/>
      <c r="GB129" s="1653"/>
      <c r="GC129" s="811"/>
      <c r="GG129" s="810"/>
      <c r="GH129" s="648">
        <v>1</v>
      </c>
      <c r="GI129" s="1653" t="s">
        <v>5165</v>
      </c>
      <c r="GJ129" s="1653"/>
      <c r="GK129" s="1653"/>
      <c r="GL129" s="1653"/>
      <c r="GM129" s="1653"/>
      <c r="GN129" s="1653"/>
      <c r="GO129" s="1653"/>
      <c r="GP129" s="1653"/>
      <c r="GQ129" s="1653"/>
      <c r="GT129" s="648">
        <v>1</v>
      </c>
      <c r="GU129" s="1759" t="s">
        <v>5165</v>
      </c>
      <c r="GV129" s="1760"/>
      <c r="GW129" s="1760"/>
      <c r="GX129" s="1760"/>
      <c r="GY129" s="1760"/>
      <c r="GZ129" s="1760"/>
      <c r="HA129" s="1760"/>
      <c r="HB129" s="1760"/>
      <c r="HC129" s="1761"/>
      <c r="HG129" s="648">
        <v>1</v>
      </c>
      <c r="HH129" s="1653" t="s">
        <v>5165</v>
      </c>
      <c r="HI129" s="1653"/>
      <c r="HJ129" s="1653"/>
      <c r="HK129" s="1653"/>
      <c r="HL129" s="1653"/>
      <c r="HM129" s="1653"/>
      <c r="HN129" s="1653"/>
      <c r="HO129" s="1653"/>
      <c r="HP129" s="1653"/>
      <c r="HT129" s="648">
        <v>1</v>
      </c>
      <c r="HU129" s="1653" t="s">
        <v>5165</v>
      </c>
      <c r="HV129" s="1653"/>
      <c r="HW129" s="1653"/>
      <c r="HX129" s="1653"/>
      <c r="HY129" s="1653"/>
      <c r="HZ129" s="1653"/>
      <c r="IA129" s="1653"/>
      <c r="IB129" s="1653"/>
      <c r="IC129" s="1653"/>
      <c r="IG129" s="648">
        <v>1</v>
      </c>
      <c r="IH129" s="1653" t="s">
        <v>5165</v>
      </c>
      <c r="II129" s="1653"/>
      <c r="IJ129" s="1653"/>
      <c r="IK129" s="1653"/>
      <c r="IL129" s="1653"/>
      <c r="IM129" s="1653"/>
      <c r="IN129" s="1653"/>
      <c r="IO129" s="1653"/>
      <c r="IP129" s="1653"/>
      <c r="IS129" s="648">
        <v>1</v>
      </c>
      <c r="IT129" s="1653" t="s">
        <v>5165</v>
      </c>
      <c r="IU129" s="1653"/>
      <c r="IV129" s="1653"/>
      <c r="IW129" s="1653"/>
      <c r="IX129" s="1653"/>
      <c r="IY129" s="1653"/>
      <c r="IZ129" s="1653"/>
      <c r="JA129" s="1653"/>
      <c r="JB129" s="1653"/>
      <c r="JC129" s="811"/>
      <c r="JI129" s="810"/>
      <c r="JJ129" s="1652" t="s">
        <v>3867</v>
      </c>
      <c r="JK129" s="1510"/>
      <c r="JL129" s="1510"/>
      <c r="JM129" s="1510"/>
      <c r="JN129" s="1510"/>
      <c r="JO129" s="1510"/>
      <c r="JP129" s="1510"/>
      <c r="JQ129" s="1510"/>
      <c r="JR129" s="1510"/>
      <c r="JS129" s="1511"/>
      <c r="JU129" s="1652" t="s">
        <v>1670</v>
      </c>
      <c r="JV129" s="1510"/>
      <c r="JW129" s="1510"/>
      <c r="JX129" s="1510"/>
      <c r="JY129" s="1510"/>
      <c r="JZ129" s="1510"/>
      <c r="KA129" s="1510"/>
      <c r="KB129" s="1510"/>
      <c r="KC129" s="1510"/>
      <c r="KD129" s="1511"/>
      <c r="KF129" s="1652" t="s">
        <v>1075</v>
      </c>
      <c r="KG129" s="1510"/>
      <c r="KH129" s="1510"/>
      <c r="KI129" s="1510"/>
      <c r="KJ129" s="1510"/>
      <c r="KK129" s="1510"/>
      <c r="KL129" s="1510"/>
      <c r="KM129" s="1510"/>
      <c r="KN129" s="1510"/>
      <c r="KO129" s="1511"/>
      <c r="KQ129" s="1771" t="s">
        <v>2117</v>
      </c>
      <c r="KR129" s="1771"/>
      <c r="KS129" s="1771"/>
      <c r="KT129" s="1771"/>
      <c r="KU129" s="1771"/>
      <c r="KV129" s="1771"/>
      <c r="KW129" s="1771"/>
      <c r="KX129" s="1771"/>
      <c r="KY129" s="1771"/>
      <c r="KZ129" s="1771"/>
      <c r="LB129" s="1753" t="s">
        <v>131</v>
      </c>
      <c r="LC129" s="1712"/>
      <c r="LD129" s="1712"/>
      <c r="LE129" s="1712"/>
      <c r="LF129" s="1712"/>
      <c r="LG129" s="1712"/>
      <c r="LH129" s="1712"/>
      <c r="LI129" s="1712"/>
      <c r="LJ129" s="1712"/>
      <c r="LK129" s="1713"/>
      <c r="LM129" s="1735" t="s">
        <v>3055</v>
      </c>
      <c r="LN129" s="1736"/>
      <c r="LO129" s="1736"/>
      <c r="LP129" s="1736"/>
      <c r="LQ129" s="1736"/>
      <c r="LR129" s="1736"/>
      <c r="LS129" s="1736"/>
      <c r="LT129" s="1736"/>
      <c r="LU129" s="1736"/>
      <c r="LV129" s="1737"/>
      <c r="LX129" s="1666" t="s">
        <v>3589</v>
      </c>
      <c r="LY129" s="1693"/>
      <c r="LZ129" s="1693"/>
      <c r="MA129" s="1693"/>
      <c r="MB129" s="1693"/>
      <c r="MC129" s="1693"/>
      <c r="MD129" s="1693"/>
      <c r="ME129" s="1693"/>
      <c r="MF129" s="1693"/>
      <c r="MG129" s="1694"/>
      <c r="MH129" s="811"/>
      <c r="MO129" s="811"/>
      <c r="NA129" s="786"/>
      <c r="OE129" s="786"/>
      <c r="OR129" s="1655" t="s">
        <v>1718</v>
      </c>
      <c r="OS129" s="1655"/>
      <c r="OT129" s="1655"/>
      <c r="OU129" s="1655"/>
      <c r="OV129" s="1655"/>
      <c r="OW129" s="1655"/>
      <c r="OX129" s="1655"/>
      <c r="OY129" s="1655"/>
      <c r="OZ129" s="1655"/>
      <c r="PA129" s="1655"/>
      <c r="PN129" s="786"/>
      <c r="RM129" s="791"/>
      <c r="RZ129" s="811"/>
      <c r="SG129" s="758"/>
    </row>
    <row r="130" spans="4:551" ht="12.75" customHeight="1" x14ac:dyDescent="0.2">
      <c r="D130" s="758"/>
      <c r="V130" s="810"/>
      <c r="Y130" s="648">
        <v>1</v>
      </c>
      <c r="Z130" s="1488" t="s">
        <v>5220</v>
      </c>
      <c r="AA130" s="1489"/>
      <c r="AB130" s="1489"/>
      <c r="AC130" s="1489"/>
      <c r="AD130" s="1489"/>
      <c r="AE130" s="1489"/>
      <c r="AF130" s="1489"/>
      <c r="AG130" s="1489"/>
      <c r="AH130" s="1490"/>
      <c r="AK130" s="648">
        <v>1</v>
      </c>
      <c r="AL130" s="1488" t="s">
        <v>5007</v>
      </c>
      <c r="AM130" s="1489"/>
      <c r="AN130" s="1489"/>
      <c r="AO130" s="1489"/>
      <c r="AP130" s="1489"/>
      <c r="AQ130" s="1489"/>
      <c r="AR130" s="1489"/>
      <c r="AS130" s="1489"/>
      <c r="AT130" s="1490"/>
      <c r="AV130" s="761"/>
      <c r="AW130" s="648">
        <v>1</v>
      </c>
      <c r="AX130" s="1488" t="s">
        <v>5007</v>
      </c>
      <c r="AY130" s="1489"/>
      <c r="AZ130" s="1489"/>
      <c r="BA130" s="1489"/>
      <c r="BB130" s="1489"/>
      <c r="BC130" s="1489"/>
      <c r="BD130" s="1489"/>
      <c r="BE130" s="1489"/>
      <c r="BF130" s="1490"/>
      <c r="BG130" s="811"/>
      <c r="BK130" s="810"/>
      <c r="BL130" s="1482" t="s">
        <v>3491</v>
      </c>
      <c r="BM130" s="1510"/>
      <c r="BN130" s="1510"/>
      <c r="BO130" s="1510"/>
      <c r="BP130" s="1510"/>
      <c r="BQ130" s="1510"/>
      <c r="BR130" s="1510"/>
      <c r="BS130" s="1510"/>
      <c r="BT130" s="1510"/>
      <c r="BU130" s="1511"/>
      <c r="BV130" s="790"/>
      <c r="BX130" s="1735" t="s">
        <v>3562</v>
      </c>
      <c r="BY130" s="1736"/>
      <c r="BZ130" s="1736"/>
      <c r="CA130" s="1736"/>
      <c r="CB130" s="1736"/>
      <c r="CC130" s="1736"/>
      <c r="CD130" s="1736"/>
      <c r="CE130" s="1736"/>
      <c r="CF130" s="1736"/>
      <c r="CG130" s="1737"/>
      <c r="CH130" s="944"/>
      <c r="CL130" s="810"/>
      <c r="CM130" s="1772" t="s">
        <v>5410</v>
      </c>
      <c r="CN130" s="1706"/>
      <c r="CO130" s="1706"/>
      <c r="CP130" s="1706"/>
      <c r="CQ130" s="1706"/>
      <c r="CR130" s="1706"/>
      <c r="CS130" s="1706"/>
      <c r="CT130" s="1706"/>
      <c r="CU130" s="1706"/>
      <c r="CV130" s="1706"/>
      <c r="DK130" s="1482" t="s">
        <v>1413</v>
      </c>
      <c r="DL130" s="1510"/>
      <c r="DM130" s="1510"/>
      <c r="DN130" s="1510"/>
      <c r="DO130" s="1510"/>
      <c r="DP130" s="1510"/>
      <c r="DQ130" s="1510"/>
      <c r="DR130" s="1510"/>
      <c r="DS130" s="1510"/>
      <c r="DT130" s="1511"/>
      <c r="DU130" s="811"/>
      <c r="DY130" s="810"/>
      <c r="EF130" s="648">
        <v>1</v>
      </c>
      <c r="EG130" s="1488" t="s">
        <v>5220</v>
      </c>
      <c r="EH130" s="1489"/>
      <c r="EI130" s="1489"/>
      <c r="EJ130" s="1489"/>
      <c r="EK130" s="1489"/>
      <c r="EL130" s="1489"/>
      <c r="EM130" s="1489"/>
      <c r="EN130" s="1489"/>
      <c r="EO130" s="1490"/>
      <c r="EV130" s="811"/>
      <c r="FB130" s="810"/>
      <c r="FC130" s="1654" t="s">
        <v>1940</v>
      </c>
      <c r="FD130" s="1655"/>
      <c r="FE130" s="1655"/>
      <c r="FF130" s="1655"/>
      <c r="FG130" s="1655"/>
      <c r="FH130" s="1655"/>
      <c r="FI130" s="1655"/>
      <c r="FJ130" s="1655"/>
      <c r="FK130" s="1655"/>
      <c r="FL130" s="1655"/>
      <c r="FS130" s="1722" t="s">
        <v>728</v>
      </c>
      <c r="FT130" s="1723"/>
      <c r="FU130" s="1723"/>
      <c r="FV130" s="1723"/>
      <c r="FW130" s="1723"/>
      <c r="FX130" s="1723"/>
      <c r="FY130" s="1723"/>
      <c r="FZ130" s="1723"/>
      <c r="GA130" s="1723"/>
      <c r="GB130" s="1723"/>
      <c r="GC130" s="811"/>
      <c r="GG130" s="810"/>
      <c r="GH130" s="1689" t="s">
        <v>177</v>
      </c>
      <c r="GI130" s="1712"/>
      <c r="GJ130" s="1712"/>
      <c r="GK130" s="1712"/>
      <c r="GL130" s="1712"/>
      <c r="GM130" s="1712"/>
      <c r="GN130" s="1712"/>
      <c r="GO130" s="1712"/>
      <c r="GP130" s="1712"/>
      <c r="GQ130" s="1713"/>
      <c r="GT130" s="1689" t="s">
        <v>131</v>
      </c>
      <c r="GU130" s="1690"/>
      <c r="GV130" s="1690"/>
      <c r="GW130" s="1690"/>
      <c r="GX130" s="1690"/>
      <c r="GY130" s="1690"/>
      <c r="GZ130" s="1690"/>
      <c r="HA130" s="1690"/>
      <c r="HB130" s="1690"/>
      <c r="HC130" s="1691"/>
      <c r="HG130" s="1689" t="s">
        <v>177</v>
      </c>
      <c r="HH130" s="1690"/>
      <c r="HI130" s="1690"/>
      <c r="HJ130" s="1690"/>
      <c r="HK130" s="1690"/>
      <c r="HL130" s="1690"/>
      <c r="HM130" s="1690"/>
      <c r="HN130" s="1690"/>
      <c r="HO130" s="1690"/>
      <c r="HP130" s="1691"/>
      <c r="HT130" s="1666" t="s">
        <v>2469</v>
      </c>
      <c r="HU130" s="1667"/>
      <c r="HV130" s="1667"/>
      <c r="HW130" s="1667"/>
      <c r="HX130" s="1667"/>
      <c r="HY130" s="1667"/>
      <c r="HZ130" s="1667"/>
      <c r="IA130" s="1667"/>
      <c r="IB130" s="1667"/>
      <c r="IC130" s="1668"/>
      <c r="IG130" s="1482" t="s">
        <v>2898</v>
      </c>
      <c r="IH130" s="1483"/>
      <c r="II130" s="1483"/>
      <c r="IJ130" s="1483"/>
      <c r="IK130" s="1483"/>
      <c r="IL130" s="1483"/>
      <c r="IM130" s="1483"/>
      <c r="IN130" s="1483"/>
      <c r="IO130" s="1483"/>
      <c r="IP130" s="1484"/>
      <c r="IS130" s="1666" t="s">
        <v>3622</v>
      </c>
      <c r="IT130" s="1667"/>
      <c r="IU130" s="1667"/>
      <c r="IV130" s="1667"/>
      <c r="IW130" s="1667"/>
      <c r="IX130" s="1667"/>
      <c r="IY130" s="1667"/>
      <c r="IZ130" s="1667"/>
      <c r="JA130" s="1667"/>
      <c r="JB130" s="1668"/>
      <c r="JC130" s="811"/>
      <c r="JI130" s="810"/>
      <c r="JJ130" s="648">
        <v>1</v>
      </c>
      <c r="JK130" s="1576" t="s">
        <v>4933</v>
      </c>
      <c r="JL130" s="1577"/>
      <c r="JM130" s="1577"/>
      <c r="JN130" s="1577"/>
      <c r="JO130" s="1577"/>
      <c r="JP130" s="1577"/>
      <c r="JQ130" s="1577"/>
      <c r="JR130" s="1577"/>
      <c r="JS130" s="1578"/>
      <c r="JU130" s="648"/>
      <c r="JV130" s="1488"/>
      <c r="JW130" s="1489"/>
      <c r="JX130" s="1489"/>
      <c r="JY130" s="1489"/>
      <c r="JZ130" s="1489"/>
      <c r="KA130" s="1489"/>
      <c r="KB130" s="1489"/>
      <c r="KC130" s="1489"/>
      <c r="KD130" s="1490"/>
      <c r="KF130" s="648">
        <v>1</v>
      </c>
      <c r="KG130" s="1488" t="s">
        <v>5203</v>
      </c>
      <c r="KH130" s="1489"/>
      <c r="KI130" s="1489"/>
      <c r="KJ130" s="1489"/>
      <c r="KK130" s="1489"/>
      <c r="KL130" s="1489"/>
      <c r="KM130" s="1489"/>
      <c r="KN130" s="1489"/>
      <c r="KO130" s="1490"/>
      <c r="KQ130" s="887"/>
      <c r="KR130" s="1769"/>
      <c r="KS130" s="1769"/>
      <c r="KT130" s="1769"/>
      <c r="KU130" s="1769"/>
      <c r="KV130" s="1769"/>
      <c r="KW130" s="1769"/>
      <c r="KX130" s="1769"/>
      <c r="KY130" s="1769"/>
      <c r="KZ130" s="1769"/>
      <c r="LB130" s="648"/>
      <c r="LC130" s="1488"/>
      <c r="LD130" s="1489"/>
      <c r="LE130" s="1489"/>
      <c r="LF130" s="1489"/>
      <c r="LG130" s="1489"/>
      <c r="LH130" s="1489"/>
      <c r="LI130" s="1489"/>
      <c r="LJ130" s="1489"/>
      <c r="LK130" s="1490"/>
      <c r="LM130" s="648">
        <v>1</v>
      </c>
      <c r="LN130" s="1488" t="s">
        <v>5250</v>
      </c>
      <c r="LO130" s="1489"/>
      <c r="LP130" s="1489"/>
      <c r="LQ130" s="1489"/>
      <c r="LR130" s="1489"/>
      <c r="LS130" s="1489"/>
      <c r="LT130" s="1489"/>
      <c r="LU130" s="1489"/>
      <c r="LV130" s="1490"/>
      <c r="LW130" s="778"/>
      <c r="LX130" s="892">
        <v>1</v>
      </c>
      <c r="LY130" s="1488" t="s">
        <v>5241</v>
      </c>
      <c r="LZ130" s="1489"/>
      <c r="MA130" s="1489"/>
      <c r="MB130" s="1489"/>
      <c r="MC130" s="1489"/>
      <c r="MD130" s="1489"/>
      <c r="ME130" s="1489"/>
      <c r="MF130" s="1489"/>
      <c r="MG130" s="1490"/>
      <c r="MH130" s="944"/>
      <c r="MO130" s="811"/>
      <c r="NA130" s="786"/>
      <c r="OE130" s="786"/>
      <c r="PN130" s="786"/>
      <c r="RM130" s="791"/>
      <c r="RZ130" s="811"/>
      <c r="SG130" s="758"/>
    </row>
    <row r="131" spans="4:551" ht="12.75" customHeight="1" x14ac:dyDescent="0.35">
      <c r="D131" s="758"/>
      <c r="V131" s="810"/>
      <c r="Y131" s="1543" t="s">
        <v>1225</v>
      </c>
      <c r="Z131" s="1544"/>
      <c r="AA131" s="1544"/>
      <c r="AB131" s="1544"/>
      <c r="AC131" s="1544"/>
      <c r="AD131" s="1544"/>
      <c r="AE131" s="1544"/>
      <c r="AF131" s="1544"/>
      <c r="AG131" s="1544"/>
      <c r="AH131" s="1545"/>
      <c r="AK131" s="1482" t="s">
        <v>2868</v>
      </c>
      <c r="AL131" s="1510"/>
      <c r="AM131" s="1510"/>
      <c r="AN131" s="1510"/>
      <c r="AO131" s="1510"/>
      <c r="AP131" s="1510"/>
      <c r="AQ131" s="1510"/>
      <c r="AR131" s="1510"/>
      <c r="AS131" s="1510"/>
      <c r="AT131" s="1511"/>
      <c r="AV131" s="761"/>
      <c r="AW131" s="1482" t="s">
        <v>4583</v>
      </c>
      <c r="AX131" s="1510"/>
      <c r="AY131" s="1510"/>
      <c r="AZ131" s="1510"/>
      <c r="BA131" s="1510"/>
      <c r="BB131" s="1510"/>
      <c r="BC131" s="1510"/>
      <c r="BD131" s="1510"/>
      <c r="BE131" s="1510"/>
      <c r="BF131" s="1511"/>
      <c r="BG131" s="811"/>
      <c r="BK131" s="810"/>
      <c r="BL131" s="648">
        <v>1</v>
      </c>
      <c r="BM131" s="1488" t="s">
        <v>5220</v>
      </c>
      <c r="BN131" s="1489"/>
      <c r="BO131" s="1489"/>
      <c r="BP131" s="1489"/>
      <c r="BQ131" s="1489"/>
      <c r="BR131" s="1489"/>
      <c r="BS131" s="1489"/>
      <c r="BT131" s="1489"/>
      <c r="BU131" s="1490"/>
      <c r="BV131" s="790"/>
      <c r="BX131" s="648">
        <v>1</v>
      </c>
      <c r="BY131" s="1488" t="s">
        <v>5220</v>
      </c>
      <c r="BZ131" s="1489"/>
      <c r="CA131" s="1489"/>
      <c r="CB131" s="1489"/>
      <c r="CC131" s="1489"/>
      <c r="CD131" s="1489"/>
      <c r="CE131" s="1489"/>
      <c r="CF131" s="1489"/>
      <c r="CG131" s="1490"/>
      <c r="CH131" s="944"/>
      <c r="CL131" s="810"/>
      <c r="CM131" s="648">
        <v>1</v>
      </c>
      <c r="CN131" s="1488" t="s">
        <v>5390</v>
      </c>
      <c r="CO131" s="1489"/>
      <c r="CP131" s="1489"/>
      <c r="CQ131" s="1489"/>
      <c r="CR131" s="1489"/>
      <c r="CS131" s="1489"/>
      <c r="CT131" s="1489"/>
      <c r="CU131" s="1489"/>
      <c r="CV131" s="1490"/>
      <c r="DK131" s="648">
        <v>1</v>
      </c>
      <c r="DL131" s="1488" t="s">
        <v>5408</v>
      </c>
      <c r="DM131" s="1489"/>
      <c r="DN131" s="1489"/>
      <c r="DO131" s="1489"/>
      <c r="DP131" s="1489"/>
      <c r="DQ131" s="1489"/>
      <c r="DR131" s="1489"/>
      <c r="DS131" s="1489"/>
      <c r="DT131" s="1490"/>
      <c r="DU131" s="811"/>
      <c r="DY131" s="810"/>
      <c r="EF131" s="1652" t="s">
        <v>4391</v>
      </c>
      <c r="EG131" s="1510"/>
      <c r="EH131" s="1510"/>
      <c r="EI131" s="1510"/>
      <c r="EJ131" s="1510"/>
      <c r="EK131" s="1510"/>
      <c r="EL131" s="1510"/>
      <c r="EM131" s="1510"/>
      <c r="EN131" s="1510"/>
      <c r="EO131" s="1511"/>
      <c r="EV131" s="811"/>
      <c r="FB131" s="810"/>
      <c r="FC131" s="648">
        <v>1</v>
      </c>
      <c r="FD131" s="1653" t="s">
        <v>5163</v>
      </c>
      <c r="FE131" s="1653"/>
      <c r="FF131" s="1653"/>
      <c r="FG131" s="1653"/>
      <c r="FH131" s="1653"/>
      <c r="FI131" s="1653"/>
      <c r="FJ131" s="1653"/>
      <c r="FK131" s="1653"/>
      <c r="FL131" s="1653"/>
      <c r="FS131" s="648">
        <v>1</v>
      </c>
      <c r="FT131" s="1653" t="s">
        <v>5163</v>
      </c>
      <c r="FU131" s="1653"/>
      <c r="FV131" s="1653"/>
      <c r="FW131" s="1653"/>
      <c r="FX131" s="1653"/>
      <c r="FY131" s="1653"/>
      <c r="FZ131" s="1653"/>
      <c r="GA131" s="1653"/>
      <c r="GB131" s="1653"/>
      <c r="GC131" s="811"/>
      <c r="GG131" s="810"/>
      <c r="GH131" s="648">
        <v>1</v>
      </c>
      <c r="GI131" s="1653" t="s">
        <v>5165</v>
      </c>
      <c r="GJ131" s="1653"/>
      <c r="GK131" s="1653"/>
      <c r="GL131" s="1653"/>
      <c r="GM131" s="1653"/>
      <c r="GN131" s="1653"/>
      <c r="GO131" s="1653"/>
      <c r="GP131" s="1653"/>
      <c r="GQ131" s="1653"/>
      <c r="GT131" s="648">
        <v>1</v>
      </c>
      <c r="GU131" s="1759" t="s">
        <v>5165</v>
      </c>
      <c r="GV131" s="1760"/>
      <c r="GW131" s="1760"/>
      <c r="GX131" s="1760"/>
      <c r="GY131" s="1760"/>
      <c r="GZ131" s="1760"/>
      <c r="HA131" s="1760"/>
      <c r="HB131" s="1760"/>
      <c r="HC131" s="1761"/>
      <c r="HG131" s="648">
        <v>1</v>
      </c>
      <c r="HH131" s="1653" t="s">
        <v>5165</v>
      </c>
      <c r="HI131" s="1653"/>
      <c r="HJ131" s="1653"/>
      <c r="HK131" s="1653"/>
      <c r="HL131" s="1653"/>
      <c r="HM131" s="1653"/>
      <c r="HN131" s="1653"/>
      <c r="HO131" s="1653"/>
      <c r="HP131" s="1653"/>
      <c r="HT131" s="648">
        <v>1</v>
      </c>
      <c r="HU131" s="1653" t="s">
        <v>5165</v>
      </c>
      <c r="HV131" s="1653"/>
      <c r="HW131" s="1653"/>
      <c r="HX131" s="1653"/>
      <c r="HY131" s="1653"/>
      <c r="HZ131" s="1653"/>
      <c r="IA131" s="1653"/>
      <c r="IB131" s="1653"/>
      <c r="IC131" s="1653"/>
      <c r="IG131" s="648">
        <v>1</v>
      </c>
      <c r="IH131" s="1653" t="s">
        <v>5165</v>
      </c>
      <c r="II131" s="1653"/>
      <c r="IJ131" s="1653"/>
      <c r="IK131" s="1653"/>
      <c r="IL131" s="1653"/>
      <c r="IM131" s="1653"/>
      <c r="IN131" s="1653"/>
      <c r="IO131" s="1653"/>
      <c r="IP131" s="1653"/>
      <c r="IS131" s="648">
        <v>1</v>
      </c>
      <c r="IT131" s="1653" t="s">
        <v>5165</v>
      </c>
      <c r="IU131" s="1653"/>
      <c r="IV131" s="1653"/>
      <c r="IW131" s="1653"/>
      <c r="IX131" s="1653"/>
      <c r="IY131" s="1653"/>
      <c r="IZ131" s="1653"/>
      <c r="JA131" s="1653"/>
      <c r="JB131" s="1653"/>
      <c r="JC131" s="811"/>
      <c r="JI131" s="810"/>
      <c r="JJ131" s="1652" t="s">
        <v>3781</v>
      </c>
      <c r="JK131" s="1510"/>
      <c r="JL131" s="1510"/>
      <c r="JM131" s="1510"/>
      <c r="JN131" s="1510"/>
      <c r="JO131" s="1510"/>
      <c r="JP131" s="1510"/>
      <c r="JQ131" s="1510"/>
      <c r="JR131" s="1510"/>
      <c r="JS131" s="1511"/>
      <c r="JU131" s="1753"/>
      <c r="JV131" s="1712"/>
      <c r="JW131" s="1712"/>
      <c r="JX131" s="1712"/>
      <c r="JY131" s="1712"/>
      <c r="JZ131" s="1712"/>
      <c r="KA131" s="1712"/>
      <c r="KB131" s="1712"/>
      <c r="KC131" s="1712"/>
      <c r="KD131" s="1713"/>
      <c r="KF131" s="1652" t="s">
        <v>1841</v>
      </c>
      <c r="KG131" s="1510"/>
      <c r="KH131" s="1510"/>
      <c r="KI131" s="1510"/>
      <c r="KJ131" s="1510"/>
      <c r="KK131" s="1510"/>
      <c r="KL131" s="1510"/>
      <c r="KM131" s="1510"/>
      <c r="KN131" s="1510"/>
      <c r="KO131" s="1511"/>
      <c r="KQ131" s="1704"/>
      <c r="KR131" s="1704"/>
      <c r="KS131" s="1704"/>
      <c r="KT131" s="1704"/>
      <c r="KU131" s="1704"/>
      <c r="KV131" s="1704"/>
      <c r="KW131" s="1704"/>
      <c r="KX131" s="1704"/>
      <c r="KY131" s="1704"/>
      <c r="KZ131" s="1704"/>
      <c r="LB131" s="1773"/>
      <c r="LC131" s="1747"/>
      <c r="LD131" s="1747"/>
      <c r="LE131" s="1747"/>
      <c r="LF131" s="1747"/>
      <c r="LG131" s="1747"/>
      <c r="LH131" s="1747"/>
      <c r="LI131" s="1747"/>
      <c r="LJ131" s="1747"/>
      <c r="LK131" s="1748"/>
      <c r="LM131" s="1652" t="s">
        <v>4667</v>
      </c>
      <c r="LN131" s="1510"/>
      <c r="LO131" s="1510"/>
      <c r="LP131" s="1510"/>
      <c r="LQ131" s="1510"/>
      <c r="LR131" s="1510"/>
      <c r="LS131" s="1510"/>
      <c r="LT131" s="1510"/>
      <c r="LU131" s="1510"/>
      <c r="LV131" s="1511"/>
      <c r="LX131" s="1652" t="s">
        <v>5411</v>
      </c>
      <c r="LY131" s="1510"/>
      <c r="LZ131" s="1510"/>
      <c r="MA131" s="1510"/>
      <c r="MB131" s="1510"/>
      <c r="MC131" s="1510"/>
      <c r="MD131" s="1510"/>
      <c r="ME131" s="1510"/>
      <c r="MF131" s="1510"/>
      <c r="MG131" s="1511"/>
      <c r="MH131" s="811"/>
      <c r="MO131" s="811"/>
      <c r="NA131" s="786"/>
      <c r="OE131" s="786"/>
      <c r="PN131" s="786"/>
      <c r="RM131" s="791"/>
      <c r="RZ131" s="811"/>
      <c r="SG131" s="758"/>
    </row>
    <row r="132" spans="4:551" ht="12.75" customHeight="1" x14ac:dyDescent="0.35">
      <c r="D132" s="758"/>
      <c r="V132" s="810"/>
      <c r="Y132" s="648">
        <v>1</v>
      </c>
      <c r="Z132" s="1488" t="s">
        <v>5220</v>
      </c>
      <c r="AA132" s="1489"/>
      <c r="AB132" s="1489"/>
      <c r="AC132" s="1489"/>
      <c r="AD132" s="1489"/>
      <c r="AE132" s="1489"/>
      <c r="AF132" s="1489"/>
      <c r="AG132" s="1489"/>
      <c r="AH132" s="1490"/>
      <c r="AK132" s="648">
        <v>1</v>
      </c>
      <c r="AL132" s="1488" t="s">
        <v>5220</v>
      </c>
      <c r="AM132" s="1489"/>
      <c r="AN132" s="1489"/>
      <c r="AO132" s="1489"/>
      <c r="AP132" s="1489"/>
      <c r="AQ132" s="1489"/>
      <c r="AR132" s="1489"/>
      <c r="AS132" s="1489"/>
      <c r="AT132" s="1490"/>
      <c r="AV132" s="755"/>
      <c r="AW132" s="648">
        <v>1</v>
      </c>
      <c r="AX132" s="1488" t="s">
        <v>5220</v>
      </c>
      <c r="AY132" s="1489"/>
      <c r="AZ132" s="1489"/>
      <c r="BA132" s="1489"/>
      <c r="BB132" s="1489"/>
      <c r="BC132" s="1489"/>
      <c r="BD132" s="1489"/>
      <c r="BE132" s="1489"/>
      <c r="BF132" s="1490"/>
      <c r="BG132" s="811"/>
      <c r="BK132" s="810"/>
      <c r="BL132" s="1735" t="s">
        <v>4454</v>
      </c>
      <c r="BM132" s="1736"/>
      <c r="BN132" s="1736"/>
      <c r="BO132" s="1736"/>
      <c r="BP132" s="1736"/>
      <c r="BQ132" s="1736"/>
      <c r="BR132" s="1736"/>
      <c r="BS132" s="1736"/>
      <c r="BT132" s="1736"/>
      <c r="BU132" s="1737"/>
      <c r="BV132" s="790"/>
      <c r="BX132" s="1482" t="s">
        <v>1860</v>
      </c>
      <c r="BY132" s="1510"/>
      <c r="BZ132" s="1510"/>
      <c r="CA132" s="1510"/>
      <c r="CB132" s="1510"/>
      <c r="CC132" s="1510"/>
      <c r="CD132" s="1510"/>
      <c r="CE132" s="1510"/>
      <c r="CF132" s="1510"/>
      <c r="CG132" s="1511"/>
      <c r="CH132" s="944"/>
      <c r="CL132" s="810"/>
      <c r="CM132" s="1666" t="s">
        <v>2711</v>
      </c>
      <c r="CN132" s="1693"/>
      <c r="CO132" s="1693"/>
      <c r="CP132" s="1693"/>
      <c r="CQ132" s="1693"/>
      <c r="CR132" s="1693"/>
      <c r="CS132" s="1693"/>
      <c r="CT132" s="1693"/>
      <c r="CU132" s="1693"/>
      <c r="CV132" s="1694"/>
      <c r="DK132" s="1666" t="s">
        <v>2542</v>
      </c>
      <c r="DL132" s="1693"/>
      <c r="DM132" s="1693"/>
      <c r="DN132" s="1693"/>
      <c r="DO132" s="1693"/>
      <c r="DP132" s="1693"/>
      <c r="DQ132" s="1693"/>
      <c r="DR132" s="1693"/>
      <c r="DS132" s="1693"/>
      <c r="DT132" s="1694"/>
      <c r="DU132" s="811"/>
      <c r="DV132" s="945"/>
      <c r="DW132" s="945"/>
      <c r="DX132" s="945"/>
      <c r="DY132" s="946"/>
      <c r="EF132" s="648">
        <v>1</v>
      </c>
      <c r="EG132" s="1488" t="s">
        <v>5220</v>
      </c>
      <c r="EH132" s="1489"/>
      <c r="EI132" s="1489"/>
      <c r="EJ132" s="1489"/>
      <c r="EK132" s="1489"/>
      <c r="EL132" s="1489"/>
      <c r="EM132" s="1489"/>
      <c r="EN132" s="1489"/>
      <c r="EO132" s="1490"/>
      <c r="EV132" s="811"/>
      <c r="FB132" s="810"/>
      <c r="FC132" s="1777" t="s">
        <v>177</v>
      </c>
      <c r="FD132" s="1778"/>
      <c r="FE132" s="1778"/>
      <c r="FF132" s="1778"/>
      <c r="FG132" s="1778"/>
      <c r="FH132" s="1778"/>
      <c r="FI132" s="1778"/>
      <c r="FJ132" s="1778"/>
      <c r="FK132" s="1778"/>
      <c r="FL132" s="1778"/>
      <c r="FS132" s="1722" t="s">
        <v>2204</v>
      </c>
      <c r="FT132" s="1723"/>
      <c r="FU132" s="1723"/>
      <c r="FV132" s="1723"/>
      <c r="FW132" s="1723"/>
      <c r="FX132" s="1723"/>
      <c r="FY132" s="1723"/>
      <c r="FZ132" s="1723"/>
      <c r="GA132" s="1723"/>
      <c r="GB132" s="1723"/>
      <c r="GC132" s="811"/>
      <c r="GG132" s="810"/>
      <c r="GH132" s="1482" t="s">
        <v>1748</v>
      </c>
      <c r="GI132" s="1510"/>
      <c r="GJ132" s="1510"/>
      <c r="GK132" s="1510"/>
      <c r="GL132" s="1510"/>
      <c r="GM132" s="1510"/>
      <c r="GN132" s="1510"/>
      <c r="GO132" s="1510"/>
      <c r="GP132" s="1510"/>
      <c r="GQ132" s="1511"/>
      <c r="GT132" s="1543" t="s">
        <v>2093</v>
      </c>
      <c r="GU132" s="1729"/>
      <c r="GV132" s="1729"/>
      <c r="GW132" s="1729"/>
      <c r="GX132" s="1729"/>
      <c r="GY132" s="1729"/>
      <c r="GZ132" s="1729"/>
      <c r="HA132" s="1729"/>
      <c r="HB132" s="1729"/>
      <c r="HC132" s="1730"/>
      <c r="HG132" s="1543" t="s">
        <v>4318</v>
      </c>
      <c r="HH132" s="1729"/>
      <c r="HI132" s="1729"/>
      <c r="HJ132" s="1729"/>
      <c r="HK132" s="1729"/>
      <c r="HL132" s="1729"/>
      <c r="HM132" s="1729"/>
      <c r="HN132" s="1729"/>
      <c r="HO132" s="1729"/>
      <c r="HP132" s="1730"/>
      <c r="HT132" s="1482" t="s">
        <v>2648</v>
      </c>
      <c r="HU132" s="1483"/>
      <c r="HV132" s="1483"/>
      <c r="HW132" s="1483"/>
      <c r="HX132" s="1483"/>
      <c r="HY132" s="1483"/>
      <c r="HZ132" s="1483"/>
      <c r="IA132" s="1483"/>
      <c r="IB132" s="1483"/>
      <c r="IC132" s="1484"/>
      <c r="IG132" s="1482" t="s">
        <v>3253</v>
      </c>
      <c r="IH132" s="1483"/>
      <c r="II132" s="1483"/>
      <c r="IJ132" s="1483"/>
      <c r="IK132" s="1483"/>
      <c r="IL132" s="1483"/>
      <c r="IM132" s="1483"/>
      <c r="IN132" s="1483"/>
      <c r="IO132" s="1483"/>
      <c r="IP132" s="1484"/>
      <c r="IS132" s="1482" t="s">
        <v>2687</v>
      </c>
      <c r="IT132" s="1483"/>
      <c r="IU132" s="1483"/>
      <c r="IV132" s="1483"/>
      <c r="IW132" s="1483"/>
      <c r="IX132" s="1483"/>
      <c r="IY132" s="1483"/>
      <c r="IZ132" s="1483"/>
      <c r="JA132" s="1483"/>
      <c r="JB132" s="1484"/>
      <c r="JC132" s="811"/>
      <c r="JI132" s="810"/>
      <c r="JU132" s="648">
        <v>1</v>
      </c>
      <c r="JV132" s="1488" t="s">
        <v>5202</v>
      </c>
      <c r="JW132" s="1489"/>
      <c r="JX132" s="1489"/>
      <c r="JY132" s="1489"/>
      <c r="JZ132" s="1489"/>
      <c r="KA132" s="1489"/>
      <c r="KB132" s="1489"/>
      <c r="KC132" s="1489"/>
      <c r="KD132" s="1490"/>
      <c r="KF132" s="648">
        <v>1</v>
      </c>
      <c r="KG132" s="1488" t="s">
        <v>5203</v>
      </c>
      <c r="KH132" s="1489"/>
      <c r="KI132" s="1489"/>
      <c r="KJ132" s="1489"/>
      <c r="KK132" s="1489"/>
      <c r="KL132" s="1489"/>
      <c r="KM132" s="1489"/>
      <c r="KN132" s="1489"/>
      <c r="KO132" s="1490"/>
      <c r="KQ132" s="890">
        <v>1</v>
      </c>
      <c r="KR132" s="1727" t="s">
        <v>5412</v>
      </c>
      <c r="KS132" s="1727"/>
      <c r="KT132" s="1727"/>
      <c r="KU132" s="1727"/>
      <c r="KV132" s="1727"/>
      <c r="KW132" s="1727"/>
      <c r="KX132" s="1727"/>
      <c r="KY132" s="1727"/>
      <c r="KZ132" s="1727"/>
      <c r="LM132" s="648">
        <v>1</v>
      </c>
      <c r="LN132" s="1488" t="s">
        <v>5413</v>
      </c>
      <c r="LO132" s="1489"/>
      <c r="LP132" s="1489"/>
      <c r="LQ132" s="1489"/>
      <c r="LR132" s="1489"/>
      <c r="LS132" s="1489"/>
      <c r="LT132" s="1489"/>
      <c r="LU132" s="1489"/>
      <c r="LV132" s="1490"/>
      <c r="LX132" s="892">
        <v>1</v>
      </c>
      <c r="LY132" s="1488" t="s">
        <v>5241</v>
      </c>
      <c r="LZ132" s="1489"/>
      <c r="MA132" s="1489"/>
      <c r="MB132" s="1489"/>
      <c r="MC132" s="1489"/>
      <c r="MD132" s="1489"/>
      <c r="ME132" s="1489"/>
      <c r="MF132" s="1489"/>
      <c r="MG132" s="1490"/>
      <c r="MH132" s="811"/>
      <c r="MO132" s="811"/>
      <c r="MV132" s="766"/>
      <c r="MW132" s="766"/>
      <c r="MX132" s="766"/>
      <c r="MY132" s="766"/>
      <c r="MZ132" s="766"/>
      <c r="NA132" s="910"/>
      <c r="NB132" s="766"/>
      <c r="NC132" s="766"/>
      <c r="ND132" s="766"/>
      <c r="NE132" s="766"/>
      <c r="NF132" s="766"/>
      <c r="NG132" s="766"/>
      <c r="NT132" s="766"/>
      <c r="NU132" s="766"/>
      <c r="NV132" s="766"/>
      <c r="NW132" s="766"/>
      <c r="NX132" s="766"/>
      <c r="NY132" s="766"/>
      <c r="NZ132" s="766"/>
      <c r="OA132" s="947"/>
      <c r="OB132" s="947"/>
      <c r="OC132" s="947"/>
      <c r="OD132" s="766"/>
      <c r="OE132" s="910"/>
      <c r="OF132" s="766"/>
      <c r="OG132" s="766"/>
      <c r="OH132" s="766"/>
      <c r="OI132" s="766"/>
      <c r="OJ132" s="766"/>
      <c r="OK132" s="766"/>
      <c r="OL132" s="766"/>
      <c r="OM132" s="766"/>
      <c r="PC132" s="766"/>
      <c r="PD132" s="766"/>
      <c r="PE132" s="766"/>
      <c r="PF132" s="766"/>
      <c r="PG132" s="766"/>
      <c r="PH132" s="766"/>
      <c r="PI132" s="766"/>
      <c r="PJ132" s="947"/>
      <c r="PK132" s="947"/>
      <c r="PL132" s="766"/>
      <c r="PM132" s="766"/>
      <c r="PN132" s="910"/>
      <c r="PO132" s="766"/>
      <c r="PP132" s="766"/>
      <c r="PQ132" s="766"/>
      <c r="PR132" s="947"/>
      <c r="PS132" s="947"/>
      <c r="PT132" s="766"/>
      <c r="PU132" s="766"/>
      <c r="PV132" s="766"/>
      <c r="PW132" s="766"/>
      <c r="PX132" s="766"/>
      <c r="PY132" s="766"/>
      <c r="PZ132" s="766"/>
      <c r="QA132" s="831"/>
      <c r="QB132" s="831"/>
      <c r="QC132" s="831"/>
      <c r="QD132" s="831"/>
      <c r="QE132" s="831"/>
      <c r="QF132" s="831"/>
      <c r="QG132" s="831"/>
      <c r="QH132" s="831"/>
      <c r="QI132" s="831"/>
      <c r="QJ132" s="831"/>
      <c r="RD132" s="913"/>
      <c r="RE132" s="913"/>
      <c r="RF132" s="913"/>
      <c r="RG132" s="913"/>
      <c r="RH132" s="947"/>
      <c r="RI132" s="947"/>
      <c r="RJ132" s="947"/>
      <c r="RK132" s="947"/>
      <c r="RL132" s="947"/>
      <c r="RM132" s="948"/>
      <c r="RN132" s="766"/>
      <c r="RO132" s="766"/>
      <c r="RP132" s="766"/>
      <c r="RQ132" s="766"/>
      <c r="RR132" s="766"/>
      <c r="RS132" s="766"/>
      <c r="RZ132" s="811"/>
      <c r="SG132" s="758"/>
      <c r="UD132" s="763"/>
      <c r="UE132" s="763"/>
    </row>
    <row r="133" spans="4:551" ht="12.75" customHeight="1" x14ac:dyDescent="0.35">
      <c r="D133" s="758"/>
      <c r="V133" s="810"/>
      <c r="W133" s="899"/>
      <c r="Y133" s="1774" t="s">
        <v>2814</v>
      </c>
      <c r="Z133" s="1775"/>
      <c r="AA133" s="1775"/>
      <c r="AB133" s="1775"/>
      <c r="AC133" s="1775"/>
      <c r="AD133" s="1775"/>
      <c r="AE133" s="1775"/>
      <c r="AF133" s="1775"/>
      <c r="AG133" s="1775"/>
      <c r="AH133" s="1776"/>
      <c r="AK133" s="1710" t="s">
        <v>3449</v>
      </c>
      <c r="AL133" s="1690"/>
      <c r="AM133" s="1690"/>
      <c r="AN133" s="1690"/>
      <c r="AO133" s="1690"/>
      <c r="AP133" s="1690"/>
      <c r="AQ133" s="1690"/>
      <c r="AR133" s="1690"/>
      <c r="AS133" s="1690"/>
      <c r="AT133" s="1691"/>
      <c r="AV133" s="759"/>
      <c r="AW133" s="1482" t="s">
        <v>1667</v>
      </c>
      <c r="AX133" s="1510"/>
      <c r="AY133" s="1510"/>
      <c r="AZ133" s="1510"/>
      <c r="BA133" s="1510"/>
      <c r="BB133" s="1510"/>
      <c r="BC133" s="1510"/>
      <c r="BD133" s="1510"/>
      <c r="BE133" s="1510"/>
      <c r="BF133" s="1511"/>
      <c r="BG133" s="811"/>
      <c r="BK133" s="810"/>
      <c r="BL133" s="710">
        <v>1</v>
      </c>
      <c r="BM133" s="1567" t="s">
        <v>5007</v>
      </c>
      <c r="BN133" s="1568"/>
      <c r="BO133" s="1568"/>
      <c r="BP133" s="1568"/>
      <c r="BQ133" s="1568"/>
      <c r="BR133" s="1568"/>
      <c r="BS133" s="1568"/>
      <c r="BT133" s="1568"/>
      <c r="BU133" s="1569"/>
      <c r="BV133" s="790"/>
      <c r="BX133" s="648">
        <v>1</v>
      </c>
      <c r="BY133" s="1488" t="s">
        <v>4997</v>
      </c>
      <c r="BZ133" s="1489"/>
      <c r="CA133" s="1489"/>
      <c r="CB133" s="1489"/>
      <c r="CC133" s="1489"/>
      <c r="CD133" s="1489"/>
      <c r="CE133" s="1489"/>
      <c r="CF133" s="1489"/>
      <c r="CG133" s="1490"/>
      <c r="CH133" s="811"/>
      <c r="CL133" s="810"/>
      <c r="CM133" s="648">
        <v>1</v>
      </c>
      <c r="CN133" s="1488" t="s">
        <v>5220</v>
      </c>
      <c r="CO133" s="1489"/>
      <c r="CP133" s="1489"/>
      <c r="CQ133" s="1489"/>
      <c r="CR133" s="1489"/>
      <c r="CS133" s="1489"/>
      <c r="CT133" s="1489"/>
      <c r="CU133" s="1489"/>
      <c r="CV133" s="1490"/>
      <c r="DK133" s="648">
        <v>1</v>
      </c>
      <c r="DL133" s="1488" t="s">
        <v>5179</v>
      </c>
      <c r="DM133" s="1489"/>
      <c r="DN133" s="1489"/>
      <c r="DO133" s="1489"/>
      <c r="DP133" s="1489"/>
      <c r="DQ133" s="1489"/>
      <c r="DR133" s="1489"/>
      <c r="DS133" s="1489"/>
      <c r="DT133" s="1490"/>
      <c r="DU133" s="949"/>
      <c r="DV133" s="755"/>
      <c r="DW133" s="755"/>
      <c r="DX133" s="759"/>
      <c r="DY133" s="950"/>
      <c r="EF133" s="1652" t="s">
        <v>5414</v>
      </c>
      <c r="EG133" s="1510"/>
      <c r="EH133" s="1510"/>
      <c r="EI133" s="1510"/>
      <c r="EJ133" s="1510"/>
      <c r="EK133" s="1510"/>
      <c r="EL133" s="1510"/>
      <c r="EM133" s="1510"/>
      <c r="EN133" s="1510"/>
      <c r="EO133" s="1511"/>
      <c r="EV133" s="811"/>
      <c r="FB133" s="810"/>
      <c r="FC133" s="648">
        <v>1</v>
      </c>
      <c r="FD133" s="1653" t="s">
        <v>5163</v>
      </c>
      <c r="FE133" s="1653"/>
      <c r="FF133" s="1653"/>
      <c r="FG133" s="1653"/>
      <c r="FH133" s="1653"/>
      <c r="FI133" s="1653"/>
      <c r="FJ133" s="1653"/>
      <c r="FK133" s="1653"/>
      <c r="FL133" s="1653"/>
      <c r="FS133" s="704"/>
      <c r="FT133" s="704"/>
      <c r="FU133" s="704"/>
      <c r="FV133" s="704"/>
      <c r="FW133" s="704"/>
      <c r="FX133" s="704"/>
      <c r="FY133" s="704"/>
      <c r="FZ133" s="704"/>
      <c r="GA133" s="704"/>
      <c r="GB133" s="704"/>
      <c r="GC133" s="811"/>
      <c r="GG133" s="810"/>
      <c r="GH133" s="648">
        <v>1</v>
      </c>
      <c r="GI133" s="1653" t="s">
        <v>5165</v>
      </c>
      <c r="GJ133" s="1653"/>
      <c r="GK133" s="1653"/>
      <c r="GL133" s="1653"/>
      <c r="GM133" s="1653"/>
      <c r="GN133" s="1653"/>
      <c r="GO133" s="1653"/>
      <c r="GP133" s="1653"/>
      <c r="GQ133" s="1653"/>
      <c r="GT133" s="648">
        <v>1</v>
      </c>
      <c r="GU133" s="1759" t="s">
        <v>5165</v>
      </c>
      <c r="GV133" s="1760"/>
      <c r="GW133" s="1760"/>
      <c r="GX133" s="1760"/>
      <c r="GY133" s="1760"/>
      <c r="GZ133" s="1760"/>
      <c r="HA133" s="1760"/>
      <c r="HB133" s="1760"/>
      <c r="HC133" s="1761"/>
      <c r="HG133" s="648">
        <v>1</v>
      </c>
      <c r="HH133" s="1653" t="s">
        <v>5165</v>
      </c>
      <c r="HI133" s="1653"/>
      <c r="HJ133" s="1653"/>
      <c r="HK133" s="1653"/>
      <c r="HL133" s="1653"/>
      <c r="HM133" s="1653"/>
      <c r="HN133" s="1653"/>
      <c r="HO133" s="1653"/>
      <c r="HP133" s="1653"/>
      <c r="HT133" s="648">
        <v>1</v>
      </c>
      <c r="HU133" s="1653" t="s">
        <v>5165</v>
      </c>
      <c r="HV133" s="1653"/>
      <c r="HW133" s="1653"/>
      <c r="HX133" s="1653"/>
      <c r="HY133" s="1653"/>
      <c r="HZ133" s="1653"/>
      <c r="IA133" s="1653"/>
      <c r="IB133" s="1653"/>
      <c r="IC133" s="1653"/>
      <c r="IG133" s="648">
        <v>1</v>
      </c>
      <c r="IH133" s="1653" t="s">
        <v>5392</v>
      </c>
      <c r="II133" s="1653"/>
      <c r="IJ133" s="1653"/>
      <c r="IK133" s="1653"/>
      <c r="IL133" s="1653"/>
      <c r="IM133" s="1653"/>
      <c r="IN133" s="1653"/>
      <c r="IO133" s="1653"/>
      <c r="IP133" s="1653"/>
      <c r="IS133" s="648">
        <v>1</v>
      </c>
      <c r="IT133" s="1653" t="s">
        <v>5165</v>
      </c>
      <c r="IU133" s="1653"/>
      <c r="IV133" s="1653"/>
      <c r="IW133" s="1653"/>
      <c r="IX133" s="1653"/>
      <c r="IY133" s="1653"/>
      <c r="IZ133" s="1653"/>
      <c r="JA133" s="1653"/>
      <c r="JB133" s="1653"/>
      <c r="JC133" s="811"/>
      <c r="JI133" s="810"/>
      <c r="JU133" s="1652" t="s">
        <v>3455</v>
      </c>
      <c r="JV133" s="1510"/>
      <c r="JW133" s="1510"/>
      <c r="JX133" s="1510"/>
      <c r="JY133" s="1510"/>
      <c r="JZ133" s="1510"/>
      <c r="KA133" s="1510"/>
      <c r="KB133" s="1510"/>
      <c r="KC133" s="1510"/>
      <c r="KD133" s="1511"/>
      <c r="KF133" s="1785" t="s">
        <v>3679</v>
      </c>
      <c r="KG133" s="1693"/>
      <c r="KH133" s="1693"/>
      <c r="KI133" s="1693"/>
      <c r="KJ133" s="1693"/>
      <c r="KK133" s="1693"/>
      <c r="KL133" s="1693"/>
      <c r="KM133" s="1693"/>
      <c r="KN133" s="1693"/>
      <c r="KO133" s="1694"/>
      <c r="KQ133" s="1786" t="s">
        <v>4221</v>
      </c>
      <c r="KR133" s="1786"/>
      <c r="KS133" s="1786"/>
      <c r="KT133" s="1786"/>
      <c r="KU133" s="1786"/>
      <c r="KV133" s="1786"/>
      <c r="KW133" s="1786"/>
      <c r="KX133" s="1786"/>
      <c r="KY133" s="1786"/>
      <c r="KZ133" s="1786"/>
      <c r="LM133" s="1753" t="s">
        <v>131</v>
      </c>
      <c r="LN133" s="1712"/>
      <c r="LO133" s="1712"/>
      <c r="LP133" s="1712"/>
      <c r="LQ133" s="1712"/>
      <c r="LR133" s="1712"/>
      <c r="LS133" s="1712"/>
      <c r="LT133" s="1712"/>
      <c r="LU133" s="1712"/>
      <c r="LV133" s="1713"/>
      <c r="LX133" s="1652" t="s">
        <v>1591</v>
      </c>
      <c r="LY133" s="1510"/>
      <c r="LZ133" s="1510"/>
      <c r="MA133" s="1510"/>
      <c r="MB133" s="1510"/>
      <c r="MC133" s="1510"/>
      <c r="MD133" s="1510"/>
      <c r="ME133" s="1510"/>
      <c r="MF133" s="1510"/>
      <c r="MG133" s="1511"/>
      <c r="MH133" s="811"/>
      <c r="MO133" s="811"/>
      <c r="MU133" s="816"/>
      <c r="MZ133" s="754">
        <f>SUM(MQ140,MQ142,MQ144,MQ146,MQ148,MQ150,MQ152)</f>
        <v>7</v>
      </c>
      <c r="NG133" s="952"/>
      <c r="NH133" s="912"/>
      <c r="NI133" s="861"/>
      <c r="NL133" s="754">
        <f>SUM(NC136,NC140,NC142,NC144,NC146,NC148)</f>
        <v>6</v>
      </c>
      <c r="NS133" s="786"/>
      <c r="OA133" s="913"/>
      <c r="OB133" s="913"/>
      <c r="OC133" s="913"/>
      <c r="OD133" s="913"/>
      <c r="OE133" s="953"/>
      <c r="OF133" s="954"/>
      <c r="OG133" s="955"/>
      <c r="OH133" s="913"/>
      <c r="OI133" s="955"/>
      <c r="OJ133" s="913">
        <f>SUM(OA136,OA140,OA142,OA144,OA146,OA148,OA150,OA152)</f>
        <v>7</v>
      </c>
      <c r="ON133" s="956"/>
      <c r="OO133" s="956"/>
      <c r="OP133" s="787"/>
      <c r="PC133" s="957"/>
      <c r="PJ133" s="913"/>
      <c r="PK133" s="913"/>
      <c r="PL133" s="913"/>
      <c r="PM133" s="913"/>
      <c r="PN133" s="913"/>
      <c r="PO133" s="954"/>
      <c r="PP133" s="913"/>
      <c r="PQ133" s="913"/>
      <c r="PR133" s="913"/>
      <c r="PS133" s="754">
        <f>SUM(PJ136,PJ140,PJ142,PJ144,PJ146,PJ148,PJ150,PJ152,PJ154,PJ158,PJ156)</f>
        <v>8</v>
      </c>
      <c r="PY133" s="786"/>
      <c r="QJ133" s="835"/>
      <c r="QV133" s="958"/>
      <c r="QW133" s="959"/>
      <c r="QX133" s="959"/>
      <c r="QY133" s="959"/>
      <c r="QZ133" s="959"/>
      <c r="RA133" s="959"/>
      <c r="RB133" s="959"/>
      <c r="RC133" s="959"/>
      <c r="RD133" s="959"/>
      <c r="RE133" s="959"/>
      <c r="RF133" s="959"/>
      <c r="RG133" s="960"/>
      <c r="RL133" s="754">
        <f>SUM(RC136,RC140,RC142,RC144,RC146,RC148,RC150,RC152,RC154,RC156)</f>
        <v>9</v>
      </c>
      <c r="RM133" s="913"/>
      <c r="RS133" s="787"/>
      <c r="RX133" s="754">
        <f>SUM(RO136,RO140,RO142,RO144,RO146,RO148,RO150,RO152,RO154,RO156)</f>
        <v>10</v>
      </c>
      <c r="RZ133" s="811"/>
      <c r="SG133" s="758"/>
    </row>
    <row r="134" spans="4:551" ht="12.75" customHeight="1" x14ac:dyDescent="0.35">
      <c r="D134" s="758"/>
      <c r="V134" s="810"/>
      <c r="Y134" s="648">
        <v>1</v>
      </c>
      <c r="Z134" s="1488" t="s">
        <v>5220</v>
      </c>
      <c r="AA134" s="1489"/>
      <c r="AB134" s="1489"/>
      <c r="AC134" s="1489"/>
      <c r="AD134" s="1489"/>
      <c r="AE134" s="1489"/>
      <c r="AF134" s="1489"/>
      <c r="AG134" s="1489"/>
      <c r="AH134" s="1490"/>
      <c r="AK134" s="648">
        <v>1</v>
      </c>
      <c r="AL134" s="1488" t="s">
        <v>5220</v>
      </c>
      <c r="AM134" s="1489"/>
      <c r="AN134" s="1489"/>
      <c r="AO134" s="1489"/>
      <c r="AP134" s="1489"/>
      <c r="AQ134" s="1489"/>
      <c r="AR134" s="1489"/>
      <c r="AS134" s="1489"/>
      <c r="AT134" s="1490"/>
      <c r="AV134" s="755"/>
      <c r="AW134" s="648">
        <v>1</v>
      </c>
      <c r="AX134" s="1488" t="s">
        <v>5220</v>
      </c>
      <c r="AY134" s="1489"/>
      <c r="AZ134" s="1489"/>
      <c r="BA134" s="1489"/>
      <c r="BB134" s="1489"/>
      <c r="BC134" s="1489"/>
      <c r="BD134" s="1489"/>
      <c r="BE134" s="1489"/>
      <c r="BF134" s="1490"/>
      <c r="BG134" s="811"/>
      <c r="BK134" s="810"/>
      <c r="BL134" s="1689" t="s">
        <v>177</v>
      </c>
      <c r="BM134" s="1690"/>
      <c r="BN134" s="1690"/>
      <c r="BO134" s="1690"/>
      <c r="BP134" s="1690"/>
      <c r="BQ134" s="1690"/>
      <c r="BR134" s="1690"/>
      <c r="BS134" s="1690"/>
      <c r="BT134" s="1690"/>
      <c r="BU134" s="1691"/>
      <c r="BV134" s="790"/>
      <c r="BX134" s="1779" t="s">
        <v>4619</v>
      </c>
      <c r="BY134" s="1780"/>
      <c r="BZ134" s="1780"/>
      <c r="CA134" s="1780"/>
      <c r="CB134" s="1780"/>
      <c r="CC134" s="1780"/>
      <c r="CD134" s="1780"/>
      <c r="CE134" s="1780"/>
      <c r="CF134" s="1780"/>
      <c r="CG134" s="1781"/>
      <c r="CH134" s="811"/>
      <c r="CL134" s="810"/>
      <c r="CM134" s="1543" t="s">
        <v>4230</v>
      </c>
      <c r="CN134" s="1544"/>
      <c r="CO134" s="1544"/>
      <c r="CP134" s="1544"/>
      <c r="CQ134" s="1544"/>
      <c r="CR134" s="1544"/>
      <c r="CS134" s="1544"/>
      <c r="CT134" s="1544"/>
      <c r="CU134" s="1544"/>
      <c r="CV134" s="1545"/>
      <c r="DK134" s="1746" t="s">
        <v>5415</v>
      </c>
      <c r="DL134" s="1782"/>
      <c r="DM134" s="1782"/>
      <c r="DN134" s="1782"/>
      <c r="DO134" s="1782"/>
      <c r="DP134" s="1782"/>
      <c r="DQ134" s="1782"/>
      <c r="DR134" s="1782"/>
      <c r="DS134" s="1782"/>
      <c r="DT134" s="1783"/>
      <c r="DU134" s="933"/>
      <c r="DV134" s="759"/>
      <c r="DW134" s="759"/>
      <c r="DX134" s="755"/>
      <c r="DY134" s="961"/>
      <c r="EF134" s="648">
        <v>1</v>
      </c>
      <c r="EG134" s="1488" t="s">
        <v>5220</v>
      </c>
      <c r="EH134" s="1489"/>
      <c r="EI134" s="1489"/>
      <c r="EJ134" s="1489"/>
      <c r="EK134" s="1489"/>
      <c r="EL134" s="1489"/>
      <c r="EM134" s="1489"/>
      <c r="EN134" s="1489"/>
      <c r="EO134" s="1490"/>
      <c r="EV134" s="811"/>
      <c r="FB134" s="810"/>
      <c r="FC134" s="1784" t="s">
        <v>3419</v>
      </c>
      <c r="FD134" s="1716"/>
      <c r="FE134" s="1716"/>
      <c r="FF134" s="1716"/>
      <c r="FG134" s="1716"/>
      <c r="FH134" s="1716"/>
      <c r="FI134" s="1716"/>
      <c r="FJ134" s="1716"/>
      <c r="FK134" s="1716"/>
      <c r="FL134" s="1716"/>
      <c r="FS134" s="704"/>
      <c r="FT134" s="704"/>
      <c r="FU134" s="704"/>
      <c r="FV134" s="704"/>
      <c r="FW134" s="704"/>
      <c r="FX134" s="704"/>
      <c r="FY134" s="704"/>
      <c r="FZ134" s="704"/>
      <c r="GA134" s="704"/>
      <c r="GB134" s="704"/>
      <c r="GC134" s="811"/>
      <c r="GG134" s="810"/>
      <c r="GH134" s="1482" t="s">
        <v>1900</v>
      </c>
      <c r="GI134" s="1510"/>
      <c r="GJ134" s="1510"/>
      <c r="GK134" s="1510"/>
      <c r="GL134" s="1510"/>
      <c r="GM134" s="1510"/>
      <c r="GN134" s="1510"/>
      <c r="GO134" s="1510"/>
      <c r="GP134" s="1510"/>
      <c r="GQ134" s="1511"/>
      <c r="GT134" s="1482" t="s">
        <v>1955</v>
      </c>
      <c r="GU134" s="1483"/>
      <c r="GV134" s="1483"/>
      <c r="GW134" s="1483"/>
      <c r="GX134" s="1483"/>
      <c r="GY134" s="1483"/>
      <c r="GZ134" s="1483"/>
      <c r="HA134" s="1483"/>
      <c r="HB134" s="1483"/>
      <c r="HC134" s="1484"/>
      <c r="HG134" s="1482" t="s">
        <v>1983</v>
      </c>
      <c r="HH134" s="1483"/>
      <c r="HI134" s="1483"/>
      <c r="HJ134" s="1483"/>
      <c r="HK134" s="1483"/>
      <c r="HL134" s="1483"/>
      <c r="HM134" s="1483"/>
      <c r="HN134" s="1483"/>
      <c r="HO134" s="1483"/>
      <c r="HP134" s="1484"/>
      <c r="HT134" s="1689" t="s">
        <v>177</v>
      </c>
      <c r="HU134" s="1690"/>
      <c r="HV134" s="1690"/>
      <c r="HW134" s="1690"/>
      <c r="HX134" s="1690"/>
      <c r="HY134" s="1690"/>
      <c r="HZ134" s="1690"/>
      <c r="IA134" s="1690"/>
      <c r="IB134" s="1690"/>
      <c r="IC134" s="1691"/>
      <c r="IG134" s="1482" t="s">
        <v>3498</v>
      </c>
      <c r="IH134" s="1483"/>
      <c r="II134" s="1483"/>
      <c r="IJ134" s="1483"/>
      <c r="IK134" s="1483"/>
      <c r="IL134" s="1483"/>
      <c r="IM134" s="1483"/>
      <c r="IN134" s="1483"/>
      <c r="IO134" s="1483"/>
      <c r="IP134" s="1484"/>
      <c r="IS134" s="1482" t="s">
        <v>3003</v>
      </c>
      <c r="IT134" s="1483"/>
      <c r="IU134" s="1483"/>
      <c r="IV134" s="1483"/>
      <c r="IW134" s="1483"/>
      <c r="IX134" s="1483"/>
      <c r="IY134" s="1483"/>
      <c r="IZ134" s="1483"/>
      <c r="JA134" s="1483"/>
      <c r="JB134" s="1484"/>
      <c r="JC134" s="811"/>
      <c r="JI134" s="810"/>
      <c r="JU134" s="648">
        <v>1</v>
      </c>
      <c r="JV134" s="1488" t="s">
        <v>5202</v>
      </c>
      <c r="JW134" s="1489"/>
      <c r="JX134" s="1489"/>
      <c r="JY134" s="1489"/>
      <c r="JZ134" s="1489"/>
      <c r="KA134" s="1489"/>
      <c r="KB134" s="1489"/>
      <c r="KC134" s="1489"/>
      <c r="KD134" s="1490"/>
      <c r="KF134" s="648">
        <v>1</v>
      </c>
      <c r="KG134" s="1488" t="s">
        <v>5203</v>
      </c>
      <c r="KH134" s="1489"/>
      <c r="KI134" s="1489"/>
      <c r="KJ134" s="1489"/>
      <c r="KK134" s="1489"/>
      <c r="KL134" s="1489"/>
      <c r="KM134" s="1489"/>
      <c r="KN134" s="1489"/>
      <c r="KO134" s="1490"/>
      <c r="LM134" s="648">
        <v>1</v>
      </c>
      <c r="LN134" s="1488" t="s">
        <v>5413</v>
      </c>
      <c r="LO134" s="1489"/>
      <c r="LP134" s="1489"/>
      <c r="LQ134" s="1489"/>
      <c r="LR134" s="1489"/>
      <c r="LS134" s="1489"/>
      <c r="LT134" s="1489"/>
      <c r="LU134" s="1489"/>
      <c r="LV134" s="1490"/>
      <c r="LX134" s="892">
        <v>1</v>
      </c>
      <c r="LY134" s="1488" t="s">
        <v>5241</v>
      </c>
      <c r="LZ134" s="1489"/>
      <c r="MA134" s="1489"/>
      <c r="MB134" s="1489"/>
      <c r="MC134" s="1489"/>
      <c r="MD134" s="1489"/>
      <c r="ME134" s="1489"/>
      <c r="MF134" s="1489"/>
      <c r="MG134" s="1490"/>
      <c r="MH134" s="811"/>
      <c r="MO134" s="811"/>
      <c r="MQ134" s="1787" t="s">
        <v>5416</v>
      </c>
      <c r="MR134" s="1787"/>
      <c r="MS134" s="1787"/>
      <c r="MT134" s="1787"/>
      <c r="MU134" s="1787"/>
      <c r="MV134" s="1787"/>
      <c r="MW134" s="1787"/>
      <c r="MX134" s="1787"/>
      <c r="MY134" s="1787"/>
      <c r="MZ134" s="1787"/>
      <c r="NC134" s="1787" t="s">
        <v>5417</v>
      </c>
      <c r="ND134" s="1787" t="s">
        <v>5204</v>
      </c>
      <c r="NE134" s="1787"/>
      <c r="NF134" s="1787"/>
      <c r="NG134" s="1787"/>
      <c r="NH134" s="1787"/>
      <c r="NI134" s="1787"/>
      <c r="NJ134" s="1787"/>
      <c r="NK134" s="1787"/>
      <c r="NL134" s="1787"/>
      <c r="NS134" s="816"/>
      <c r="NX134" s="754">
        <f>SUM(NO136,NO140,NO142,NO144,NO146,NO148,NO150)</f>
        <v>7</v>
      </c>
      <c r="OA134" s="1787" t="s">
        <v>5418</v>
      </c>
      <c r="OB134" s="1787"/>
      <c r="OC134" s="1787"/>
      <c r="OD134" s="1787"/>
      <c r="OE134" s="1787"/>
      <c r="OF134" s="1787"/>
      <c r="OG134" s="1787"/>
      <c r="OH134" s="1787"/>
      <c r="OI134" s="1787"/>
      <c r="OJ134" s="1787"/>
      <c r="OQ134" s="912"/>
      <c r="OU134" s="754">
        <f>SUM(OL136,OL142,OL144,OL146,OL140,OL148,OL150)</f>
        <v>7</v>
      </c>
      <c r="PB134" s="816"/>
      <c r="PG134" s="754">
        <f>SUM(OX136,OX140,OX142,OX144,OX146,OX148,OX150,OX152,OX154,OX156,OX158,OX160,OX162)</f>
        <v>10</v>
      </c>
      <c r="PJ134" s="1787" t="s">
        <v>5419</v>
      </c>
      <c r="PK134" s="1787"/>
      <c r="PL134" s="1787"/>
      <c r="PM134" s="1787"/>
      <c r="PN134" s="1787"/>
      <c r="PO134" s="1787"/>
      <c r="PP134" s="1787"/>
      <c r="PQ134" s="1787"/>
      <c r="PR134" s="1787"/>
      <c r="PS134" s="1787"/>
      <c r="PY134" s="816"/>
      <c r="QD134" s="754">
        <f>SUM(PU136,PU140,PU142,PU144,PU146,PU148,PU150,PU154,PU156,PU158,PU152)</f>
        <v>10</v>
      </c>
      <c r="QJ134" s="790"/>
      <c r="QV134" s="962"/>
      <c r="RC134" s="1787" t="s">
        <v>5420</v>
      </c>
      <c r="RD134" s="1787"/>
      <c r="RE134" s="1787"/>
      <c r="RF134" s="1787"/>
      <c r="RG134" s="1787"/>
      <c r="RH134" s="1787"/>
      <c r="RI134" s="1787"/>
      <c r="RJ134" s="1787"/>
      <c r="RK134" s="1787"/>
      <c r="RL134" s="1787"/>
      <c r="RO134" s="1787" t="s">
        <v>5420</v>
      </c>
      <c r="RP134" s="1787"/>
      <c r="RQ134" s="1787"/>
      <c r="RR134" s="1787"/>
      <c r="RS134" s="1787"/>
      <c r="RT134" s="1787"/>
      <c r="RU134" s="1787"/>
      <c r="RV134" s="1787"/>
      <c r="RW134" s="1787"/>
      <c r="RX134" s="1787"/>
      <c r="RZ134" s="811"/>
      <c r="SG134" s="758"/>
      <c r="UD134" s="763"/>
      <c r="UE134" s="763"/>
    </row>
    <row r="135" spans="4:551" ht="12.75" customHeight="1" x14ac:dyDescent="0.35">
      <c r="D135" s="758"/>
      <c r="V135" s="810"/>
      <c r="X135" s="778"/>
      <c r="Y135" s="1689" t="s">
        <v>131</v>
      </c>
      <c r="Z135" s="1712"/>
      <c r="AA135" s="1712"/>
      <c r="AB135" s="1712"/>
      <c r="AC135" s="1712"/>
      <c r="AD135" s="1712"/>
      <c r="AE135" s="1712"/>
      <c r="AF135" s="1712"/>
      <c r="AG135" s="1712"/>
      <c r="AH135" s="1713"/>
      <c r="AK135" s="1735" t="s">
        <v>4161</v>
      </c>
      <c r="AL135" s="1736"/>
      <c r="AM135" s="1736"/>
      <c r="AN135" s="1736"/>
      <c r="AO135" s="1736"/>
      <c r="AP135" s="1736"/>
      <c r="AQ135" s="1736"/>
      <c r="AR135" s="1736"/>
      <c r="AS135" s="1736"/>
      <c r="AT135" s="1737"/>
      <c r="AU135" s="775"/>
      <c r="AW135" s="1735" t="s">
        <v>3706</v>
      </c>
      <c r="AX135" s="1736"/>
      <c r="AY135" s="1736"/>
      <c r="AZ135" s="1736"/>
      <c r="BA135" s="1736"/>
      <c r="BB135" s="1736"/>
      <c r="BC135" s="1736"/>
      <c r="BD135" s="1736"/>
      <c r="BE135" s="1736"/>
      <c r="BF135" s="1737"/>
      <c r="BG135" s="811"/>
      <c r="BK135" s="810"/>
      <c r="BV135" s="790"/>
      <c r="CH135" s="811"/>
      <c r="CL135" s="810"/>
      <c r="CM135" s="648">
        <v>1</v>
      </c>
      <c r="CN135" s="1488" t="s">
        <v>5220</v>
      </c>
      <c r="CO135" s="1489"/>
      <c r="CP135" s="1489"/>
      <c r="CQ135" s="1489"/>
      <c r="CR135" s="1489"/>
      <c r="CS135" s="1489"/>
      <c r="CT135" s="1489"/>
      <c r="CU135" s="1489"/>
      <c r="CV135" s="1490"/>
      <c r="DK135" s="648">
        <v>1</v>
      </c>
      <c r="DL135" s="1488" t="s">
        <v>5220</v>
      </c>
      <c r="DM135" s="1489"/>
      <c r="DN135" s="1489"/>
      <c r="DO135" s="1489"/>
      <c r="DP135" s="1489"/>
      <c r="DQ135" s="1489"/>
      <c r="DR135" s="1489"/>
      <c r="DS135" s="1489"/>
      <c r="DT135" s="1490"/>
      <c r="DU135" s="949"/>
      <c r="DV135" s="755"/>
      <c r="DW135" s="755"/>
      <c r="DX135" s="759"/>
      <c r="DY135" s="950"/>
      <c r="DZ135" s="759"/>
      <c r="EA135" s="759"/>
      <c r="EB135" s="759"/>
      <c r="EC135" s="759"/>
      <c r="EF135" s="1652" t="s">
        <v>5421</v>
      </c>
      <c r="EG135" s="1510"/>
      <c r="EH135" s="1510"/>
      <c r="EI135" s="1510"/>
      <c r="EJ135" s="1510"/>
      <c r="EK135" s="1510"/>
      <c r="EL135" s="1510"/>
      <c r="EM135" s="1510"/>
      <c r="EN135" s="1510"/>
      <c r="EO135" s="1511"/>
      <c r="EV135" s="811"/>
      <c r="FB135" s="810"/>
      <c r="FC135" s="704"/>
      <c r="FD135" s="704"/>
      <c r="FE135" s="704"/>
      <c r="FF135" s="704"/>
      <c r="FG135" s="704"/>
      <c r="FH135" s="704"/>
      <c r="FI135" s="704"/>
      <c r="FJ135" s="704"/>
      <c r="FK135" s="704"/>
      <c r="FL135" s="704"/>
      <c r="FS135" s="704"/>
      <c r="FT135" s="704"/>
      <c r="FU135" s="704"/>
      <c r="FV135" s="704"/>
      <c r="FW135" s="704"/>
      <c r="FX135" s="704"/>
      <c r="FY135" s="704"/>
      <c r="FZ135" s="704"/>
      <c r="GA135" s="704"/>
      <c r="GB135" s="704"/>
      <c r="GC135" s="811"/>
      <c r="GG135" s="810"/>
      <c r="GH135" s="648">
        <v>1</v>
      </c>
      <c r="GI135" s="1653" t="s">
        <v>5165</v>
      </c>
      <c r="GJ135" s="1653"/>
      <c r="GK135" s="1653"/>
      <c r="GL135" s="1653"/>
      <c r="GM135" s="1653"/>
      <c r="GN135" s="1653"/>
      <c r="GO135" s="1653"/>
      <c r="GP135" s="1653"/>
      <c r="GQ135" s="1653"/>
      <c r="GT135" s="648">
        <v>1</v>
      </c>
      <c r="GU135" s="1759" t="s">
        <v>5165</v>
      </c>
      <c r="GV135" s="1760"/>
      <c r="GW135" s="1760"/>
      <c r="GX135" s="1760"/>
      <c r="GY135" s="1760"/>
      <c r="GZ135" s="1760"/>
      <c r="HA135" s="1760"/>
      <c r="HB135" s="1760"/>
      <c r="HC135" s="1761"/>
      <c r="HG135" s="648">
        <v>1</v>
      </c>
      <c r="HH135" s="1653" t="s">
        <v>5165</v>
      </c>
      <c r="HI135" s="1653"/>
      <c r="HJ135" s="1653"/>
      <c r="HK135" s="1653"/>
      <c r="HL135" s="1653"/>
      <c r="HM135" s="1653"/>
      <c r="HN135" s="1653"/>
      <c r="HO135" s="1653"/>
      <c r="HP135" s="1653"/>
      <c r="HT135" s="648">
        <v>1</v>
      </c>
      <c r="HU135" s="1653" t="s">
        <v>5165</v>
      </c>
      <c r="HV135" s="1653"/>
      <c r="HW135" s="1653"/>
      <c r="HX135" s="1653"/>
      <c r="HY135" s="1653"/>
      <c r="HZ135" s="1653"/>
      <c r="IA135" s="1653"/>
      <c r="IB135" s="1653"/>
      <c r="IC135" s="1653"/>
      <c r="IG135" s="648">
        <v>1</v>
      </c>
      <c r="IH135" s="1653" t="s">
        <v>5392</v>
      </c>
      <c r="II135" s="1653"/>
      <c r="IJ135" s="1653"/>
      <c r="IK135" s="1653"/>
      <c r="IL135" s="1653"/>
      <c r="IM135" s="1653"/>
      <c r="IN135" s="1653"/>
      <c r="IO135" s="1653"/>
      <c r="IP135" s="1653"/>
      <c r="IS135" s="648">
        <v>1</v>
      </c>
      <c r="IT135" s="1653" t="s">
        <v>5165</v>
      </c>
      <c r="IU135" s="1653"/>
      <c r="IV135" s="1653"/>
      <c r="IW135" s="1653"/>
      <c r="IX135" s="1653"/>
      <c r="IY135" s="1653"/>
      <c r="IZ135" s="1653"/>
      <c r="JA135" s="1653"/>
      <c r="JB135" s="1653"/>
      <c r="JC135" s="811"/>
      <c r="JI135" s="810"/>
      <c r="JU135" s="1652" t="s">
        <v>1799</v>
      </c>
      <c r="JV135" s="1510"/>
      <c r="JW135" s="1510"/>
      <c r="JX135" s="1510"/>
      <c r="JY135" s="1510"/>
      <c r="JZ135" s="1510"/>
      <c r="KA135" s="1510"/>
      <c r="KB135" s="1510"/>
      <c r="KC135" s="1510"/>
      <c r="KD135" s="1511"/>
      <c r="KF135" s="1785" t="s">
        <v>2826</v>
      </c>
      <c r="KG135" s="1693"/>
      <c r="KH135" s="1693"/>
      <c r="KI135" s="1693"/>
      <c r="KJ135" s="1693"/>
      <c r="KK135" s="1693"/>
      <c r="KL135" s="1693"/>
      <c r="KM135" s="1693"/>
      <c r="KN135" s="1693"/>
      <c r="KO135" s="1694"/>
      <c r="LM135" s="1652" t="s">
        <v>3341</v>
      </c>
      <c r="LN135" s="1510"/>
      <c r="LO135" s="1510"/>
      <c r="LP135" s="1510"/>
      <c r="LQ135" s="1510"/>
      <c r="LR135" s="1510"/>
      <c r="LS135" s="1510"/>
      <c r="LT135" s="1510"/>
      <c r="LU135" s="1510"/>
      <c r="LV135" s="1511"/>
      <c r="LX135" s="1652" t="s">
        <v>1581</v>
      </c>
      <c r="LY135" s="1510"/>
      <c r="LZ135" s="1510"/>
      <c r="MA135" s="1510"/>
      <c r="MB135" s="1510"/>
      <c r="MC135" s="1510"/>
      <c r="MD135" s="1510"/>
      <c r="ME135" s="1510"/>
      <c r="MF135" s="1510"/>
      <c r="MG135" s="1511"/>
      <c r="MH135" s="811"/>
      <c r="MO135" s="811"/>
      <c r="MU135" s="908"/>
      <c r="NG135" s="908"/>
      <c r="NH135" s="963"/>
      <c r="NO135" s="1787" t="s">
        <v>5372</v>
      </c>
      <c r="NP135" s="1787"/>
      <c r="NQ135" s="1787"/>
      <c r="NR135" s="1787"/>
      <c r="NS135" s="1787"/>
      <c r="NT135" s="1787"/>
      <c r="NU135" s="1787"/>
      <c r="NV135" s="1787"/>
      <c r="NW135" s="1787"/>
      <c r="NX135" s="1787"/>
      <c r="OA135" s="1787" t="s">
        <v>5373</v>
      </c>
      <c r="OB135" s="1787"/>
      <c r="OC135" s="1787"/>
      <c r="OD135" s="1787"/>
      <c r="OE135" s="1787"/>
      <c r="OF135" s="1787"/>
      <c r="OG135" s="1787"/>
      <c r="OH135" s="1787"/>
      <c r="OI135" s="1787"/>
      <c r="OJ135" s="1787"/>
      <c r="OL135" s="1787" t="s">
        <v>5374</v>
      </c>
      <c r="OM135" s="1787"/>
      <c r="ON135" s="1787"/>
      <c r="OO135" s="1787"/>
      <c r="OP135" s="1787"/>
      <c r="OQ135" s="1787"/>
      <c r="OR135" s="1787"/>
      <c r="OS135" s="1787"/>
      <c r="OT135" s="1787"/>
      <c r="OU135" s="1787"/>
      <c r="OX135" s="1787" t="s">
        <v>5372</v>
      </c>
      <c r="OY135" s="1787"/>
      <c r="OZ135" s="1787"/>
      <c r="PA135" s="1787"/>
      <c r="PB135" s="1787"/>
      <c r="PC135" s="1787"/>
      <c r="PD135" s="1787"/>
      <c r="PE135" s="1787"/>
      <c r="PF135" s="1787"/>
      <c r="PG135" s="1787"/>
      <c r="PJ135" s="1787" t="s">
        <v>5373</v>
      </c>
      <c r="PK135" s="1787"/>
      <c r="PL135" s="1787"/>
      <c r="PM135" s="1787"/>
      <c r="PN135" s="1787"/>
      <c r="PO135" s="1787"/>
      <c r="PP135" s="1787"/>
      <c r="PQ135" s="1787"/>
      <c r="PR135" s="1787"/>
      <c r="PS135" s="1787"/>
      <c r="PU135" s="1787" t="s">
        <v>5374</v>
      </c>
      <c r="PV135" s="1787"/>
      <c r="PW135" s="1787"/>
      <c r="PX135" s="1787"/>
      <c r="PY135" s="1787"/>
      <c r="PZ135" s="1787"/>
      <c r="QA135" s="1787"/>
      <c r="QB135" s="1787"/>
      <c r="QC135" s="1787"/>
      <c r="QD135" s="1787"/>
      <c r="QJ135" s="790"/>
      <c r="QO135" s="754">
        <f>SUM(QF136,QF140,QF142,QF144,QF146)</f>
        <v>4</v>
      </c>
      <c r="QV135" s="962"/>
      <c r="RC135" s="1787" t="s">
        <v>5372</v>
      </c>
      <c r="RD135" s="1787"/>
      <c r="RE135" s="1787"/>
      <c r="RF135" s="1787"/>
      <c r="RG135" s="1787"/>
      <c r="RH135" s="1787"/>
      <c r="RI135" s="1787"/>
      <c r="RJ135" s="1787"/>
      <c r="RK135" s="1787"/>
      <c r="RL135" s="1787"/>
      <c r="RO135" s="1787" t="s">
        <v>5374</v>
      </c>
      <c r="RP135" s="1787"/>
      <c r="RQ135" s="1787"/>
      <c r="RR135" s="1787"/>
      <c r="RS135" s="1787"/>
      <c r="RT135" s="1787"/>
      <c r="RU135" s="1787"/>
      <c r="RV135" s="1787"/>
      <c r="RW135" s="1787"/>
      <c r="RX135" s="1787"/>
      <c r="RZ135" s="811"/>
      <c r="SG135" s="758"/>
      <c r="UD135" s="763"/>
      <c r="UE135" s="763"/>
    </row>
    <row r="136" spans="4:551" ht="12.75" customHeight="1" x14ac:dyDescent="0.35">
      <c r="D136" s="758"/>
      <c r="V136" s="810"/>
      <c r="AK136" s="648">
        <v>1</v>
      </c>
      <c r="AL136" s="1488" t="s">
        <v>5220</v>
      </c>
      <c r="AM136" s="1489"/>
      <c r="AN136" s="1489"/>
      <c r="AO136" s="1489"/>
      <c r="AP136" s="1489"/>
      <c r="AQ136" s="1489"/>
      <c r="AR136" s="1489"/>
      <c r="AS136" s="1489"/>
      <c r="AT136" s="1490"/>
      <c r="AU136" s="899"/>
      <c r="AV136" s="755"/>
      <c r="AW136" s="648">
        <v>1</v>
      </c>
      <c r="AX136" s="1488" t="s">
        <v>5220</v>
      </c>
      <c r="AY136" s="1489"/>
      <c r="AZ136" s="1489"/>
      <c r="BA136" s="1489"/>
      <c r="BB136" s="1489"/>
      <c r="BC136" s="1489"/>
      <c r="BD136" s="1489"/>
      <c r="BE136" s="1489"/>
      <c r="BF136" s="1490"/>
      <c r="BG136" s="811"/>
      <c r="BK136" s="810"/>
      <c r="BV136" s="790"/>
      <c r="CH136" s="811"/>
      <c r="CL136" s="810"/>
      <c r="CM136" s="1543" t="s">
        <v>1673</v>
      </c>
      <c r="CN136" s="1544"/>
      <c r="CO136" s="1544"/>
      <c r="CP136" s="1544"/>
      <c r="CQ136" s="1544"/>
      <c r="CR136" s="1544"/>
      <c r="CS136" s="1544"/>
      <c r="CT136" s="1544"/>
      <c r="CU136" s="1544"/>
      <c r="CV136" s="1545"/>
      <c r="DK136" s="1666" t="s">
        <v>5422</v>
      </c>
      <c r="DL136" s="1693"/>
      <c r="DM136" s="1693"/>
      <c r="DN136" s="1693"/>
      <c r="DO136" s="1693"/>
      <c r="DP136" s="1693"/>
      <c r="DQ136" s="1693"/>
      <c r="DR136" s="1693"/>
      <c r="DS136" s="1693"/>
      <c r="DT136" s="1694"/>
      <c r="DU136" s="933"/>
      <c r="DV136" s="759"/>
      <c r="DW136" s="759"/>
      <c r="DX136" s="755"/>
      <c r="DY136" s="961"/>
      <c r="DZ136" s="755"/>
      <c r="EA136" s="755"/>
      <c r="EB136" s="755"/>
      <c r="EC136" s="755"/>
      <c r="EF136" s="648">
        <v>1</v>
      </c>
      <c r="EG136" s="1488" t="s">
        <v>5220</v>
      </c>
      <c r="EH136" s="1489"/>
      <c r="EI136" s="1489"/>
      <c r="EJ136" s="1489"/>
      <c r="EK136" s="1489"/>
      <c r="EL136" s="1489"/>
      <c r="EM136" s="1489"/>
      <c r="EN136" s="1489"/>
      <c r="EO136" s="1490"/>
      <c r="EV136" s="811"/>
      <c r="FB136" s="810"/>
      <c r="FS136" s="704"/>
      <c r="FT136" s="704"/>
      <c r="FU136" s="704"/>
      <c r="FV136" s="704"/>
      <c r="FW136" s="704"/>
      <c r="FX136" s="704"/>
      <c r="FY136" s="704"/>
      <c r="FZ136" s="704"/>
      <c r="GA136" s="704"/>
      <c r="GB136" s="704"/>
      <c r="GC136" s="811"/>
      <c r="GG136" s="810"/>
      <c r="GH136" s="1543" t="s">
        <v>1419</v>
      </c>
      <c r="GI136" s="1729"/>
      <c r="GJ136" s="1729"/>
      <c r="GK136" s="1729"/>
      <c r="GL136" s="1729"/>
      <c r="GM136" s="1729"/>
      <c r="GN136" s="1729"/>
      <c r="GO136" s="1729"/>
      <c r="GP136" s="1729"/>
      <c r="GQ136" s="1730"/>
      <c r="GT136" s="1788" t="s">
        <v>4046</v>
      </c>
      <c r="GU136" s="1690"/>
      <c r="GV136" s="1690"/>
      <c r="GW136" s="1690"/>
      <c r="GX136" s="1690"/>
      <c r="GY136" s="1690"/>
      <c r="GZ136" s="1690"/>
      <c r="HA136" s="1690"/>
      <c r="HB136" s="1690"/>
      <c r="HC136" s="1691"/>
      <c r="HG136" s="1543" t="s">
        <v>1830</v>
      </c>
      <c r="HH136" s="1729"/>
      <c r="HI136" s="1729"/>
      <c r="HJ136" s="1729"/>
      <c r="HK136" s="1729"/>
      <c r="HL136" s="1729"/>
      <c r="HM136" s="1729"/>
      <c r="HN136" s="1729"/>
      <c r="HO136" s="1729"/>
      <c r="HP136" s="1730"/>
      <c r="HT136" s="1482" t="s">
        <v>3843</v>
      </c>
      <c r="HU136" s="1483"/>
      <c r="HV136" s="1483"/>
      <c r="HW136" s="1483"/>
      <c r="HX136" s="1483"/>
      <c r="HY136" s="1483"/>
      <c r="HZ136" s="1483"/>
      <c r="IA136" s="1483"/>
      <c r="IB136" s="1483"/>
      <c r="IC136" s="1484"/>
      <c r="IG136" s="1482" t="s">
        <v>4061</v>
      </c>
      <c r="IH136" s="1483"/>
      <c r="II136" s="1483"/>
      <c r="IJ136" s="1483"/>
      <c r="IK136" s="1483"/>
      <c r="IL136" s="1483"/>
      <c r="IM136" s="1483"/>
      <c r="IN136" s="1483"/>
      <c r="IO136" s="1483"/>
      <c r="IP136" s="1484"/>
      <c r="IS136" s="1482" t="s">
        <v>3030</v>
      </c>
      <c r="IT136" s="1483"/>
      <c r="IU136" s="1483"/>
      <c r="IV136" s="1483"/>
      <c r="IW136" s="1483"/>
      <c r="IX136" s="1483"/>
      <c r="IY136" s="1483"/>
      <c r="IZ136" s="1483"/>
      <c r="JA136" s="1483"/>
      <c r="JB136" s="1484"/>
      <c r="JC136" s="811"/>
      <c r="JI136" s="810"/>
      <c r="JU136" s="648">
        <v>1</v>
      </c>
      <c r="JV136" s="1488" t="s">
        <v>5202</v>
      </c>
      <c r="JW136" s="1489"/>
      <c r="JX136" s="1489"/>
      <c r="JY136" s="1489"/>
      <c r="JZ136" s="1489"/>
      <c r="KA136" s="1489"/>
      <c r="KB136" s="1489"/>
      <c r="KC136" s="1489"/>
      <c r="KD136" s="1490"/>
      <c r="KF136" s="648">
        <v>1</v>
      </c>
      <c r="KG136" s="1488" t="s">
        <v>5203</v>
      </c>
      <c r="KH136" s="1489"/>
      <c r="KI136" s="1489"/>
      <c r="KJ136" s="1489"/>
      <c r="KK136" s="1489"/>
      <c r="KL136" s="1489"/>
      <c r="KM136" s="1489"/>
      <c r="KN136" s="1489"/>
      <c r="KO136" s="1490"/>
      <c r="LM136" s="648">
        <v>1</v>
      </c>
      <c r="LN136" s="1488" t="s">
        <v>5250</v>
      </c>
      <c r="LO136" s="1489"/>
      <c r="LP136" s="1489"/>
      <c r="LQ136" s="1489"/>
      <c r="LR136" s="1489"/>
      <c r="LS136" s="1489"/>
      <c r="LT136" s="1489"/>
      <c r="LU136" s="1489"/>
      <c r="LV136" s="1490"/>
      <c r="LX136" s="892">
        <v>1</v>
      </c>
      <c r="LY136" s="1488" t="s">
        <v>5413</v>
      </c>
      <c r="LZ136" s="1489"/>
      <c r="MA136" s="1489"/>
      <c r="MB136" s="1489"/>
      <c r="MC136" s="1489"/>
      <c r="MD136" s="1489"/>
      <c r="ME136" s="1489"/>
      <c r="MF136" s="1489"/>
      <c r="MG136" s="1490"/>
      <c r="MH136" s="811"/>
      <c r="MO136" s="811"/>
      <c r="MU136" s="786"/>
      <c r="NC136" s="648">
        <v>1</v>
      </c>
      <c r="ND136" s="1653" t="s">
        <v>5040</v>
      </c>
      <c r="NE136" s="1653"/>
      <c r="NF136" s="1653"/>
      <c r="NG136" s="1653"/>
      <c r="NH136" s="1653"/>
      <c r="NI136" s="1653"/>
      <c r="NJ136" s="1653"/>
      <c r="NK136" s="1653"/>
      <c r="NL136" s="1653"/>
      <c r="NO136" s="648">
        <v>1</v>
      </c>
      <c r="NP136" s="1653" t="s">
        <v>5423</v>
      </c>
      <c r="NQ136" s="1653"/>
      <c r="NR136" s="1653"/>
      <c r="NS136" s="1653"/>
      <c r="NT136" s="1653"/>
      <c r="NU136" s="1653"/>
      <c r="NV136" s="1653"/>
      <c r="NW136" s="1653"/>
      <c r="NX136" s="1653"/>
      <c r="OA136" s="754">
        <v>0</v>
      </c>
      <c r="OL136" s="648">
        <v>1</v>
      </c>
      <c r="OM136" s="1653" t="s">
        <v>5040</v>
      </c>
      <c r="ON136" s="1653"/>
      <c r="OO136" s="1653"/>
      <c r="OP136" s="1653"/>
      <c r="OQ136" s="1653"/>
      <c r="OR136" s="1653"/>
      <c r="OS136" s="1653"/>
      <c r="OT136" s="1653"/>
      <c r="OU136" s="1653"/>
      <c r="OX136" s="648">
        <v>1</v>
      </c>
      <c r="OY136" s="1653" t="s">
        <v>5424</v>
      </c>
      <c r="OZ136" s="1653"/>
      <c r="PA136" s="1653"/>
      <c r="PB136" s="1653"/>
      <c r="PC136" s="1653"/>
      <c r="PD136" s="1653"/>
      <c r="PE136" s="1653"/>
      <c r="PF136" s="1653"/>
      <c r="PG136" s="1653"/>
      <c r="PJ136" s="710">
        <v>1</v>
      </c>
      <c r="PK136" s="1607" t="s">
        <v>5040</v>
      </c>
      <c r="PL136" s="1607"/>
      <c r="PM136" s="1607"/>
      <c r="PN136" s="1607"/>
      <c r="PO136" s="1607"/>
      <c r="PP136" s="1607"/>
      <c r="PQ136" s="1607"/>
      <c r="PR136" s="1607"/>
      <c r="PS136" s="1607"/>
      <c r="PU136" s="648">
        <v>1</v>
      </c>
      <c r="PV136" s="1653" t="s">
        <v>5423</v>
      </c>
      <c r="PW136" s="1653"/>
      <c r="PX136" s="1653"/>
      <c r="PY136" s="1653"/>
      <c r="PZ136" s="1653"/>
      <c r="QA136" s="1653"/>
      <c r="QB136" s="1653"/>
      <c r="QC136" s="1653"/>
      <c r="QD136" s="1653"/>
      <c r="QJ136" s="790"/>
      <c r="QV136" s="962"/>
      <c r="RC136" s="648">
        <v>1</v>
      </c>
      <c r="RD136" s="1653" t="s">
        <v>5423</v>
      </c>
      <c r="RE136" s="1653"/>
      <c r="RF136" s="1653"/>
      <c r="RG136" s="1653"/>
      <c r="RH136" s="1653"/>
      <c r="RI136" s="1653"/>
      <c r="RJ136" s="1653"/>
      <c r="RK136" s="1653"/>
      <c r="RL136" s="1653"/>
      <c r="RO136" s="710">
        <v>1</v>
      </c>
      <c r="RP136" s="1607" t="s">
        <v>5040</v>
      </c>
      <c r="RQ136" s="1607"/>
      <c r="RR136" s="1607"/>
      <c r="RS136" s="1607"/>
      <c r="RT136" s="1607"/>
      <c r="RU136" s="1607"/>
      <c r="RV136" s="1607"/>
      <c r="RW136" s="1607"/>
      <c r="RX136" s="1607"/>
      <c r="RZ136" s="811"/>
      <c r="SG136" s="758"/>
    </row>
    <row r="137" spans="4:551" ht="12.75" customHeight="1" x14ac:dyDescent="0.35">
      <c r="D137" s="758"/>
      <c r="V137" s="810"/>
      <c r="AK137" s="1735" t="s">
        <v>3289</v>
      </c>
      <c r="AL137" s="1736"/>
      <c r="AM137" s="1736"/>
      <c r="AN137" s="1736"/>
      <c r="AO137" s="1736"/>
      <c r="AP137" s="1736"/>
      <c r="AQ137" s="1736"/>
      <c r="AR137" s="1736"/>
      <c r="AS137" s="1736"/>
      <c r="AT137" s="1737"/>
      <c r="AU137" s="899"/>
      <c r="AV137" s="759"/>
      <c r="AW137" s="1482" t="s">
        <v>2850</v>
      </c>
      <c r="AX137" s="1510"/>
      <c r="AY137" s="1510"/>
      <c r="AZ137" s="1510"/>
      <c r="BA137" s="1510"/>
      <c r="BB137" s="1510"/>
      <c r="BC137" s="1510"/>
      <c r="BD137" s="1510"/>
      <c r="BE137" s="1510"/>
      <c r="BF137" s="1511"/>
      <c r="BG137" s="811"/>
      <c r="BK137" s="810"/>
      <c r="BQ137" s="831"/>
      <c r="BR137" s="831"/>
      <c r="BS137" s="831"/>
      <c r="BT137" s="831"/>
      <c r="BU137" s="831"/>
      <c r="BV137" s="851"/>
      <c r="BW137" s="831"/>
      <c r="BX137" s="831"/>
      <c r="BY137" s="831"/>
      <c r="BZ137" s="831"/>
      <c r="CA137" s="831"/>
      <c r="CH137" s="811"/>
      <c r="CL137" s="810"/>
      <c r="CM137" s="648">
        <v>1</v>
      </c>
      <c r="CN137" s="1488" t="s">
        <v>5220</v>
      </c>
      <c r="CO137" s="1489"/>
      <c r="CP137" s="1489"/>
      <c r="CQ137" s="1489"/>
      <c r="CR137" s="1489"/>
      <c r="CS137" s="1489"/>
      <c r="CT137" s="1489"/>
      <c r="CU137" s="1489"/>
      <c r="CV137" s="1490"/>
      <c r="DK137" s="648">
        <v>1</v>
      </c>
      <c r="DL137" s="1488" t="s">
        <v>5220</v>
      </c>
      <c r="DM137" s="1489"/>
      <c r="DN137" s="1489"/>
      <c r="DO137" s="1489"/>
      <c r="DP137" s="1489"/>
      <c r="DQ137" s="1489"/>
      <c r="DR137" s="1489"/>
      <c r="DS137" s="1489"/>
      <c r="DT137" s="1490"/>
      <c r="DU137" s="949"/>
      <c r="DV137" s="755"/>
      <c r="DW137" s="755"/>
      <c r="DY137" s="810"/>
      <c r="EE137" s="778"/>
      <c r="EF137" s="1652" t="s">
        <v>5425</v>
      </c>
      <c r="EG137" s="1510"/>
      <c r="EH137" s="1510"/>
      <c r="EI137" s="1510"/>
      <c r="EJ137" s="1510"/>
      <c r="EK137" s="1510"/>
      <c r="EL137" s="1510"/>
      <c r="EM137" s="1510"/>
      <c r="EN137" s="1510"/>
      <c r="EO137" s="1511"/>
      <c r="EP137" s="775"/>
      <c r="EV137" s="811"/>
      <c r="FB137" s="870"/>
      <c r="FC137" s="798"/>
      <c r="FD137" s="798"/>
      <c r="FE137" s="798"/>
      <c r="FF137" s="798"/>
      <c r="FG137" s="798"/>
      <c r="FH137" s="798"/>
      <c r="FI137" s="798"/>
      <c r="FJ137" s="798"/>
      <c r="FK137" s="798"/>
      <c r="FL137" s="798"/>
      <c r="FM137" s="798"/>
      <c r="FN137" s="798"/>
      <c r="FO137" s="798"/>
      <c r="FP137" s="798"/>
      <c r="FQ137" s="798"/>
      <c r="FR137" s="798"/>
      <c r="FS137" s="798"/>
      <c r="FT137" s="798"/>
      <c r="FU137" s="798"/>
      <c r="FV137" s="798"/>
      <c r="FW137" s="798"/>
      <c r="FX137" s="798"/>
      <c r="FY137" s="798"/>
      <c r="FZ137" s="798"/>
      <c r="GA137" s="798"/>
      <c r="GB137" s="798"/>
      <c r="GC137" s="871"/>
      <c r="GG137" s="810"/>
      <c r="GH137" s="648">
        <v>1</v>
      </c>
      <c r="GI137" s="1653" t="s">
        <v>5165</v>
      </c>
      <c r="GJ137" s="1653"/>
      <c r="GK137" s="1653"/>
      <c r="GL137" s="1653"/>
      <c r="GM137" s="1653"/>
      <c r="GN137" s="1653"/>
      <c r="GO137" s="1653"/>
      <c r="GP137" s="1653"/>
      <c r="GQ137" s="1653"/>
      <c r="GT137" s="648">
        <v>1</v>
      </c>
      <c r="GU137" s="1759" t="s">
        <v>5165</v>
      </c>
      <c r="GV137" s="1760"/>
      <c r="GW137" s="1760"/>
      <c r="GX137" s="1760"/>
      <c r="GY137" s="1760"/>
      <c r="GZ137" s="1760"/>
      <c r="HA137" s="1760"/>
      <c r="HB137" s="1760"/>
      <c r="HC137" s="1761"/>
      <c r="HG137" s="648">
        <v>1</v>
      </c>
      <c r="HH137" s="1653" t="s">
        <v>5165</v>
      </c>
      <c r="HI137" s="1653"/>
      <c r="HJ137" s="1653"/>
      <c r="HK137" s="1653"/>
      <c r="HL137" s="1653"/>
      <c r="HM137" s="1653"/>
      <c r="HN137" s="1653"/>
      <c r="HO137" s="1653"/>
      <c r="HP137" s="1653"/>
      <c r="HT137" s="648">
        <v>1</v>
      </c>
      <c r="HU137" s="1653" t="s">
        <v>5165</v>
      </c>
      <c r="HV137" s="1653"/>
      <c r="HW137" s="1653"/>
      <c r="HX137" s="1653"/>
      <c r="HY137" s="1653"/>
      <c r="HZ137" s="1653"/>
      <c r="IA137" s="1653"/>
      <c r="IB137" s="1653"/>
      <c r="IC137" s="1653"/>
      <c r="IG137" s="648">
        <v>1</v>
      </c>
      <c r="IH137" s="1653" t="s">
        <v>5165</v>
      </c>
      <c r="II137" s="1653"/>
      <c r="IJ137" s="1653"/>
      <c r="IK137" s="1653"/>
      <c r="IL137" s="1653"/>
      <c r="IM137" s="1653"/>
      <c r="IN137" s="1653"/>
      <c r="IO137" s="1653"/>
      <c r="IP137" s="1653"/>
      <c r="IS137" s="648">
        <v>1</v>
      </c>
      <c r="IT137" s="1653" t="s">
        <v>5165</v>
      </c>
      <c r="IU137" s="1653"/>
      <c r="IV137" s="1653"/>
      <c r="IW137" s="1653"/>
      <c r="IX137" s="1653"/>
      <c r="IY137" s="1653"/>
      <c r="IZ137" s="1653"/>
      <c r="JA137" s="1653"/>
      <c r="JB137" s="1653"/>
      <c r="JC137" s="811"/>
      <c r="JI137" s="810"/>
      <c r="JU137" s="1652" t="s">
        <v>4493</v>
      </c>
      <c r="JV137" s="1510"/>
      <c r="JW137" s="1510"/>
      <c r="JX137" s="1510"/>
      <c r="JY137" s="1510"/>
      <c r="JZ137" s="1510"/>
      <c r="KA137" s="1510"/>
      <c r="KB137" s="1510"/>
      <c r="KC137" s="1510"/>
      <c r="KD137" s="1511"/>
      <c r="KF137" s="1652" t="s">
        <v>4176</v>
      </c>
      <c r="KG137" s="1510"/>
      <c r="KH137" s="1510"/>
      <c r="KI137" s="1510"/>
      <c r="KJ137" s="1510"/>
      <c r="KK137" s="1510"/>
      <c r="KL137" s="1510"/>
      <c r="KM137" s="1510"/>
      <c r="KN137" s="1510"/>
      <c r="KO137" s="1511"/>
      <c r="LM137" s="1785" t="s">
        <v>3283</v>
      </c>
      <c r="LN137" s="1693"/>
      <c r="LO137" s="1693"/>
      <c r="LP137" s="1693"/>
      <c r="LQ137" s="1693"/>
      <c r="LR137" s="1693"/>
      <c r="LS137" s="1693"/>
      <c r="LT137" s="1693"/>
      <c r="LU137" s="1693"/>
      <c r="LV137" s="1694"/>
      <c r="LX137" s="1652" t="s">
        <v>2579</v>
      </c>
      <c r="LY137" s="1510"/>
      <c r="LZ137" s="1510"/>
      <c r="MA137" s="1510"/>
      <c r="MB137" s="1510"/>
      <c r="MC137" s="1510"/>
      <c r="MD137" s="1510"/>
      <c r="ME137" s="1510"/>
      <c r="MF137" s="1510"/>
      <c r="MG137" s="1511"/>
      <c r="MH137" s="811"/>
      <c r="MP137" s="810"/>
      <c r="MU137" s="786"/>
      <c r="NC137" s="1660" t="s">
        <v>1754</v>
      </c>
      <c r="ND137" s="1660" t="s">
        <v>4873</v>
      </c>
      <c r="NE137" s="1660"/>
      <c r="NF137" s="1660"/>
      <c r="NG137" s="1660"/>
      <c r="NH137" s="1660"/>
      <c r="NI137" s="1660"/>
      <c r="NJ137" s="1660"/>
      <c r="NK137" s="1660"/>
      <c r="NL137" s="1660"/>
      <c r="NO137" s="1723" t="s">
        <v>2361</v>
      </c>
      <c r="NP137" s="1723" t="s">
        <v>4873</v>
      </c>
      <c r="NQ137" s="1723"/>
      <c r="NR137" s="1723"/>
      <c r="NS137" s="1723"/>
      <c r="NT137" s="1723"/>
      <c r="NU137" s="1723"/>
      <c r="NV137" s="1723"/>
      <c r="NW137" s="1723"/>
      <c r="NX137" s="1723"/>
      <c r="OA137" s="1660" t="s">
        <v>3922</v>
      </c>
      <c r="OB137" s="1660" t="s">
        <v>4873</v>
      </c>
      <c r="OC137" s="1660"/>
      <c r="OD137" s="1660"/>
      <c r="OE137" s="1660"/>
      <c r="OF137" s="1660"/>
      <c r="OG137" s="1660"/>
      <c r="OH137" s="1660"/>
      <c r="OI137" s="1660"/>
      <c r="OJ137" s="1660"/>
      <c r="OL137" s="1660" t="s">
        <v>3922</v>
      </c>
      <c r="OM137" s="1660" t="s">
        <v>4873</v>
      </c>
      <c r="ON137" s="1660"/>
      <c r="OO137" s="1660"/>
      <c r="OP137" s="1660"/>
      <c r="OQ137" s="1660"/>
      <c r="OR137" s="1660"/>
      <c r="OS137" s="1660"/>
      <c r="OT137" s="1660"/>
      <c r="OU137" s="1660"/>
      <c r="OX137" s="1778" t="s">
        <v>177</v>
      </c>
      <c r="OY137" s="1778" t="s">
        <v>4873</v>
      </c>
      <c r="OZ137" s="1778"/>
      <c r="PA137" s="1778"/>
      <c r="PB137" s="1778"/>
      <c r="PC137" s="1778"/>
      <c r="PD137" s="1778"/>
      <c r="PE137" s="1778"/>
      <c r="PF137" s="1778"/>
      <c r="PG137" s="1778"/>
      <c r="PJ137" s="1476" t="s">
        <v>4622</v>
      </c>
      <c r="PK137" s="1476"/>
      <c r="PL137" s="1476"/>
      <c r="PM137" s="1476"/>
      <c r="PN137" s="1476"/>
      <c r="PO137" s="1476"/>
      <c r="PP137" s="1476"/>
      <c r="PQ137" s="1476"/>
      <c r="PR137" s="1476"/>
      <c r="PS137" s="1476"/>
      <c r="PU137" s="1660" t="s">
        <v>5426</v>
      </c>
      <c r="PV137" s="1660" t="s">
        <v>4873</v>
      </c>
      <c r="PW137" s="1660"/>
      <c r="PX137" s="1660"/>
      <c r="PY137" s="1660"/>
      <c r="PZ137" s="1660"/>
      <c r="QA137" s="1660"/>
      <c r="QB137" s="1660"/>
      <c r="QC137" s="1660"/>
      <c r="QD137" s="1660"/>
      <c r="QJ137" s="790"/>
      <c r="QU137" s="861"/>
      <c r="QV137" s="964"/>
      <c r="QZ137" s="754">
        <f>SUM(QQ140,QQ142,QQ146,QQ148,QQ150,QQ152,QQ144,QQ154)</f>
        <v>8</v>
      </c>
      <c r="RC137" s="1660" t="s">
        <v>5427</v>
      </c>
      <c r="RD137" s="1660" t="s">
        <v>4873</v>
      </c>
      <c r="RE137" s="1660"/>
      <c r="RF137" s="1660"/>
      <c r="RG137" s="1660"/>
      <c r="RH137" s="1660"/>
      <c r="RI137" s="1660"/>
      <c r="RJ137" s="1660"/>
      <c r="RK137" s="1660"/>
      <c r="RL137" s="1660"/>
      <c r="RO137" s="1789" t="s">
        <v>2207</v>
      </c>
      <c r="RP137" s="1789"/>
      <c r="RQ137" s="1789"/>
      <c r="RR137" s="1789"/>
      <c r="RS137" s="1789"/>
      <c r="RT137" s="1789"/>
      <c r="RU137" s="1789"/>
      <c r="RV137" s="1789"/>
      <c r="RW137" s="1789"/>
      <c r="RX137" s="1789"/>
      <c r="RZ137" s="811"/>
      <c r="SG137" s="758"/>
    </row>
    <row r="138" spans="4:551" ht="12.75" customHeight="1" x14ac:dyDescent="0.35">
      <c r="D138" s="758"/>
      <c r="V138" s="810"/>
      <c r="BG138" s="811"/>
      <c r="BK138" s="961"/>
      <c r="BP138" s="861"/>
      <c r="BQ138" s="965"/>
      <c r="CA138" s="894"/>
      <c r="CB138" s="861"/>
      <c r="CH138" s="811"/>
      <c r="CL138" s="810"/>
      <c r="CM138" s="1689" t="s">
        <v>131</v>
      </c>
      <c r="CN138" s="1712"/>
      <c r="CO138" s="1712"/>
      <c r="CP138" s="1712"/>
      <c r="CQ138" s="1712"/>
      <c r="CR138" s="1712"/>
      <c r="CS138" s="1712"/>
      <c r="CT138" s="1712"/>
      <c r="CU138" s="1712"/>
      <c r="CV138" s="1713"/>
      <c r="DK138" s="1543" t="s">
        <v>2787</v>
      </c>
      <c r="DL138" s="1729"/>
      <c r="DM138" s="1729"/>
      <c r="DN138" s="1729"/>
      <c r="DO138" s="1729"/>
      <c r="DP138" s="1729"/>
      <c r="DQ138" s="1729"/>
      <c r="DR138" s="1729"/>
      <c r="DS138" s="1729"/>
      <c r="DT138" s="1730"/>
      <c r="DU138" s="933"/>
      <c r="DV138" s="759"/>
      <c r="DW138" s="759"/>
      <c r="DY138" s="810"/>
      <c r="EF138" s="648">
        <v>1</v>
      </c>
      <c r="EG138" s="1488" t="s">
        <v>5395</v>
      </c>
      <c r="EH138" s="1489"/>
      <c r="EI138" s="1489"/>
      <c r="EJ138" s="1489"/>
      <c r="EK138" s="1489"/>
      <c r="EL138" s="1489"/>
      <c r="EM138" s="1489"/>
      <c r="EN138" s="1489"/>
      <c r="EO138" s="1490"/>
      <c r="EV138" s="811"/>
      <c r="FJ138" s="893"/>
      <c r="FK138" s="878"/>
      <c r="FL138" s="1790"/>
      <c r="FM138" s="1790"/>
      <c r="FN138" s="1790"/>
      <c r="FO138" s="1790"/>
      <c r="FP138" s="1790"/>
      <c r="FQ138" s="1790"/>
      <c r="FR138" s="1790"/>
      <c r="FS138" s="1790"/>
      <c r="FT138" s="1790"/>
      <c r="FU138" s="1790"/>
      <c r="FV138" s="1790"/>
      <c r="FW138" s="1790"/>
      <c r="FX138" s="1790"/>
      <c r="FY138" s="1790"/>
      <c r="FZ138" s="1790"/>
      <c r="GG138" s="810"/>
      <c r="GH138" s="1482" t="s">
        <v>2555</v>
      </c>
      <c r="GI138" s="1510"/>
      <c r="GJ138" s="1510"/>
      <c r="GK138" s="1510"/>
      <c r="GL138" s="1510"/>
      <c r="GM138" s="1510"/>
      <c r="GN138" s="1510"/>
      <c r="GO138" s="1510"/>
      <c r="GP138" s="1510"/>
      <c r="GQ138" s="1511"/>
      <c r="GT138" s="1666" t="s">
        <v>2380</v>
      </c>
      <c r="GU138" s="1667"/>
      <c r="GV138" s="1667"/>
      <c r="GW138" s="1667"/>
      <c r="GX138" s="1667"/>
      <c r="GY138" s="1667"/>
      <c r="GZ138" s="1667"/>
      <c r="HA138" s="1667"/>
      <c r="HB138" s="1667"/>
      <c r="HC138" s="1668"/>
      <c r="HG138" s="1543" t="s">
        <v>2585</v>
      </c>
      <c r="HH138" s="1729"/>
      <c r="HI138" s="1729"/>
      <c r="HJ138" s="1729"/>
      <c r="HK138" s="1729"/>
      <c r="HL138" s="1729"/>
      <c r="HM138" s="1729"/>
      <c r="HN138" s="1729"/>
      <c r="HO138" s="1729"/>
      <c r="HP138" s="1730"/>
      <c r="HT138" s="1482" t="s">
        <v>3898</v>
      </c>
      <c r="HU138" s="1483"/>
      <c r="HV138" s="1483"/>
      <c r="HW138" s="1483"/>
      <c r="HX138" s="1483"/>
      <c r="HY138" s="1483"/>
      <c r="HZ138" s="1483"/>
      <c r="IA138" s="1483"/>
      <c r="IB138" s="1483"/>
      <c r="IC138" s="1484"/>
      <c r="IG138" s="1482" t="s">
        <v>4403</v>
      </c>
      <c r="IH138" s="1483"/>
      <c r="II138" s="1483"/>
      <c r="IJ138" s="1483"/>
      <c r="IK138" s="1483"/>
      <c r="IL138" s="1483"/>
      <c r="IM138" s="1483"/>
      <c r="IN138" s="1483"/>
      <c r="IO138" s="1483"/>
      <c r="IP138" s="1484"/>
      <c r="IS138" s="1482" t="s">
        <v>3307</v>
      </c>
      <c r="IT138" s="1483"/>
      <c r="IU138" s="1483"/>
      <c r="IV138" s="1483"/>
      <c r="IW138" s="1483"/>
      <c r="IX138" s="1483"/>
      <c r="IY138" s="1483"/>
      <c r="IZ138" s="1483"/>
      <c r="JA138" s="1483"/>
      <c r="JB138" s="1484"/>
      <c r="JC138" s="811"/>
      <c r="JI138" s="810"/>
      <c r="JU138" s="648">
        <v>1</v>
      </c>
      <c r="JV138" s="1488" t="s">
        <v>5202</v>
      </c>
      <c r="JW138" s="1489"/>
      <c r="JX138" s="1489"/>
      <c r="JY138" s="1489"/>
      <c r="JZ138" s="1489"/>
      <c r="KA138" s="1489"/>
      <c r="KB138" s="1489"/>
      <c r="KC138" s="1489"/>
      <c r="KD138" s="1490"/>
      <c r="KF138" s="648">
        <v>1</v>
      </c>
      <c r="KG138" s="1488" t="s">
        <v>5203</v>
      </c>
      <c r="KH138" s="1489"/>
      <c r="KI138" s="1489"/>
      <c r="KJ138" s="1489"/>
      <c r="KK138" s="1489"/>
      <c r="KL138" s="1489"/>
      <c r="KM138" s="1489"/>
      <c r="KN138" s="1489"/>
      <c r="KO138" s="1490"/>
      <c r="LX138" s="892">
        <v>1</v>
      </c>
      <c r="LY138" s="1488" t="s">
        <v>5428</v>
      </c>
      <c r="LZ138" s="1489"/>
      <c r="MA138" s="1489"/>
      <c r="MB138" s="1489"/>
      <c r="MC138" s="1489"/>
      <c r="MD138" s="1489"/>
      <c r="ME138" s="1489"/>
      <c r="MF138" s="1489"/>
      <c r="MG138" s="1490"/>
      <c r="MH138" s="811"/>
      <c r="MP138" s="810"/>
      <c r="MU138" s="786"/>
      <c r="NG138" s="786"/>
      <c r="NH138" s="957"/>
      <c r="NO138" s="646"/>
      <c r="NP138" s="646"/>
      <c r="NQ138" s="646"/>
      <c r="NR138" s="646"/>
      <c r="NS138" s="966"/>
      <c r="NT138" s="646"/>
      <c r="NU138" s="646"/>
      <c r="NV138" s="646"/>
      <c r="NW138" s="646"/>
      <c r="NX138" s="646"/>
      <c r="OA138" s="646"/>
      <c r="OB138" s="646"/>
      <c r="OC138" s="646"/>
      <c r="OD138" s="646"/>
      <c r="OE138" s="966"/>
      <c r="OF138" s="646"/>
      <c r="OG138" s="646"/>
      <c r="OH138" s="646"/>
      <c r="OI138" s="646"/>
      <c r="OJ138" s="646"/>
      <c r="OL138" s="646"/>
      <c r="OM138" s="646"/>
      <c r="ON138" s="646"/>
      <c r="OO138" s="646"/>
      <c r="OP138" s="966"/>
      <c r="OQ138" s="646"/>
      <c r="OR138" s="646"/>
      <c r="OS138" s="646"/>
      <c r="OT138" s="646"/>
      <c r="OU138" s="646"/>
      <c r="OX138" s="646"/>
      <c r="OY138" s="646"/>
      <c r="OZ138" s="646"/>
      <c r="PA138" s="646"/>
      <c r="PB138" s="966"/>
      <c r="PC138" s="646"/>
      <c r="PD138" s="646"/>
      <c r="PE138" s="646"/>
      <c r="PF138" s="646"/>
      <c r="PG138" s="646"/>
      <c r="PJ138" s="646"/>
      <c r="PK138" s="646"/>
      <c r="PL138" s="646"/>
      <c r="PM138" s="646"/>
      <c r="PN138" s="966"/>
      <c r="PO138" s="646"/>
      <c r="PP138" s="646"/>
      <c r="PQ138" s="646"/>
      <c r="PR138" s="646"/>
      <c r="PS138" s="646"/>
      <c r="PU138" s="646"/>
      <c r="PV138" s="646"/>
      <c r="PW138" s="646"/>
      <c r="PX138" s="646"/>
      <c r="PY138" s="966"/>
      <c r="PZ138" s="646"/>
      <c r="QA138" s="646"/>
      <c r="QB138" s="646"/>
      <c r="QC138" s="646"/>
      <c r="QD138" s="646"/>
      <c r="QJ138" s="854"/>
      <c r="QQ138" s="1787" t="s">
        <v>5420</v>
      </c>
      <c r="QR138" s="1787"/>
      <c r="QS138" s="1787"/>
      <c r="QT138" s="1787"/>
      <c r="QU138" s="1787"/>
      <c r="QV138" s="1787"/>
      <c r="QW138" s="1787"/>
      <c r="QX138" s="1787"/>
      <c r="QY138" s="1787"/>
      <c r="QZ138" s="1787"/>
      <c r="RC138" s="646"/>
      <c r="RD138" s="646"/>
      <c r="RE138" s="646"/>
      <c r="RF138" s="646"/>
      <c r="RG138" s="966"/>
      <c r="RH138" s="646"/>
      <c r="RI138" s="646"/>
      <c r="RJ138" s="646"/>
      <c r="RK138" s="646"/>
      <c r="RL138" s="646"/>
      <c r="RO138" s="646"/>
      <c r="RP138" s="646"/>
      <c r="RQ138" s="646"/>
      <c r="RR138" s="646"/>
      <c r="RS138" s="646"/>
      <c r="RT138" s="967"/>
      <c r="RU138" s="646"/>
      <c r="RV138" s="646"/>
      <c r="RW138" s="646"/>
      <c r="RX138" s="646"/>
      <c r="RZ138" s="811"/>
      <c r="SG138" s="758"/>
    </row>
    <row r="139" spans="4:551" ht="12.75" customHeight="1" x14ac:dyDescent="0.35">
      <c r="D139" s="758"/>
      <c r="V139" s="810"/>
      <c r="BG139" s="811"/>
      <c r="BK139" s="810"/>
      <c r="BL139" s="648">
        <v>1</v>
      </c>
      <c r="BM139" s="1488" t="s">
        <v>218</v>
      </c>
      <c r="BN139" s="1489"/>
      <c r="BO139" s="1489"/>
      <c r="BP139" s="1489"/>
      <c r="BQ139" s="1489"/>
      <c r="BR139" s="1489"/>
      <c r="BS139" s="1489"/>
      <c r="BT139" s="1489"/>
      <c r="BU139" s="1490"/>
      <c r="BW139" s="778"/>
      <c r="BX139" s="618">
        <v>1</v>
      </c>
      <c r="BY139" s="1488" t="s">
        <v>218</v>
      </c>
      <c r="BZ139" s="1489"/>
      <c r="CA139" s="1489"/>
      <c r="CB139" s="1489"/>
      <c r="CC139" s="1489"/>
      <c r="CD139" s="1489"/>
      <c r="CE139" s="1489"/>
      <c r="CF139" s="1489"/>
      <c r="CG139" s="1490"/>
      <c r="CH139" s="811"/>
      <c r="CL139" s="810"/>
      <c r="DK139" s="710">
        <v>1</v>
      </c>
      <c r="DL139" s="1567" t="s">
        <v>5408</v>
      </c>
      <c r="DM139" s="1568"/>
      <c r="DN139" s="1568"/>
      <c r="DO139" s="1568"/>
      <c r="DP139" s="1568"/>
      <c r="DQ139" s="1568"/>
      <c r="DR139" s="1568"/>
      <c r="DS139" s="1568"/>
      <c r="DT139" s="1569"/>
      <c r="DU139" s="949"/>
      <c r="DV139" s="755"/>
      <c r="DW139" s="755"/>
      <c r="DY139" s="810"/>
      <c r="EF139" s="1652" t="s">
        <v>2784</v>
      </c>
      <c r="EG139" s="1510"/>
      <c r="EH139" s="1510"/>
      <c r="EI139" s="1510"/>
      <c r="EJ139" s="1510"/>
      <c r="EK139" s="1510"/>
      <c r="EL139" s="1510"/>
      <c r="EM139" s="1510"/>
      <c r="EN139" s="1510"/>
      <c r="EO139" s="1511"/>
      <c r="EV139" s="811"/>
      <c r="GG139" s="810"/>
      <c r="GH139" s="648">
        <v>1</v>
      </c>
      <c r="GI139" s="1653" t="s">
        <v>5165</v>
      </c>
      <c r="GJ139" s="1653"/>
      <c r="GK139" s="1653"/>
      <c r="GL139" s="1653"/>
      <c r="GM139" s="1653"/>
      <c r="GN139" s="1653"/>
      <c r="GO139" s="1653"/>
      <c r="GP139" s="1653"/>
      <c r="GQ139" s="1653"/>
      <c r="GT139" s="648">
        <v>1</v>
      </c>
      <c r="GU139" s="1759" t="s">
        <v>5165</v>
      </c>
      <c r="GV139" s="1760"/>
      <c r="GW139" s="1760"/>
      <c r="GX139" s="1760"/>
      <c r="GY139" s="1760"/>
      <c r="GZ139" s="1760"/>
      <c r="HA139" s="1760"/>
      <c r="HB139" s="1760"/>
      <c r="HC139" s="1761"/>
      <c r="HG139" s="648">
        <v>1</v>
      </c>
      <c r="HH139" s="1653" t="s">
        <v>5165</v>
      </c>
      <c r="HI139" s="1653"/>
      <c r="HJ139" s="1653"/>
      <c r="HK139" s="1653"/>
      <c r="HL139" s="1653"/>
      <c r="HM139" s="1653"/>
      <c r="HN139" s="1653"/>
      <c r="HO139" s="1653"/>
      <c r="HP139" s="1653"/>
      <c r="HT139" s="648">
        <v>1</v>
      </c>
      <c r="HU139" s="1653" t="s">
        <v>5165</v>
      </c>
      <c r="HV139" s="1653"/>
      <c r="HW139" s="1653"/>
      <c r="HX139" s="1653"/>
      <c r="HY139" s="1653"/>
      <c r="HZ139" s="1653"/>
      <c r="IA139" s="1653"/>
      <c r="IB139" s="1653"/>
      <c r="IC139" s="1653"/>
      <c r="IG139" s="648">
        <v>1</v>
      </c>
      <c r="IH139" s="1653" t="s">
        <v>5165</v>
      </c>
      <c r="II139" s="1653"/>
      <c r="IJ139" s="1653"/>
      <c r="IK139" s="1653"/>
      <c r="IL139" s="1653"/>
      <c r="IM139" s="1653"/>
      <c r="IN139" s="1653"/>
      <c r="IO139" s="1653"/>
      <c r="IP139" s="1653"/>
      <c r="IS139" s="648">
        <v>1</v>
      </c>
      <c r="IT139" s="1653" t="s">
        <v>5165</v>
      </c>
      <c r="IU139" s="1653"/>
      <c r="IV139" s="1653"/>
      <c r="IW139" s="1653"/>
      <c r="IX139" s="1653"/>
      <c r="IY139" s="1653"/>
      <c r="IZ139" s="1653"/>
      <c r="JA139" s="1653"/>
      <c r="JB139" s="1653"/>
      <c r="JC139" s="811"/>
      <c r="JI139" s="810"/>
      <c r="JU139" s="1652" t="s">
        <v>1250</v>
      </c>
      <c r="JV139" s="1510"/>
      <c r="JW139" s="1510"/>
      <c r="JX139" s="1510"/>
      <c r="JY139" s="1510"/>
      <c r="JZ139" s="1510"/>
      <c r="KA139" s="1510"/>
      <c r="KB139" s="1510"/>
      <c r="KC139" s="1510"/>
      <c r="KD139" s="1511"/>
      <c r="KF139" s="1652" t="s">
        <v>4562</v>
      </c>
      <c r="KG139" s="1510"/>
      <c r="KH139" s="1510"/>
      <c r="KI139" s="1510"/>
      <c r="KJ139" s="1510"/>
      <c r="KK139" s="1510"/>
      <c r="KL139" s="1510"/>
      <c r="KM139" s="1510"/>
      <c r="KN139" s="1510"/>
      <c r="KO139" s="1511"/>
      <c r="LX139" s="1652" t="s">
        <v>2907</v>
      </c>
      <c r="LY139" s="1510"/>
      <c r="LZ139" s="1510"/>
      <c r="MA139" s="1510"/>
      <c r="MB139" s="1510"/>
      <c r="MC139" s="1510"/>
      <c r="MD139" s="1510"/>
      <c r="ME139" s="1510"/>
      <c r="MF139" s="1510"/>
      <c r="MG139" s="1511"/>
      <c r="MH139" s="811"/>
      <c r="MP139" s="810"/>
      <c r="MU139" s="816"/>
      <c r="NG139" s="816"/>
      <c r="NH139" s="912"/>
      <c r="NS139" s="816"/>
      <c r="OE139" s="816"/>
      <c r="OP139" s="816"/>
      <c r="PB139" s="816"/>
      <c r="PN139" s="786"/>
      <c r="PY139" s="816"/>
      <c r="QF139" s="1787" t="s">
        <v>5207</v>
      </c>
      <c r="QG139" s="1787"/>
      <c r="QH139" s="1787"/>
      <c r="QI139" s="1787"/>
      <c r="QJ139" s="1787"/>
      <c r="QK139" s="1787"/>
      <c r="QL139" s="1787"/>
      <c r="QM139" s="1787"/>
      <c r="QN139" s="1787"/>
      <c r="QO139" s="1787"/>
      <c r="QQ139" s="1787" t="s">
        <v>5373</v>
      </c>
      <c r="QR139" s="1787"/>
      <c r="QS139" s="1787"/>
      <c r="QT139" s="1787"/>
      <c r="QU139" s="1787"/>
      <c r="QV139" s="1787"/>
      <c r="QW139" s="1787"/>
      <c r="QX139" s="1787"/>
      <c r="QY139" s="1787"/>
      <c r="QZ139" s="1787"/>
      <c r="RG139" s="816"/>
      <c r="RT139" s="912"/>
      <c r="RZ139" s="811"/>
      <c r="SG139" s="758"/>
    </row>
    <row r="140" spans="4:551" ht="12.75" customHeight="1" x14ac:dyDescent="0.35">
      <c r="D140" s="758"/>
      <c r="V140" s="870"/>
      <c r="W140" s="798"/>
      <c r="X140" s="798"/>
      <c r="Y140" s="798"/>
      <c r="Z140" s="798"/>
      <c r="AA140" s="798"/>
      <c r="AB140" s="798"/>
      <c r="AC140" s="798"/>
      <c r="AD140" s="798"/>
      <c r="AE140" s="798"/>
      <c r="AF140" s="798"/>
      <c r="AG140" s="798"/>
      <c r="AH140" s="798"/>
      <c r="AI140" s="798"/>
      <c r="AJ140" s="798"/>
      <c r="AK140" s="798"/>
      <c r="AL140" s="798"/>
      <c r="AM140" s="798"/>
      <c r="AN140" s="968"/>
      <c r="AO140" s="968"/>
      <c r="AP140" s="968"/>
      <c r="AQ140" s="968"/>
      <c r="AR140" s="968"/>
      <c r="AS140" s="968"/>
      <c r="AT140" s="968"/>
      <c r="AU140" s="798"/>
      <c r="AV140" s="798"/>
      <c r="AW140" s="798"/>
      <c r="AX140" s="798"/>
      <c r="AY140" s="798"/>
      <c r="AZ140" s="798"/>
      <c r="BA140" s="798"/>
      <c r="BB140" s="798"/>
      <c r="BC140" s="798"/>
      <c r="BD140" s="798"/>
      <c r="BE140" s="798"/>
      <c r="BF140" s="798"/>
      <c r="BG140" s="871"/>
      <c r="BK140" s="961"/>
      <c r="BL140" s="1482" t="s">
        <v>4448</v>
      </c>
      <c r="BM140" s="1510"/>
      <c r="BN140" s="1510"/>
      <c r="BO140" s="1510"/>
      <c r="BP140" s="1510"/>
      <c r="BQ140" s="1510"/>
      <c r="BR140" s="1510"/>
      <c r="BS140" s="1510"/>
      <c r="BT140" s="1510"/>
      <c r="BU140" s="1511"/>
      <c r="BW140" s="778"/>
      <c r="BX140" s="1710" t="s">
        <v>3772</v>
      </c>
      <c r="BY140" s="1747"/>
      <c r="BZ140" s="1747"/>
      <c r="CA140" s="1747"/>
      <c r="CB140" s="1747"/>
      <c r="CC140" s="1747"/>
      <c r="CD140" s="1747"/>
      <c r="CE140" s="1747"/>
      <c r="CF140" s="1747"/>
      <c r="CG140" s="1748"/>
      <c r="CH140" s="811"/>
      <c r="CL140" s="810"/>
      <c r="DI140" s="771"/>
      <c r="DK140" s="1543" t="s">
        <v>2639</v>
      </c>
      <c r="DL140" s="1544"/>
      <c r="DM140" s="1544"/>
      <c r="DN140" s="1544"/>
      <c r="DO140" s="1544"/>
      <c r="DP140" s="1544"/>
      <c r="DQ140" s="1544"/>
      <c r="DR140" s="1544"/>
      <c r="DS140" s="1544"/>
      <c r="DT140" s="1545"/>
      <c r="DU140" s="811"/>
      <c r="DX140" s="755"/>
      <c r="DY140" s="810"/>
      <c r="EF140" s="710">
        <v>1</v>
      </c>
      <c r="EG140" s="1567" t="s">
        <v>5395</v>
      </c>
      <c r="EH140" s="1568"/>
      <c r="EI140" s="1568"/>
      <c r="EJ140" s="1568"/>
      <c r="EK140" s="1568"/>
      <c r="EL140" s="1568"/>
      <c r="EM140" s="1568"/>
      <c r="EN140" s="1568"/>
      <c r="EO140" s="1569"/>
      <c r="EV140" s="811"/>
      <c r="GG140" s="810"/>
      <c r="GH140" s="1482" t="s">
        <v>3822</v>
      </c>
      <c r="GI140" s="1510"/>
      <c r="GJ140" s="1510"/>
      <c r="GK140" s="1510"/>
      <c r="GL140" s="1510"/>
      <c r="GM140" s="1510"/>
      <c r="GN140" s="1510"/>
      <c r="GO140" s="1510"/>
      <c r="GP140" s="1510"/>
      <c r="GQ140" s="1511"/>
      <c r="GT140" s="1482" t="s">
        <v>2201</v>
      </c>
      <c r="GU140" s="1483"/>
      <c r="GV140" s="1483"/>
      <c r="GW140" s="1483"/>
      <c r="GX140" s="1483"/>
      <c r="GY140" s="1483"/>
      <c r="GZ140" s="1483"/>
      <c r="HA140" s="1483"/>
      <c r="HB140" s="1483"/>
      <c r="HC140" s="1484"/>
      <c r="HG140" s="1482" t="s">
        <v>3313</v>
      </c>
      <c r="HH140" s="1483"/>
      <c r="HI140" s="1483"/>
      <c r="HJ140" s="1483"/>
      <c r="HK140" s="1483"/>
      <c r="HL140" s="1483"/>
      <c r="HM140" s="1483"/>
      <c r="HN140" s="1483"/>
      <c r="HO140" s="1483"/>
      <c r="HP140" s="1484"/>
      <c r="HT140" s="1482" t="s">
        <v>4487</v>
      </c>
      <c r="HU140" s="1483"/>
      <c r="HV140" s="1483"/>
      <c r="HW140" s="1483"/>
      <c r="HX140" s="1483"/>
      <c r="HY140" s="1483"/>
      <c r="HZ140" s="1483"/>
      <c r="IA140" s="1483"/>
      <c r="IB140" s="1483"/>
      <c r="IC140" s="1484"/>
      <c r="IG140" s="1666" t="s">
        <v>3889</v>
      </c>
      <c r="IH140" s="1667"/>
      <c r="II140" s="1667"/>
      <c r="IJ140" s="1667"/>
      <c r="IK140" s="1667"/>
      <c r="IL140" s="1667"/>
      <c r="IM140" s="1667"/>
      <c r="IN140" s="1667"/>
      <c r="IO140" s="1667"/>
      <c r="IP140" s="1668"/>
      <c r="IS140" s="1482" t="s">
        <v>3356</v>
      </c>
      <c r="IT140" s="1483"/>
      <c r="IU140" s="1483"/>
      <c r="IV140" s="1483"/>
      <c r="IW140" s="1483"/>
      <c r="IX140" s="1483"/>
      <c r="IY140" s="1483"/>
      <c r="IZ140" s="1483"/>
      <c r="JA140" s="1483"/>
      <c r="JB140" s="1484"/>
      <c r="JC140" s="811"/>
      <c r="JI140" s="810"/>
      <c r="KF140" s="648">
        <v>1</v>
      </c>
      <c r="KG140" s="1488" t="s">
        <v>5203</v>
      </c>
      <c r="KH140" s="1489"/>
      <c r="KI140" s="1489"/>
      <c r="KJ140" s="1489"/>
      <c r="KK140" s="1489"/>
      <c r="KL140" s="1489"/>
      <c r="KM140" s="1489"/>
      <c r="KN140" s="1489"/>
      <c r="KO140" s="1490"/>
      <c r="LX140" s="648">
        <v>1</v>
      </c>
      <c r="LY140" s="1488" t="s">
        <v>5007</v>
      </c>
      <c r="LZ140" s="1489"/>
      <c r="MA140" s="1489"/>
      <c r="MB140" s="1489"/>
      <c r="MC140" s="1489"/>
      <c r="MD140" s="1489"/>
      <c r="ME140" s="1489"/>
      <c r="MF140" s="1489"/>
      <c r="MG140" s="1490"/>
      <c r="MH140" s="811"/>
      <c r="MP140" s="810"/>
      <c r="MQ140" s="648">
        <v>1</v>
      </c>
      <c r="MR140" s="1653" t="s">
        <v>5228</v>
      </c>
      <c r="MS140" s="1653"/>
      <c r="MT140" s="1653"/>
      <c r="MU140" s="1653"/>
      <c r="MV140" s="1653"/>
      <c r="MW140" s="1653"/>
      <c r="MX140" s="1653"/>
      <c r="MY140" s="1653"/>
      <c r="MZ140" s="1653"/>
      <c r="NC140" s="648">
        <v>1</v>
      </c>
      <c r="ND140" s="1653" t="s">
        <v>4760</v>
      </c>
      <c r="NE140" s="1653"/>
      <c r="NF140" s="1653"/>
      <c r="NG140" s="1653"/>
      <c r="NH140" s="1653"/>
      <c r="NI140" s="1653"/>
      <c r="NJ140" s="1653"/>
      <c r="NK140" s="1653"/>
      <c r="NL140" s="1653"/>
      <c r="NO140" s="648">
        <v>1</v>
      </c>
      <c r="NP140" s="1488" t="s">
        <v>4758</v>
      </c>
      <c r="NQ140" s="1489"/>
      <c r="NR140" s="1489"/>
      <c r="NS140" s="1489"/>
      <c r="NT140" s="1489"/>
      <c r="NU140" s="1489"/>
      <c r="NV140" s="1489"/>
      <c r="NW140" s="1489"/>
      <c r="NX140" s="1490"/>
      <c r="OA140" s="648">
        <v>1</v>
      </c>
      <c r="OB140" s="1488" t="s">
        <v>5413</v>
      </c>
      <c r="OC140" s="1489"/>
      <c r="OD140" s="1489"/>
      <c r="OE140" s="1489"/>
      <c r="OF140" s="1489"/>
      <c r="OG140" s="1489"/>
      <c r="OH140" s="1489"/>
      <c r="OI140" s="1489"/>
      <c r="OJ140" s="1490"/>
      <c r="OL140" s="648">
        <v>1</v>
      </c>
      <c r="OM140" s="1653" t="s">
        <v>4892</v>
      </c>
      <c r="ON140" s="1653"/>
      <c r="OO140" s="1653"/>
      <c r="OP140" s="1653"/>
      <c r="OQ140" s="1653"/>
      <c r="OR140" s="1653"/>
      <c r="OS140" s="1653"/>
      <c r="OT140" s="1653"/>
      <c r="OU140" s="1653"/>
      <c r="OX140" s="648">
        <v>1</v>
      </c>
      <c r="OY140" s="1488" t="s">
        <v>5413</v>
      </c>
      <c r="OZ140" s="1489"/>
      <c r="PA140" s="1489"/>
      <c r="PB140" s="1489"/>
      <c r="PC140" s="1489"/>
      <c r="PD140" s="1489"/>
      <c r="PE140" s="1489"/>
      <c r="PF140" s="1489"/>
      <c r="PG140" s="1490"/>
      <c r="PJ140" s="887">
        <v>1</v>
      </c>
      <c r="PK140" s="1769" t="s">
        <v>227</v>
      </c>
      <c r="PL140" s="1769"/>
      <c r="PM140" s="1769"/>
      <c r="PN140" s="1769"/>
      <c r="PO140" s="1769"/>
      <c r="PP140" s="1769"/>
      <c r="PQ140" s="1769"/>
      <c r="PR140" s="1769"/>
      <c r="PS140" s="1769"/>
      <c r="PU140" s="648">
        <v>1</v>
      </c>
      <c r="PV140" s="1488" t="s">
        <v>5413</v>
      </c>
      <c r="PW140" s="1489"/>
      <c r="PX140" s="1489"/>
      <c r="PY140" s="1489"/>
      <c r="PZ140" s="1489"/>
      <c r="QA140" s="1489"/>
      <c r="QB140" s="1489"/>
      <c r="QC140" s="1489"/>
      <c r="QD140" s="1490"/>
      <c r="QF140" s="648">
        <v>1</v>
      </c>
      <c r="QG140" s="1488" t="s">
        <v>5429</v>
      </c>
      <c r="QH140" s="1489"/>
      <c r="QI140" s="1489"/>
      <c r="QJ140" s="1489"/>
      <c r="QK140" s="1489"/>
      <c r="QL140" s="1489"/>
      <c r="QM140" s="1489"/>
      <c r="QN140" s="1489"/>
      <c r="QO140" s="1490"/>
      <c r="QQ140" s="648">
        <v>1</v>
      </c>
      <c r="QR140" s="1488" t="s">
        <v>4764</v>
      </c>
      <c r="QS140" s="1489"/>
      <c r="QT140" s="1489"/>
      <c r="QU140" s="1489"/>
      <c r="QV140" s="1489"/>
      <c r="QW140" s="1489"/>
      <c r="QX140" s="1489"/>
      <c r="QY140" s="1489"/>
      <c r="QZ140" s="1490"/>
      <c r="RC140" s="869">
        <v>1</v>
      </c>
      <c r="RD140" s="1684" t="s">
        <v>4764</v>
      </c>
      <c r="RE140" s="1685"/>
      <c r="RF140" s="1685"/>
      <c r="RG140" s="1685"/>
      <c r="RH140" s="1685"/>
      <c r="RI140" s="1685"/>
      <c r="RJ140" s="1685"/>
      <c r="RK140" s="1685"/>
      <c r="RL140" s="1686"/>
      <c r="RO140" s="648">
        <v>1</v>
      </c>
      <c r="RP140" s="1488" t="s">
        <v>5413</v>
      </c>
      <c r="RQ140" s="1489"/>
      <c r="RR140" s="1489"/>
      <c r="RS140" s="1489"/>
      <c r="RT140" s="1489"/>
      <c r="RU140" s="1489"/>
      <c r="RV140" s="1489"/>
      <c r="RW140" s="1489"/>
      <c r="RX140" s="1490"/>
      <c r="RZ140" s="811"/>
      <c r="SG140" s="758"/>
    </row>
    <row r="141" spans="4:551" ht="12.75" customHeight="1" x14ac:dyDescent="0.35">
      <c r="D141" s="758"/>
      <c r="AI141" s="704"/>
      <c r="AJ141" s="889"/>
      <c r="AK141" s="889"/>
      <c r="AL141" s="1720"/>
      <c r="AM141" s="1720"/>
      <c r="AN141" s="1720"/>
      <c r="AO141" s="1720"/>
      <c r="AP141" s="1720"/>
      <c r="AQ141" s="1720"/>
      <c r="AR141" s="1720"/>
      <c r="AS141" s="1720"/>
      <c r="AT141" s="1720"/>
      <c r="AU141" s="1720"/>
      <c r="AV141" s="1720"/>
      <c r="AW141" s="1720"/>
      <c r="AX141" s="760"/>
      <c r="AY141" s="760"/>
      <c r="AZ141" s="755"/>
      <c r="BA141" s="755"/>
      <c r="BB141" s="755"/>
      <c r="BC141" s="755"/>
      <c r="BD141" s="755"/>
      <c r="BE141" s="755"/>
      <c r="BF141" s="755"/>
      <c r="BK141" s="950"/>
      <c r="BL141" s="648">
        <v>1</v>
      </c>
      <c r="BM141" s="1488" t="s">
        <v>218</v>
      </c>
      <c r="BN141" s="1489"/>
      <c r="BO141" s="1489"/>
      <c r="BP141" s="1489"/>
      <c r="BQ141" s="1489"/>
      <c r="BR141" s="1489"/>
      <c r="BS141" s="1489"/>
      <c r="BT141" s="1489"/>
      <c r="BU141" s="1490"/>
      <c r="BW141" s="778"/>
      <c r="BX141" s="710">
        <v>1</v>
      </c>
      <c r="BY141" s="1567" t="s">
        <v>218</v>
      </c>
      <c r="BZ141" s="1568"/>
      <c r="CA141" s="1568"/>
      <c r="CB141" s="1568"/>
      <c r="CC141" s="1568"/>
      <c r="CD141" s="1568"/>
      <c r="CE141" s="1568"/>
      <c r="CF141" s="1568"/>
      <c r="CG141" s="1569"/>
      <c r="CH141" s="811"/>
      <c r="CL141" s="810"/>
      <c r="DI141" s="759"/>
      <c r="DK141" s="710">
        <v>1</v>
      </c>
      <c r="DL141" s="1567" t="s">
        <v>5004</v>
      </c>
      <c r="DM141" s="1568"/>
      <c r="DN141" s="1568"/>
      <c r="DO141" s="1568"/>
      <c r="DP141" s="1568"/>
      <c r="DQ141" s="1568"/>
      <c r="DR141" s="1568"/>
      <c r="DS141" s="1568"/>
      <c r="DT141" s="1569"/>
      <c r="DU141" s="949"/>
      <c r="DV141" s="755"/>
      <c r="DW141" s="755"/>
      <c r="DX141" s="761"/>
      <c r="DY141" s="897"/>
      <c r="EF141" s="1575" t="s">
        <v>4709</v>
      </c>
      <c r="EG141" s="1544"/>
      <c r="EH141" s="1544"/>
      <c r="EI141" s="1544"/>
      <c r="EJ141" s="1544"/>
      <c r="EK141" s="1544"/>
      <c r="EL141" s="1544"/>
      <c r="EM141" s="1544"/>
      <c r="EN141" s="1544"/>
      <c r="EO141" s="1545"/>
      <c r="EV141" s="811"/>
      <c r="GG141" s="810"/>
      <c r="GH141" s="648">
        <v>1</v>
      </c>
      <c r="GI141" s="1488" t="s">
        <v>5383</v>
      </c>
      <c r="GJ141" s="1489"/>
      <c r="GK141" s="1489"/>
      <c r="GL141" s="1489"/>
      <c r="GM141" s="1489"/>
      <c r="GN141" s="1489"/>
      <c r="GO141" s="1489"/>
      <c r="GP141" s="1489"/>
      <c r="GQ141" s="1490"/>
      <c r="GT141" s="648">
        <v>1</v>
      </c>
      <c r="GU141" s="1759" t="s">
        <v>5165</v>
      </c>
      <c r="GV141" s="1760"/>
      <c r="GW141" s="1760"/>
      <c r="GX141" s="1760"/>
      <c r="GY141" s="1760"/>
      <c r="GZ141" s="1760"/>
      <c r="HA141" s="1760"/>
      <c r="HB141" s="1760"/>
      <c r="HC141" s="1761"/>
      <c r="HG141" s="648">
        <v>1</v>
      </c>
      <c r="HH141" s="1653" t="s">
        <v>5165</v>
      </c>
      <c r="HI141" s="1653"/>
      <c r="HJ141" s="1653"/>
      <c r="HK141" s="1653"/>
      <c r="HL141" s="1653"/>
      <c r="HM141" s="1653"/>
      <c r="HN141" s="1653"/>
      <c r="HO141" s="1653"/>
      <c r="HP141" s="1653"/>
      <c r="HT141" s="648">
        <v>1</v>
      </c>
      <c r="HU141" s="1653" t="s">
        <v>5165</v>
      </c>
      <c r="HV141" s="1653"/>
      <c r="HW141" s="1653"/>
      <c r="HX141" s="1653"/>
      <c r="HY141" s="1653"/>
      <c r="HZ141" s="1653"/>
      <c r="IA141" s="1653"/>
      <c r="IB141" s="1653"/>
      <c r="IC141" s="1653"/>
      <c r="IG141" s="648">
        <v>1</v>
      </c>
      <c r="IH141" s="1653" t="s">
        <v>5165</v>
      </c>
      <c r="II141" s="1653"/>
      <c r="IJ141" s="1653"/>
      <c r="IK141" s="1653"/>
      <c r="IL141" s="1653"/>
      <c r="IM141" s="1653"/>
      <c r="IN141" s="1653"/>
      <c r="IO141" s="1653"/>
      <c r="IP141" s="1653"/>
      <c r="IS141" s="648">
        <v>1</v>
      </c>
      <c r="IT141" s="1653" t="s">
        <v>5165</v>
      </c>
      <c r="IU141" s="1653"/>
      <c r="IV141" s="1653"/>
      <c r="IW141" s="1653"/>
      <c r="IX141" s="1653"/>
      <c r="IY141" s="1653"/>
      <c r="IZ141" s="1653"/>
      <c r="JA141" s="1653"/>
      <c r="JB141" s="1653"/>
      <c r="JC141" s="811"/>
      <c r="JI141" s="810"/>
      <c r="KF141" s="1575" t="s">
        <v>1140</v>
      </c>
      <c r="KG141" s="1544"/>
      <c r="KH141" s="1544"/>
      <c r="KI141" s="1544"/>
      <c r="KJ141" s="1544"/>
      <c r="KK141" s="1544"/>
      <c r="KL141" s="1544"/>
      <c r="KM141" s="1544"/>
      <c r="KN141" s="1544"/>
      <c r="KO141" s="1545"/>
      <c r="LX141" s="1482" t="s">
        <v>3766</v>
      </c>
      <c r="LY141" s="1510"/>
      <c r="LZ141" s="1510"/>
      <c r="MA141" s="1510"/>
      <c r="MB141" s="1510"/>
      <c r="MC141" s="1510"/>
      <c r="MD141" s="1510"/>
      <c r="ME141" s="1510"/>
      <c r="MF141" s="1510"/>
      <c r="MG141" s="1511"/>
      <c r="MH141" s="811"/>
      <c r="MP141" s="810"/>
      <c r="MQ141" s="1660" t="s">
        <v>1083</v>
      </c>
      <c r="MR141" s="1660"/>
      <c r="MS141" s="1660"/>
      <c r="MT141" s="1660"/>
      <c r="MU141" s="1660"/>
      <c r="MV141" s="1660"/>
      <c r="MW141" s="1660"/>
      <c r="MX141" s="1660"/>
      <c r="MY141" s="1660"/>
      <c r="MZ141" s="1660"/>
      <c r="NC141" s="1723" t="s">
        <v>2651</v>
      </c>
      <c r="ND141" s="1723"/>
      <c r="NE141" s="1723"/>
      <c r="NF141" s="1723"/>
      <c r="NG141" s="1723"/>
      <c r="NH141" s="1723"/>
      <c r="NI141" s="1723"/>
      <c r="NJ141" s="1723"/>
      <c r="NK141" s="1723"/>
      <c r="NL141" s="1723"/>
      <c r="NO141" s="1660" t="s">
        <v>1730</v>
      </c>
      <c r="NP141" s="1660" t="s">
        <v>4873</v>
      </c>
      <c r="NQ141" s="1660"/>
      <c r="NR141" s="1660"/>
      <c r="NS141" s="1660"/>
      <c r="NT141" s="1660"/>
      <c r="NU141" s="1660"/>
      <c r="NV141" s="1660"/>
      <c r="NW141" s="1660"/>
      <c r="NX141" s="1660"/>
      <c r="OA141" s="1660" t="s">
        <v>2222</v>
      </c>
      <c r="OB141" s="1660" t="s">
        <v>4873</v>
      </c>
      <c r="OC141" s="1660"/>
      <c r="OD141" s="1660"/>
      <c r="OE141" s="1660"/>
      <c r="OF141" s="1660"/>
      <c r="OG141" s="1660"/>
      <c r="OH141" s="1660"/>
      <c r="OI141" s="1660"/>
      <c r="OJ141" s="1660"/>
      <c r="OL141" s="1660" t="s">
        <v>4682</v>
      </c>
      <c r="OM141" s="1660" t="s">
        <v>4873</v>
      </c>
      <c r="ON141" s="1660"/>
      <c r="OO141" s="1660"/>
      <c r="OP141" s="1660"/>
      <c r="OQ141" s="1660"/>
      <c r="OR141" s="1660"/>
      <c r="OS141" s="1660"/>
      <c r="OT141" s="1660"/>
      <c r="OU141" s="1660"/>
      <c r="OX141" s="1660" t="s">
        <v>5430</v>
      </c>
      <c r="OY141" s="1660" t="s">
        <v>4873</v>
      </c>
      <c r="OZ141" s="1660"/>
      <c r="PA141" s="1660"/>
      <c r="PB141" s="1660"/>
      <c r="PC141" s="1660"/>
      <c r="PD141" s="1660"/>
      <c r="PE141" s="1660"/>
      <c r="PF141" s="1660"/>
      <c r="PG141" s="1660"/>
      <c r="PJ141" s="1791" t="s">
        <v>131</v>
      </c>
      <c r="PK141" s="1791" t="s">
        <v>4873</v>
      </c>
      <c r="PL141" s="1791"/>
      <c r="PM141" s="1791"/>
      <c r="PN141" s="1791"/>
      <c r="PO141" s="1791"/>
      <c r="PP141" s="1791"/>
      <c r="PQ141" s="1791"/>
      <c r="PR141" s="1791"/>
      <c r="PS141" s="1791"/>
      <c r="PU141" s="1660" t="s">
        <v>2355</v>
      </c>
      <c r="PV141" s="1660" t="s">
        <v>4873</v>
      </c>
      <c r="PW141" s="1660"/>
      <c r="PX141" s="1660"/>
      <c r="PY141" s="1660"/>
      <c r="PZ141" s="1660"/>
      <c r="QA141" s="1660"/>
      <c r="QB141" s="1660"/>
      <c r="QC141" s="1660"/>
      <c r="QD141" s="1660"/>
      <c r="QF141" s="1660" t="s">
        <v>2506</v>
      </c>
      <c r="QG141" s="1660" t="s">
        <v>4873</v>
      </c>
      <c r="QH141" s="1660"/>
      <c r="QI141" s="1660"/>
      <c r="QJ141" s="1660"/>
      <c r="QK141" s="1660"/>
      <c r="QL141" s="1660"/>
      <c r="QM141" s="1660"/>
      <c r="QN141" s="1660"/>
      <c r="QO141" s="1660"/>
      <c r="QQ141" s="1706" t="s">
        <v>4294</v>
      </c>
      <c r="QR141" s="1706" t="s">
        <v>4873</v>
      </c>
      <c r="QS141" s="1706"/>
      <c r="QT141" s="1706"/>
      <c r="QU141" s="1706"/>
      <c r="QV141" s="1706"/>
      <c r="QW141" s="1706"/>
      <c r="QX141" s="1706"/>
      <c r="QY141" s="1706"/>
      <c r="QZ141" s="1706"/>
      <c r="RC141" s="1792" t="s">
        <v>5431</v>
      </c>
      <c r="RD141" s="1793"/>
      <c r="RE141" s="1793"/>
      <c r="RF141" s="1793"/>
      <c r="RG141" s="1793"/>
      <c r="RH141" s="1793"/>
      <c r="RI141" s="1793"/>
      <c r="RJ141" s="1793"/>
      <c r="RK141" s="1793"/>
      <c r="RL141" s="1794"/>
      <c r="RO141" s="1660" t="s">
        <v>2443</v>
      </c>
      <c r="RP141" s="1660" t="s">
        <v>4873</v>
      </c>
      <c r="RQ141" s="1660"/>
      <c r="RR141" s="1660"/>
      <c r="RS141" s="1660"/>
      <c r="RT141" s="1660"/>
      <c r="RU141" s="1660"/>
      <c r="RV141" s="1660"/>
      <c r="RW141" s="1660"/>
      <c r="RX141" s="1660"/>
      <c r="RZ141" s="811"/>
      <c r="SG141" s="758"/>
    </row>
    <row r="142" spans="4:551" ht="12.75" customHeight="1" x14ac:dyDescent="0.35">
      <c r="D142" s="758"/>
      <c r="AI142" s="704"/>
      <c r="AJ142" s="704"/>
      <c r="AK142" s="704"/>
      <c r="AL142" s="704"/>
      <c r="AM142" s="704"/>
      <c r="AN142" s="704"/>
      <c r="AO142" s="704"/>
      <c r="AP142" s="704"/>
      <c r="AQ142" s="704"/>
      <c r="AR142" s="704"/>
      <c r="AS142" s="704"/>
      <c r="AT142" s="704"/>
      <c r="AU142" s="704"/>
      <c r="AV142" s="704"/>
      <c r="AW142" s="704"/>
      <c r="BK142" s="961"/>
      <c r="BL142" s="1482" t="s">
        <v>1058</v>
      </c>
      <c r="BM142" s="1510"/>
      <c r="BN142" s="1510"/>
      <c r="BO142" s="1510"/>
      <c r="BP142" s="1510"/>
      <c r="BQ142" s="1510"/>
      <c r="BR142" s="1510"/>
      <c r="BS142" s="1510"/>
      <c r="BT142" s="1510"/>
      <c r="BU142" s="1511"/>
      <c r="BX142" s="1666" t="s">
        <v>5432</v>
      </c>
      <c r="BY142" s="1693"/>
      <c r="BZ142" s="1693"/>
      <c r="CA142" s="1693"/>
      <c r="CB142" s="1693"/>
      <c r="CC142" s="1693"/>
      <c r="CD142" s="1693"/>
      <c r="CE142" s="1693"/>
      <c r="CF142" s="1693"/>
      <c r="CG142" s="1694"/>
      <c r="CH142" s="811"/>
      <c r="CK142" s="811"/>
      <c r="CL142" s="755"/>
      <c r="CW142" s="755"/>
      <c r="CX142" s="755"/>
      <c r="CY142" s="755"/>
      <c r="CZ142" s="755"/>
      <c r="DA142" s="755"/>
      <c r="DB142" s="755"/>
      <c r="DC142" s="755"/>
      <c r="DD142" s="755"/>
      <c r="DE142" s="755"/>
      <c r="DF142" s="755"/>
      <c r="DG142" s="755"/>
      <c r="DH142" s="755"/>
      <c r="DI142" s="755"/>
      <c r="DJ142" s="755"/>
      <c r="DK142" s="1666" t="s">
        <v>3458</v>
      </c>
      <c r="DL142" s="1693"/>
      <c r="DM142" s="1693"/>
      <c r="DN142" s="1693"/>
      <c r="DO142" s="1693"/>
      <c r="DP142" s="1693"/>
      <c r="DQ142" s="1693"/>
      <c r="DR142" s="1693"/>
      <c r="DS142" s="1693"/>
      <c r="DT142" s="1694"/>
      <c r="DU142" s="969"/>
      <c r="DV142" s="759"/>
      <c r="DW142" s="759"/>
      <c r="DX142" s="755"/>
      <c r="DY142" s="961"/>
      <c r="EV142" s="811"/>
      <c r="GG142" s="810"/>
      <c r="GH142" s="1689" t="s">
        <v>131</v>
      </c>
      <c r="GI142" s="1712"/>
      <c r="GJ142" s="1712"/>
      <c r="GK142" s="1712"/>
      <c r="GL142" s="1712"/>
      <c r="GM142" s="1712"/>
      <c r="GN142" s="1712"/>
      <c r="GO142" s="1712"/>
      <c r="GP142" s="1712"/>
      <c r="GQ142" s="1713"/>
      <c r="GT142" s="1482" t="s">
        <v>2530</v>
      </c>
      <c r="GU142" s="1483"/>
      <c r="GV142" s="1483"/>
      <c r="GW142" s="1483"/>
      <c r="GX142" s="1483"/>
      <c r="GY142" s="1483"/>
      <c r="GZ142" s="1483"/>
      <c r="HA142" s="1483"/>
      <c r="HB142" s="1483"/>
      <c r="HC142" s="1484"/>
      <c r="HG142" s="1482" t="s">
        <v>3319</v>
      </c>
      <c r="HH142" s="1483"/>
      <c r="HI142" s="1483"/>
      <c r="HJ142" s="1483"/>
      <c r="HK142" s="1483"/>
      <c r="HL142" s="1483"/>
      <c r="HM142" s="1483"/>
      <c r="HN142" s="1483"/>
      <c r="HO142" s="1483"/>
      <c r="HP142" s="1484"/>
      <c r="HT142" s="1482" t="s">
        <v>4508</v>
      </c>
      <c r="HU142" s="1483"/>
      <c r="HV142" s="1483"/>
      <c r="HW142" s="1483"/>
      <c r="HX142" s="1483"/>
      <c r="HY142" s="1483"/>
      <c r="HZ142" s="1483"/>
      <c r="IA142" s="1483"/>
      <c r="IB142" s="1483"/>
      <c r="IC142" s="1484"/>
      <c r="IG142" s="1482" t="s">
        <v>5433</v>
      </c>
      <c r="IH142" s="1483"/>
      <c r="II142" s="1483"/>
      <c r="IJ142" s="1483"/>
      <c r="IK142" s="1483"/>
      <c r="IL142" s="1483"/>
      <c r="IM142" s="1483"/>
      <c r="IN142" s="1483"/>
      <c r="IO142" s="1483"/>
      <c r="IP142" s="1484"/>
      <c r="IS142" s="1482" t="s">
        <v>3434</v>
      </c>
      <c r="IT142" s="1483"/>
      <c r="IU142" s="1483"/>
      <c r="IV142" s="1483"/>
      <c r="IW142" s="1483"/>
      <c r="IX142" s="1483"/>
      <c r="IY142" s="1483"/>
      <c r="IZ142" s="1483"/>
      <c r="JA142" s="1483"/>
      <c r="JB142" s="1484"/>
      <c r="JC142" s="811"/>
      <c r="JI142" s="810"/>
      <c r="KF142" s="648">
        <v>1</v>
      </c>
      <c r="KG142" s="1488" t="s">
        <v>5203</v>
      </c>
      <c r="KH142" s="1489"/>
      <c r="KI142" s="1489"/>
      <c r="KJ142" s="1489"/>
      <c r="KK142" s="1489"/>
      <c r="KL142" s="1489"/>
      <c r="KM142" s="1489"/>
      <c r="KN142" s="1489"/>
      <c r="KO142" s="1490"/>
      <c r="LX142" s="892">
        <v>1</v>
      </c>
      <c r="LY142" s="1488" t="s">
        <v>5404</v>
      </c>
      <c r="LZ142" s="1489"/>
      <c r="MA142" s="1489"/>
      <c r="MB142" s="1489"/>
      <c r="MC142" s="1489"/>
      <c r="MD142" s="1489"/>
      <c r="ME142" s="1489"/>
      <c r="MF142" s="1489"/>
      <c r="MG142" s="1490"/>
      <c r="MH142" s="811"/>
      <c r="MP142" s="810"/>
      <c r="MQ142" s="648">
        <v>1</v>
      </c>
      <c r="MR142" s="1653" t="s">
        <v>4985</v>
      </c>
      <c r="MS142" s="1653"/>
      <c r="MT142" s="1653"/>
      <c r="MU142" s="1653"/>
      <c r="MV142" s="1653"/>
      <c r="MW142" s="1653"/>
      <c r="MX142" s="1653"/>
      <c r="MY142" s="1653"/>
      <c r="MZ142" s="1653"/>
      <c r="NC142" s="648">
        <v>1</v>
      </c>
      <c r="ND142" s="1653" t="s">
        <v>4760</v>
      </c>
      <c r="NE142" s="1653"/>
      <c r="NF142" s="1653"/>
      <c r="NG142" s="1653"/>
      <c r="NH142" s="1653"/>
      <c r="NI142" s="1653"/>
      <c r="NJ142" s="1653"/>
      <c r="NK142" s="1653"/>
      <c r="NL142" s="1653"/>
      <c r="NO142" s="648">
        <v>1</v>
      </c>
      <c r="NP142" s="1488" t="s">
        <v>5413</v>
      </c>
      <c r="NQ142" s="1489"/>
      <c r="NR142" s="1489"/>
      <c r="NS142" s="1489"/>
      <c r="NT142" s="1489"/>
      <c r="NU142" s="1489"/>
      <c r="NV142" s="1489"/>
      <c r="NW142" s="1489"/>
      <c r="NX142" s="1490"/>
      <c r="OA142" s="648">
        <v>1</v>
      </c>
      <c r="OB142" s="1488" t="s">
        <v>5413</v>
      </c>
      <c r="OC142" s="1489"/>
      <c r="OD142" s="1489"/>
      <c r="OE142" s="1489"/>
      <c r="OF142" s="1489"/>
      <c r="OG142" s="1489"/>
      <c r="OH142" s="1489"/>
      <c r="OI142" s="1489"/>
      <c r="OJ142" s="1490"/>
      <c r="OL142" s="648">
        <v>1</v>
      </c>
      <c r="OM142" s="1488" t="s">
        <v>4757</v>
      </c>
      <c r="ON142" s="1489"/>
      <c r="OO142" s="1489"/>
      <c r="OP142" s="1489"/>
      <c r="OQ142" s="1489"/>
      <c r="OR142" s="1489"/>
      <c r="OS142" s="1489"/>
      <c r="OT142" s="1489"/>
      <c r="OU142" s="1490"/>
      <c r="OX142" s="648">
        <v>1</v>
      </c>
      <c r="OY142" s="1488" t="s">
        <v>4892</v>
      </c>
      <c r="OZ142" s="1489"/>
      <c r="PA142" s="1489"/>
      <c r="PB142" s="1489"/>
      <c r="PC142" s="1489"/>
      <c r="PD142" s="1489"/>
      <c r="PE142" s="1489"/>
      <c r="PF142" s="1489"/>
      <c r="PG142" s="1490"/>
      <c r="PJ142" s="646"/>
      <c r="PK142" s="1527"/>
      <c r="PL142" s="1527"/>
      <c r="PM142" s="1527"/>
      <c r="PN142" s="1527"/>
      <c r="PO142" s="1527"/>
      <c r="PP142" s="1527"/>
      <c r="PQ142" s="1527"/>
      <c r="PR142" s="1527"/>
      <c r="PS142" s="1527"/>
      <c r="PU142" s="648">
        <v>1</v>
      </c>
      <c r="PV142" s="1488" t="s">
        <v>227</v>
      </c>
      <c r="PW142" s="1489"/>
      <c r="PX142" s="1489"/>
      <c r="PY142" s="1489"/>
      <c r="PZ142" s="1489"/>
      <c r="QA142" s="1489"/>
      <c r="QB142" s="1489"/>
      <c r="QC142" s="1489"/>
      <c r="QD142" s="1490"/>
      <c r="QF142" s="648">
        <v>1</v>
      </c>
      <c r="QG142" s="1488" t="s">
        <v>5429</v>
      </c>
      <c r="QH142" s="1489"/>
      <c r="QI142" s="1489"/>
      <c r="QJ142" s="1489"/>
      <c r="QK142" s="1489"/>
      <c r="QL142" s="1489"/>
      <c r="QM142" s="1489"/>
      <c r="QN142" s="1489"/>
      <c r="QO142" s="1490"/>
      <c r="QQ142" s="648">
        <v>1</v>
      </c>
      <c r="QR142" s="1488" t="s">
        <v>172</v>
      </c>
      <c r="QS142" s="1489"/>
      <c r="QT142" s="1489"/>
      <c r="QU142" s="1489"/>
      <c r="QV142" s="1489"/>
      <c r="QW142" s="1489"/>
      <c r="QX142" s="1489"/>
      <c r="QY142" s="1489"/>
      <c r="QZ142" s="1490"/>
      <c r="RC142" s="951">
        <v>1</v>
      </c>
      <c r="RD142" s="1795" t="s">
        <v>4764</v>
      </c>
      <c r="RE142" s="1796"/>
      <c r="RF142" s="1796"/>
      <c r="RG142" s="1796"/>
      <c r="RH142" s="1796"/>
      <c r="RI142" s="1796"/>
      <c r="RJ142" s="1796"/>
      <c r="RK142" s="1796"/>
      <c r="RL142" s="1797"/>
      <c r="RO142" s="648">
        <v>1</v>
      </c>
      <c r="RP142" s="1488" t="s">
        <v>4892</v>
      </c>
      <c r="RQ142" s="1489"/>
      <c r="RR142" s="1489"/>
      <c r="RS142" s="1489"/>
      <c r="RT142" s="1489"/>
      <c r="RU142" s="1489"/>
      <c r="RV142" s="1489"/>
      <c r="RW142" s="1489"/>
      <c r="RX142" s="1490"/>
      <c r="RZ142" s="811"/>
      <c r="SG142" s="758"/>
    </row>
    <row r="143" spans="4:551" ht="12.75" customHeight="1" x14ac:dyDescent="0.35">
      <c r="D143" s="758"/>
      <c r="BK143" s="810"/>
      <c r="BL143" s="648">
        <v>1</v>
      </c>
      <c r="BM143" s="1488" t="s">
        <v>4892</v>
      </c>
      <c r="BN143" s="1489"/>
      <c r="BO143" s="1489"/>
      <c r="BP143" s="1489"/>
      <c r="BQ143" s="1489"/>
      <c r="BR143" s="1489"/>
      <c r="BS143" s="1489"/>
      <c r="BT143" s="1489"/>
      <c r="BU143" s="1490"/>
      <c r="BX143" s="648">
        <v>1</v>
      </c>
      <c r="BY143" s="1488" t="s">
        <v>5255</v>
      </c>
      <c r="BZ143" s="1489"/>
      <c r="CA143" s="1489"/>
      <c r="CB143" s="1489"/>
      <c r="CC143" s="1489"/>
      <c r="CD143" s="1489"/>
      <c r="CE143" s="1489"/>
      <c r="CF143" s="1489"/>
      <c r="CG143" s="1490"/>
      <c r="CH143" s="811"/>
      <c r="CK143" s="811"/>
      <c r="CL143" s="970"/>
      <c r="CM143" s="971"/>
      <c r="CN143" s="971"/>
      <c r="CO143" s="971"/>
      <c r="CP143" s="971"/>
      <c r="CQ143" s="971"/>
      <c r="CR143" s="971"/>
      <c r="CS143" s="971"/>
      <c r="CT143" s="971"/>
      <c r="CU143" s="971"/>
      <c r="CV143" s="971"/>
      <c r="CW143" s="971"/>
      <c r="CX143" s="971"/>
      <c r="CY143" s="971"/>
      <c r="CZ143" s="971"/>
      <c r="DA143" s="971"/>
      <c r="DB143" s="971"/>
      <c r="DC143" s="971"/>
      <c r="DD143" s="971"/>
      <c r="DE143" s="971"/>
      <c r="DF143" s="971"/>
      <c r="DG143" s="971"/>
      <c r="DH143" s="971"/>
      <c r="DI143" s="971"/>
      <c r="DJ143" s="971"/>
      <c r="DK143" s="798"/>
      <c r="DL143" s="798"/>
      <c r="DM143" s="798"/>
      <c r="DN143" s="798"/>
      <c r="DO143" s="798"/>
      <c r="DP143" s="798"/>
      <c r="DQ143" s="798"/>
      <c r="DR143" s="798"/>
      <c r="DS143" s="798"/>
      <c r="DT143" s="798"/>
      <c r="DU143" s="972"/>
      <c r="DV143" s="755"/>
      <c r="DW143" s="755"/>
      <c r="DY143" s="870"/>
      <c r="DZ143" s="798"/>
      <c r="EA143" s="798"/>
      <c r="EB143" s="798"/>
      <c r="EC143" s="798"/>
      <c r="ED143" s="798"/>
      <c r="EE143" s="798"/>
      <c r="EF143" s="798"/>
      <c r="EG143" s="798"/>
      <c r="EH143" s="798"/>
      <c r="EI143" s="798"/>
      <c r="EJ143" s="798"/>
      <c r="EK143" s="798"/>
      <c r="EL143" s="798"/>
      <c r="EM143" s="798"/>
      <c r="EN143" s="798"/>
      <c r="EO143" s="798"/>
      <c r="EP143" s="798"/>
      <c r="EQ143" s="798"/>
      <c r="ER143" s="798"/>
      <c r="ES143" s="798"/>
      <c r="ET143" s="798"/>
      <c r="EU143" s="798"/>
      <c r="EV143" s="871"/>
      <c r="GG143" s="810"/>
      <c r="GT143" s="648">
        <v>1</v>
      </c>
      <c r="GU143" s="1759" t="s">
        <v>5165</v>
      </c>
      <c r="GV143" s="1760"/>
      <c r="GW143" s="1760"/>
      <c r="GX143" s="1760"/>
      <c r="GY143" s="1760"/>
      <c r="GZ143" s="1760"/>
      <c r="HA143" s="1760"/>
      <c r="HB143" s="1760"/>
      <c r="HC143" s="1761"/>
      <c r="HG143" s="648">
        <v>1</v>
      </c>
      <c r="HH143" s="1653" t="s">
        <v>5434</v>
      </c>
      <c r="HI143" s="1653"/>
      <c r="HJ143" s="1653"/>
      <c r="HK143" s="1653"/>
      <c r="HL143" s="1653"/>
      <c r="HM143" s="1653"/>
      <c r="HN143" s="1653"/>
      <c r="HO143" s="1653"/>
      <c r="HP143" s="1653"/>
      <c r="HT143" s="648">
        <v>1</v>
      </c>
      <c r="HU143" s="1488" t="s">
        <v>5165</v>
      </c>
      <c r="HV143" s="1489"/>
      <c r="HW143" s="1489"/>
      <c r="HX143" s="1489"/>
      <c r="HY143" s="1489"/>
      <c r="HZ143" s="1489"/>
      <c r="IA143" s="1489"/>
      <c r="IB143" s="1489"/>
      <c r="IC143" s="1490"/>
      <c r="IG143" s="648">
        <v>1</v>
      </c>
      <c r="IH143" s="1488" t="s">
        <v>5165</v>
      </c>
      <c r="II143" s="1489"/>
      <c r="IJ143" s="1489"/>
      <c r="IK143" s="1489"/>
      <c r="IL143" s="1489"/>
      <c r="IM143" s="1489"/>
      <c r="IN143" s="1489"/>
      <c r="IO143" s="1489"/>
      <c r="IP143" s="1490"/>
      <c r="IS143" s="648">
        <v>1</v>
      </c>
      <c r="IT143" s="1653" t="s">
        <v>5165</v>
      </c>
      <c r="IU143" s="1653"/>
      <c r="IV143" s="1653"/>
      <c r="IW143" s="1653"/>
      <c r="IX143" s="1653"/>
      <c r="IY143" s="1653"/>
      <c r="IZ143" s="1653"/>
      <c r="JA143" s="1653"/>
      <c r="JB143" s="1653"/>
      <c r="JC143" s="811"/>
      <c r="JI143" s="810"/>
      <c r="KF143" s="1652" t="s">
        <v>5435</v>
      </c>
      <c r="KG143" s="1510"/>
      <c r="KH143" s="1510"/>
      <c r="KI143" s="1510"/>
      <c r="KJ143" s="1510"/>
      <c r="KK143" s="1510"/>
      <c r="KL143" s="1510"/>
      <c r="KM143" s="1510"/>
      <c r="KN143" s="1510"/>
      <c r="KO143" s="1511"/>
      <c r="LX143" s="1652" t="s">
        <v>3407</v>
      </c>
      <c r="LY143" s="1510"/>
      <c r="LZ143" s="1510"/>
      <c r="MA143" s="1510"/>
      <c r="MB143" s="1510"/>
      <c r="MC143" s="1510"/>
      <c r="MD143" s="1510"/>
      <c r="ME143" s="1510"/>
      <c r="MF143" s="1510"/>
      <c r="MG143" s="1511"/>
      <c r="MH143" s="811"/>
      <c r="MP143" s="810"/>
      <c r="MQ143" s="1660" t="s">
        <v>1235</v>
      </c>
      <c r="MR143" s="1660"/>
      <c r="MS143" s="1660"/>
      <c r="MT143" s="1660"/>
      <c r="MU143" s="1660"/>
      <c r="MV143" s="1660"/>
      <c r="MW143" s="1660"/>
      <c r="MX143" s="1660"/>
      <c r="MY143" s="1660"/>
      <c r="MZ143" s="1660"/>
      <c r="NC143" s="1660" t="s">
        <v>2334</v>
      </c>
      <c r="ND143" s="1660"/>
      <c r="NE143" s="1660"/>
      <c r="NF143" s="1660"/>
      <c r="NG143" s="1660"/>
      <c r="NH143" s="1660"/>
      <c r="NI143" s="1660"/>
      <c r="NJ143" s="1660"/>
      <c r="NK143" s="1660"/>
      <c r="NL143" s="1660"/>
      <c r="NO143" s="1660" t="s">
        <v>2060</v>
      </c>
      <c r="NP143" s="1660" t="s">
        <v>4873</v>
      </c>
      <c r="NQ143" s="1660"/>
      <c r="NR143" s="1660"/>
      <c r="NS143" s="1660"/>
      <c r="NT143" s="1660"/>
      <c r="NU143" s="1660"/>
      <c r="NV143" s="1660"/>
      <c r="NW143" s="1660"/>
      <c r="NX143" s="1660"/>
      <c r="OA143" s="1660" t="s">
        <v>2606</v>
      </c>
      <c r="OB143" s="1660" t="s">
        <v>4873</v>
      </c>
      <c r="OC143" s="1660"/>
      <c r="OD143" s="1660"/>
      <c r="OE143" s="1660"/>
      <c r="OF143" s="1660"/>
      <c r="OG143" s="1660"/>
      <c r="OH143" s="1660"/>
      <c r="OI143" s="1660"/>
      <c r="OJ143" s="1660"/>
      <c r="OL143" s="1804" t="s">
        <v>2994</v>
      </c>
      <c r="OM143" s="1736"/>
      <c r="ON143" s="1736"/>
      <c r="OO143" s="1736"/>
      <c r="OP143" s="1736"/>
      <c r="OQ143" s="1736"/>
      <c r="OR143" s="1736"/>
      <c r="OS143" s="1736"/>
      <c r="OT143" s="1736"/>
      <c r="OU143" s="1737"/>
      <c r="OX143" s="1660" t="s">
        <v>2001</v>
      </c>
      <c r="OY143" s="1660" t="s">
        <v>4873</v>
      </c>
      <c r="OZ143" s="1660"/>
      <c r="PA143" s="1660"/>
      <c r="PB143" s="1660"/>
      <c r="PC143" s="1660"/>
      <c r="PD143" s="1660"/>
      <c r="PE143" s="1660"/>
      <c r="PF143" s="1660"/>
      <c r="PG143" s="1660"/>
      <c r="PJ143" s="1534"/>
      <c r="PK143" s="1534" t="s">
        <v>4873</v>
      </c>
      <c r="PL143" s="1534"/>
      <c r="PM143" s="1534"/>
      <c r="PN143" s="1534"/>
      <c r="PO143" s="1534"/>
      <c r="PP143" s="1534"/>
      <c r="PQ143" s="1534"/>
      <c r="PR143" s="1534"/>
      <c r="PS143" s="1534"/>
      <c r="PU143" s="1660" t="s">
        <v>3187</v>
      </c>
      <c r="PV143" s="1660" t="s">
        <v>4873</v>
      </c>
      <c r="PW143" s="1660"/>
      <c r="PX143" s="1660"/>
      <c r="PY143" s="1660"/>
      <c r="PZ143" s="1660"/>
      <c r="QA143" s="1660"/>
      <c r="QB143" s="1660"/>
      <c r="QC143" s="1660"/>
      <c r="QD143" s="1660"/>
      <c r="QF143" s="1660" t="s">
        <v>5436</v>
      </c>
      <c r="QG143" s="1660" t="s">
        <v>4873</v>
      </c>
      <c r="QH143" s="1660"/>
      <c r="QI143" s="1660"/>
      <c r="QJ143" s="1660"/>
      <c r="QK143" s="1660"/>
      <c r="QL143" s="1660"/>
      <c r="QM143" s="1660"/>
      <c r="QN143" s="1660"/>
      <c r="QO143" s="1660"/>
      <c r="QQ143" s="1723" t="s">
        <v>2594</v>
      </c>
      <c r="QR143" s="1723" t="s">
        <v>4873</v>
      </c>
      <c r="QS143" s="1723"/>
      <c r="QT143" s="1723"/>
      <c r="QU143" s="1723"/>
      <c r="QV143" s="1723"/>
      <c r="QW143" s="1723"/>
      <c r="QX143" s="1723"/>
      <c r="QY143" s="1723"/>
      <c r="QZ143" s="1723"/>
      <c r="RC143" s="1801" t="s">
        <v>177</v>
      </c>
      <c r="RD143" s="1802" t="s">
        <v>4873</v>
      </c>
      <c r="RE143" s="1802"/>
      <c r="RF143" s="1802"/>
      <c r="RG143" s="1802"/>
      <c r="RH143" s="1802"/>
      <c r="RI143" s="1802"/>
      <c r="RJ143" s="1802"/>
      <c r="RK143" s="1802"/>
      <c r="RL143" s="1803"/>
      <c r="RO143" s="1778" t="s">
        <v>177</v>
      </c>
      <c r="RP143" s="1778" t="s">
        <v>4873</v>
      </c>
      <c r="RQ143" s="1778"/>
      <c r="RR143" s="1778"/>
      <c r="RS143" s="1778"/>
      <c r="RT143" s="1778"/>
      <c r="RU143" s="1778"/>
      <c r="RV143" s="1778"/>
      <c r="RW143" s="1778"/>
      <c r="RX143" s="1778"/>
      <c r="RZ143" s="811"/>
      <c r="SG143" s="758"/>
    </row>
    <row r="144" spans="4:551" ht="12.75" customHeight="1" x14ac:dyDescent="0.35">
      <c r="D144" s="758"/>
      <c r="BK144" s="810"/>
      <c r="BL144" s="1482" t="s">
        <v>5437</v>
      </c>
      <c r="BM144" s="1510"/>
      <c r="BN144" s="1510"/>
      <c r="BO144" s="1510"/>
      <c r="BP144" s="1510"/>
      <c r="BQ144" s="1510"/>
      <c r="BR144" s="1510"/>
      <c r="BS144" s="1510"/>
      <c r="BT144" s="1510"/>
      <c r="BU144" s="1511"/>
      <c r="BX144" s="1482" t="s">
        <v>4001</v>
      </c>
      <c r="BY144" s="1510"/>
      <c r="BZ144" s="1510"/>
      <c r="CA144" s="1510"/>
      <c r="CB144" s="1510"/>
      <c r="CC144" s="1510"/>
      <c r="CD144" s="1510"/>
      <c r="CE144" s="1510"/>
      <c r="CF144" s="1510"/>
      <c r="CG144" s="1511"/>
      <c r="CH144" s="811"/>
      <c r="CU144" s="878"/>
      <c r="CV144" s="878"/>
      <c r="CW144" s="878"/>
      <c r="CX144" s="1790"/>
      <c r="CY144" s="1790"/>
      <c r="CZ144" s="1790"/>
      <c r="DA144" s="1790"/>
      <c r="DB144" s="1790"/>
      <c r="DC144" s="1790"/>
      <c r="DD144" s="1790"/>
      <c r="DE144" s="1790"/>
      <c r="DF144" s="1790"/>
      <c r="DG144" s="1790"/>
      <c r="DH144" s="1790"/>
      <c r="DI144" s="1790"/>
      <c r="DJ144" s="1790"/>
      <c r="DK144" s="1790"/>
      <c r="DL144" s="1790"/>
      <c r="DU144" s="759"/>
      <c r="DV144" s="759"/>
      <c r="DW144" s="759"/>
      <c r="EF144" s="878"/>
      <c r="EG144" s="878"/>
      <c r="EH144" s="878"/>
      <c r="EI144" s="1790"/>
      <c r="EJ144" s="1790"/>
      <c r="EK144" s="1790"/>
      <c r="EL144" s="1790"/>
      <c r="EM144" s="1790"/>
      <c r="EN144" s="1790"/>
      <c r="EO144" s="1790"/>
      <c r="EP144" s="1790"/>
      <c r="EQ144" s="1790"/>
      <c r="ER144" s="1790"/>
      <c r="ES144" s="1790"/>
      <c r="ET144" s="1790"/>
      <c r="GG144" s="810"/>
      <c r="GT144" s="1798" t="s">
        <v>3796</v>
      </c>
      <c r="GU144" s="1799"/>
      <c r="GV144" s="1799"/>
      <c r="GW144" s="1799"/>
      <c r="GX144" s="1799"/>
      <c r="GY144" s="1799"/>
      <c r="GZ144" s="1799"/>
      <c r="HA144" s="1799"/>
      <c r="HB144" s="1799"/>
      <c r="HC144" s="1800"/>
      <c r="HG144" s="1482" t="s">
        <v>3338</v>
      </c>
      <c r="HH144" s="1483"/>
      <c r="HI144" s="1483"/>
      <c r="HJ144" s="1483"/>
      <c r="HK144" s="1483"/>
      <c r="HL144" s="1483"/>
      <c r="HM144" s="1483"/>
      <c r="HN144" s="1483"/>
      <c r="HO144" s="1483"/>
      <c r="HP144" s="1484"/>
      <c r="HT144" s="1785" t="s">
        <v>1449</v>
      </c>
      <c r="HU144" s="1693"/>
      <c r="HV144" s="1693"/>
      <c r="HW144" s="1693"/>
      <c r="HX144" s="1693"/>
      <c r="HY144" s="1693"/>
      <c r="HZ144" s="1693"/>
      <c r="IA144" s="1693"/>
      <c r="IB144" s="1693"/>
      <c r="IC144" s="1694"/>
      <c r="IG144" s="1785" t="s">
        <v>2503</v>
      </c>
      <c r="IH144" s="1693"/>
      <c r="II144" s="1693"/>
      <c r="IJ144" s="1693"/>
      <c r="IK144" s="1693"/>
      <c r="IL144" s="1693"/>
      <c r="IM144" s="1693"/>
      <c r="IN144" s="1693"/>
      <c r="IO144" s="1693"/>
      <c r="IP144" s="1694"/>
      <c r="IS144" s="1482" t="s">
        <v>3652</v>
      </c>
      <c r="IT144" s="1483"/>
      <c r="IU144" s="1483"/>
      <c r="IV144" s="1483"/>
      <c r="IW144" s="1483"/>
      <c r="IX144" s="1483"/>
      <c r="IY144" s="1483"/>
      <c r="IZ144" s="1483"/>
      <c r="JA144" s="1483"/>
      <c r="JB144" s="1484"/>
      <c r="JC144" s="811"/>
      <c r="JI144" s="810"/>
      <c r="KF144" s="648">
        <v>1</v>
      </c>
      <c r="KG144" s="1488" t="s">
        <v>5203</v>
      </c>
      <c r="KH144" s="1489"/>
      <c r="KI144" s="1489"/>
      <c r="KJ144" s="1489"/>
      <c r="KK144" s="1489"/>
      <c r="KL144" s="1489"/>
      <c r="KM144" s="1489"/>
      <c r="KN144" s="1489"/>
      <c r="KO144" s="1490"/>
      <c r="LX144" s="648">
        <v>1</v>
      </c>
      <c r="LY144" s="1488" t="s">
        <v>5404</v>
      </c>
      <c r="LZ144" s="1489"/>
      <c r="MA144" s="1489"/>
      <c r="MB144" s="1489"/>
      <c r="MC144" s="1489"/>
      <c r="MD144" s="1489"/>
      <c r="ME144" s="1489"/>
      <c r="MF144" s="1489"/>
      <c r="MG144" s="1490"/>
      <c r="MH144" s="811"/>
      <c r="MP144" s="810"/>
      <c r="MQ144" s="648">
        <v>1</v>
      </c>
      <c r="MR144" s="1653" t="s">
        <v>5228</v>
      </c>
      <c r="MS144" s="1653"/>
      <c r="MT144" s="1653"/>
      <c r="MU144" s="1653"/>
      <c r="MV144" s="1653"/>
      <c r="MW144" s="1653"/>
      <c r="MX144" s="1653"/>
      <c r="MY144" s="1653"/>
      <c r="MZ144" s="1653"/>
      <c r="NC144" s="648">
        <v>1</v>
      </c>
      <c r="ND144" s="1653" t="s">
        <v>4760</v>
      </c>
      <c r="NE144" s="1653"/>
      <c r="NF144" s="1653"/>
      <c r="NG144" s="1653"/>
      <c r="NH144" s="1653"/>
      <c r="NI144" s="1653"/>
      <c r="NJ144" s="1653"/>
      <c r="NK144" s="1653"/>
      <c r="NL144" s="1653"/>
      <c r="NO144" s="648">
        <v>1</v>
      </c>
      <c r="NP144" s="1488" t="s">
        <v>5413</v>
      </c>
      <c r="NQ144" s="1489"/>
      <c r="NR144" s="1489"/>
      <c r="NS144" s="1489"/>
      <c r="NT144" s="1489"/>
      <c r="NU144" s="1489"/>
      <c r="NV144" s="1489"/>
      <c r="NW144" s="1489"/>
      <c r="NX144" s="1490"/>
      <c r="OA144" s="648">
        <v>1</v>
      </c>
      <c r="OB144" s="1488" t="s">
        <v>5413</v>
      </c>
      <c r="OC144" s="1489"/>
      <c r="OD144" s="1489"/>
      <c r="OE144" s="1489"/>
      <c r="OF144" s="1489"/>
      <c r="OG144" s="1489"/>
      <c r="OH144" s="1489"/>
      <c r="OI144" s="1489"/>
      <c r="OJ144" s="1490"/>
      <c r="OL144" s="648">
        <v>1</v>
      </c>
      <c r="OM144" s="1488" t="s">
        <v>5413</v>
      </c>
      <c r="ON144" s="1489"/>
      <c r="OO144" s="1489"/>
      <c r="OP144" s="1489"/>
      <c r="OQ144" s="1489"/>
      <c r="OR144" s="1489"/>
      <c r="OS144" s="1489"/>
      <c r="OT144" s="1489"/>
      <c r="OU144" s="1490"/>
      <c r="OX144" s="648">
        <v>1</v>
      </c>
      <c r="OY144" s="1488" t="s">
        <v>5413</v>
      </c>
      <c r="OZ144" s="1489"/>
      <c r="PA144" s="1489"/>
      <c r="PB144" s="1489"/>
      <c r="PC144" s="1489"/>
      <c r="PD144" s="1489"/>
      <c r="PE144" s="1489"/>
      <c r="PF144" s="1489"/>
      <c r="PG144" s="1490"/>
      <c r="PJ144" s="887">
        <v>1</v>
      </c>
      <c r="PK144" s="1769" t="s">
        <v>5413</v>
      </c>
      <c r="PL144" s="1769"/>
      <c r="PM144" s="1769"/>
      <c r="PN144" s="1769"/>
      <c r="PO144" s="1769"/>
      <c r="PP144" s="1769"/>
      <c r="PQ144" s="1769"/>
      <c r="PR144" s="1769"/>
      <c r="PS144" s="1769"/>
      <c r="PU144" s="648"/>
      <c r="PV144" s="1488" t="s">
        <v>4892</v>
      </c>
      <c r="PW144" s="1489"/>
      <c r="PX144" s="1489"/>
      <c r="PY144" s="1489"/>
      <c r="PZ144" s="1489"/>
      <c r="QA144" s="1489"/>
      <c r="QB144" s="1489"/>
      <c r="QC144" s="1489"/>
      <c r="QD144" s="1490"/>
      <c r="QF144" s="513">
        <v>1</v>
      </c>
      <c r="QG144" s="1469" t="s">
        <v>5040</v>
      </c>
      <c r="QH144" s="1469"/>
      <c r="QI144" s="1469"/>
      <c r="QJ144" s="1469"/>
      <c r="QK144" s="1469"/>
      <c r="QL144" s="1469"/>
      <c r="QM144" s="1469"/>
      <c r="QN144" s="1469"/>
      <c r="QO144" s="1469"/>
      <c r="QQ144" s="648">
        <v>1</v>
      </c>
      <c r="QR144" s="1488" t="s">
        <v>4764</v>
      </c>
      <c r="QS144" s="1489"/>
      <c r="QT144" s="1489"/>
      <c r="QU144" s="1489"/>
      <c r="QV144" s="1489"/>
      <c r="QW144" s="1489"/>
      <c r="QX144" s="1489"/>
      <c r="QY144" s="1489"/>
      <c r="QZ144" s="1490"/>
      <c r="RC144" s="646"/>
      <c r="RD144" s="1527"/>
      <c r="RE144" s="1527"/>
      <c r="RF144" s="1527"/>
      <c r="RG144" s="1527"/>
      <c r="RH144" s="1527"/>
      <c r="RI144" s="1527"/>
      <c r="RJ144" s="1527"/>
      <c r="RK144" s="1527"/>
      <c r="RL144" s="1527"/>
      <c r="RO144" s="648">
        <v>1</v>
      </c>
      <c r="RP144" s="1488" t="s">
        <v>4764</v>
      </c>
      <c r="RQ144" s="1489"/>
      <c r="RR144" s="1489"/>
      <c r="RS144" s="1489"/>
      <c r="RT144" s="1489"/>
      <c r="RU144" s="1489"/>
      <c r="RV144" s="1489"/>
      <c r="RW144" s="1489"/>
      <c r="RX144" s="1490"/>
      <c r="RZ144" s="811"/>
      <c r="SG144" s="758"/>
    </row>
    <row r="145" spans="4:501" ht="12.75" customHeight="1" x14ac:dyDescent="0.35">
      <c r="D145" s="758"/>
      <c r="BK145" s="870"/>
      <c r="BL145" s="798"/>
      <c r="BM145" s="798"/>
      <c r="BN145" s="798"/>
      <c r="BO145" s="798"/>
      <c r="BP145" s="798"/>
      <c r="BQ145" s="798"/>
      <c r="BR145" s="798"/>
      <c r="BS145" s="798"/>
      <c r="BT145" s="798"/>
      <c r="BU145" s="798"/>
      <c r="BV145" s="798"/>
      <c r="BW145" s="798"/>
      <c r="BX145" s="798"/>
      <c r="BY145" s="798"/>
      <c r="BZ145" s="798"/>
      <c r="CA145" s="798"/>
      <c r="CB145" s="798"/>
      <c r="CC145" s="798"/>
      <c r="CD145" s="798"/>
      <c r="CE145" s="798"/>
      <c r="CF145" s="798"/>
      <c r="CG145" s="798"/>
      <c r="CH145" s="871"/>
      <c r="DI145" s="771"/>
      <c r="DJ145" s="755"/>
      <c r="DK145" s="755"/>
      <c r="DL145" s="755"/>
      <c r="EF145" s="704"/>
      <c r="EG145" s="704"/>
      <c r="EH145" s="704"/>
      <c r="EI145" s="704"/>
      <c r="EJ145" s="704"/>
      <c r="EK145" s="704"/>
      <c r="EL145" s="704"/>
      <c r="EM145" s="704"/>
      <c r="EN145" s="704"/>
      <c r="EO145" s="704"/>
      <c r="EP145" s="704"/>
      <c r="EQ145" s="704"/>
      <c r="ER145" s="704"/>
      <c r="ES145" s="704"/>
      <c r="ET145" s="704"/>
      <c r="GG145" s="810"/>
      <c r="GT145" s="648">
        <v>1</v>
      </c>
      <c r="GU145" s="1759" t="s">
        <v>5165</v>
      </c>
      <c r="GV145" s="1760"/>
      <c r="GW145" s="1760"/>
      <c r="GX145" s="1760"/>
      <c r="GY145" s="1760"/>
      <c r="GZ145" s="1760"/>
      <c r="HA145" s="1760"/>
      <c r="HB145" s="1760"/>
      <c r="HC145" s="1761"/>
      <c r="HG145" s="648">
        <v>1</v>
      </c>
      <c r="HH145" s="1653" t="s">
        <v>5165</v>
      </c>
      <c r="HI145" s="1653"/>
      <c r="HJ145" s="1653"/>
      <c r="HK145" s="1653"/>
      <c r="HL145" s="1653"/>
      <c r="HM145" s="1653"/>
      <c r="HN145" s="1653"/>
      <c r="HO145" s="1653"/>
      <c r="HP145" s="1653"/>
      <c r="IS145" s="648">
        <v>1</v>
      </c>
      <c r="IT145" s="1653" t="s">
        <v>5165</v>
      </c>
      <c r="IU145" s="1653"/>
      <c r="IV145" s="1653"/>
      <c r="IW145" s="1653"/>
      <c r="IX145" s="1653"/>
      <c r="IY145" s="1653"/>
      <c r="IZ145" s="1653"/>
      <c r="JA145" s="1653"/>
      <c r="JB145" s="1653"/>
      <c r="JC145" s="811"/>
      <c r="JI145" s="810"/>
      <c r="KF145" s="1711" t="s">
        <v>1912</v>
      </c>
      <c r="KG145" s="1489"/>
      <c r="KH145" s="1489"/>
      <c r="KI145" s="1489"/>
      <c r="KJ145" s="1489"/>
      <c r="KK145" s="1489"/>
      <c r="KL145" s="1489"/>
      <c r="KM145" s="1489"/>
      <c r="KN145" s="1489"/>
      <c r="KO145" s="1490"/>
      <c r="LX145" s="1482" t="s">
        <v>2368</v>
      </c>
      <c r="LY145" s="1510"/>
      <c r="LZ145" s="1510"/>
      <c r="MA145" s="1510"/>
      <c r="MB145" s="1510"/>
      <c r="MC145" s="1510"/>
      <c r="MD145" s="1510"/>
      <c r="ME145" s="1510"/>
      <c r="MF145" s="1510"/>
      <c r="MG145" s="1511"/>
      <c r="MH145" s="811"/>
      <c r="MP145" s="810"/>
      <c r="MQ145" s="1723" t="s">
        <v>4182</v>
      </c>
      <c r="MR145" s="1723"/>
      <c r="MS145" s="1723"/>
      <c r="MT145" s="1723"/>
      <c r="MU145" s="1723"/>
      <c r="MV145" s="1723"/>
      <c r="MW145" s="1723"/>
      <c r="MX145" s="1723"/>
      <c r="MY145" s="1723"/>
      <c r="MZ145" s="1723"/>
      <c r="NC145" s="1660" t="s">
        <v>5438</v>
      </c>
      <c r="ND145" s="1660"/>
      <c r="NE145" s="1660"/>
      <c r="NF145" s="1660"/>
      <c r="NG145" s="1660"/>
      <c r="NH145" s="1660"/>
      <c r="NI145" s="1660"/>
      <c r="NJ145" s="1660"/>
      <c r="NK145" s="1660"/>
      <c r="NL145" s="1660"/>
      <c r="NO145" s="1660" t="s">
        <v>2102</v>
      </c>
      <c r="NP145" s="1660" t="s">
        <v>4873</v>
      </c>
      <c r="NQ145" s="1660"/>
      <c r="NR145" s="1660"/>
      <c r="NS145" s="1660"/>
      <c r="NT145" s="1660"/>
      <c r="NU145" s="1660"/>
      <c r="NV145" s="1660"/>
      <c r="NW145" s="1660"/>
      <c r="NX145" s="1660"/>
      <c r="OA145" s="1660" t="s">
        <v>2957</v>
      </c>
      <c r="OB145" s="1660" t="s">
        <v>4873</v>
      </c>
      <c r="OC145" s="1660"/>
      <c r="OD145" s="1660"/>
      <c r="OE145" s="1660"/>
      <c r="OF145" s="1660"/>
      <c r="OG145" s="1660"/>
      <c r="OH145" s="1660"/>
      <c r="OI145" s="1660"/>
      <c r="OJ145" s="1660"/>
      <c r="OL145" s="1660" t="s">
        <v>3163</v>
      </c>
      <c r="OM145" s="1660" t="s">
        <v>4873</v>
      </c>
      <c r="ON145" s="1660"/>
      <c r="OO145" s="1660"/>
      <c r="OP145" s="1660"/>
      <c r="OQ145" s="1660"/>
      <c r="OR145" s="1660"/>
      <c r="OS145" s="1660"/>
      <c r="OT145" s="1660"/>
      <c r="OU145" s="1660"/>
      <c r="OX145" s="1753" t="s">
        <v>177</v>
      </c>
      <c r="OY145" s="1712"/>
      <c r="OZ145" s="1712"/>
      <c r="PA145" s="1712"/>
      <c r="PB145" s="1712"/>
      <c r="PC145" s="1712"/>
      <c r="PD145" s="1712"/>
      <c r="PE145" s="1712"/>
      <c r="PF145" s="1712"/>
      <c r="PG145" s="1713"/>
      <c r="PJ145" s="1810" t="s">
        <v>2249</v>
      </c>
      <c r="PK145" s="1810"/>
      <c r="PL145" s="1810"/>
      <c r="PM145" s="1810"/>
      <c r="PN145" s="1810"/>
      <c r="PO145" s="1810"/>
      <c r="PP145" s="1810"/>
      <c r="PQ145" s="1810"/>
      <c r="PR145" s="1810"/>
      <c r="PS145" s="1810"/>
      <c r="PU145" s="1660" t="s">
        <v>4339</v>
      </c>
      <c r="PV145" s="1660"/>
      <c r="PW145" s="1660"/>
      <c r="PX145" s="1660"/>
      <c r="PY145" s="1660"/>
      <c r="PZ145" s="1660"/>
      <c r="QA145" s="1660"/>
      <c r="QB145" s="1660"/>
      <c r="QC145" s="1660"/>
      <c r="QD145" s="1660"/>
      <c r="QF145" s="1570" t="s">
        <v>4158</v>
      </c>
      <c r="QG145" s="1570"/>
      <c r="QH145" s="1570"/>
      <c r="QI145" s="1570"/>
      <c r="QJ145" s="1570"/>
      <c r="QK145" s="1570"/>
      <c r="QL145" s="1570"/>
      <c r="QM145" s="1570"/>
      <c r="QN145" s="1570"/>
      <c r="QO145" s="1570"/>
      <c r="QQ145" s="1706" t="s">
        <v>2976</v>
      </c>
      <c r="QR145" s="1706" t="s">
        <v>4873</v>
      </c>
      <c r="QS145" s="1706"/>
      <c r="QT145" s="1706"/>
      <c r="QU145" s="1706"/>
      <c r="QV145" s="1706"/>
      <c r="QW145" s="1706"/>
      <c r="QX145" s="1706"/>
      <c r="QY145" s="1706"/>
      <c r="QZ145" s="1706"/>
      <c r="RC145" s="1809"/>
      <c r="RD145" s="1809" t="s">
        <v>4873</v>
      </c>
      <c r="RE145" s="1809"/>
      <c r="RF145" s="1809"/>
      <c r="RG145" s="1809"/>
      <c r="RH145" s="1809"/>
      <c r="RI145" s="1809"/>
      <c r="RJ145" s="1809"/>
      <c r="RK145" s="1809"/>
      <c r="RL145" s="1809"/>
      <c r="RO145" s="1660" t="s">
        <v>1407</v>
      </c>
      <c r="RP145" s="1660" t="s">
        <v>4873</v>
      </c>
      <c r="RQ145" s="1660"/>
      <c r="RR145" s="1660"/>
      <c r="RS145" s="1660"/>
      <c r="RT145" s="1660"/>
      <c r="RU145" s="1660"/>
      <c r="RV145" s="1660"/>
      <c r="RW145" s="1660"/>
      <c r="RX145" s="1660"/>
      <c r="RZ145" s="811"/>
      <c r="SG145" s="758"/>
    </row>
    <row r="146" spans="4:501" ht="12.75" customHeight="1" x14ac:dyDescent="0.35">
      <c r="D146" s="758"/>
      <c r="BU146" s="889"/>
      <c r="BV146" s="889"/>
      <c r="BW146" s="1720"/>
      <c r="BX146" s="1720"/>
      <c r="BY146" s="1720"/>
      <c r="BZ146" s="1720"/>
      <c r="CA146" s="1720"/>
      <c r="CB146" s="1720"/>
      <c r="CC146" s="1720"/>
      <c r="CD146" s="1720"/>
      <c r="CE146" s="1720"/>
      <c r="CF146" s="1720"/>
      <c r="GG146" s="810"/>
      <c r="GT146" s="1798" t="s">
        <v>2374</v>
      </c>
      <c r="GU146" s="1799"/>
      <c r="GV146" s="1799"/>
      <c r="GW146" s="1799"/>
      <c r="GX146" s="1799"/>
      <c r="GY146" s="1799"/>
      <c r="GZ146" s="1799"/>
      <c r="HA146" s="1799"/>
      <c r="HB146" s="1799"/>
      <c r="HC146" s="1800"/>
      <c r="HG146" s="1689" t="s">
        <v>177</v>
      </c>
      <c r="HH146" s="1690"/>
      <c r="HI146" s="1690"/>
      <c r="HJ146" s="1690"/>
      <c r="HK146" s="1690"/>
      <c r="HL146" s="1690"/>
      <c r="HM146" s="1690"/>
      <c r="HN146" s="1690"/>
      <c r="HO146" s="1690"/>
      <c r="HP146" s="1691"/>
      <c r="IS146" s="1482" t="s">
        <v>3825</v>
      </c>
      <c r="IT146" s="1483"/>
      <c r="IU146" s="1483"/>
      <c r="IV146" s="1483"/>
      <c r="IW146" s="1483"/>
      <c r="IX146" s="1483"/>
      <c r="IY146" s="1483"/>
      <c r="IZ146" s="1483"/>
      <c r="JA146" s="1483"/>
      <c r="JB146" s="1484"/>
      <c r="JC146" s="811"/>
      <c r="JI146" s="810"/>
      <c r="KF146" s="710">
        <v>1</v>
      </c>
      <c r="KG146" s="1488" t="s">
        <v>5203</v>
      </c>
      <c r="KH146" s="1489"/>
      <c r="KI146" s="1489"/>
      <c r="KJ146" s="1489"/>
      <c r="KK146" s="1489"/>
      <c r="KL146" s="1489"/>
      <c r="KM146" s="1489"/>
      <c r="KN146" s="1489"/>
      <c r="KO146" s="1490"/>
      <c r="MH146" s="811"/>
      <c r="MP146" s="810"/>
      <c r="MQ146" s="648">
        <v>1</v>
      </c>
      <c r="MR146" s="1653" t="s">
        <v>5439</v>
      </c>
      <c r="MS146" s="1653"/>
      <c r="MT146" s="1653"/>
      <c r="MU146" s="1653"/>
      <c r="MV146" s="1653"/>
      <c r="MW146" s="1653"/>
      <c r="MX146" s="1653"/>
      <c r="MY146" s="1653"/>
      <c r="MZ146" s="1653"/>
      <c r="NC146" s="648">
        <v>1</v>
      </c>
      <c r="ND146" s="1653" t="s">
        <v>4760</v>
      </c>
      <c r="NE146" s="1653"/>
      <c r="NF146" s="1653"/>
      <c r="NG146" s="1653"/>
      <c r="NH146" s="1653"/>
      <c r="NI146" s="1653"/>
      <c r="NJ146" s="1653"/>
      <c r="NK146" s="1653"/>
      <c r="NL146" s="1653"/>
      <c r="NO146" s="648">
        <v>1</v>
      </c>
      <c r="NP146" s="1488" t="s">
        <v>5413</v>
      </c>
      <c r="NQ146" s="1489"/>
      <c r="NR146" s="1489"/>
      <c r="NS146" s="1489"/>
      <c r="NT146" s="1489"/>
      <c r="NU146" s="1489"/>
      <c r="NV146" s="1489"/>
      <c r="NW146" s="1489"/>
      <c r="NX146" s="1490"/>
      <c r="OA146" s="648">
        <v>1</v>
      </c>
      <c r="OB146" s="1488" t="s">
        <v>4892</v>
      </c>
      <c r="OC146" s="1489"/>
      <c r="OD146" s="1489"/>
      <c r="OE146" s="1489"/>
      <c r="OF146" s="1489"/>
      <c r="OG146" s="1489"/>
      <c r="OH146" s="1489"/>
      <c r="OI146" s="1489"/>
      <c r="OJ146" s="1490"/>
      <c r="OL146" s="648">
        <v>1</v>
      </c>
      <c r="OM146" s="1488" t="s">
        <v>5413</v>
      </c>
      <c r="ON146" s="1489"/>
      <c r="OO146" s="1489"/>
      <c r="OP146" s="1489"/>
      <c r="OQ146" s="1489"/>
      <c r="OR146" s="1489"/>
      <c r="OS146" s="1489"/>
      <c r="OT146" s="1489"/>
      <c r="OU146" s="1490"/>
      <c r="OX146" s="648">
        <v>1</v>
      </c>
      <c r="OY146" s="1488" t="s">
        <v>4892</v>
      </c>
      <c r="OZ146" s="1489"/>
      <c r="PA146" s="1489"/>
      <c r="PB146" s="1489"/>
      <c r="PC146" s="1489"/>
      <c r="PD146" s="1489"/>
      <c r="PE146" s="1489"/>
      <c r="PF146" s="1489"/>
      <c r="PG146" s="1490"/>
      <c r="PJ146" s="892">
        <v>1</v>
      </c>
      <c r="PK146" s="1739" t="s">
        <v>5413</v>
      </c>
      <c r="PL146" s="1680"/>
      <c r="PM146" s="1680"/>
      <c r="PN146" s="1680"/>
      <c r="PO146" s="1680"/>
      <c r="PP146" s="1680"/>
      <c r="PQ146" s="1680"/>
      <c r="PR146" s="1680"/>
      <c r="PS146" s="1740"/>
      <c r="PU146" s="648">
        <v>1</v>
      </c>
      <c r="PV146" s="1488" t="s">
        <v>4892</v>
      </c>
      <c r="PW146" s="1489"/>
      <c r="PX146" s="1489"/>
      <c r="PY146" s="1489"/>
      <c r="PZ146" s="1489"/>
      <c r="QA146" s="1489"/>
      <c r="QB146" s="1489"/>
      <c r="QC146" s="1489"/>
      <c r="QD146" s="1490"/>
      <c r="QF146" s="615">
        <v>1</v>
      </c>
      <c r="QG146" s="1805" t="s">
        <v>5232</v>
      </c>
      <c r="QH146" s="1805"/>
      <c r="QI146" s="1805"/>
      <c r="QJ146" s="1805"/>
      <c r="QK146" s="1805"/>
      <c r="QL146" s="1805"/>
      <c r="QM146" s="1805"/>
      <c r="QN146" s="1805"/>
      <c r="QO146" s="1805"/>
      <c r="QQ146" s="648">
        <v>1</v>
      </c>
      <c r="QR146" s="1488" t="s">
        <v>4892</v>
      </c>
      <c r="QS146" s="1489"/>
      <c r="QT146" s="1489"/>
      <c r="QU146" s="1489"/>
      <c r="QV146" s="1489"/>
      <c r="QW146" s="1489"/>
      <c r="QX146" s="1489"/>
      <c r="QY146" s="1489"/>
      <c r="QZ146" s="1490"/>
      <c r="RC146" s="973">
        <v>1</v>
      </c>
      <c r="RD146" s="1806" t="s">
        <v>4764</v>
      </c>
      <c r="RE146" s="1807"/>
      <c r="RF146" s="1807"/>
      <c r="RG146" s="1807"/>
      <c r="RH146" s="1807"/>
      <c r="RI146" s="1807"/>
      <c r="RJ146" s="1807"/>
      <c r="RK146" s="1807"/>
      <c r="RL146" s="1808"/>
      <c r="RO146" s="648">
        <v>1</v>
      </c>
      <c r="RP146" s="1488" t="s">
        <v>4892</v>
      </c>
      <c r="RQ146" s="1489"/>
      <c r="RR146" s="1489"/>
      <c r="RS146" s="1489"/>
      <c r="RT146" s="1489"/>
      <c r="RU146" s="1489"/>
      <c r="RV146" s="1489"/>
      <c r="RW146" s="1489"/>
      <c r="RX146" s="1490"/>
      <c r="RZ146" s="811"/>
      <c r="SG146" s="758"/>
    </row>
    <row r="147" spans="4:501" ht="12.75" customHeight="1" x14ac:dyDescent="0.35">
      <c r="D147" s="758"/>
      <c r="BL147" s="648">
        <v>1</v>
      </c>
      <c r="BM147" s="1653" t="s">
        <v>5285</v>
      </c>
      <c r="BN147" s="1653"/>
      <c r="BO147" s="1653"/>
      <c r="BP147" s="1653"/>
      <c r="BQ147" s="1653"/>
      <c r="BR147" s="1653"/>
      <c r="BS147" s="1653"/>
      <c r="BT147" s="1653"/>
      <c r="BU147" s="1653"/>
      <c r="BX147" s="648">
        <v>1</v>
      </c>
      <c r="BY147" s="1488" t="s">
        <v>218</v>
      </c>
      <c r="BZ147" s="1489"/>
      <c r="CA147" s="1489"/>
      <c r="CB147" s="1489"/>
      <c r="CC147" s="1489"/>
      <c r="CD147" s="1489"/>
      <c r="CE147" s="1489"/>
      <c r="CF147" s="1489"/>
      <c r="CG147" s="1490"/>
      <c r="GG147" s="810"/>
      <c r="GT147" s="648">
        <v>1</v>
      </c>
      <c r="GU147" s="1759" t="s">
        <v>5165</v>
      </c>
      <c r="GV147" s="1760"/>
      <c r="GW147" s="1760"/>
      <c r="GX147" s="1760"/>
      <c r="GY147" s="1760"/>
      <c r="GZ147" s="1760"/>
      <c r="HA147" s="1760"/>
      <c r="HB147" s="1760"/>
      <c r="HC147" s="1761"/>
      <c r="HG147" s="648">
        <v>1</v>
      </c>
      <c r="HH147" s="1653" t="s">
        <v>5165</v>
      </c>
      <c r="HI147" s="1653"/>
      <c r="HJ147" s="1653"/>
      <c r="HK147" s="1653"/>
      <c r="HL147" s="1653"/>
      <c r="HM147" s="1653"/>
      <c r="HN147" s="1653"/>
      <c r="HO147" s="1653"/>
      <c r="HP147" s="1653"/>
      <c r="IS147" s="648">
        <v>1</v>
      </c>
      <c r="IT147" s="1653" t="s">
        <v>5165</v>
      </c>
      <c r="IU147" s="1653"/>
      <c r="IV147" s="1653"/>
      <c r="IW147" s="1653"/>
      <c r="IX147" s="1653"/>
      <c r="IY147" s="1653"/>
      <c r="IZ147" s="1653"/>
      <c r="JA147" s="1653"/>
      <c r="JB147" s="1653"/>
      <c r="JC147" s="811"/>
      <c r="JI147" s="810"/>
      <c r="KF147" s="1785" t="s">
        <v>2174</v>
      </c>
      <c r="KG147" s="1693"/>
      <c r="KH147" s="1693"/>
      <c r="KI147" s="1693"/>
      <c r="KJ147" s="1693"/>
      <c r="KK147" s="1693"/>
      <c r="KL147" s="1693"/>
      <c r="KM147" s="1693"/>
      <c r="KN147" s="1693"/>
      <c r="KO147" s="1694"/>
      <c r="MH147" s="811"/>
      <c r="MP147" s="810"/>
      <c r="MQ147" s="1660" t="s">
        <v>1971</v>
      </c>
      <c r="MR147" s="1660"/>
      <c r="MS147" s="1660"/>
      <c r="MT147" s="1660"/>
      <c r="MU147" s="1660"/>
      <c r="MV147" s="1660"/>
      <c r="MW147" s="1660"/>
      <c r="MX147" s="1660"/>
      <c r="MY147" s="1660"/>
      <c r="MZ147" s="1660"/>
      <c r="NC147" s="1660" t="s">
        <v>2985</v>
      </c>
      <c r="ND147" s="1660"/>
      <c r="NE147" s="1660"/>
      <c r="NF147" s="1660"/>
      <c r="NG147" s="1660"/>
      <c r="NH147" s="1660"/>
      <c r="NI147" s="1660"/>
      <c r="NJ147" s="1660"/>
      <c r="NK147" s="1660"/>
      <c r="NL147" s="1660"/>
      <c r="NO147" s="1660" t="s">
        <v>2189</v>
      </c>
      <c r="NP147" s="1660" t="s">
        <v>4873</v>
      </c>
      <c r="NQ147" s="1660"/>
      <c r="NR147" s="1660"/>
      <c r="NS147" s="1660"/>
      <c r="NT147" s="1660"/>
      <c r="NU147" s="1660"/>
      <c r="NV147" s="1660"/>
      <c r="NW147" s="1660"/>
      <c r="NX147" s="1660"/>
      <c r="OA147" s="1660" t="s">
        <v>2970</v>
      </c>
      <c r="OB147" s="1660" t="s">
        <v>4873</v>
      </c>
      <c r="OC147" s="1660"/>
      <c r="OD147" s="1660"/>
      <c r="OE147" s="1660"/>
      <c r="OF147" s="1660"/>
      <c r="OG147" s="1660"/>
      <c r="OH147" s="1660"/>
      <c r="OI147" s="1660"/>
      <c r="OJ147" s="1660"/>
      <c r="OL147" s="1660" t="s">
        <v>4496</v>
      </c>
      <c r="OM147" s="1660" t="s">
        <v>4873</v>
      </c>
      <c r="ON147" s="1660"/>
      <c r="OO147" s="1660"/>
      <c r="OP147" s="1660"/>
      <c r="OQ147" s="1660"/>
      <c r="OR147" s="1660"/>
      <c r="OS147" s="1660"/>
      <c r="OT147" s="1660"/>
      <c r="OU147" s="1660"/>
      <c r="OX147" s="1660" t="s">
        <v>3244</v>
      </c>
      <c r="OY147" s="1660" t="s">
        <v>4873</v>
      </c>
      <c r="OZ147" s="1660"/>
      <c r="PA147" s="1660"/>
      <c r="PB147" s="1660"/>
      <c r="PC147" s="1660"/>
      <c r="PD147" s="1660"/>
      <c r="PE147" s="1660"/>
      <c r="PF147" s="1660"/>
      <c r="PG147" s="1660"/>
      <c r="PJ147" s="1811" t="s">
        <v>2276</v>
      </c>
      <c r="PK147" s="1811" t="s">
        <v>4873</v>
      </c>
      <c r="PL147" s="1811"/>
      <c r="PM147" s="1811"/>
      <c r="PN147" s="1811"/>
      <c r="PO147" s="1811"/>
      <c r="PP147" s="1811"/>
      <c r="PQ147" s="1811"/>
      <c r="PR147" s="1811"/>
      <c r="PS147" s="1811"/>
      <c r="PU147" s="1660" t="s">
        <v>3271</v>
      </c>
      <c r="PV147" s="1660" t="s">
        <v>4873</v>
      </c>
      <c r="PW147" s="1660"/>
      <c r="PX147" s="1660"/>
      <c r="PY147" s="1660"/>
      <c r="PZ147" s="1660"/>
      <c r="QA147" s="1660"/>
      <c r="QB147" s="1660"/>
      <c r="QC147" s="1660"/>
      <c r="QD147" s="1660"/>
      <c r="QF147" s="1582" t="s">
        <v>2626</v>
      </c>
      <c r="QG147" s="1582" t="s">
        <v>4873</v>
      </c>
      <c r="QH147" s="1582"/>
      <c r="QI147" s="1582"/>
      <c r="QJ147" s="1582"/>
      <c r="QK147" s="1582"/>
      <c r="QL147" s="1582"/>
      <c r="QM147" s="1582"/>
      <c r="QN147" s="1582"/>
      <c r="QO147" s="1582"/>
      <c r="QQ147" s="1660" t="s">
        <v>5440</v>
      </c>
      <c r="QR147" s="1660" t="s">
        <v>4873</v>
      </c>
      <c r="QS147" s="1660"/>
      <c r="QT147" s="1660"/>
      <c r="QU147" s="1660"/>
      <c r="QV147" s="1660"/>
      <c r="QW147" s="1660"/>
      <c r="QX147" s="1660"/>
      <c r="QY147" s="1660"/>
      <c r="QZ147" s="1660"/>
      <c r="RC147" s="1812" t="s">
        <v>4574</v>
      </c>
      <c r="RD147" s="1812" t="s">
        <v>4873</v>
      </c>
      <c r="RE147" s="1812"/>
      <c r="RF147" s="1812"/>
      <c r="RG147" s="1812"/>
      <c r="RH147" s="1812"/>
      <c r="RI147" s="1812"/>
      <c r="RJ147" s="1812"/>
      <c r="RK147" s="1812"/>
      <c r="RL147" s="1812"/>
      <c r="RO147" s="1778" t="s">
        <v>177</v>
      </c>
      <c r="RP147" s="1778" t="s">
        <v>4873</v>
      </c>
      <c r="RQ147" s="1778"/>
      <c r="RR147" s="1778"/>
      <c r="RS147" s="1778"/>
      <c r="RT147" s="1778"/>
      <c r="RU147" s="1778"/>
      <c r="RV147" s="1778"/>
      <c r="RW147" s="1778"/>
      <c r="RX147" s="1778"/>
      <c r="RZ147" s="811"/>
      <c r="SG147" s="758"/>
    </row>
    <row r="148" spans="4:501" ht="12.75" customHeight="1" x14ac:dyDescent="0.35">
      <c r="D148" s="758"/>
      <c r="BL148" s="1706" t="s">
        <v>1927</v>
      </c>
      <c r="BM148" s="1706" t="s">
        <v>4873</v>
      </c>
      <c r="BN148" s="1706"/>
      <c r="BO148" s="1706"/>
      <c r="BP148" s="1706"/>
      <c r="BQ148" s="1706"/>
      <c r="BR148" s="1706"/>
      <c r="BS148" s="1706"/>
      <c r="BT148" s="1706"/>
      <c r="BU148" s="1706"/>
      <c r="BX148" s="1482" t="s">
        <v>4242</v>
      </c>
      <c r="BY148" s="1510"/>
      <c r="BZ148" s="1510"/>
      <c r="CA148" s="1510"/>
      <c r="CB148" s="1510"/>
      <c r="CC148" s="1510"/>
      <c r="CD148" s="1510"/>
      <c r="CE148" s="1510"/>
      <c r="CF148" s="1510"/>
      <c r="CG148" s="1511"/>
      <c r="GG148" s="810"/>
      <c r="GT148" s="1798" t="s">
        <v>1683</v>
      </c>
      <c r="GU148" s="1799"/>
      <c r="GV148" s="1799"/>
      <c r="GW148" s="1799"/>
      <c r="GX148" s="1799"/>
      <c r="GY148" s="1799"/>
      <c r="GZ148" s="1799"/>
      <c r="HA148" s="1799"/>
      <c r="HB148" s="1799"/>
      <c r="HC148" s="1800"/>
      <c r="HG148" s="1482" t="s">
        <v>3353</v>
      </c>
      <c r="HH148" s="1483"/>
      <c r="HI148" s="1483"/>
      <c r="HJ148" s="1483"/>
      <c r="HK148" s="1483"/>
      <c r="HL148" s="1483"/>
      <c r="HM148" s="1483"/>
      <c r="HN148" s="1483"/>
      <c r="HO148" s="1483"/>
      <c r="HP148" s="1484"/>
      <c r="IS148" s="1482" t="s">
        <v>4526</v>
      </c>
      <c r="IT148" s="1483"/>
      <c r="IU148" s="1483"/>
      <c r="IV148" s="1483"/>
      <c r="IW148" s="1483"/>
      <c r="IX148" s="1483"/>
      <c r="IY148" s="1483"/>
      <c r="IZ148" s="1483"/>
      <c r="JA148" s="1483"/>
      <c r="JB148" s="1484"/>
      <c r="JC148" s="811"/>
      <c r="JI148" s="810"/>
      <c r="KF148" s="648">
        <v>1</v>
      </c>
      <c r="KG148" s="1488" t="s">
        <v>5441</v>
      </c>
      <c r="KH148" s="1489"/>
      <c r="KI148" s="1489"/>
      <c r="KJ148" s="1489"/>
      <c r="KK148" s="1489"/>
      <c r="KL148" s="1489"/>
      <c r="KM148" s="1489"/>
      <c r="KN148" s="1489"/>
      <c r="KO148" s="1490"/>
      <c r="MH148" s="811"/>
      <c r="MP148" s="810"/>
      <c r="MQ148" s="648">
        <v>1</v>
      </c>
      <c r="MR148" s="1653" t="s">
        <v>5228</v>
      </c>
      <c r="MS148" s="1653"/>
      <c r="MT148" s="1653"/>
      <c r="MU148" s="1653"/>
      <c r="MV148" s="1653"/>
      <c r="MW148" s="1653"/>
      <c r="MX148" s="1653"/>
      <c r="MY148" s="1653"/>
      <c r="MZ148" s="1653"/>
      <c r="NC148" s="648">
        <v>1</v>
      </c>
      <c r="ND148" s="1653" t="s">
        <v>4760</v>
      </c>
      <c r="NE148" s="1653"/>
      <c r="NF148" s="1653"/>
      <c r="NG148" s="1653"/>
      <c r="NH148" s="1653"/>
      <c r="NI148" s="1653"/>
      <c r="NJ148" s="1653"/>
      <c r="NK148" s="1653"/>
      <c r="NL148" s="1653"/>
      <c r="NO148" s="648">
        <v>1</v>
      </c>
      <c r="NP148" s="1653" t="s">
        <v>4892</v>
      </c>
      <c r="NQ148" s="1653"/>
      <c r="NR148" s="1653"/>
      <c r="NS148" s="1653"/>
      <c r="NT148" s="1653"/>
      <c r="NU148" s="1653"/>
      <c r="NV148" s="1653"/>
      <c r="NW148" s="1653"/>
      <c r="NX148" s="1653"/>
      <c r="OA148" s="648">
        <v>1</v>
      </c>
      <c r="OB148" s="1488" t="s">
        <v>4892</v>
      </c>
      <c r="OC148" s="1489"/>
      <c r="OD148" s="1489"/>
      <c r="OE148" s="1489"/>
      <c r="OF148" s="1489"/>
      <c r="OG148" s="1489"/>
      <c r="OH148" s="1489"/>
      <c r="OI148" s="1489"/>
      <c r="OJ148" s="1490"/>
      <c r="OL148" s="710">
        <v>1</v>
      </c>
      <c r="OM148" s="1607" t="s">
        <v>172</v>
      </c>
      <c r="ON148" s="1607"/>
      <c r="OO148" s="1607"/>
      <c r="OP148" s="1607"/>
      <c r="OQ148" s="1607"/>
      <c r="OR148" s="1607"/>
      <c r="OS148" s="1607"/>
      <c r="OT148" s="1607"/>
      <c r="OU148" s="1607"/>
      <c r="OX148" s="648">
        <v>1</v>
      </c>
      <c r="OY148" s="1488" t="s">
        <v>227</v>
      </c>
      <c r="OZ148" s="1489"/>
      <c r="PA148" s="1489"/>
      <c r="PB148" s="1489"/>
      <c r="PC148" s="1489"/>
      <c r="PD148" s="1489"/>
      <c r="PE148" s="1489"/>
      <c r="PF148" s="1489"/>
      <c r="PG148" s="1490"/>
      <c r="PJ148" s="887">
        <v>1</v>
      </c>
      <c r="PK148" s="1769" t="s">
        <v>227</v>
      </c>
      <c r="PL148" s="1769"/>
      <c r="PM148" s="1769"/>
      <c r="PN148" s="1769"/>
      <c r="PO148" s="1769"/>
      <c r="PP148" s="1769"/>
      <c r="PQ148" s="1769"/>
      <c r="PR148" s="1769"/>
      <c r="PS148" s="1769"/>
      <c r="PU148" s="648">
        <v>1</v>
      </c>
      <c r="PV148" s="1488" t="s">
        <v>227</v>
      </c>
      <c r="PW148" s="1489"/>
      <c r="PX148" s="1489"/>
      <c r="PY148" s="1489"/>
      <c r="PZ148" s="1489"/>
      <c r="QA148" s="1489"/>
      <c r="QB148" s="1489"/>
      <c r="QC148" s="1489"/>
      <c r="QD148" s="1490"/>
      <c r="QQ148" s="648">
        <v>1</v>
      </c>
      <c r="QR148" s="1488" t="s">
        <v>4892</v>
      </c>
      <c r="QS148" s="1489"/>
      <c r="QT148" s="1489"/>
      <c r="QU148" s="1489"/>
      <c r="QV148" s="1489"/>
      <c r="QW148" s="1489"/>
      <c r="QX148" s="1489"/>
      <c r="QY148" s="1489"/>
      <c r="QZ148" s="1490"/>
      <c r="RC148" s="648">
        <v>1</v>
      </c>
      <c r="RD148" s="1488" t="s">
        <v>4892</v>
      </c>
      <c r="RE148" s="1489"/>
      <c r="RF148" s="1489"/>
      <c r="RG148" s="1489"/>
      <c r="RH148" s="1489"/>
      <c r="RI148" s="1489"/>
      <c r="RJ148" s="1489"/>
      <c r="RK148" s="1489"/>
      <c r="RL148" s="1490"/>
      <c r="RO148" s="648">
        <v>1</v>
      </c>
      <c r="RP148" s="1488" t="s">
        <v>5442</v>
      </c>
      <c r="RQ148" s="1489"/>
      <c r="RR148" s="1489"/>
      <c r="RS148" s="1489"/>
      <c r="RT148" s="1489"/>
      <c r="RU148" s="1489"/>
      <c r="RV148" s="1489"/>
      <c r="RW148" s="1489"/>
      <c r="RX148" s="1490"/>
      <c r="RZ148" s="811"/>
      <c r="SG148" s="758"/>
    </row>
    <row r="149" spans="4:501" ht="12.75" customHeight="1" x14ac:dyDescent="0.35">
      <c r="D149" s="758"/>
      <c r="BT149" s="754" t="s">
        <v>4831</v>
      </c>
      <c r="BX149" s="648">
        <v>1</v>
      </c>
      <c r="BY149" s="1488" t="s">
        <v>5255</v>
      </c>
      <c r="BZ149" s="1489"/>
      <c r="CA149" s="1489"/>
      <c r="CB149" s="1489"/>
      <c r="CC149" s="1489"/>
      <c r="CD149" s="1489"/>
      <c r="CE149" s="1489"/>
      <c r="CF149" s="1489"/>
      <c r="CG149" s="1490"/>
      <c r="GG149" s="810"/>
      <c r="GT149" s="648">
        <v>1</v>
      </c>
      <c r="GU149" s="1759" t="s">
        <v>5165</v>
      </c>
      <c r="GV149" s="1760"/>
      <c r="GW149" s="1760"/>
      <c r="GX149" s="1760"/>
      <c r="GY149" s="1760"/>
      <c r="GZ149" s="1760"/>
      <c r="HA149" s="1760"/>
      <c r="HB149" s="1760"/>
      <c r="HC149" s="1761"/>
      <c r="HG149" s="648">
        <v>1</v>
      </c>
      <c r="HH149" s="1653" t="s">
        <v>5165</v>
      </c>
      <c r="HI149" s="1653"/>
      <c r="HJ149" s="1653"/>
      <c r="HK149" s="1653"/>
      <c r="HL149" s="1653"/>
      <c r="HM149" s="1653"/>
      <c r="HN149" s="1653"/>
      <c r="HO149" s="1653"/>
      <c r="HP149" s="1653"/>
      <c r="IS149" s="648">
        <v>1</v>
      </c>
      <c r="IT149" s="1653" t="s">
        <v>5165</v>
      </c>
      <c r="IU149" s="1653"/>
      <c r="IV149" s="1653"/>
      <c r="IW149" s="1653"/>
      <c r="IX149" s="1653"/>
      <c r="IY149" s="1653"/>
      <c r="IZ149" s="1653"/>
      <c r="JA149" s="1653"/>
      <c r="JB149" s="1653"/>
      <c r="JC149" s="811"/>
      <c r="JI149" s="810"/>
      <c r="KF149" s="1813" t="s">
        <v>2612</v>
      </c>
      <c r="KG149" s="1706"/>
      <c r="KH149" s="1706"/>
      <c r="KI149" s="1706"/>
      <c r="KJ149" s="1706"/>
      <c r="KK149" s="1706"/>
      <c r="KL149" s="1706"/>
      <c r="KM149" s="1706"/>
      <c r="KN149" s="1706"/>
      <c r="KO149" s="1706"/>
      <c r="MH149" s="811"/>
      <c r="MP149" s="810"/>
      <c r="MQ149" s="1660" t="s">
        <v>2177</v>
      </c>
      <c r="MR149" s="1660"/>
      <c r="MS149" s="1660"/>
      <c r="MT149" s="1660"/>
      <c r="MU149" s="1660"/>
      <c r="MV149" s="1660"/>
      <c r="MW149" s="1660"/>
      <c r="MX149" s="1660"/>
      <c r="MY149" s="1660"/>
      <c r="MZ149" s="1660"/>
      <c r="NC149" s="1660" t="s">
        <v>3574</v>
      </c>
      <c r="ND149" s="1660"/>
      <c r="NE149" s="1660"/>
      <c r="NF149" s="1660"/>
      <c r="NG149" s="1660"/>
      <c r="NH149" s="1660"/>
      <c r="NI149" s="1660"/>
      <c r="NJ149" s="1660"/>
      <c r="NK149" s="1660"/>
      <c r="NL149" s="1660"/>
      <c r="NO149" s="1660" t="s">
        <v>4043</v>
      </c>
      <c r="NP149" s="1660" t="s">
        <v>4873</v>
      </c>
      <c r="NQ149" s="1660"/>
      <c r="NR149" s="1660"/>
      <c r="NS149" s="1660"/>
      <c r="NT149" s="1660"/>
      <c r="NU149" s="1660"/>
      <c r="NV149" s="1660"/>
      <c r="NW149" s="1660"/>
      <c r="NX149" s="1660"/>
      <c r="OA149" s="1660" t="s">
        <v>2997</v>
      </c>
      <c r="OB149" s="1660" t="s">
        <v>4873</v>
      </c>
      <c r="OC149" s="1660"/>
      <c r="OD149" s="1660"/>
      <c r="OE149" s="1660"/>
      <c r="OF149" s="1660"/>
      <c r="OG149" s="1660"/>
      <c r="OH149" s="1660"/>
      <c r="OI149" s="1660"/>
      <c r="OJ149" s="1660"/>
      <c r="OL149" s="1778" t="s">
        <v>177</v>
      </c>
      <c r="OM149" s="1778"/>
      <c r="ON149" s="1778"/>
      <c r="OO149" s="1778"/>
      <c r="OP149" s="1778"/>
      <c r="OQ149" s="1778"/>
      <c r="OR149" s="1778"/>
      <c r="OS149" s="1778"/>
      <c r="OT149" s="1778"/>
      <c r="OU149" s="1778"/>
      <c r="OX149" s="1660" t="s">
        <v>3061</v>
      </c>
      <c r="OY149" s="1660" t="s">
        <v>4873</v>
      </c>
      <c r="OZ149" s="1660"/>
      <c r="PA149" s="1660"/>
      <c r="PB149" s="1660"/>
      <c r="PC149" s="1660"/>
      <c r="PD149" s="1660"/>
      <c r="PE149" s="1660"/>
      <c r="PF149" s="1660"/>
      <c r="PG149" s="1660"/>
      <c r="PJ149" s="1810" t="s">
        <v>5443</v>
      </c>
      <c r="PK149" s="1810"/>
      <c r="PL149" s="1810"/>
      <c r="PM149" s="1810"/>
      <c r="PN149" s="1810"/>
      <c r="PO149" s="1810"/>
      <c r="PP149" s="1810"/>
      <c r="PQ149" s="1810"/>
      <c r="PR149" s="1810"/>
      <c r="PS149" s="1810"/>
      <c r="PU149" s="1660" t="s">
        <v>5444</v>
      </c>
      <c r="PV149" s="1660" t="s">
        <v>4873</v>
      </c>
      <c r="PW149" s="1660"/>
      <c r="PX149" s="1660"/>
      <c r="PY149" s="1660"/>
      <c r="PZ149" s="1660"/>
      <c r="QA149" s="1660"/>
      <c r="QB149" s="1660"/>
      <c r="QC149" s="1660"/>
      <c r="QD149" s="1660"/>
      <c r="QQ149" s="1804" t="s">
        <v>3703</v>
      </c>
      <c r="QR149" s="1736"/>
      <c r="QS149" s="1736"/>
      <c r="QT149" s="1736"/>
      <c r="QU149" s="1736"/>
      <c r="QV149" s="1736"/>
      <c r="QW149" s="1736"/>
      <c r="QX149" s="1736"/>
      <c r="QY149" s="1736"/>
      <c r="QZ149" s="1737"/>
      <c r="RC149" s="1660" t="s">
        <v>4634</v>
      </c>
      <c r="RD149" s="1660" t="s">
        <v>4873</v>
      </c>
      <c r="RE149" s="1660"/>
      <c r="RF149" s="1660"/>
      <c r="RG149" s="1660"/>
      <c r="RH149" s="1660"/>
      <c r="RI149" s="1660"/>
      <c r="RJ149" s="1660"/>
      <c r="RK149" s="1660"/>
      <c r="RL149" s="1660"/>
      <c r="RO149" s="1660" t="s">
        <v>4249</v>
      </c>
      <c r="RP149" s="1660" t="s">
        <v>4873</v>
      </c>
      <c r="RQ149" s="1660"/>
      <c r="RR149" s="1660"/>
      <c r="RS149" s="1660"/>
      <c r="RT149" s="1660"/>
      <c r="RU149" s="1660"/>
      <c r="RV149" s="1660"/>
      <c r="RW149" s="1660"/>
      <c r="RX149" s="1660"/>
      <c r="RZ149" s="811"/>
      <c r="SG149" s="758"/>
    </row>
    <row r="150" spans="4:501" ht="12.75" customHeight="1" x14ac:dyDescent="0.35">
      <c r="D150" s="758"/>
      <c r="BX150" s="1689" t="s">
        <v>131</v>
      </c>
      <c r="BY150" s="1712"/>
      <c r="BZ150" s="1712"/>
      <c r="CA150" s="1712"/>
      <c r="CB150" s="1712"/>
      <c r="CC150" s="1712"/>
      <c r="CD150" s="1712"/>
      <c r="CE150" s="1712"/>
      <c r="CF150" s="1712"/>
      <c r="CG150" s="1713"/>
      <c r="GG150" s="810"/>
      <c r="GT150" s="1798" t="s">
        <v>3467</v>
      </c>
      <c r="GU150" s="1799"/>
      <c r="GV150" s="1799"/>
      <c r="GW150" s="1799"/>
      <c r="GX150" s="1799"/>
      <c r="GY150" s="1799"/>
      <c r="GZ150" s="1799"/>
      <c r="HA150" s="1799"/>
      <c r="HB150" s="1799"/>
      <c r="HC150" s="1800"/>
      <c r="HG150" s="1482" t="s">
        <v>3598</v>
      </c>
      <c r="HH150" s="1483"/>
      <c r="HI150" s="1483"/>
      <c r="HJ150" s="1483"/>
      <c r="HK150" s="1483"/>
      <c r="HL150" s="1483"/>
      <c r="HM150" s="1483"/>
      <c r="HN150" s="1483"/>
      <c r="HO150" s="1483"/>
      <c r="HP150" s="1484"/>
      <c r="IS150" s="1689" t="s">
        <v>131</v>
      </c>
      <c r="IT150" s="1690"/>
      <c r="IU150" s="1690"/>
      <c r="IV150" s="1690"/>
      <c r="IW150" s="1690"/>
      <c r="IX150" s="1690"/>
      <c r="IY150" s="1690"/>
      <c r="IZ150" s="1690"/>
      <c r="JA150" s="1690"/>
      <c r="JB150" s="1691"/>
      <c r="JC150" s="811"/>
      <c r="JI150" s="810"/>
      <c r="MH150" s="811"/>
      <c r="MP150" s="810"/>
      <c r="MQ150" s="648">
        <v>1</v>
      </c>
      <c r="MR150" s="1653" t="s">
        <v>4892</v>
      </c>
      <c r="MS150" s="1653"/>
      <c r="MT150" s="1653"/>
      <c r="MU150" s="1653"/>
      <c r="MV150" s="1653"/>
      <c r="MW150" s="1653"/>
      <c r="MX150" s="1653"/>
      <c r="MY150" s="1653"/>
      <c r="MZ150" s="1653"/>
      <c r="NO150" s="648">
        <v>1</v>
      </c>
      <c r="NP150" s="1653" t="s">
        <v>4892</v>
      </c>
      <c r="NQ150" s="1653"/>
      <c r="NR150" s="1653"/>
      <c r="NS150" s="1653"/>
      <c r="NT150" s="1653"/>
      <c r="NU150" s="1653"/>
      <c r="NV150" s="1653"/>
      <c r="NW150" s="1653"/>
      <c r="NX150" s="1653"/>
      <c r="OA150" s="648">
        <v>1</v>
      </c>
      <c r="OB150" s="1488" t="s">
        <v>5413</v>
      </c>
      <c r="OC150" s="1489"/>
      <c r="OD150" s="1489"/>
      <c r="OE150" s="1489"/>
      <c r="OF150" s="1489"/>
      <c r="OG150" s="1489"/>
      <c r="OH150" s="1489"/>
      <c r="OI150" s="1489"/>
      <c r="OJ150" s="1490"/>
      <c r="OL150" s="648">
        <v>1</v>
      </c>
      <c r="OM150" s="1488" t="s">
        <v>4892</v>
      </c>
      <c r="ON150" s="1489"/>
      <c r="OO150" s="1489"/>
      <c r="OP150" s="1489"/>
      <c r="OQ150" s="1489"/>
      <c r="OR150" s="1489"/>
      <c r="OS150" s="1489"/>
      <c r="OT150" s="1489"/>
      <c r="OU150" s="1490"/>
      <c r="OX150" s="648">
        <v>1</v>
      </c>
      <c r="OY150" s="1488" t="s">
        <v>4892</v>
      </c>
      <c r="OZ150" s="1489"/>
      <c r="PA150" s="1489"/>
      <c r="PB150" s="1489"/>
      <c r="PC150" s="1489"/>
      <c r="PD150" s="1489"/>
      <c r="PE150" s="1489"/>
      <c r="PF150" s="1489"/>
      <c r="PG150" s="1490"/>
      <c r="PJ150" s="646"/>
      <c r="PK150" s="1527"/>
      <c r="PL150" s="1527"/>
      <c r="PM150" s="1527"/>
      <c r="PN150" s="1527"/>
      <c r="PO150" s="1527"/>
      <c r="PP150" s="1527"/>
      <c r="PQ150" s="1527"/>
      <c r="PR150" s="1527"/>
      <c r="PS150" s="1527"/>
      <c r="PU150" s="648">
        <v>1</v>
      </c>
      <c r="PV150" s="1488" t="s">
        <v>5413</v>
      </c>
      <c r="PW150" s="1489"/>
      <c r="PX150" s="1489"/>
      <c r="PY150" s="1489"/>
      <c r="PZ150" s="1489"/>
      <c r="QA150" s="1489"/>
      <c r="QB150" s="1489"/>
      <c r="QC150" s="1489"/>
      <c r="QD150" s="1490"/>
      <c r="QQ150" s="648">
        <v>1</v>
      </c>
      <c r="QR150" s="1488" t="s">
        <v>4892</v>
      </c>
      <c r="QS150" s="1489"/>
      <c r="QT150" s="1489"/>
      <c r="QU150" s="1489"/>
      <c r="QV150" s="1489"/>
      <c r="QW150" s="1489"/>
      <c r="QX150" s="1489"/>
      <c r="QY150" s="1489"/>
      <c r="QZ150" s="1490"/>
      <c r="RC150" s="648">
        <v>1</v>
      </c>
      <c r="RD150" s="1488" t="s">
        <v>4892</v>
      </c>
      <c r="RE150" s="1489"/>
      <c r="RF150" s="1489"/>
      <c r="RG150" s="1489"/>
      <c r="RH150" s="1489"/>
      <c r="RI150" s="1489"/>
      <c r="RJ150" s="1489"/>
      <c r="RK150" s="1489"/>
      <c r="RL150" s="1490"/>
      <c r="RO150" s="648">
        <v>1</v>
      </c>
      <c r="RP150" s="1488" t="s">
        <v>4892</v>
      </c>
      <c r="RQ150" s="1489"/>
      <c r="RR150" s="1489"/>
      <c r="RS150" s="1489"/>
      <c r="RT150" s="1489"/>
      <c r="RU150" s="1489"/>
      <c r="RV150" s="1489"/>
      <c r="RW150" s="1489"/>
      <c r="RX150" s="1490"/>
      <c r="RZ150" s="811"/>
      <c r="SG150" s="758"/>
    </row>
    <row r="151" spans="4:501" ht="12.75" customHeight="1" x14ac:dyDescent="0.25">
      <c r="D151" s="758"/>
      <c r="ED151" s="738"/>
      <c r="GG151" s="810"/>
      <c r="GT151" s="648">
        <v>1</v>
      </c>
      <c r="GU151" s="1759" t="s">
        <v>5165</v>
      </c>
      <c r="GV151" s="1760"/>
      <c r="GW151" s="1760"/>
      <c r="GX151" s="1760"/>
      <c r="GY151" s="1760"/>
      <c r="GZ151" s="1760"/>
      <c r="HA151" s="1760"/>
      <c r="HB151" s="1760"/>
      <c r="HC151" s="1761"/>
      <c r="HG151" s="648">
        <v>1</v>
      </c>
      <c r="HH151" s="1653" t="s">
        <v>5165</v>
      </c>
      <c r="HI151" s="1653"/>
      <c r="HJ151" s="1653"/>
      <c r="HK151" s="1653"/>
      <c r="HL151" s="1653"/>
      <c r="HM151" s="1653"/>
      <c r="HN151" s="1653"/>
      <c r="HO151" s="1653"/>
      <c r="HP151" s="1653"/>
      <c r="JC151" s="811"/>
      <c r="JI151" s="810"/>
      <c r="MH151" s="811"/>
      <c r="MP151" s="810"/>
      <c r="MQ151" s="1660" t="s">
        <v>2451</v>
      </c>
      <c r="MR151" s="1660"/>
      <c r="MS151" s="1660"/>
      <c r="MT151" s="1660"/>
      <c r="MU151" s="1660"/>
      <c r="MV151" s="1660"/>
      <c r="MW151" s="1660"/>
      <c r="MX151" s="1660"/>
      <c r="MY151" s="1660"/>
      <c r="MZ151" s="1660"/>
      <c r="NO151" s="1660" t="s">
        <v>3368</v>
      </c>
      <c r="NP151" s="1660" t="s">
        <v>4873</v>
      </c>
      <c r="NQ151" s="1660"/>
      <c r="NR151" s="1660"/>
      <c r="NS151" s="1660"/>
      <c r="NT151" s="1660"/>
      <c r="NU151" s="1660"/>
      <c r="NV151" s="1660"/>
      <c r="NW151" s="1660"/>
      <c r="NX151" s="1660"/>
      <c r="OA151" s="1811" t="s">
        <v>3428</v>
      </c>
      <c r="OB151" s="1811" t="s">
        <v>4873</v>
      </c>
      <c r="OC151" s="1811"/>
      <c r="OD151" s="1811"/>
      <c r="OE151" s="1811"/>
      <c r="OF151" s="1811"/>
      <c r="OG151" s="1811"/>
      <c r="OH151" s="1811"/>
      <c r="OI151" s="1811"/>
      <c r="OJ151" s="1811"/>
      <c r="OL151" s="1575" t="s">
        <v>1844</v>
      </c>
      <c r="OM151" s="1544"/>
      <c r="ON151" s="1544"/>
      <c r="OO151" s="1544"/>
      <c r="OP151" s="1544"/>
      <c r="OQ151" s="1544"/>
      <c r="OR151" s="1544"/>
      <c r="OS151" s="1544"/>
      <c r="OT151" s="1544"/>
      <c r="OU151" s="1545"/>
      <c r="OX151" s="1778" t="s">
        <v>177</v>
      </c>
      <c r="OY151" s="1778" t="s">
        <v>4873</v>
      </c>
      <c r="OZ151" s="1778"/>
      <c r="PA151" s="1778"/>
      <c r="PB151" s="1778"/>
      <c r="PC151" s="1778"/>
      <c r="PD151" s="1778"/>
      <c r="PE151" s="1778"/>
      <c r="PF151" s="1778"/>
      <c r="PG151" s="1778"/>
      <c r="PJ151" s="1534"/>
      <c r="PK151" s="1534" t="s">
        <v>4873</v>
      </c>
      <c r="PL151" s="1534"/>
      <c r="PM151" s="1534"/>
      <c r="PN151" s="1534"/>
      <c r="PO151" s="1534"/>
      <c r="PP151" s="1534"/>
      <c r="PQ151" s="1534"/>
      <c r="PR151" s="1534"/>
      <c r="PS151" s="1534"/>
      <c r="PU151" s="1660" t="s">
        <v>1256</v>
      </c>
      <c r="PV151" s="1660" t="s">
        <v>4873</v>
      </c>
      <c r="PW151" s="1660"/>
      <c r="PX151" s="1660"/>
      <c r="PY151" s="1660"/>
      <c r="PZ151" s="1660"/>
      <c r="QA151" s="1660"/>
      <c r="QB151" s="1660"/>
      <c r="QC151" s="1660"/>
      <c r="QD151" s="1660"/>
      <c r="QQ151" s="1723" t="s">
        <v>1557</v>
      </c>
      <c r="QR151" s="1723" t="s">
        <v>4873</v>
      </c>
      <c r="QS151" s="1723"/>
      <c r="QT151" s="1723"/>
      <c r="QU151" s="1723"/>
      <c r="QV151" s="1723"/>
      <c r="QW151" s="1723"/>
      <c r="QX151" s="1723"/>
      <c r="QY151" s="1723"/>
      <c r="QZ151" s="1723"/>
      <c r="RC151" s="1660" t="s">
        <v>5445</v>
      </c>
      <c r="RD151" s="1660" t="s">
        <v>4873</v>
      </c>
      <c r="RE151" s="1660"/>
      <c r="RF151" s="1660"/>
      <c r="RG151" s="1660"/>
      <c r="RH151" s="1660"/>
      <c r="RI151" s="1660"/>
      <c r="RJ151" s="1660"/>
      <c r="RK151" s="1660"/>
      <c r="RL151" s="1660"/>
      <c r="RO151" s="1660" t="s">
        <v>3858</v>
      </c>
      <c r="RP151" s="1660" t="s">
        <v>4873</v>
      </c>
      <c r="RQ151" s="1660"/>
      <c r="RR151" s="1660"/>
      <c r="RS151" s="1660"/>
      <c r="RT151" s="1660"/>
      <c r="RU151" s="1660"/>
      <c r="RV151" s="1660"/>
      <c r="RW151" s="1660"/>
      <c r="RX151" s="1660"/>
      <c r="RZ151" s="811"/>
      <c r="SG151" s="758"/>
    </row>
    <row r="152" spans="4:501" ht="12.75" customHeight="1" x14ac:dyDescent="0.25">
      <c r="D152" s="758"/>
      <c r="ED152" s="738"/>
      <c r="GG152" s="810"/>
      <c r="GT152" s="1798" t="s">
        <v>3592</v>
      </c>
      <c r="GU152" s="1799"/>
      <c r="GV152" s="1799"/>
      <c r="GW152" s="1799"/>
      <c r="GX152" s="1799"/>
      <c r="GY152" s="1799"/>
      <c r="GZ152" s="1799"/>
      <c r="HA152" s="1799"/>
      <c r="HB152" s="1799"/>
      <c r="HC152" s="1800"/>
      <c r="HG152" s="1482" t="s">
        <v>4218</v>
      </c>
      <c r="HH152" s="1483"/>
      <c r="HI152" s="1483"/>
      <c r="HJ152" s="1483"/>
      <c r="HK152" s="1483"/>
      <c r="HL152" s="1483"/>
      <c r="HM152" s="1483"/>
      <c r="HN152" s="1483"/>
      <c r="HO152" s="1483"/>
      <c r="HP152" s="1484"/>
      <c r="IB152" s="754" t="s">
        <v>4831</v>
      </c>
      <c r="JC152" s="811"/>
      <c r="JI152" s="870"/>
      <c r="JJ152" s="798"/>
      <c r="JK152" s="798"/>
      <c r="JL152" s="798"/>
      <c r="JM152" s="798"/>
      <c r="JN152" s="798"/>
      <c r="JO152" s="798"/>
      <c r="JP152" s="798"/>
      <c r="JQ152" s="798"/>
      <c r="JR152" s="798"/>
      <c r="JS152" s="798"/>
      <c r="JT152" s="798"/>
      <c r="JU152" s="798"/>
      <c r="JV152" s="798"/>
      <c r="JW152" s="798"/>
      <c r="JX152" s="798"/>
      <c r="JY152" s="798"/>
      <c r="JZ152" s="798"/>
      <c r="KA152" s="798"/>
      <c r="KB152" s="798"/>
      <c r="KC152" s="798"/>
      <c r="KD152" s="798"/>
      <c r="KE152" s="798"/>
      <c r="KF152" s="798"/>
      <c r="KG152" s="798"/>
      <c r="KH152" s="798"/>
      <c r="KI152" s="798"/>
      <c r="KJ152" s="798"/>
      <c r="KK152" s="798"/>
      <c r="KL152" s="798"/>
      <c r="KM152" s="798"/>
      <c r="KN152" s="798"/>
      <c r="KO152" s="798"/>
      <c r="KP152" s="798"/>
      <c r="KQ152" s="798"/>
      <c r="KR152" s="798"/>
      <c r="KS152" s="798"/>
      <c r="KT152" s="798"/>
      <c r="KU152" s="798"/>
      <c r="KV152" s="798"/>
      <c r="KW152" s="798"/>
      <c r="KX152" s="798"/>
      <c r="KY152" s="798"/>
      <c r="KZ152" s="798"/>
      <c r="LA152" s="798"/>
      <c r="LB152" s="798"/>
      <c r="LC152" s="798"/>
      <c r="LD152" s="798"/>
      <c r="LE152" s="798"/>
      <c r="LF152" s="798"/>
      <c r="LG152" s="798"/>
      <c r="LH152" s="798"/>
      <c r="LI152" s="798"/>
      <c r="LJ152" s="798"/>
      <c r="LK152" s="798"/>
      <c r="LL152" s="798"/>
      <c r="LM152" s="798"/>
      <c r="LN152" s="798"/>
      <c r="LO152" s="798"/>
      <c r="LP152" s="798"/>
      <c r="LQ152" s="798"/>
      <c r="LR152" s="798"/>
      <c r="LS152" s="798"/>
      <c r="LT152" s="798"/>
      <c r="LU152" s="798"/>
      <c r="LV152" s="798"/>
      <c r="LW152" s="798"/>
      <c r="LX152" s="798"/>
      <c r="LY152" s="798"/>
      <c r="LZ152" s="798"/>
      <c r="MA152" s="798"/>
      <c r="MB152" s="798"/>
      <c r="MC152" s="798"/>
      <c r="MD152" s="798"/>
      <c r="ME152" s="798"/>
      <c r="MF152" s="798"/>
      <c r="MG152" s="798"/>
      <c r="MH152" s="871"/>
      <c r="MP152" s="810"/>
      <c r="MQ152" s="648">
        <v>1</v>
      </c>
      <c r="MR152" s="1488" t="s">
        <v>4892</v>
      </c>
      <c r="MS152" s="1489"/>
      <c r="MT152" s="1489"/>
      <c r="MU152" s="1489"/>
      <c r="MV152" s="1489"/>
      <c r="MW152" s="1489"/>
      <c r="MX152" s="1489"/>
      <c r="MY152" s="1489"/>
      <c r="MZ152" s="1490"/>
      <c r="OA152" s="887">
        <v>1</v>
      </c>
      <c r="OB152" s="1769" t="s">
        <v>4892</v>
      </c>
      <c r="OC152" s="1769"/>
      <c r="OD152" s="1769"/>
      <c r="OE152" s="1769"/>
      <c r="OF152" s="1769"/>
      <c r="OG152" s="1769"/>
      <c r="OH152" s="1769"/>
      <c r="OI152" s="1769"/>
      <c r="OJ152" s="1769"/>
      <c r="OX152" s="648">
        <v>1</v>
      </c>
      <c r="OY152" s="1488" t="s">
        <v>5413</v>
      </c>
      <c r="OZ152" s="1489"/>
      <c r="PA152" s="1489"/>
      <c r="PB152" s="1489"/>
      <c r="PC152" s="1489"/>
      <c r="PD152" s="1489"/>
      <c r="PE152" s="1489"/>
      <c r="PF152" s="1489"/>
      <c r="PG152" s="1490"/>
      <c r="PJ152" s="887">
        <v>1</v>
      </c>
      <c r="PK152" s="1769" t="s">
        <v>5413</v>
      </c>
      <c r="PL152" s="1769"/>
      <c r="PM152" s="1769"/>
      <c r="PN152" s="1769"/>
      <c r="PO152" s="1769"/>
      <c r="PP152" s="1769"/>
      <c r="PQ152" s="1769"/>
      <c r="PR152" s="1769"/>
      <c r="PS152" s="1769"/>
      <c r="PU152" s="648">
        <v>1</v>
      </c>
      <c r="PV152" s="1488" t="s">
        <v>227</v>
      </c>
      <c r="PW152" s="1489"/>
      <c r="PX152" s="1489"/>
      <c r="PY152" s="1489"/>
      <c r="PZ152" s="1489"/>
      <c r="QA152" s="1489"/>
      <c r="QB152" s="1489"/>
      <c r="QC152" s="1489"/>
      <c r="QD152" s="1490"/>
      <c r="QQ152" s="648">
        <v>1</v>
      </c>
      <c r="QR152" s="1488" t="s">
        <v>4764</v>
      </c>
      <c r="QS152" s="1489"/>
      <c r="QT152" s="1489"/>
      <c r="QU152" s="1489"/>
      <c r="QV152" s="1489"/>
      <c r="QW152" s="1489"/>
      <c r="QX152" s="1489"/>
      <c r="QY152" s="1489"/>
      <c r="QZ152" s="1490"/>
      <c r="RC152" s="648">
        <v>1</v>
      </c>
      <c r="RD152" s="1488" t="s">
        <v>4764</v>
      </c>
      <c r="RE152" s="1489"/>
      <c r="RF152" s="1489"/>
      <c r="RG152" s="1489"/>
      <c r="RH152" s="1489"/>
      <c r="RI152" s="1489"/>
      <c r="RJ152" s="1489"/>
      <c r="RK152" s="1489"/>
      <c r="RL152" s="1490"/>
      <c r="RO152" s="648">
        <v>1</v>
      </c>
      <c r="RP152" s="1488" t="s">
        <v>5413</v>
      </c>
      <c r="RQ152" s="1489"/>
      <c r="RR152" s="1489"/>
      <c r="RS152" s="1489"/>
      <c r="RT152" s="1489"/>
      <c r="RU152" s="1489"/>
      <c r="RV152" s="1489"/>
      <c r="RW152" s="1489"/>
      <c r="RX152" s="1490"/>
      <c r="RZ152" s="811"/>
      <c r="SG152" s="758"/>
    </row>
    <row r="153" spans="4:501" ht="12.75" customHeight="1" x14ac:dyDescent="0.25">
      <c r="D153" s="758"/>
      <c r="ED153" s="738"/>
      <c r="GG153" s="810"/>
      <c r="GT153" s="648">
        <v>1</v>
      </c>
      <c r="GU153" s="1759" t="s">
        <v>5165</v>
      </c>
      <c r="GV153" s="1760"/>
      <c r="GW153" s="1760"/>
      <c r="GX153" s="1760"/>
      <c r="GY153" s="1760"/>
      <c r="GZ153" s="1760"/>
      <c r="HA153" s="1760"/>
      <c r="HB153" s="1760"/>
      <c r="HC153" s="1761"/>
      <c r="HG153" s="648">
        <v>1</v>
      </c>
      <c r="HH153" s="1653" t="s">
        <v>5165</v>
      </c>
      <c r="HI153" s="1653"/>
      <c r="HJ153" s="1653"/>
      <c r="HK153" s="1653"/>
      <c r="HL153" s="1653"/>
      <c r="HM153" s="1653"/>
      <c r="HN153" s="1653"/>
      <c r="HO153" s="1653"/>
      <c r="HP153" s="1653"/>
      <c r="JC153" s="811"/>
      <c r="KJ153" s="704"/>
      <c r="KK153" s="878"/>
      <c r="KL153" s="878"/>
      <c r="KM153" s="1790"/>
      <c r="KN153" s="1790"/>
      <c r="KO153" s="1790"/>
      <c r="KP153" s="1790"/>
      <c r="KQ153" s="1790"/>
      <c r="KR153" s="1790"/>
      <c r="KS153" s="1790"/>
      <c r="KT153" s="1790"/>
      <c r="KU153" s="1790"/>
      <c r="KV153" s="1790"/>
      <c r="KW153" s="1790"/>
      <c r="KX153" s="1790"/>
      <c r="KY153" s="1790"/>
      <c r="KZ153" s="1790"/>
      <c r="LA153" s="1790"/>
      <c r="MP153" s="810"/>
      <c r="MQ153" s="1814" t="s">
        <v>2802</v>
      </c>
      <c r="MR153" s="1716" t="s">
        <v>4873</v>
      </c>
      <c r="MS153" s="1716"/>
      <c r="MT153" s="1716"/>
      <c r="MU153" s="1716"/>
      <c r="MV153" s="1716"/>
      <c r="MW153" s="1716"/>
      <c r="MX153" s="1716"/>
      <c r="MY153" s="1716"/>
      <c r="MZ153" s="1716"/>
      <c r="OA153" s="1791" t="s">
        <v>177</v>
      </c>
      <c r="OB153" s="1791" t="s">
        <v>4873</v>
      </c>
      <c r="OC153" s="1791"/>
      <c r="OD153" s="1791"/>
      <c r="OE153" s="1791"/>
      <c r="OF153" s="1791"/>
      <c r="OG153" s="1791"/>
      <c r="OH153" s="1791"/>
      <c r="OI153" s="1791"/>
      <c r="OJ153" s="1791"/>
      <c r="OX153" s="1660" t="s">
        <v>1068</v>
      </c>
      <c r="OY153" s="1660" t="s">
        <v>4873</v>
      </c>
      <c r="OZ153" s="1660"/>
      <c r="PA153" s="1660"/>
      <c r="PB153" s="1660"/>
      <c r="PC153" s="1660"/>
      <c r="PD153" s="1660"/>
      <c r="PE153" s="1660"/>
      <c r="PF153" s="1660"/>
      <c r="PG153" s="1660"/>
      <c r="PJ153" s="1810" t="s">
        <v>4330</v>
      </c>
      <c r="PK153" s="1810"/>
      <c r="PL153" s="1810"/>
      <c r="PM153" s="1810"/>
      <c r="PN153" s="1810"/>
      <c r="PO153" s="1810"/>
      <c r="PP153" s="1810"/>
      <c r="PQ153" s="1810"/>
      <c r="PR153" s="1810"/>
      <c r="PS153" s="1810"/>
      <c r="PU153" s="1660" t="s">
        <v>4007</v>
      </c>
      <c r="PV153" s="1660" t="s">
        <v>4873</v>
      </c>
      <c r="PW153" s="1660"/>
      <c r="PX153" s="1660"/>
      <c r="PY153" s="1660"/>
      <c r="PZ153" s="1660"/>
      <c r="QA153" s="1660"/>
      <c r="QB153" s="1660"/>
      <c r="QC153" s="1660"/>
      <c r="QD153" s="1660"/>
      <c r="QQ153" s="1660" t="s">
        <v>5446</v>
      </c>
      <c r="QR153" s="1660" t="s">
        <v>4873</v>
      </c>
      <c r="QS153" s="1660"/>
      <c r="QT153" s="1660"/>
      <c r="QU153" s="1660"/>
      <c r="QV153" s="1660"/>
      <c r="QW153" s="1660"/>
      <c r="QX153" s="1660"/>
      <c r="QY153" s="1660"/>
      <c r="QZ153" s="1660"/>
      <c r="RC153" s="1778" t="s">
        <v>131</v>
      </c>
      <c r="RD153" s="1778" t="s">
        <v>4873</v>
      </c>
      <c r="RE153" s="1778"/>
      <c r="RF153" s="1778"/>
      <c r="RG153" s="1778"/>
      <c r="RH153" s="1778"/>
      <c r="RI153" s="1778"/>
      <c r="RJ153" s="1778"/>
      <c r="RK153" s="1778"/>
      <c r="RL153" s="1778"/>
      <c r="RO153" s="1660" t="s">
        <v>3012</v>
      </c>
      <c r="RP153" s="1660" t="s">
        <v>4873</v>
      </c>
      <c r="RQ153" s="1660"/>
      <c r="RR153" s="1660"/>
      <c r="RS153" s="1660"/>
      <c r="RT153" s="1660"/>
      <c r="RU153" s="1660"/>
      <c r="RV153" s="1660"/>
      <c r="RW153" s="1660"/>
      <c r="RX153" s="1660"/>
      <c r="RZ153" s="811"/>
      <c r="SG153" s="758"/>
    </row>
    <row r="154" spans="4:501" ht="12.75" customHeight="1" x14ac:dyDescent="0.25">
      <c r="D154" s="758"/>
      <c r="ED154" s="738"/>
      <c r="GG154" s="810"/>
      <c r="GT154" s="1798" t="s">
        <v>1727</v>
      </c>
      <c r="GU154" s="1799"/>
      <c r="GV154" s="1799"/>
      <c r="GW154" s="1799"/>
      <c r="GX154" s="1799"/>
      <c r="GY154" s="1799"/>
      <c r="GZ154" s="1799"/>
      <c r="HA154" s="1799"/>
      <c r="HB154" s="1799"/>
      <c r="HC154" s="1800"/>
      <c r="HG154" s="1482" t="s">
        <v>4285</v>
      </c>
      <c r="HH154" s="1483"/>
      <c r="HI154" s="1483"/>
      <c r="HJ154" s="1483"/>
      <c r="HK154" s="1483"/>
      <c r="HL154" s="1483"/>
      <c r="HM154" s="1483"/>
      <c r="HN154" s="1483"/>
      <c r="HO154" s="1483"/>
      <c r="HP154" s="1484"/>
      <c r="JC154" s="811"/>
      <c r="KJ154" s="704"/>
      <c r="KK154" s="704"/>
      <c r="KL154" s="704"/>
      <c r="KM154" s="704"/>
      <c r="KN154" s="704"/>
      <c r="KO154" s="704"/>
      <c r="KP154" s="704"/>
      <c r="KQ154" s="704"/>
      <c r="KR154" s="704"/>
      <c r="KS154" s="704"/>
      <c r="KT154" s="704"/>
      <c r="KU154" s="704"/>
      <c r="KV154" s="704"/>
      <c r="KW154" s="704"/>
      <c r="KX154" s="704"/>
      <c r="KY154" s="704"/>
      <c r="KZ154" s="704"/>
      <c r="LA154" s="704"/>
      <c r="MP154" s="810"/>
      <c r="OX154" s="648">
        <v>1</v>
      </c>
      <c r="OY154" s="1488" t="s">
        <v>227</v>
      </c>
      <c r="OZ154" s="1489"/>
      <c r="PA154" s="1489"/>
      <c r="PB154" s="1489"/>
      <c r="PC154" s="1489"/>
      <c r="PD154" s="1489"/>
      <c r="PE154" s="1489"/>
      <c r="PF154" s="1489"/>
      <c r="PG154" s="1490"/>
      <c r="PJ154" s="648">
        <v>1</v>
      </c>
      <c r="PK154" s="1488" t="s">
        <v>4892</v>
      </c>
      <c r="PL154" s="1489"/>
      <c r="PM154" s="1489"/>
      <c r="PN154" s="1489"/>
      <c r="PO154" s="1489"/>
      <c r="PP154" s="1489"/>
      <c r="PQ154" s="1489"/>
      <c r="PR154" s="1489"/>
      <c r="PS154" s="1490"/>
      <c r="PU154" s="648">
        <v>1</v>
      </c>
      <c r="PV154" s="1488" t="s">
        <v>227</v>
      </c>
      <c r="PW154" s="1489"/>
      <c r="PX154" s="1489"/>
      <c r="PY154" s="1489"/>
      <c r="PZ154" s="1489"/>
      <c r="QA154" s="1489"/>
      <c r="QB154" s="1489"/>
      <c r="QC154" s="1489"/>
      <c r="QD154" s="1490"/>
      <c r="QQ154" s="710">
        <v>1</v>
      </c>
      <c r="QR154" s="1567" t="s">
        <v>4892</v>
      </c>
      <c r="QS154" s="1568"/>
      <c r="QT154" s="1568"/>
      <c r="QU154" s="1568"/>
      <c r="QV154" s="1568"/>
      <c r="QW154" s="1568"/>
      <c r="QX154" s="1568"/>
      <c r="QY154" s="1568"/>
      <c r="QZ154" s="1569"/>
      <c r="RC154" s="648">
        <v>1</v>
      </c>
      <c r="RD154" s="1488" t="s">
        <v>172</v>
      </c>
      <c r="RE154" s="1489"/>
      <c r="RF154" s="1489"/>
      <c r="RG154" s="1489"/>
      <c r="RH154" s="1489"/>
      <c r="RI154" s="1489"/>
      <c r="RJ154" s="1489"/>
      <c r="RK154" s="1489"/>
      <c r="RL154" s="1490"/>
      <c r="RO154" s="648">
        <v>1</v>
      </c>
      <c r="RP154" s="1488" t="s">
        <v>4892</v>
      </c>
      <c r="RQ154" s="1489"/>
      <c r="RR154" s="1489"/>
      <c r="RS154" s="1489"/>
      <c r="RT154" s="1489"/>
      <c r="RU154" s="1489"/>
      <c r="RV154" s="1489"/>
      <c r="RW154" s="1489"/>
      <c r="RX154" s="1490"/>
      <c r="RZ154" s="811"/>
      <c r="SG154" s="758"/>
    </row>
    <row r="155" spans="4:501" ht="12.75" customHeight="1" x14ac:dyDescent="0.25">
      <c r="D155" s="758"/>
      <c r="ED155" s="738"/>
      <c r="GG155" s="810"/>
      <c r="GT155" s="648">
        <v>1</v>
      </c>
      <c r="GU155" s="1759" t="s">
        <v>5165</v>
      </c>
      <c r="GV155" s="1760"/>
      <c r="GW155" s="1760"/>
      <c r="GX155" s="1760"/>
      <c r="GY155" s="1760"/>
      <c r="GZ155" s="1760"/>
      <c r="HA155" s="1760"/>
      <c r="HB155" s="1760"/>
      <c r="HC155" s="1761"/>
      <c r="HG155" s="648">
        <v>1</v>
      </c>
      <c r="HH155" s="1653" t="s">
        <v>5165</v>
      </c>
      <c r="HI155" s="1653"/>
      <c r="HJ155" s="1653"/>
      <c r="HK155" s="1653"/>
      <c r="HL155" s="1653"/>
      <c r="HM155" s="1653"/>
      <c r="HN155" s="1653"/>
      <c r="HO155" s="1653"/>
      <c r="HP155" s="1653"/>
      <c r="JC155" s="811"/>
      <c r="MP155" s="810"/>
      <c r="OX155" s="1818" t="s">
        <v>131</v>
      </c>
      <c r="OY155" s="1818" t="s">
        <v>4873</v>
      </c>
      <c r="OZ155" s="1818"/>
      <c r="PA155" s="1818"/>
      <c r="PB155" s="1818"/>
      <c r="PC155" s="1818"/>
      <c r="PD155" s="1818"/>
      <c r="PE155" s="1818"/>
      <c r="PF155" s="1818"/>
      <c r="PG155" s="1818"/>
      <c r="PJ155" s="1778" t="s">
        <v>177</v>
      </c>
      <c r="PK155" s="1778" t="s">
        <v>4873</v>
      </c>
      <c r="PL155" s="1778"/>
      <c r="PM155" s="1778"/>
      <c r="PN155" s="1778"/>
      <c r="PO155" s="1778"/>
      <c r="PP155" s="1778"/>
      <c r="PQ155" s="1778"/>
      <c r="PR155" s="1778"/>
      <c r="PS155" s="1778"/>
      <c r="PU155" s="1660" t="s">
        <v>5447</v>
      </c>
      <c r="PV155" s="1660" t="s">
        <v>4873</v>
      </c>
      <c r="PW155" s="1660"/>
      <c r="PX155" s="1660"/>
      <c r="PY155" s="1660"/>
      <c r="PZ155" s="1660"/>
      <c r="QA155" s="1660"/>
      <c r="QB155" s="1660"/>
      <c r="QC155" s="1660"/>
      <c r="QD155" s="1660"/>
      <c r="QQ155" s="1785" t="s">
        <v>2778</v>
      </c>
      <c r="QR155" s="1693"/>
      <c r="QS155" s="1693"/>
      <c r="QT155" s="1693"/>
      <c r="QU155" s="1693"/>
      <c r="QV155" s="1693"/>
      <c r="QW155" s="1693"/>
      <c r="QX155" s="1693"/>
      <c r="QY155" s="1693"/>
      <c r="QZ155" s="1694"/>
      <c r="RC155" s="1706" t="s">
        <v>2832</v>
      </c>
      <c r="RD155" s="1706" t="s">
        <v>4873</v>
      </c>
      <c r="RE155" s="1706"/>
      <c r="RF155" s="1706"/>
      <c r="RG155" s="1706"/>
      <c r="RH155" s="1706"/>
      <c r="RI155" s="1706"/>
      <c r="RJ155" s="1706"/>
      <c r="RK155" s="1706"/>
      <c r="RL155" s="1706"/>
      <c r="RO155" s="1819" t="s">
        <v>3094</v>
      </c>
      <c r="RP155" s="1819" t="s">
        <v>4873</v>
      </c>
      <c r="RQ155" s="1819"/>
      <c r="RR155" s="1819"/>
      <c r="RS155" s="1819"/>
      <c r="RT155" s="1819"/>
      <c r="RU155" s="1819"/>
      <c r="RV155" s="1819"/>
      <c r="RW155" s="1819"/>
      <c r="RX155" s="1819"/>
      <c r="RZ155" s="811"/>
      <c r="SG155" s="758"/>
    </row>
    <row r="156" spans="4:501" ht="12.75" customHeight="1" x14ac:dyDescent="0.25">
      <c r="D156" s="758"/>
      <c r="ED156" s="738"/>
      <c r="GG156" s="810"/>
      <c r="GT156" s="1798" t="s">
        <v>2841</v>
      </c>
      <c r="GU156" s="1799"/>
      <c r="GV156" s="1799"/>
      <c r="GW156" s="1799"/>
      <c r="GX156" s="1799"/>
      <c r="GY156" s="1799"/>
      <c r="GZ156" s="1799"/>
      <c r="HA156" s="1799"/>
      <c r="HB156" s="1799"/>
      <c r="HC156" s="1800"/>
      <c r="HG156" s="1482" t="s">
        <v>4336</v>
      </c>
      <c r="HH156" s="1483"/>
      <c r="HI156" s="1483"/>
      <c r="HJ156" s="1483"/>
      <c r="HK156" s="1483"/>
      <c r="HL156" s="1483"/>
      <c r="HM156" s="1483"/>
      <c r="HN156" s="1483"/>
      <c r="HO156" s="1483"/>
      <c r="HP156" s="1484"/>
      <c r="JC156" s="811"/>
      <c r="MP156" s="810"/>
      <c r="OX156" s="887">
        <v>1</v>
      </c>
      <c r="OY156" s="1769" t="s">
        <v>227</v>
      </c>
      <c r="OZ156" s="1769"/>
      <c r="PA156" s="1769"/>
      <c r="PB156" s="1769"/>
      <c r="PC156" s="1769"/>
      <c r="PD156" s="1769"/>
      <c r="PE156" s="1769"/>
      <c r="PF156" s="1769"/>
      <c r="PG156" s="1769"/>
      <c r="PJ156" s="974">
        <v>1</v>
      </c>
      <c r="PK156" s="1817" t="s">
        <v>227</v>
      </c>
      <c r="PL156" s="1817"/>
      <c r="PM156" s="1817"/>
      <c r="PN156" s="1817"/>
      <c r="PO156" s="1817"/>
      <c r="PP156" s="1817"/>
      <c r="PQ156" s="1817"/>
      <c r="PR156" s="1817"/>
      <c r="PS156" s="1817"/>
      <c r="PU156" s="648">
        <v>1</v>
      </c>
      <c r="PV156" s="1488" t="s">
        <v>227</v>
      </c>
      <c r="PW156" s="1489"/>
      <c r="PX156" s="1489"/>
      <c r="PY156" s="1489"/>
      <c r="PZ156" s="1489"/>
      <c r="QA156" s="1489"/>
      <c r="QB156" s="1489"/>
      <c r="QC156" s="1489"/>
      <c r="QD156" s="1490"/>
      <c r="RC156" s="648">
        <v>1</v>
      </c>
      <c r="RD156" s="1488" t="s">
        <v>4892</v>
      </c>
      <c r="RE156" s="1489"/>
      <c r="RF156" s="1489"/>
      <c r="RG156" s="1489"/>
      <c r="RH156" s="1489"/>
      <c r="RI156" s="1489"/>
      <c r="RJ156" s="1489"/>
      <c r="RK156" s="1489"/>
      <c r="RL156" s="1490"/>
      <c r="RO156" s="887">
        <v>1</v>
      </c>
      <c r="RP156" s="1769" t="s">
        <v>227</v>
      </c>
      <c r="RQ156" s="1769"/>
      <c r="RR156" s="1769"/>
      <c r="RS156" s="1769"/>
      <c r="RT156" s="1769"/>
      <c r="RU156" s="1769"/>
      <c r="RV156" s="1769"/>
      <c r="RW156" s="1769"/>
      <c r="RX156" s="1769"/>
      <c r="RZ156" s="811"/>
      <c r="SG156" s="758"/>
    </row>
    <row r="157" spans="4:501" ht="12.75" customHeight="1" x14ac:dyDescent="0.25">
      <c r="D157" s="758"/>
      <c r="ED157" s="738"/>
      <c r="GG157" s="810"/>
      <c r="GT157" s="648">
        <v>1</v>
      </c>
      <c r="GU157" s="1759" t="s">
        <v>5165</v>
      </c>
      <c r="GV157" s="1760"/>
      <c r="GW157" s="1760"/>
      <c r="GX157" s="1760"/>
      <c r="GY157" s="1760"/>
      <c r="GZ157" s="1760"/>
      <c r="HA157" s="1760"/>
      <c r="HB157" s="1760"/>
      <c r="HC157" s="1761"/>
      <c r="HG157" s="648">
        <v>1</v>
      </c>
      <c r="HH157" s="1653" t="s">
        <v>5165</v>
      </c>
      <c r="HI157" s="1653"/>
      <c r="HJ157" s="1653"/>
      <c r="HK157" s="1653"/>
      <c r="HL157" s="1653"/>
      <c r="HM157" s="1653"/>
      <c r="HN157" s="1653"/>
      <c r="HO157" s="1653"/>
      <c r="HP157" s="1653"/>
      <c r="JC157" s="811"/>
      <c r="MP157" s="810"/>
      <c r="OX157" s="1815" t="s">
        <v>2600</v>
      </c>
      <c r="OY157" s="1815" t="s">
        <v>4873</v>
      </c>
      <c r="OZ157" s="1815"/>
      <c r="PA157" s="1815"/>
      <c r="PB157" s="1815"/>
      <c r="PC157" s="1815"/>
      <c r="PD157" s="1815"/>
      <c r="PE157" s="1815"/>
      <c r="PF157" s="1815"/>
      <c r="PG157" s="1815"/>
      <c r="PJ157" s="1816" t="s">
        <v>131</v>
      </c>
      <c r="PK157" s="1816" t="s">
        <v>4873</v>
      </c>
      <c r="PL157" s="1816"/>
      <c r="PM157" s="1816"/>
      <c r="PN157" s="1816"/>
      <c r="PO157" s="1816"/>
      <c r="PP157" s="1816"/>
      <c r="PQ157" s="1816"/>
      <c r="PR157" s="1816"/>
      <c r="PS157" s="1816"/>
      <c r="PU157" s="1706" t="s">
        <v>1790</v>
      </c>
      <c r="PV157" s="1706" t="s">
        <v>4873</v>
      </c>
      <c r="PW157" s="1706"/>
      <c r="PX157" s="1706"/>
      <c r="PY157" s="1706"/>
      <c r="PZ157" s="1706"/>
      <c r="QA157" s="1706"/>
      <c r="QB157" s="1706"/>
      <c r="QC157" s="1706"/>
      <c r="QD157" s="1706"/>
      <c r="RC157" s="1575" t="s">
        <v>1219</v>
      </c>
      <c r="RD157" s="1544" t="s">
        <v>4873</v>
      </c>
      <c r="RE157" s="1544"/>
      <c r="RF157" s="1544"/>
      <c r="RG157" s="1544"/>
      <c r="RH157" s="1544"/>
      <c r="RI157" s="1544"/>
      <c r="RJ157" s="1544"/>
      <c r="RK157" s="1544"/>
      <c r="RL157" s="1545"/>
      <c r="RO157" s="1791" t="s">
        <v>131</v>
      </c>
      <c r="RP157" s="1791" t="s">
        <v>4873</v>
      </c>
      <c r="RQ157" s="1791"/>
      <c r="RR157" s="1791"/>
      <c r="RS157" s="1791"/>
      <c r="RT157" s="1791"/>
      <c r="RU157" s="1791"/>
      <c r="RV157" s="1791"/>
      <c r="RW157" s="1791"/>
      <c r="RX157" s="1791"/>
      <c r="RZ157" s="811"/>
      <c r="SG157" s="758"/>
    </row>
    <row r="158" spans="4:501" ht="12.75" customHeight="1" x14ac:dyDescent="0.25">
      <c r="D158" s="758"/>
      <c r="ED158" s="738"/>
      <c r="GG158" s="810"/>
      <c r="GT158" s="1482" t="s">
        <v>3634</v>
      </c>
      <c r="GU158" s="1483"/>
      <c r="GV158" s="1483"/>
      <c r="GW158" s="1483"/>
      <c r="GX158" s="1483"/>
      <c r="GY158" s="1483"/>
      <c r="GZ158" s="1483"/>
      <c r="HA158" s="1483"/>
      <c r="HB158" s="1483"/>
      <c r="HC158" s="1484"/>
      <c r="HG158" s="1482" t="s">
        <v>4345</v>
      </c>
      <c r="HH158" s="1483"/>
      <c r="HI158" s="1483"/>
      <c r="HJ158" s="1483"/>
      <c r="HK158" s="1483"/>
      <c r="HL158" s="1483"/>
      <c r="HM158" s="1483"/>
      <c r="HN158" s="1483"/>
      <c r="HO158" s="1483"/>
      <c r="HP158" s="1484"/>
      <c r="JC158" s="811"/>
      <c r="MP158" s="810"/>
      <c r="OX158" s="646"/>
      <c r="OY158" s="1527"/>
      <c r="OZ158" s="1527"/>
      <c r="PA158" s="1527"/>
      <c r="PB158" s="1527"/>
      <c r="PC158" s="1527"/>
      <c r="PD158" s="1527"/>
      <c r="PE158" s="1527"/>
      <c r="PF158" s="1527"/>
      <c r="PG158" s="1527"/>
      <c r="PJ158" s="646"/>
      <c r="PK158" s="1527"/>
      <c r="PL158" s="1527"/>
      <c r="PM158" s="1527"/>
      <c r="PN158" s="1527"/>
      <c r="PO158" s="1527"/>
      <c r="PP158" s="1527"/>
      <c r="PQ158" s="1527"/>
      <c r="PR158" s="1527"/>
      <c r="PS158" s="1527"/>
      <c r="PU158" s="648">
        <v>1</v>
      </c>
      <c r="PV158" s="1488" t="s">
        <v>227</v>
      </c>
      <c r="PW158" s="1489"/>
      <c r="PX158" s="1489"/>
      <c r="PY158" s="1489"/>
      <c r="PZ158" s="1489"/>
      <c r="QA158" s="1489"/>
      <c r="QB158" s="1489"/>
      <c r="QC158" s="1489"/>
      <c r="QD158" s="1490"/>
      <c r="RZ158" s="811"/>
      <c r="SG158" s="758"/>
    </row>
    <row r="159" spans="4:501" ht="12.75" customHeight="1" x14ac:dyDescent="0.25">
      <c r="D159" s="758"/>
      <c r="ED159" s="738"/>
      <c r="GG159" s="810"/>
      <c r="GT159" s="648">
        <v>1</v>
      </c>
      <c r="GU159" s="1759" t="s">
        <v>5165</v>
      </c>
      <c r="GV159" s="1760"/>
      <c r="GW159" s="1760"/>
      <c r="GX159" s="1760"/>
      <c r="GY159" s="1760"/>
      <c r="GZ159" s="1760"/>
      <c r="HA159" s="1760"/>
      <c r="HB159" s="1760"/>
      <c r="HC159" s="1761"/>
      <c r="HG159" s="648">
        <v>1</v>
      </c>
      <c r="HH159" s="1653" t="s">
        <v>5165</v>
      </c>
      <c r="HI159" s="1653"/>
      <c r="HJ159" s="1653"/>
      <c r="HK159" s="1653"/>
      <c r="HL159" s="1653"/>
      <c r="HM159" s="1653"/>
      <c r="HN159" s="1653"/>
      <c r="HO159" s="1653"/>
      <c r="HP159" s="1653"/>
      <c r="JC159" s="811"/>
      <c r="MP159" s="810"/>
      <c r="OX159" s="1820"/>
      <c r="OY159" s="1820"/>
      <c r="OZ159" s="1820"/>
      <c r="PA159" s="1820"/>
      <c r="PB159" s="1820"/>
      <c r="PC159" s="1820"/>
      <c r="PD159" s="1820"/>
      <c r="PE159" s="1820"/>
      <c r="PF159" s="1820"/>
      <c r="PG159" s="1820"/>
      <c r="PH159" s="885"/>
      <c r="PI159" s="885"/>
      <c r="PJ159" s="1821"/>
      <c r="PK159" s="1821"/>
      <c r="PL159" s="1821"/>
      <c r="PM159" s="1821"/>
      <c r="PN159" s="1821"/>
      <c r="PO159" s="1821"/>
      <c r="PP159" s="1821"/>
      <c r="PQ159" s="1821"/>
      <c r="PR159" s="1821"/>
      <c r="PS159" s="1821"/>
      <c r="PT159" s="885"/>
      <c r="PU159" s="1706" t="s">
        <v>3241</v>
      </c>
      <c r="PV159" s="1706" t="s">
        <v>4873</v>
      </c>
      <c r="PW159" s="1706"/>
      <c r="PX159" s="1706"/>
      <c r="PY159" s="1706"/>
      <c r="PZ159" s="1706"/>
      <c r="QA159" s="1706"/>
      <c r="QB159" s="1706"/>
      <c r="QC159" s="1706"/>
      <c r="QD159" s="1706"/>
      <c r="RZ159" s="811"/>
      <c r="SG159" s="758"/>
    </row>
    <row r="160" spans="4:501" ht="12.75" customHeight="1" x14ac:dyDescent="0.25">
      <c r="D160" s="758"/>
      <c r="ED160" s="738"/>
      <c r="GG160" s="810"/>
      <c r="GT160" s="1482" t="s">
        <v>3637</v>
      </c>
      <c r="GU160" s="1483"/>
      <c r="GV160" s="1483"/>
      <c r="GW160" s="1483"/>
      <c r="GX160" s="1483"/>
      <c r="GY160" s="1483"/>
      <c r="GZ160" s="1483"/>
      <c r="HA160" s="1483"/>
      <c r="HB160" s="1483"/>
      <c r="HC160" s="1484"/>
      <c r="HG160" s="1482" t="s">
        <v>4538</v>
      </c>
      <c r="HH160" s="1483"/>
      <c r="HI160" s="1483"/>
      <c r="HJ160" s="1483"/>
      <c r="HK160" s="1483"/>
      <c r="HL160" s="1483"/>
      <c r="HM160" s="1483"/>
      <c r="HN160" s="1483"/>
      <c r="HO160" s="1483"/>
      <c r="HP160" s="1484"/>
      <c r="JC160" s="811"/>
      <c r="MP160" s="810"/>
      <c r="RZ160" s="811"/>
      <c r="SG160" s="758"/>
    </row>
    <row r="161" spans="4:501" ht="12.75" customHeight="1" x14ac:dyDescent="0.25">
      <c r="D161" s="758"/>
      <c r="ED161" s="738"/>
      <c r="GG161" s="810"/>
      <c r="GT161" s="869">
        <v>1</v>
      </c>
      <c r="GU161" s="1759" t="s">
        <v>5165</v>
      </c>
      <c r="GV161" s="1760"/>
      <c r="GW161" s="1760"/>
      <c r="GX161" s="1760"/>
      <c r="GY161" s="1760"/>
      <c r="GZ161" s="1760"/>
      <c r="HA161" s="1760"/>
      <c r="HB161" s="1760"/>
      <c r="HC161" s="1761"/>
      <c r="HG161" s="648">
        <v>1</v>
      </c>
      <c r="HH161" s="1653" t="s">
        <v>5165</v>
      </c>
      <c r="HI161" s="1653"/>
      <c r="HJ161" s="1653"/>
      <c r="HK161" s="1653"/>
      <c r="HL161" s="1653"/>
      <c r="HM161" s="1653"/>
      <c r="HN161" s="1653"/>
      <c r="HO161" s="1653"/>
      <c r="HP161" s="1653"/>
      <c r="JC161" s="811"/>
      <c r="MP161" s="810"/>
      <c r="RZ161" s="811"/>
      <c r="SG161" s="758"/>
    </row>
    <row r="162" spans="4:501" ht="12.75" customHeight="1" x14ac:dyDescent="0.25">
      <c r="D162" s="758"/>
      <c r="ED162" s="738"/>
      <c r="GG162" s="810"/>
      <c r="GT162" s="1482" t="s">
        <v>4049</v>
      </c>
      <c r="GU162" s="1483"/>
      <c r="GV162" s="1483"/>
      <c r="GW162" s="1483"/>
      <c r="GX162" s="1483"/>
      <c r="GY162" s="1483"/>
      <c r="GZ162" s="1483"/>
      <c r="HA162" s="1483"/>
      <c r="HB162" s="1483"/>
      <c r="HC162" s="1484"/>
      <c r="HG162" s="1482" t="s">
        <v>4724</v>
      </c>
      <c r="HH162" s="1483"/>
      <c r="HI162" s="1483"/>
      <c r="HJ162" s="1483"/>
      <c r="HK162" s="1483"/>
      <c r="HL162" s="1483"/>
      <c r="HM162" s="1483"/>
      <c r="HN162" s="1483"/>
      <c r="HO162" s="1483"/>
      <c r="HP162" s="1484"/>
      <c r="JC162" s="811"/>
      <c r="MP162" s="810"/>
      <c r="RZ162" s="811"/>
      <c r="SG162" s="758"/>
    </row>
    <row r="163" spans="4:501" ht="12.75" customHeight="1" x14ac:dyDescent="0.25">
      <c r="D163" s="758"/>
      <c r="ED163" s="738"/>
      <c r="GG163" s="810"/>
      <c r="GT163" s="648">
        <v>1</v>
      </c>
      <c r="GU163" s="1759" t="s">
        <v>5165</v>
      </c>
      <c r="GV163" s="1760"/>
      <c r="GW163" s="1760"/>
      <c r="GX163" s="1760"/>
      <c r="GY163" s="1760"/>
      <c r="GZ163" s="1760"/>
      <c r="HA163" s="1760"/>
      <c r="HB163" s="1760"/>
      <c r="HC163" s="1761"/>
      <c r="HG163" s="648">
        <v>1</v>
      </c>
      <c r="HH163" s="1653" t="s">
        <v>5165</v>
      </c>
      <c r="HI163" s="1653"/>
      <c r="HJ163" s="1653"/>
      <c r="HK163" s="1653"/>
      <c r="HL163" s="1653"/>
      <c r="HM163" s="1653"/>
      <c r="HN163" s="1653"/>
      <c r="HO163" s="1653"/>
      <c r="HP163" s="1653"/>
      <c r="JC163" s="811"/>
      <c r="MP163" s="810"/>
      <c r="RZ163" s="811"/>
      <c r="SG163" s="758"/>
    </row>
    <row r="164" spans="4:501" ht="12.75" customHeight="1" x14ac:dyDescent="0.25">
      <c r="D164" s="758"/>
      <c r="ED164" s="738"/>
      <c r="GG164" s="810"/>
      <c r="GT164" s="1482" t="s">
        <v>4270</v>
      </c>
      <c r="GU164" s="1483"/>
      <c r="GV164" s="1483"/>
      <c r="GW164" s="1483"/>
      <c r="GX164" s="1483"/>
      <c r="GY164" s="1483"/>
      <c r="GZ164" s="1483"/>
      <c r="HA164" s="1483"/>
      <c r="HB164" s="1483"/>
      <c r="HC164" s="1484"/>
      <c r="HG164" s="1666" t="s">
        <v>4209</v>
      </c>
      <c r="HH164" s="1667"/>
      <c r="HI164" s="1667"/>
      <c r="HJ164" s="1667"/>
      <c r="HK164" s="1667"/>
      <c r="HL164" s="1667"/>
      <c r="HM164" s="1667"/>
      <c r="HN164" s="1667"/>
      <c r="HO164" s="1667"/>
      <c r="HP164" s="1668"/>
      <c r="JC164" s="811"/>
      <c r="MP164" s="870"/>
      <c r="MQ164" s="798"/>
      <c r="MR164" s="798"/>
      <c r="MS164" s="798"/>
      <c r="MT164" s="798"/>
      <c r="MU164" s="798"/>
      <c r="MV164" s="798"/>
      <c r="MW164" s="798"/>
      <c r="MX164" s="798"/>
      <c r="MY164" s="798"/>
      <c r="MZ164" s="798"/>
      <c r="NA164" s="798"/>
      <c r="NB164" s="798"/>
      <c r="NC164" s="798"/>
      <c r="ND164" s="798"/>
      <c r="NE164" s="798"/>
      <c r="NF164" s="798"/>
      <c r="NG164" s="798"/>
      <c r="NH164" s="798"/>
      <c r="NI164" s="798"/>
      <c r="NJ164" s="798"/>
      <c r="NK164" s="798"/>
      <c r="NL164" s="798"/>
      <c r="NM164" s="798"/>
      <c r="NN164" s="798"/>
      <c r="NO164" s="798"/>
      <c r="NP164" s="798"/>
      <c r="NQ164" s="798"/>
      <c r="NR164" s="798"/>
      <c r="NS164" s="798"/>
      <c r="NT164" s="798"/>
      <c r="NU164" s="798"/>
      <c r="NV164" s="798"/>
      <c r="NW164" s="798"/>
      <c r="NX164" s="798"/>
      <c r="NY164" s="798"/>
      <c r="NZ164" s="798"/>
      <c r="OA164" s="798"/>
      <c r="OB164" s="798"/>
      <c r="OC164" s="798"/>
      <c r="OD164" s="798"/>
      <c r="OE164" s="798"/>
      <c r="OF164" s="798"/>
      <c r="OG164" s="798"/>
      <c r="OH164" s="798"/>
      <c r="OI164" s="798"/>
      <c r="OJ164" s="798"/>
      <c r="OK164" s="798"/>
      <c r="OL164" s="798"/>
      <c r="OM164" s="798"/>
      <c r="ON164" s="798"/>
      <c r="OO164" s="798"/>
      <c r="OP164" s="798"/>
      <c r="OQ164" s="798"/>
      <c r="OR164" s="798"/>
      <c r="OS164" s="798"/>
      <c r="OT164" s="798"/>
      <c r="OU164" s="798"/>
      <c r="OV164" s="798"/>
      <c r="OW164" s="798"/>
      <c r="OX164" s="798"/>
      <c r="OY164" s="798"/>
      <c r="OZ164" s="798"/>
      <c r="PA164" s="798"/>
      <c r="PB164" s="798"/>
      <c r="PC164" s="798"/>
      <c r="PD164" s="798"/>
      <c r="PE164" s="798"/>
      <c r="PF164" s="798"/>
      <c r="PG164" s="798"/>
      <c r="PH164" s="798"/>
      <c r="PI164" s="798"/>
      <c r="PJ164" s="798"/>
      <c r="PK164" s="798"/>
      <c r="PL164" s="798"/>
      <c r="PM164" s="798"/>
      <c r="PN164" s="798"/>
      <c r="PO164" s="798"/>
      <c r="PP164" s="798"/>
      <c r="PQ164" s="798"/>
      <c r="PR164" s="798"/>
      <c r="PS164" s="798"/>
      <c r="PT164" s="798"/>
      <c r="PU164" s="798"/>
      <c r="PV164" s="798"/>
      <c r="PW164" s="798"/>
      <c r="PX164" s="798"/>
      <c r="PY164" s="798"/>
      <c r="PZ164" s="798"/>
      <c r="QA164" s="798"/>
      <c r="QB164" s="798"/>
      <c r="QC164" s="798"/>
      <c r="QD164" s="798"/>
      <c r="QE164" s="798"/>
      <c r="QF164" s="798"/>
      <c r="QG164" s="798"/>
      <c r="QH164" s="798"/>
      <c r="QI164" s="798"/>
      <c r="QJ164" s="798"/>
      <c r="QK164" s="798"/>
      <c r="QL164" s="798"/>
      <c r="QM164" s="798"/>
      <c r="QN164" s="798"/>
      <c r="QO164" s="798"/>
      <c r="QP164" s="798"/>
      <c r="QQ164" s="798"/>
      <c r="QR164" s="798"/>
      <c r="QS164" s="798"/>
      <c r="QT164" s="798"/>
      <c r="QU164" s="798"/>
      <c r="QV164" s="798"/>
      <c r="QW164" s="798"/>
      <c r="QX164" s="798"/>
      <c r="QY164" s="798"/>
      <c r="QZ164" s="798"/>
      <c r="RA164" s="798"/>
      <c r="RB164" s="798"/>
      <c r="RC164" s="798"/>
      <c r="RD164" s="798"/>
      <c r="RE164" s="798"/>
      <c r="RF164" s="798"/>
      <c r="RG164" s="798"/>
      <c r="RH164" s="798"/>
      <c r="RI164" s="798"/>
      <c r="RJ164" s="798"/>
      <c r="RK164" s="798"/>
      <c r="RL164" s="798"/>
      <c r="RM164" s="798"/>
      <c r="RN164" s="798"/>
      <c r="RO164" s="798"/>
      <c r="RP164" s="798"/>
      <c r="RQ164" s="798"/>
      <c r="RR164" s="798"/>
      <c r="RS164" s="798"/>
      <c r="RT164" s="798"/>
      <c r="RU164" s="798"/>
      <c r="RV164" s="798"/>
      <c r="RW164" s="798"/>
      <c r="RX164" s="798"/>
      <c r="RY164" s="798"/>
      <c r="RZ164" s="871"/>
      <c r="SG164" s="758"/>
    </row>
    <row r="165" spans="4:501" ht="12.75" customHeight="1" x14ac:dyDescent="0.25">
      <c r="D165" s="758"/>
      <c r="ED165" s="738"/>
      <c r="GG165" s="810"/>
      <c r="GT165" s="648">
        <v>1</v>
      </c>
      <c r="GU165" s="1759" t="s">
        <v>5165</v>
      </c>
      <c r="GV165" s="1760"/>
      <c r="GW165" s="1760"/>
      <c r="GX165" s="1760"/>
      <c r="GY165" s="1760"/>
      <c r="GZ165" s="1760"/>
      <c r="HA165" s="1760"/>
      <c r="HB165" s="1760"/>
      <c r="HC165" s="1761"/>
      <c r="JC165" s="811"/>
      <c r="PH165" s="889"/>
      <c r="PI165" s="889"/>
      <c r="PJ165" s="889"/>
      <c r="PK165" s="1720"/>
      <c r="PL165" s="1720"/>
      <c r="PM165" s="1720"/>
      <c r="PN165" s="1720"/>
      <c r="PO165" s="1720"/>
      <c r="PP165" s="1720"/>
      <c r="PQ165" s="1720"/>
      <c r="PR165" s="1720"/>
      <c r="PS165" s="1720"/>
      <c r="PT165" s="1720"/>
      <c r="PU165" s="1720"/>
      <c r="PV165" s="1720"/>
      <c r="PW165" s="1720"/>
      <c r="PX165" s="1720"/>
      <c r="PY165" s="1720"/>
      <c r="PZ165" s="1720"/>
      <c r="QA165" s="1720"/>
      <c r="QB165" s="1720"/>
      <c r="QC165" s="1720"/>
      <c r="QD165" s="1720"/>
      <c r="SG165" s="758"/>
    </row>
    <row r="166" spans="4:501" ht="12.75" customHeight="1" x14ac:dyDescent="0.25">
      <c r="D166" s="758"/>
      <c r="ED166" s="738"/>
      <c r="GG166" s="810"/>
      <c r="GT166" s="1482" t="s">
        <v>4517</v>
      </c>
      <c r="GU166" s="1483"/>
      <c r="GV166" s="1483"/>
      <c r="GW166" s="1483"/>
      <c r="GX166" s="1483"/>
      <c r="GY166" s="1483"/>
      <c r="GZ166" s="1483"/>
      <c r="HA166" s="1483"/>
      <c r="HB166" s="1483"/>
      <c r="HC166" s="1484"/>
      <c r="JC166" s="811"/>
      <c r="PH166" s="704"/>
      <c r="PI166" s="704"/>
      <c r="PJ166" s="704"/>
      <c r="PK166" s="704"/>
      <c r="PL166" s="704"/>
      <c r="PM166" s="704"/>
      <c r="PN166" s="704"/>
      <c r="PO166" s="704"/>
      <c r="PP166" s="704"/>
      <c r="PQ166" s="704"/>
      <c r="PR166" s="704"/>
      <c r="PS166" s="704"/>
      <c r="PT166" s="704"/>
      <c r="PU166" s="704"/>
      <c r="PV166" s="704"/>
      <c r="PW166" s="704"/>
      <c r="PX166" s="704"/>
      <c r="PY166" s="704"/>
      <c r="PZ166" s="704"/>
      <c r="QA166" s="704"/>
      <c r="QB166" s="704"/>
      <c r="QC166" s="704"/>
      <c r="QD166" s="704"/>
      <c r="SG166" s="758"/>
    </row>
    <row r="167" spans="4:501" ht="12.75" customHeight="1" x14ac:dyDescent="0.25">
      <c r="D167" s="758"/>
      <c r="ED167" s="738"/>
      <c r="GG167" s="870"/>
      <c r="GH167" s="798"/>
      <c r="GI167" s="798"/>
      <c r="GJ167" s="798"/>
      <c r="GK167" s="798"/>
      <c r="GL167" s="798"/>
      <c r="GM167" s="798"/>
      <c r="GN167" s="798"/>
      <c r="GO167" s="798"/>
      <c r="GP167" s="798"/>
      <c r="GQ167" s="798"/>
      <c r="GR167" s="798"/>
      <c r="GS167" s="798"/>
      <c r="GT167" s="798"/>
      <c r="GU167" s="798"/>
      <c r="GV167" s="798"/>
      <c r="GW167" s="798"/>
      <c r="GX167" s="798"/>
      <c r="GY167" s="798"/>
      <c r="GZ167" s="798"/>
      <c r="HA167" s="798"/>
      <c r="HB167" s="798"/>
      <c r="HC167" s="798"/>
      <c r="HD167" s="798"/>
      <c r="HE167" s="798"/>
      <c r="HF167" s="798"/>
      <c r="HG167" s="798"/>
      <c r="HH167" s="798"/>
      <c r="HI167" s="798"/>
      <c r="HJ167" s="798"/>
      <c r="HK167" s="798"/>
      <c r="HL167" s="798"/>
      <c r="HM167" s="798"/>
      <c r="HN167" s="798"/>
      <c r="HO167" s="798"/>
      <c r="HP167" s="798"/>
      <c r="HQ167" s="798"/>
      <c r="HR167" s="798"/>
      <c r="HS167" s="798"/>
      <c r="HT167" s="798"/>
      <c r="HU167" s="798"/>
      <c r="HV167" s="798"/>
      <c r="HW167" s="798"/>
      <c r="HX167" s="798"/>
      <c r="HY167" s="798"/>
      <c r="HZ167" s="798"/>
      <c r="IA167" s="798"/>
      <c r="IB167" s="798"/>
      <c r="IC167" s="798"/>
      <c r="ID167" s="798"/>
      <c r="IE167" s="798"/>
      <c r="IF167" s="798"/>
      <c r="IG167" s="798"/>
      <c r="IH167" s="798"/>
      <c r="II167" s="798"/>
      <c r="IJ167" s="798"/>
      <c r="IK167" s="798"/>
      <c r="IL167" s="798"/>
      <c r="IM167" s="798"/>
      <c r="IN167" s="798"/>
      <c r="IO167" s="798"/>
      <c r="IP167" s="798"/>
      <c r="IQ167" s="798"/>
      <c r="IR167" s="798"/>
      <c r="IS167" s="798"/>
      <c r="IT167" s="798"/>
      <c r="IU167" s="798"/>
      <c r="IV167" s="798"/>
      <c r="IW167" s="798"/>
      <c r="IX167" s="798"/>
      <c r="IY167" s="798"/>
      <c r="IZ167" s="798"/>
      <c r="JA167" s="798"/>
      <c r="JB167" s="798"/>
      <c r="JC167" s="871"/>
      <c r="SG167" s="758"/>
    </row>
    <row r="168" spans="4:501" ht="12.75" customHeight="1" x14ac:dyDescent="0.25">
      <c r="D168" s="758"/>
      <c r="ED168" s="738"/>
      <c r="HI168" s="889"/>
      <c r="HJ168" s="889"/>
      <c r="HK168" s="1720"/>
      <c r="HL168" s="1720"/>
      <c r="HM168" s="1720"/>
      <c r="HN168" s="1720"/>
      <c r="HO168" s="1720"/>
      <c r="HP168" s="1720"/>
      <c r="HQ168" s="1720"/>
      <c r="HR168" s="1720"/>
      <c r="HS168" s="1720"/>
      <c r="HT168" s="1720"/>
      <c r="HU168" s="1720"/>
      <c r="HV168" s="1720"/>
      <c r="HW168" s="1720"/>
      <c r="HX168" s="1720"/>
      <c r="HY168" s="1720"/>
      <c r="HZ168" s="1720"/>
      <c r="IA168" s="1720"/>
      <c r="IB168" s="1720"/>
      <c r="IC168" s="1720"/>
      <c r="ID168" s="1720"/>
      <c r="SG168" s="758"/>
    </row>
    <row r="169" spans="4:501" ht="12.75" customHeight="1" x14ac:dyDescent="0.25">
      <c r="D169" s="758"/>
      <c r="ED169" s="738"/>
      <c r="SG169" s="758"/>
    </row>
    <row r="170" spans="4:501" ht="12.75" customHeight="1" x14ac:dyDescent="0.25">
      <c r="D170" s="758"/>
      <c r="ED170" s="738"/>
      <c r="SG170" s="758"/>
    </row>
    <row r="171" spans="4:501" ht="12.75" customHeight="1" x14ac:dyDescent="0.25">
      <c r="D171" s="758"/>
      <c r="ED171" s="738"/>
      <c r="SG171" s="758"/>
    </row>
    <row r="172" spans="4:501" ht="12.75" customHeight="1" x14ac:dyDescent="0.25">
      <c r="D172" s="758"/>
      <c r="ED172" s="738"/>
      <c r="SG172" s="758"/>
    </row>
    <row r="173" spans="4:501" ht="12.75" customHeight="1" x14ac:dyDescent="0.25">
      <c r="D173" s="758"/>
      <c r="ED173" s="738"/>
      <c r="SG173" s="758"/>
    </row>
    <row r="174" spans="4:501" ht="12.75" customHeight="1" x14ac:dyDescent="0.25">
      <c r="D174" s="758"/>
      <c r="ED174" s="738"/>
      <c r="SG174" s="758"/>
    </row>
    <row r="175" spans="4:501" ht="12.75" customHeight="1" x14ac:dyDescent="0.25">
      <c r="D175" s="758"/>
      <c r="ED175" s="738"/>
      <c r="SG175" s="758"/>
    </row>
    <row r="176" spans="4:501" ht="12.75" customHeight="1" x14ac:dyDescent="0.25">
      <c r="D176" s="758"/>
      <c r="ED176" s="738"/>
      <c r="SG176" s="758"/>
    </row>
    <row r="177" spans="4:501" ht="12.75" customHeight="1" x14ac:dyDescent="0.25">
      <c r="D177" s="758"/>
      <c r="ED177" s="738"/>
      <c r="SG177" s="758"/>
    </row>
    <row r="178" spans="4:501" ht="12.75" customHeight="1" x14ac:dyDescent="0.25">
      <c r="D178" s="758"/>
      <c r="ED178" s="738"/>
      <c r="SG178" s="758"/>
    </row>
    <row r="179" spans="4:501" ht="12.75" customHeight="1" x14ac:dyDescent="0.25">
      <c r="D179" s="758"/>
      <c r="ED179" s="738"/>
      <c r="SG179" s="758"/>
    </row>
    <row r="180" spans="4:501" ht="12.75" customHeight="1" x14ac:dyDescent="0.25">
      <c r="D180" s="758"/>
      <c r="ED180" s="738"/>
      <c r="SG180" s="758"/>
    </row>
    <row r="181" spans="4:501" ht="12.75" customHeight="1" x14ac:dyDescent="0.25">
      <c r="D181" s="758"/>
      <c r="L181" s="477"/>
      <c r="M181" s="477"/>
      <c r="N181" s="477"/>
      <c r="O181" s="477"/>
      <c r="P181" s="477"/>
      <c r="Q181" s="477"/>
      <c r="R181" s="477"/>
      <c r="S181" s="477"/>
      <c r="T181" s="477"/>
      <c r="U181" s="477"/>
      <c r="ED181" s="738"/>
      <c r="SG181" s="758"/>
    </row>
    <row r="182" spans="4:501" ht="12.75" customHeight="1" x14ac:dyDescent="0.25">
      <c r="D182" s="758"/>
      <c r="L182" s="477"/>
      <c r="M182" s="485"/>
      <c r="N182" s="477"/>
      <c r="O182" s="477"/>
      <c r="P182" s="477"/>
      <c r="Q182" s="477"/>
      <c r="R182" s="477"/>
      <c r="S182" s="477"/>
      <c r="T182" s="477"/>
      <c r="U182" s="477"/>
      <c r="ED182" s="738"/>
      <c r="SG182" s="758"/>
    </row>
    <row r="183" spans="4:501" ht="12.75" customHeight="1" x14ac:dyDescent="0.25">
      <c r="D183" s="758"/>
      <c r="Q183" s="477"/>
      <c r="R183" s="477"/>
      <c r="S183" s="477"/>
      <c r="T183" s="477"/>
      <c r="U183" s="477"/>
      <c r="ED183" s="738"/>
      <c r="SG183" s="758"/>
    </row>
    <row r="184" spans="4:501" ht="12.75" customHeight="1" x14ac:dyDescent="0.25">
      <c r="D184" s="758"/>
      <c r="L184" s="477"/>
      <c r="M184" s="477"/>
      <c r="N184" s="477"/>
      <c r="O184" s="477"/>
      <c r="P184" s="477"/>
      <c r="Q184" s="477"/>
      <c r="R184" s="477"/>
      <c r="S184" s="477"/>
      <c r="T184" s="477"/>
      <c r="U184" s="477"/>
      <c r="ED184" s="738"/>
      <c r="SG184" s="758"/>
    </row>
    <row r="185" spans="4:501" ht="12.75" customHeight="1" x14ac:dyDescent="0.25">
      <c r="D185" s="758"/>
      <c r="Q185" s="477"/>
      <c r="R185" s="477"/>
      <c r="S185" s="477"/>
      <c r="T185" s="477"/>
      <c r="U185" s="477"/>
      <c r="ED185" s="738"/>
      <c r="SG185" s="758"/>
    </row>
    <row r="186" spans="4:501" ht="12.75" customHeight="1" x14ac:dyDescent="0.25">
      <c r="D186" s="758"/>
      <c r="L186" s="477"/>
      <c r="M186" s="477"/>
      <c r="N186" s="477"/>
      <c r="O186" s="477"/>
      <c r="P186" s="477"/>
      <c r="ED186" s="738"/>
      <c r="SG186" s="758"/>
    </row>
    <row r="187" spans="4:501" ht="12.75" customHeight="1" x14ac:dyDescent="0.25">
      <c r="D187" s="758"/>
      <c r="ED187" s="738"/>
      <c r="SG187" s="758"/>
    </row>
    <row r="188" spans="4:501" ht="12.75" customHeight="1" x14ac:dyDescent="0.25">
      <c r="D188" s="758"/>
      <c r="ED188" s="738"/>
      <c r="SG188" s="758"/>
    </row>
    <row r="189" spans="4:501" ht="12.75" customHeight="1" x14ac:dyDescent="0.25">
      <c r="D189" s="758"/>
      <c r="ED189" s="738"/>
      <c r="SG189" s="758"/>
    </row>
    <row r="190" spans="4:501" ht="12.75" customHeight="1" x14ac:dyDescent="0.25">
      <c r="D190" s="758"/>
      <c r="ED190" s="738"/>
      <c r="SG190" s="758"/>
    </row>
    <row r="191" spans="4:501" ht="12.75" customHeight="1" x14ac:dyDescent="0.25">
      <c r="D191" s="758"/>
      <c r="ED191" s="738"/>
      <c r="SG191" s="758"/>
    </row>
    <row r="192" spans="4:501" ht="12.75" customHeight="1" x14ac:dyDescent="0.25">
      <c r="D192" s="758"/>
      <c r="ED192" s="738"/>
      <c r="SG192" s="758"/>
    </row>
    <row r="193" spans="4:501" ht="12.75" customHeight="1" x14ac:dyDescent="0.35">
      <c r="D193" s="758"/>
      <c r="SG193" s="758"/>
    </row>
    <row r="194" spans="4:501" ht="12.75" customHeight="1" x14ac:dyDescent="0.35">
      <c r="D194" s="758"/>
      <c r="SG194" s="758"/>
    </row>
    <row r="195" spans="4:501" ht="12.75" customHeight="1" x14ac:dyDescent="0.35">
      <c r="D195" s="758"/>
      <c r="SG195" s="758"/>
    </row>
    <row r="196" spans="4:501" ht="12.75" customHeight="1" x14ac:dyDescent="0.35">
      <c r="D196" s="758"/>
      <c r="SG196" s="758"/>
    </row>
    <row r="197" spans="4:501" ht="12.75" customHeight="1" thickBot="1" x14ac:dyDescent="0.4">
      <c r="D197" s="758"/>
      <c r="E197" s="756"/>
      <c r="F197" s="756"/>
      <c r="G197" s="756"/>
      <c r="H197" s="756"/>
      <c r="I197" s="756"/>
      <c r="J197" s="756"/>
      <c r="K197" s="756"/>
      <c r="L197" s="756"/>
      <c r="M197" s="756"/>
      <c r="N197" s="756"/>
      <c r="O197" s="756"/>
      <c r="P197" s="756"/>
      <c r="Q197" s="756"/>
      <c r="R197" s="756"/>
      <c r="S197" s="756"/>
      <c r="T197" s="756"/>
      <c r="U197" s="756"/>
      <c r="V197" s="756"/>
      <c r="W197" s="756"/>
      <c r="X197" s="756"/>
      <c r="Y197" s="756"/>
      <c r="Z197" s="756"/>
      <c r="AA197" s="756"/>
      <c r="AB197" s="756"/>
      <c r="AC197" s="756"/>
      <c r="AD197" s="756"/>
      <c r="AE197" s="756"/>
      <c r="AF197" s="756"/>
      <c r="AG197" s="756"/>
      <c r="AH197" s="756"/>
      <c r="AI197" s="756"/>
      <c r="AJ197" s="756"/>
      <c r="AK197" s="756"/>
      <c r="AL197" s="756"/>
      <c r="AM197" s="756"/>
      <c r="AN197" s="756"/>
      <c r="AO197" s="756"/>
      <c r="AP197" s="756"/>
      <c r="AQ197" s="756"/>
      <c r="AR197" s="756"/>
      <c r="AS197" s="756"/>
      <c r="AT197" s="756"/>
      <c r="AU197" s="756"/>
      <c r="AV197" s="756"/>
      <c r="AW197" s="756"/>
      <c r="AX197" s="756"/>
      <c r="AY197" s="756"/>
      <c r="AZ197" s="756"/>
      <c r="BA197" s="756"/>
      <c r="BB197" s="756"/>
      <c r="BC197" s="756"/>
      <c r="BD197" s="756"/>
      <c r="BE197" s="756"/>
      <c r="BF197" s="756"/>
      <c r="BG197" s="756"/>
      <c r="BH197" s="756"/>
      <c r="BI197" s="756"/>
      <c r="BJ197" s="756"/>
      <c r="BK197" s="756"/>
      <c r="BL197" s="756"/>
      <c r="BM197" s="756"/>
      <c r="BN197" s="756"/>
      <c r="BO197" s="756"/>
      <c r="BP197" s="756"/>
      <c r="BQ197" s="756"/>
      <c r="BR197" s="756"/>
      <c r="BS197" s="756"/>
      <c r="BT197" s="756"/>
      <c r="BU197" s="756"/>
      <c r="BV197" s="756"/>
      <c r="BW197" s="756"/>
      <c r="BX197" s="756"/>
      <c r="BY197" s="756"/>
      <c r="BZ197" s="756"/>
      <c r="CA197" s="756"/>
      <c r="CB197" s="756"/>
      <c r="CC197" s="756"/>
      <c r="CD197" s="756"/>
      <c r="CE197" s="756"/>
      <c r="CF197" s="756"/>
      <c r="CG197" s="756"/>
      <c r="CH197" s="756"/>
      <c r="CI197" s="756"/>
      <c r="CJ197" s="756"/>
      <c r="CK197" s="756"/>
      <c r="CL197" s="756"/>
      <c r="CM197" s="756"/>
      <c r="CN197" s="756"/>
      <c r="CO197" s="756"/>
      <c r="CP197" s="756"/>
      <c r="CQ197" s="756"/>
      <c r="CR197" s="756"/>
      <c r="CS197" s="756"/>
      <c r="CT197" s="756"/>
      <c r="CU197" s="756"/>
      <c r="CV197" s="756"/>
      <c r="CW197" s="756"/>
      <c r="CX197" s="756"/>
      <c r="CY197" s="756"/>
      <c r="CZ197" s="756"/>
      <c r="DA197" s="756"/>
      <c r="DB197" s="756"/>
      <c r="DC197" s="756"/>
      <c r="DD197" s="756"/>
      <c r="DE197" s="756"/>
      <c r="DF197" s="756"/>
      <c r="DG197" s="756"/>
      <c r="DH197" s="756"/>
      <c r="DI197" s="756"/>
      <c r="DJ197" s="756"/>
      <c r="DK197" s="756"/>
      <c r="DL197" s="756"/>
      <c r="DM197" s="756"/>
      <c r="DN197" s="756"/>
      <c r="DO197" s="756"/>
      <c r="DP197" s="756"/>
      <c r="DQ197" s="756"/>
      <c r="DR197" s="756"/>
      <c r="DS197" s="756"/>
      <c r="DT197" s="756"/>
      <c r="DU197" s="756"/>
      <c r="DV197" s="756"/>
      <c r="DW197" s="756"/>
      <c r="DX197" s="756"/>
      <c r="DY197" s="756"/>
      <c r="DZ197" s="756"/>
      <c r="EA197" s="756"/>
      <c r="EB197" s="756"/>
      <c r="EC197" s="756"/>
      <c r="ED197" s="756"/>
      <c r="EE197" s="756"/>
      <c r="EF197" s="756"/>
      <c r="EG197" s="756"/>
      <c r="EH197" s="756"/>
      <c r="EI197" s="756"/>
      <c r="EJ197" s="756"/>
      <c r="EK197" s="756"/>
      <c r="EL197" s="756"/>
      <c r="EM197" s="756"/>
      <c r="EN197" s="756"/>
      <c r="EO197" s="756"/>
      <c r="EP197" s="756"/>
      <c r="EQ197" s="756"/>
      <c r="ER197" s="756"/>
      <c r="ES197" s="756"/>
      <c r="ET197" s="756"/>
      <c r="EU197" s="756"/>
      <c r="EV197" s="756"/>
      <c r="EW197" s="756"/>
      <c r="EX197" s="756"/>
      <c r="EY197" s="756"/>
      <c r="EZ197" s="756"/>
      <c r="FA197" s="756"/>
      <c r="FB197" s="756"/>
      <c r="FC197" s="756"/>
      <c r="FD197" s="756"/>
      <c r="FE197" s="756"/>
      <c r="FF197" s="756"/>
      <c r="FG197" s="756"/>
      <c r="FH197" s="756"/>
      <c r="FI197" s="756"/>
      <c r="FJ197" s="756"/>
      <c r="FK197" s="756"/>
      <c r="FL197" s="756"/>
      <c r="FM197" s="756"/>
      <c r="FN197" s="756"/>
      <c r="FO197" s="756"/>
      <c r="FP197" s="756"/>
      <c r="FQ197" s="756"/>
      <c r="FR197" s="756"/>
      <c r="FS197" s="756"/>
      <c r="FT197" s="756"/>
      <c r="FU197" s="756"/>
      <c r="FV197" s="756"/>
      <c r="FW197" s="756"/>
      <c r="FX197" s="756"/>
      <c r="FY197" s="756"/>
      <c r="FZ197" s="756"/>
      <c r="GA197" s="756"/>
      <c r="GB197" s="756"/>
      <c r="GC197" s="756"/>
      <c r="GD197" s="756"/>
      <c r="GE197" s="756"/>
      <c r="GF197" s="756"/>
      <c r="GG197" s="756"/>
      <c r="GH197" s="756"/>
      <c r="GI197" s="756"/>
      <c r="GJ197" s="756"/>
      <c r="GK197" s="756"/>
      <c r="GL197" s="756"/>
      <c r="GM197" s="756"/>
      <c r="GN197" s="756"/>
      <c r="GO197" s="756"/>
      <c r="GP197" s="756"/>
      <c r="GQ197" s="756"/>
      <c r="GR197" s="756"/>
      <c r="GS197" s="756"/>
      <c r="GT197" s="756"/>
      <c r="GU197" s="756"/>
      <c r="GV197" s="756"/>
      <c r="GW197" s="756"/>
      <c r="GX197" s="756"/>
      <c r="GY197" s="756"/>
      <c r="GZ197" s="756"/>
      <c r="HA197" s="756"/>
      <c r="HB197" s="756"/>
      <c r="HC197" s="756"/>
      <c r="HD197" s="756"/>
      <c r="HE197" s="756"/>
      <c r="HF197" s="756"/>
      <c r="HG197" s="756"/>
      <c r="HH197" s="756"/>
      <c r="HI197" s="756"/>
      <c r="HJ197" s="756"/>
      <c r="HK197" s="756"/>
      <c r="HL197" s="756"/>
      <c r="HM197" s="756"/>
      <c r="HN197" s="756"/>
      <c r="HO197" s="756"/>
      <c r="HP197" s="756"/>
      <c r="HQ197" s="756"/>
      <c r="HR197" s="756"/>
      <c r="HS197" s="756"/>
      <c r="HT197" s="756"/>
      <c r="HU197" s="756"/>
      <c r="HV197" s="756"/>
      <c r="HW197" s="756"/>
      <c r="HX197" s="756"/>
      <c r="HY197" s="756"/>
      <c r="HZ197" s="756"/>
      <c r="IA197" s="756"/>
      <c r="IB197" s="756"/>
      <c r="IC197" s="756"/>
      <c r="ID197" s="756"/>
      <c r="IE197" s="756"/>
      <c r="IF197" s="756"/>
      <c r="IG197" s="756"/>
      <c r="IH197" s="756"/>
      <c r="II197" s="756"/>
      <c r="IJ197" s="756"/>
      <c r="IK197" s="756"/>
      <c r="IL197" s="756"/>
      <c r="IM197" s="756"/>
      <c r="IN197" s="756"/>
      <c r="IO197" s="756"/>
      <c r="IP197" s="756"/>
      <c r="IQ197" s="756"/>
      <c r="IR197" s="756"/>
      <c r="IS197" s="756"/>
      <c r="IT197" s="756"/>
      <c r="IU197" s="756"/>
      <c r="IV197" s="756"/>
      <c r="IW197" s="756"/>
      <c r="IX197" s="756"/>
      <c r="IY197" s="756"/>
      <c r="IZ197" s="756"/>
      <c r="JA197" s="756"/>
      <c r="JB197" s="756"/>
      <c r="JC197" s="756"/>
      <c r="JD197" s="756"/>
      <c r="JE197" s="756"/>
      <c r="JF197" s="756"/>
      <c r="JG197" s="756"/>
      <c r="JH197" s="756"/>
      <c r="JI197" s="756"/>
      <c r="JJ197" s="756"/>
      <c r="JK197" s="756"/>
      <c r="JL197" s="756"/>
      <c r="JM197" s="756"/>
      <c r="JN197" s="756"/>
      <c r="JO197" s="756"/>
      <c r="JP197" s="756"/>
      <c r="JQ197" s="756"/>
      <c r="JR197" s="756"/>
      <c r="JS197" s="756"/>
      <c r="JT197" s="756"/>
      <c r="JU197" s="756"/>
      <c r="JV197" s="756"/>
      <c r="JW197" s="756"/>
      <c r="JX197" s="756"/>
      <c r="JY197" s="756"/>
      <c r="JZ197" s="756"/>
      <c r="KA197" s="756"/>
      <c r="KB197" s="756"/>
      <c r="KC197" s="756"/>
      <c r="KD197" s="756"/>
      <c r="KE197" s="756"/>
      <c r="KF197" s="756"/>
      <c r="KG197" s="756"/>
      <c r="KH197" s="756"/>
      <c r="KI197" s="756"/>
      <c r="KJ197" s="756"/>
      <c r="KK197" s="756"/>
      <c r="KL197" s="756"/>
      <c r="KM197" s="756"/>
      <c r="KN197" s="756"/>
      <c r="KO197" s="756"/>
      <c r="KP197" s="756"/>
      <c r="KQ197" s="756"/>
      <c r="KR197" s="756"/>
      <c r="KS197" s="756"/>
      <c r="KT197" s="756"/>
      <c r="KU197" s="756"/>
      <c r="KV197" s="756"/>
      <c r="KW197" s="756"/>
      <c r="KX197" s="756"/>
      <c r="KY197" s="756"/>
      <c r="KZ197" s="756"/>
      <c r="LA197" s="756"/>
      <c r="LB197" s="756"/>
      <c r="LC197" s="756"/>
      <c r="LD197" s="756"/>
      <c r="LE197" s="756"/>
      <c r="LF197" s="756"/>
      <c r="LG197" s="756"/>
      <c r="LH197" s="756"/>
      <c r="LI197" s="756"/>
      <c r="LJ197" s="756"/>
      <c r="LK197" s="756"/>
      <c r="LL197" s="756"/>
      <c r="LM197" s="756"/>
      <c r="LN197" s="756"/>
      <c r="LO197" s="756"/>
      <c r="LP197" s="756"/>
      <c r="LQ197" s="756"/>
      <c r="LR197" s="756"/>
      <c r="LS197" s="756"/>
      <c r="LT197" s="756"/>
      <c r="LU197" s="756"/>
      <c r="LV197" s="756"/>
      <c r="LW197" s="756"/>
      <c r="LX197" s="756"/>
      <c r="LY197" s="756"/>
      <c r="LZ197" s="756"/>
      <c r="MA197" s="756"/>
      <c r="MB197" s="756"/>
      <c r="MC197" s="756"/>
      <c r="MD197" s="756"/>
      <c r="ME197" s="756"/>
      <c r="MF197" s="756"/>
      <c r="MG197" s="756"/>
      <c r="MH197" s="756"/>
      <c r="MI197" s="756"/>
      <c r="MJ197" s="756"/>
      <c r="MK197" s="756"/>
      <c r="ML197" s="756"/>
      <c r="MM197" s="756"/>
      <c r="MN197" s="756"/>
      <c r="MO197" s="756"/>
      <c r="MP197" s="756"/>
      <c r="MQ197" s="756"/>
      <c r="MR197" s="756"/>
      <c r="MS197" s="756"/>
      <c r="MT197" s="756"/>
      <c r="MU197" s="756"/>
      <c r="MV197" s="756"/>
      <c r="MW197" s="756"/>
      <c r="MX197" s="756"/>
      <c r="MY197" s="756"/>
      <c r="MZ197" s="756"/>
      <c r="NA197" s="756"/>
      <c r="NB197" s="756"/>
      <c r="NC197" s="756"/>
      <c r="ND197" s="756"/>
      <c r="NE197" s="756"/>
      <c r="NF197" s="756"/>
      <c r="NG197" s="756"/>
      <c r="NH197" s="756"/>
      <c r="NI197" s="756"/>
      <c r="NJ197" s="756"/>
      <c r="NK197" s="756"/>
      <c r="NL197" s="756"/>
      <c r="NM197" s="756"/>
      <c r="NN197" s="756"/>
      <c r="NO197" s="756"/>
      <c r="NP197" s="756"/>
      <c r="NQ197" s="756"/>
      <c r="NR197" s="756"/>
      <c r="NS197" s="756"/>
      <c r="NT197" s="756"/>
      <c r="NU197" s="756"/>
      <c r="NV197" s="756"/>
      <c r="NW197" s="756"/>
      <c r="NX197" s="756"/>
      <c r="NY197" s="756"/>
      <c r="NZ197" s="756"/>
      <c r="OA197" s="756"/>
      <c r="OB197" s="756"/>
      <c r="OC197" s="756"/>
      <c r="OD197" s="756"/>
      <c r="OE197" s="756"/>
      <c r="OF197" s="756"/>
      <c r="OG197" s="756"/>
      <c r="OH197" s="756"/>
      <c r="OI197" s="756"/>
      <c r="OJ197" s="756"/>
      <c r="OK197" s="756"/>
      <c r="OL197" s="756"/>
      <c r="OM197" s="756"/>
      <c r="ON197" s="756"/>
      <c r="OO197" s="756"/>
      <c r="OP197" s="756"/>
      <c r="OQ197" s="756"/>
      <c r="OR197" s="756"/>
      <c r="OS197" s="756"/>
      <c r="OT197" s="756"/>
      <c r="OU197" s="756"/>
      <c r="OV197" s="756"/>
      <c r="OW197" s="756"/>
      <c r="OX197" s="756"/>
      <c r="OY197" s="756"/>
      <c r="OZ197" s="756"/>
      <c r="PA197" s="756"/>
      <c r="PB197" s="756"/>
      <c r="PC197" s="756"/>
      <c r="PD197" s="756"/>
      <c r="PE197" s="756"/>
      <c r="PF197" s="756"/>
      <c r="PG197" s="756"/>
      <c r="PH197" s="756"/>
      <c r="PI197" s="756"/>
      <c r="PJ197" s="756"/>
      <c r="PK197" s="756"/>
      <c r="PL197" s="756"/>
      <c r="PM197" s="756"/>
      <c r="PN197" s="756"/>
      <c r="PO197" s="756"/>
      <c r="PP197" s="756"/>
      <c r="PQ197" s="756"/>
      <c r="PR197" s="756"/>
      <c r="PS197" s="756"/>
      <c r="PT197" s="756"/>
      <c r="PU197" s="756"/>
      <c r="PV197" s="756"/>
      <c r="PW197" s="756"/>
      <c r="PX197" s="756"/>
      <c r="PY197" s="756"/>
      <c r="PZ197" s="756"/>
      <c r="QA197" s="756"/>
      <c r="QB197" s="756"/>
      <c r="QC197" s="756"/>
      <c r="QD197" s="756"/>
      <c r="QE197" s="756"/>
      <c r="QF197" s="756"/>
      <c r="QG197" s="756"/>
      <c r="QH197" s="756"/>
      <c r="QI197" s="756"/>
      <c r="QJ197" s="756"/>
      <c r="QK197" s="756"/>
      <c r="QL197" s="756"/>
      <c r="QM197" s="756"/>
      <c r="QN197" s="756"/>
      <c r="QO197" s="756"/>
      <c r="QP197" s="756"/>
      <c r="QQ197" s="756"/>
      <c r="QR197" s="756"/>
      <c r="QS197" s="756"/>
      <c r="QT197" s="756"/>
      <c r="QU197" s="756"/>
      <c r="QV197" s="756"/>
      <c r="QW197" s="756"/>
      <c r="QX197" s="756"/>
      <c r="QY197" s="756"/>
      <c r="QZ197" s="756"/>
      <c r="RA197" s="756"/>
      <c r="RB197" s="756"/>
      <c r="RC197" s="756"/>
      <c r="RD197" s="756"/>
      <c r="RE197" s="756"/>
      <c r="RF197" s="756"/>
      <c r="RG197" s="756"/>
      <c r="RH197" s="756"/>
      <c r="RI197" s="756"/>
      <c r="RJ197" s="756"/>
      <c r="RK197" s="756"/>
      <c r="RL197" s="756"/>
      <c r="RM197" s="756"/>
      <c r="RN197" s="756"/>
      <c r="RO197" s="756"/>
      <c r="RP197" s="756"/>
      <c r="RQ197" s="756"/>
      <c r="RR197" s="756"/>
      <c r="RS197" s="756"/>
      <c r="RT197" s="756"/>
      <c r="RU197" s="756"/>
      <c r="RV197" s="756"/>
      <c r="RW197" s="756"/>
      <c r="RX197" s="756"/>
      <c r="RY197" s="756"/>
      <c r="RZ197" s="756"/>
      <c r="SA197" s="756"/>
      <c r="SB197" s="756"/>
      <c r="SC197" s="756"/>
      <c r="SD197" s="756"/>
      <c r="SE197" s="756"/>
      <c r="SF197" s="756"/>
      <c r="SG197" s="975"/>
    </row>
  </sheetData>
  <mergeCells count="1028">
    <mergeCell ref="PK154:PS154"/>
    <mergeCell ref="PV154:QD154"/>
    <mergeCell ref="QR154:QZ154"/>
    <mergeCell ref="GT166:HC166"/>
    <mergeCell ref="HK168:ID168"/>
    <mergeCell ref="GU163:HC163"/>
    <mergeCell ref="HH163:HP163"/>
    <mergeCell ref="GT164:HC164"/>
    <mergeCell ref="HG164:HP164"/>
    <mergeCell ref="GU165:HC165"/>
    <mergeCell ref="PK165:QD165"/>
    <mergeCell ref="GT160:HC160"/>
    <mergeCell ref="HG160:HP160"/>
    <mergeCell ref="GU161:HC161"/>
    <mergeCell ref="HH161:HP161"/>
    <mergeCell ref="GT162:HC162"/>
    <mergeCell ref="HG162:HP162"/>
    <mergeCell ref="GT158:HC158"/>
    <mergeCell ref="HG158:HP158"/>
    <mergeCell ref="OY158:PG158"/>
    <mergeCell ref="PK158:PS158"/>
    <mergeCell ref="PV158:QD158"/>
    <mergeCell ref="GU159:HC159"/>
    <mergeCell ref="HH159:HP159"/>
    <mergeCell ref="OX159:PG159"/>
    <mergeCell ref="PJ159:PS159"/>
    <mergeCell ref="PU159:QD159"/>
    <mergeCell ref="HH151:HP151"/>
    <mergeCell ref="MQ151:MZ151"/>
    <mergeCell ref="NO151:NX151"/>
    <mergeCell ref="OA151:OJ151"/>
    <mergeCell ref="OL151:OU151"/>
    <mergeCell ref="RP156:RX156"/>
    <mergeCell ref="GU157:HC157"/>
    <mergeCell ref="HH157:HP157"/>
    <mergeCell ref="OX157:PG157"/>
    <mergeCell ref="PJ157:PS157"/>
    <mergeCell ref="PU157:QD157"/>
    <mergeCell ref="RC157:RL157"/>
    <mergeCell ref="RO157:RX157"/>
    <mergeCell ref="GT156:HC156"/>
    <mergeCell ref="HG156:HP156"/>
    <mergeCell ref="OY156:PG156"/>
    <mergeCell ref="PK156:PS156"/>
    <mergeCell ref="PV156:QD156"/>
    <mergeCell ref="RD156:RL156"/>
    <mergeCell ref="RD154:RL154"/>
    <mergeCell ref="RP154:RX154"/>
    <mergeCell ref="GU155:HC155"/>
    <mergeCell ref="HH155:HP155"/>
    <mergeCell ref="OX155:PG155"/>
    <mergeCell ref="PJ155:PS155"/>
    <mergeCell ref="PU155:QD155"/>
    <mergeCell ref="QQ155:QZ155"/>
    <mergeCell ref="RC155:RL155"/>
    <mergeCell ref="RO155:RX155"/>
    <mergeCell ref="GT154:HC154"/>
    <mergeCell ref="HG154:HP154"/>
    <mergeCell ref="OY154:PG154"/>
    <mergeCell ref="NC149:NL149"/>
    <mergeCell ref="NO149:NX149"/>
    <mergeCell ref="OA149:OJ149"/>
    <mergeCell ref="OL149:OU149"/>
    <mergeCell ref="OX149:PG149"/>
    <mergeCell ref="OX153:PG153"/>
    <mergeCell ref="PJ153:PS153"/>
    <mergeCell ref="PU153:QD153"/>
    <mergeCell ref="QQ153:QZ153"/>
    <mergeCell ref="RC153:RL153"/>
    <mergeCell ref="RO153:RX153"/>
    <mergeCell ref="PK152:PS152"/>
    <mergeCell ref="PV152:QD152"/>
    <mergeCell ref="QR152:QZ152"/>
    <mergeCell ref="RD152:RL152"/>
    <mergeCell ref="RP152:RX152"/>
    <mergeCell ref="GU153:HC153"/>
    <mergeCell ref="HH153:HP153"/>
    <mergeCell ref="KM153:LA153"/>
    <mergeCell ref="MQ153:MZ153"/>
    <mergeCell ref="OA153:OJ153"/>
    <mergeCell ref="PJ151:PS151"/>
    <mergeCell ref="PU151:QD151"/>
    <mergeCell ref="QQ151:QZ151"/>
    <mergeCell ref="RC151:RL151"/>
    <mergeCell ref="RO151:RX151"/>
    <mergeCell ref="GT152:HC152"/>
    <mergeCell ref="HG152:HP152"/>
    <mergeCell ref="MR152:MZ152"/>
    <mergeCell ref="OB152:OJ152"/>
    <mergeCell ref="OY152:PG152"/>
    <mergeCell ref="GU151:HC151"/>
    <mergeCell ref="BY149:CG149"/>
    <mergeCell ref="GU149:HC149"/>
    <mergeCell ref="HH149:HP149"/>
    <mergeCell ref="IT149:JB149"/>
    <mergeCell ref="KF149:KO149"/>
    <mergeCell ref="MR148:MZ148"/>
    <mergeCell ref="ND148:NL148"/>
    <mergeCell ref="NP148:NX148"/>
    <mergeCell ref="OB148:OJ148"/>
    <mergeCell ref="OM148:OU148"/>
    <mergeCell ref="OY148:PG148"/>
    <mergeCell ref="QR150:QZ150"/>
    <mergeCell ref="RD150:RL150"/>
    <mergeCell ref="RP150:RX150"/>
    <mergeCell ref="RO149:RX149"/>
    <mergeCell ref="OX151:PG151"/>
    <mergeCell ref="NP150:NX150"/>
    <mergeCell ref="OB150:OJ150"/>
    <mergeCell ref="OM150:OU150"/>
    <mergeCell ref="OY150:PG150"/>
    <mergeCell ref="PK150:PS150"/>
    <mergeCell ref="PV150:QD150"/>
    <mergeCell ref="PJ149:PS149"/>
    <mergeCell ref="PU149:QD149"/>
    <mergeCell ref="QQ149:QZ149"/>
    <mergeCell ref="RC149:RL149"/>
    <mergeCell ref="BX150:CG150"/>
    <mergeCell ref="GT150:HC150"/>
    <mergeCell ref="HG150:HP150"/>
    <mergeCell ref="IS150:JB150"/>
    <mergeCell ref="MR150:MZ150"/>
    <mergeCell ref="MQ149:MZ149"/>
    <mergeCell ref="BL148:BU148"/>
    <mergeCell ref="BX148:CG148"/>
    <mergeCell ref="GT148:HC148"/>
    <mergeCell ref="HG148:HP148"/>
    <mergeCell ref="IS148:JB148"/>
    <mergeCell ref="KG148:KO148"/>
    <mergeCell ref="PJ147:PS147"/>
    <mergeCell ref="PU147:QD147"/>
    <mergeCell ref="QF147:QO147"/>
    <mergeCell ref="QQ147:QZ147"/>
    <mergeCell ref="RC147:RL147"/>
    <mergeCell ref="RO147:RX147"/>
    <mergeCell ref="MQ147:MZ147"/>
    <mergeCell ref="NC147:NL147"/>
    <mergeCell ref="NO147:NX147"/>
    <mergeCell ref="OA147:OJ147"/>
    <mergeCell ref="OL147:OU147"/>
    <mergeCell ref="OX147:PG147"/>
    <mergeCell ref="PK148:PS148"/>
    <mergeCell ref="PV148:QD148"/>
    <mergeCell ref="QR148:QZ148"/>
    <mergeCell ref="RD148:RL148"/>
    <mergeCell ref="RP148:RX148"/>
    <mergeCell ref="QG146:QO146"/>
    <mergeCell ref="QR146:QZ146"/>
    <mergeCell ref="RD146:RL146"/>
    <mergeCell ref="RP146:RX146"/>
    <mergeCell ref="BM147:BU147"/>
    <mergeCell ref="BY147:CG147"/>
    <mergeCell ref="GU147:HC147"/>
    <mergeCell ref="HH147:HP147"/>
    <mergeCell ref="IT147:JB147"/>
    <mergeCell ref="KF147:KO147"/>
    <mergeCell ref="NP146:NX146"/>
    <mergeCell ref="OB146:OJ146"/>
    <mergeCell ref="OM146:OU146"/>
    <mergeCell ref="OY146:PG146"/>
    <mergeCell ref="PK146:PS146"/>
    <mergeCell ref="PV146:QD146"/>
    <mergeCell ref="QQ145:QZ145"/>
    <mergeCell ref="RC145:RL145"/>
    <mergeCell ref="RO145:RX145"/>
    <mergeCell ref="BW146:CF146"/>
    <mergeCell ref="GT146:HC146"/>
    <mergeCell ref="HG146:HP146"/>
    <mergeCell ref="IS146:JB146"/>
    <mergeCell ref="KG146:KO146"/>
    <mergeCell ref="MR146:MZ146"/>
    <mergeCell ref="ND146:NL146"/>
    <mergeCell ref="OA145:OJ145"/>
    <mergeCell ref="OL145:OU145"/>
    <mergeCell ref="OX145:PG145"/>
    <mergeCell ref="PJ145:PS145"/>
    <mergeCell ref="PU145:QD145"/>
    <mergeCell ref="QF145:QO145"/>
    <mergeCell ref="RD144:RL144"/>
    <mergeCell ref="RP144:RX144"/>
    <mergeCell ref="GU145:HC145"/>
    <mergeCell ref="HH145:HP145"/>
    <mergeCell ref="IT145:JB145"/>
    <mergeCell ref="KF145:KO145"/>
    <mergeCell ref="LX145:MG145"/>
    <mergeCell ref="MQ145:MZ145"/>
    <mergeCell ref="NC145:NL145"/>
    <mergeCell ref="NO145:NX145"/>
    <mergeCell ref="OM144:OU144"/>
    <mergeCell ref="OY144:PG144"/>
    <mergeCell ref="PK144:PS144"/>
    <mergeCell ref="PV144:QD144"/>
    <mergeCell ref="QG144:QO144"/>
    <mergeCell ref="QR144:QZ144"/>
    <mergeCell ref="KG144:KO144"/>
    <mergeCell ref="LY144:MG144"/>
    <mergeCell ref="MR144:MZ144"/>
    <mergeCell ref="ND144:NL144"/>
    <mergeCell ref="NP144:NX144"/>
    <mergeCell ref="OB144:OJ144"/>
    <mergeCell ref="RO143:RX143"/>
    <mergeCell ref="BL142:BU142"/>
    <mergeCell ref="BX142:CG142"/>
    <mergeCell ref="DK142:DT142"/>
    <mergeCell ref="GH142:GQ142"/>
    <mergeCell ref="GT142:HC142"/>
    <mergeCell ref="HG142:HP142"/>
    <mergeCell ref="HT142:IC142"/>
    <mergeCell ref="IG142:IP142"/>
    <mergeCell ref="IS142:JB142"/>
    <mergeCell ref="RD142:RL142"/>
    <mergeCell ref="BL144:BU144"/>
    <mergeCell ref="BX144:CG144"/>
    <mergeCell ref="CX144:DL144"/>
    <mergeCell ref="EI144:ET144"/>
    <mergeCell ref="GT144:HC144"/>
    <mergeCell ref="HG144:HP144"/>
    <mergeCell ref="HT144:IC144"/>
    <mergeCell ref="IG144:IP144"/>
    <mergeCell ref="IS144:JB144"/>
    <mergeCell ref="OX143:PG143"/>
    <mergeCell ref="PJ143:PS143"/>
    <mergeCell ref="PU143:QD143"/>
    <mergeCell ref="QF143:QO143"/>
    <mergeCell ref="QQ143:QZ143"/>
    <mergeCell ref="RC143:RL143"/>
    <mergeCell ref="LX143:MG143"/>
    <mergeCell ref="MQ143:MZ143"/>
    <mergeCell ref="NC143:NL143"/>
    <mergeCell ref="NO143:NX143"/>
    <mergeCell ref="OA143:OJ143"/>
    <mergeCell ref="OL143:OU143"/>
    <mergeCell ref="MQ141:MZ141"/>
    <mergeCell ref="NC141:NL141"/>
    <mergeCell ref="NO141:NX141"/>
    <mergeCell ref="OA141:OJ141"/>
    <mergeCell ref="OL141:OU141"/>
    <mergeCell ref="GU141:HC141"/>
    <mergeCell ref="HH141:HP141"/>
    <mergeCell ref="HU141:IC141"/>
    <mergeCell ref="IH141:IP141"/>
    <mergeCell ref="IT141:JB141"/>
    <mergeCell ref="KF141:KO141"/>
    <mergeCell ref="RP142:RX142"/>
    <mergeCell ref="BM143:BU143"/>
    <mergeCell ref="BY143:CG143"/>
    <mergeCell ref="GU143:HC143"/>
    <mergeCell ref="HH143:HP143"/>
    <mergeCell ref="HU143:IC143"/>
    <mergeCell ref="IH143:IP143"/>
    <mergeCell ref="IT143:JB143"/>
    <mergeCell ref="KF143:KO143"/>
    <mergeCell ref="OM142:OU142"/>
    <mergeCell ref="OY142:PG142"/>
    <mergeCell ref="PK142:PS142"/>
    <mergeCell ref="PV142:QD142"/>
    <mergeCell ref="QG142:QO142"/>
    <mergeCell ref="QR142:QZ142"/>
    <mergeCell ref="KG142:KO142"/>
    <mergeCell ref="LY142:MG142"/>
    <mergeCell ref="MR142:MZ142"/>
    <mergeCell ref="ND142:NL142"/>
    <mergeCell ref="NP142:NX142"/>
    <mergeCell ref="OB142:OJ142"/>
    <mergeCell ref="AL141:AW141"/>
    <mergeCell ref="BM141:BU141"/>
    <mergeCell ref="BY141:CG141"/>
    <mergeCell ref="DL141:DT141"/>
    <mergeCell ref="EF141:EO141"/>
    <mergeCell ref="GI141:GQ141"/>
    <mergeCell ref="PK140:PS140"/>
    <mergeCell ref="PV140:QD140"/>
    <mergeCell ref="QG140:QO140"/>
    <mergeCell ref="QR140:QZ140"/>
    <mergeCell ref="RD140:RL140"/>
    <mergeCell ref="RP140:RX140"/>
    <mergeCell ref="MR140:MZ140"/>
    <mergeCell ref="ND140:NL140"/>
    <mergeCell ref="NP140:NX140"/>
    <mergeCell ref="OB140:OJ140"/>
    <mergeCell ref="OM140:OU140"/>
    <mergeCell ref="OY140:PG140"/>
    <mergeCell ref="HG140:HP140"/>
    <mergeCell ref="HT140:IC140"/>
    <mergeCell ref="IG140:IP140"/>
    <mergeCell ref="IS140:JB140"/>
    <mergeCell ref="KG140:KO140"/>
    <mergeCell ref="LY140:MG140"/>
    <mergeCell ref="RO141:RX141"/>
    <mergeCell ref="OX141:PG141"/>
    <mergeCell ref="PJ141:PS141"/>
    <mergeCell ref="PU141:QD141"/>
    <mergeCell ref="QF141:QO141"/>
    <mergeCell ref="QQ141:QZ141"/>
    <mergeCell ref="RC141:RL141"/>
    <mergeCell ref="LX141:MG141"/>
    <mergeCell ref="KF139:KO139"/>
    <mergeCell ref="LX139:MG139"/>
    <mergeCell ref="QF139:QO139"/>
    <mergeCell ref="QQ139:QZ139"/>
    <mergeCell ref="BL140:BU140"/>
    <mergeCell ref="BX140:CG140"/>
    <mergeCell ref="DK140:DT140"/>
    <mergeCell ref="EG140:EO140"/>
    <mergeCell ref="GH140:GQ140"/>
    <mergeCell ref="GT140:HC140"/>
    <mergeCell ref="GU139:HC139"/>
    <mergeCell ref="HH139:HP139"/>
    <mergeCell ref="HU139:IC139"/>
    <mergeCell ref="IH139:IP139"/>
    <mergeCell ref="IT139:JB139"/>
    <mergeCell ref="JU139:KD139"/>
    <mergeCell ref="IS138:JB138"/>
    <mergeCell ref="JV138:KD138"/>
    <mergeCell ref="KG138:KO138"/>
    <mergeCell ref="LY138:MG138"/>
    <mergeCell ref="QQ138:QZ138"/>
    <mergeCell ref="BM139:BU139"/>
    <mergeCell ref="BY139:CG139"/>
    <mergeCell ref="DL139:DT139"/>
    <mergeCell ref="EF139:EO139"/>
    <mergeCell ref="GI139:GQ139"/>
    <mergeCell ref="CM136:CV136"/>
    <mergeCell ref="DK136:DT136"/>
    <mergeCell ref="EG136:EO136"/>
    <mergeCell ref="GH136:GQ136"/>
    <mergeCell ref="RO137:RX137"/>
    <mergeCell ref="CM138:CV138"/>
    <mergeCell ref="DK138:DT138"/>
    <mergeCell ref="EG138:EO138"/>
    <mergeCell ref="FL138:FZ138"/>
    <mergeCell ref="GH138:GQ138"/>
    <mergeCell ref="GT138:HC138"/>
    <mergeCell ref="HG138:HP138"/>
    <mergeCell ref="HT138:IC138"/>
    <mergeCell ref="IG138:IP138"/>
    <mergeCell ref="OA137:OJ137"/>
    <mergeCell ref="OL137:OU137"/>
    <mergeCell ref="OX137:PG137"/>
    <mergeCell ref="PJ137:PS137"/>
    <mergeCell ref="PU137:QD137"/>
    <mergeCell ref="RC137:RL137"/>
    <mergeCell ref="JU137:KD137"/>
    <mergeCell ref="KF137:KO137"/>
    <mergeCell ref="LM137:LV137"/>
    <mergeCell ref="LX137:MG137"/>
    <mergeCell ref="NC137:NL137"/>
    <mergeCell ref="NO137:NX137"/>
    <mergeCell ref="GI137:GQ137"/>
    <mergeCell ref="GU137:HC137"/>
    <mergeCell ref="HH137:HP137"/>
    <mergeCell ref="HU137:IC137"/>
    <mergeCell ref="IH137:IP137"/>
    <mergeCell ref="IT137:JB137"/>
    <mergeCell ref="NO135:NX135"/>
    <mergeCell ref="OA135:OJ135"/>
    <mergeCell ref="GI135:GQ135"/>
    <mergeCell ref="GU135:HC135"/>
    <mergeCell ref="HH135:HP135"/>
    <mergeCell ref="HU135:IC135"/>
    <mergeCell ref="IH135:IP135"/>
    <mergeCell ref="IT135:JB135"/>
    <mergeCell ref="OY136:PG136"/>
    <mergeCell ref="PK136:PS136"/>
    <mergeCell ref="PV136:QD136"/>
    <mergeCell ref="RD136:RL136"/>
    <mergeCell ref="RP136:RX136"/>
    <mergeCell ref="AK137:AT137"/>
    <mergeCell ref="AW137:BF137"/>
    <mergeCell ref="CN137:CV137"/>
    <mergeCell ref="DL137:DT137"/>
    <mergeCell ref="EF137:EO137"/>
    <mergeCell ref="KG136:KO136"/>
    <mergeCell ref="LN136:LV136"/>
    <mergeCell ref="LY136:MG136"/>
    <mergeCell ref="ND136:NL136"/>
    <mergeCell ref="NP136:NX136"/>
    <mergeCell ref="OM136:OU136"/>
    <mergeCell ref="GT136:HC136"/>
    <mergeCell ref="HG136:HP136"/>
    <mergeCell ref="HT136:IC136"/>
    <mergeCell ref="IG136:IP136"/>
    <mergeCell ref="IS136:JB136"/>
    <mergeCell ref="JV136:KD136"/>
    <mergeCell ref="AL136:AT136"/>
    <mergeCell ref="AX136:BF136"/>
    <mergeCell ref="OA134:OJ134"/>
    <mergeCell ref="PJ134:PS134"/>
    <mergeCell ref="RC134:RL134"/>
    <mergeCell ref="RO134:RX134"/>
    <mergeCell ref="Y135:AH135"/>
    <mergeCell ref="AK135:AT135"/>
    <mergeCell ref="AW135:BF135"/>
    <mergeCell ref="CN135:CV135"/>
    <mergeCell ref="DL135:DT135"/>
    <mergeCell ref="EF135:EO135"/>
    <mergeCell ref="JV134:KD134"/>
    <mergeCell ref="KG134:KO134"/>
    <mergeCell ref="LN134:LV134"/>
    <mergeCell ref="LY134:MG134"/>
    <mergeCell ref="MQ134:MZ134"/>
    <mergeCell ref="NC134:NL134"/>
    <mergeCell ref="GH134:GQ134"/>
    <mergeCell ref="GT134:HC134"/>
    <mergeCell ref="HG134:HP134"/>
    <mergeCell ref="HT134:IC134"/>
    <mergeCell ref="IG134:IP134"/>
    <mergeCell ref="IS134:JB134"/>
    <mergeCell ref="OL135:OU135"/>
    <mergeCell ref="OX135:PG135"/>
    <mergeCell ref="PJ135:PS135"/>
    <mergeCell ref="PU135:QD135"/>
    <mergeCell ref="RC135:RL135"/>
    <mergeCell ref="RO135:RX135"/>
    <mergeCell ref="JU135:KD135"/>
    <mergeCell ref="KF135:KO135"/>
    <mergeCell ref="LM135:LV135"/>
    <mergeCell ref="LX135:MG135"/>
    <mergeCell ref="Z134:AH134"/>
    <mergeCell ref="AL134:AT134"/>
    <mergeCell ref="AX134:BF134"/>
    <mergeCell ref="BL134:BU134"/>
    <mergeCell ref="BX134:CG134"/>
    <mergeCell ref="CM134:CV134"/>
    <mergeCell ref="DK134:DT134"/>
    <mergeCell ref="EG134:EO134"/>
    <mergeCell ref="FC134:FL134"/>
    <mergeCell ref="IH133:IP133"/>
    <mergeCell ref="IT133:JB133"/>
    <mergeCell ref="JU133:KD133"/>
    <mergeCell ref="KF133:KO133"/>
    <mergeCell ref="KQ133:KZ133"/>
    <mergeCell ref="LM133:LV133"/>
    <mergeCell ref="EF133:EO133"/>
    <mergeCell ref="FD133:FL133"/>
    <mergeCell ref="GI133:GQ133"/>
    <mergeCell ref="GU133:HC133"/>
    <mergeCell ref="HH133:HP133"/>
    <mergeCell ref="HU133:IC133"/>
    <mergeCell ref="KR132:KZ132"/>
    <mergeCell ref="LN132:LV132"/>
    <mergeCell ref="LY132:MG132"/>
    <mergeCell ref="Y133:AH133"/>
    <mergeCell ref="AK133:AT133"/>
    <mergeCell ref="AW133:BF133"/>
    <mergeCell ref="BM133:BU133"/>
    <mergeCell ref="BY133:CG133"/>
    <mergeCell ref="CN133:CV133"/>
    <mergeCell ref="DL133:DT133"/>
    <mergeCell ref="HG132:HP132"/>
    <mergeCell ref="HT132:IC132"/>
    <mergeCell ref="IG132:IP132"/>
    <mergeCell ref="IS132:JB132"/>
    <mergeCell ref="JV132:KD132"/>
    <mergeCell ref="KG132:KO132"/>
    <mergeCell ref="DK132:DT132"/>
    <mergeCell ref="EG132:EO132"/>
    <mergeCell ref="FC132:FL132"/>
    <mergeCell ref="FS132:GB132"/>
    <mergeCell ref="GH132:GQ132"/>
    <mergeCell ref="GT132:HC132"/>
    <mergeCell ref="Z132:AH132"/>
    <mergeCell ref="AL132:AT132"/>
    <mergeCell ref="AX132:BF132"/>
    <mergeCell ref="BL132:BU132"/>
    <mergeCell ref="BX132:CG132"/>
    <mergeCell ref="CM132:CV132"/>
    <mergeCell ref="LX133:MG133"/>
    <mergeCell ref="Z130:AH130"/>
    <mergeCell ref="AL130:AT130"/>
    <mergeCell ref="AX130:BF130"/>
    <mergeCell ref="BL130:BU130"/>
    <mergeCell ref="BX130:CG130"/>
    <mergeCell ref="CM130:CV130"/>
    <mergeCell ref="JU131:KD131"/>
    <mergeCell ref="KF131:KO131"/>
    <mergeCell ref="KQ131:KZ131"/>
    <mergeCell ref="LB131:LK131"/>
    <mergeCell ref="LM131:LV131"/>
    <mergeCell ref="LX131:MG131"/>
    <mergeCell ref="GU131:HC131"/>
    <mergeCell ref="HH131:HP131"/>
    <mergeCell ref="HU131:IC131"/>
    <mergeCell ref="IH131:IP131"/>
    <mergeCell ref="IT131:JB131"/>
    <mergeCell ref="JJ131:JS131"/>
    <mergeCell ref="CN131:CV131"/>
    <mergeCell ref="DL131:DT131"/>
    <mergeCell ref="EF131:EO131"/>
    <mergeCell ref="FD131:FL131"/>
    <mergeCell ref="FT131:GB131"/>
    <mergeCell ref="GI131:GQ131"/>
    <mergeCell ref="IH129:IP129"/>
    <mergeCell ref="IT129:JB129"/>
    <mergeCell ref="JJ129:JS129"/>
    <mergeCell ref="JU129:KD129"/>
    <mergeCell ref="DL129:DT129"/>
    <mergeCell ref="EF129:EO129"/>
    <mergeCell ref="FD129:FL129"/>
    <mergeCell ref="FT129:GB129"/>
    <mergeCell ref="GI129:GQ129"/>
    <mergeCell ref="GU129:HC129"/>
    <mergeCell ref="KG130:KO130"/>
    <mergeCell ref="KR130:KZ130"/>
    <mergeCell ref="LC130:LK130"/>
    <mergeCell ref="LN130:LV130"/>
    <mergeCell ref="LY130:MG130"/>
    <mergeCell ref="Y131:AH131"/>
    <mergeCell ref="AK131:AT131"/>
    <mergeCell ref="AW131:BF131"/>
    <mergeCell ref="BM131:BU131"/>
    <mergeCell ref="BY131:CG131"/>
    <mergeCell ref="HG130:HP130"/>
    <mergeCell ref="HT130:IC130"/>
    <mergeCell ref="IG130:IP130"/>
    <mergeCell ref="IS130:JB130"/>
    <mergeCell ref="JK130:JS130"/>
    <mergeCell ref="JV130:KD130"/>
    <mergeCell ref="DK130:DT130"/>
    <mergeCell ref="EG130:EO130"/>
    <mergeCell ref="FC130:FL130"/>
    <mergeCell ref="FS130:GB130"/>
    <mergeCell ref="GH130:GQ130"/>
    <mergeCell ref="GT130:HC130"/>
    <mergeCell ref="Y129:AH129"/>
    <mergeCell ref="AK129:AT129"/>
    <mergeCell ref="AW129:BF129"/>
    <mergeCell ref="BM129:BU129"/>
    <mergeCell ref="BY129:CG129"/>
    <mergeCell ref="CN129:CV129"/>
    <mergeCell ref="KG128:KO128"/>
    <mergeCell ref="KR128:KZ128"/>
    <mergeCell ref="LC128:LK128"/>
    <mergeCell ref="LN128:LV128"/>
    <mergeCell ref="LY128:MG128"/>
    <mergeCell ref="OS128:PA128"/>
    <mergeCell ref="HG128:HP128"/>
    <mergeCell ref="HT128:IC128"/>
    <mergeCell ref="IG128:IP128"/>
    <mergeCell ref="IS128:JB128"/>
    <mergeCell ref="JK128:JS128"/>
    <mergeCell ref="JV128:KD128"/>
    <mergeCell ref="DK128:DT128"/>
    <mergeCell ref="EG128:EO128"/>
    <mergeCell ref="FC128:FL128"/>
    <mergeCell ref="FS128:GB128"/>
    <mergeCell ref="GH128:GQ128"/>
    <mergeCell ref="GT128:HC128"/>
    <mergeCell ref="KF129:KO129"/>
    <mergeCell ref="KQ129:KZ129"/>
    <mergeCell ref="LB129:LK129"/>
    <mergeCell ref="LM129:LV129"/>
    <mergeCell ref="LX129:MG129"/>
    <mergeCell ref="OR129:PA129"/>
    <mergeCell ref="HH129:HP129"/>
    <mergeCell ref="HU129:IC129"/>
    <mergeCell ref="Z128:AH128"/>
    <mergeCell ref="AL128:AT128"/>
    <mergeCell ref="AX128:BF128"/>
    <mergeCell ref="BL128:BU128"/>
    <mergeCell ref="BX128:CG128"/>
    <mergeCell ref="CM128:CV128"/>
    <mergeCell ref="HU127:IC127"/>
    <mergeCell ref="IH127:IP127"/>
    <mergeCell ref="IT127:JB127"/>
    <mergeCell ref="JJ127:JS127"/>
    <mergeCell ref="JU127:KD127"/>
    <mergeCell ref="KF127:KO127"/>
    <mergeCell ref="EF127:EO127"/>
    <mergeCell ref="FD127:FL127"/>
    <mergeCell ref="FT127:GB127"/>
    <mergeCell ref="GI127:GQ127"/>
    <mergeCell ref="GU127:HC127"/>
    <mergeCell ref="HH127:HP127"/>
    <mergeCell ref="Y127:AH127"/>
    <mergeCell ref="AK127:AT127"/>
    <mergeCell ref="AW127:BF127"/>
    <mergeCell ref="BM127:BU127"/>
    <mergeCell ref="BY127:CG127"/>
    <mergeCell ref="CN127:CV127"/>
    <mergeCell ref="DL127:DT127"/>
    <mergeCell ref="KQ127:KZ127"/>
    <mergeCell ref="LB127:LK127"/>
    <mergeCell ref="LM127:LV127"/>
    <mergeCell ref="LX127:MG127"/>
    <mergeCell ref="Z126:AH126"/>
    <mergeCell ref="AL126:AT126"/>
    <mergeCell ref="AX126:BF126"/>
    <mergeCell ref="BL126:BU126"/>
    <mergeCell ref="BX126:CG126"/>
    <mergeCell ref="CM126:CV126"/>
    <mergeCell ref="CY126:DH126"/>
    <mergeCell ref="DK126:DT126"/>
    <mergeCell ref="HH125:HP125"/>
    <mergeCell ref="HU125:IC125"/>
    <mergeCell ref="IH125:IP125"/>
    <mergeCell ref="IT125:JB125"/>
    <mergeCell ref="MW125:NF125"/>
    <mergeCell ref="DL125:DT125"/>
    <mergeCell ref="EF125:EO125"/>
    <mergeCell ref="FD125:FL125"/>
    <mergeCell ref="FT125:GB125"/>
    <mergeCell ref="GI125:GQ125"/>
    <mergeCell ref="GU125:HC125"/>
    <mergeCell ref="HT126:IC126"/>
    <mergeCell ref="IG126:IP126"/>
    <mergeCell ref="IS126:JB126"/>
    <mergeCell ref="OB124:OJ124"/>
    <mergeCell ref="PK124:PS124"/>
    <mergeCell ref="RJ124:RR124"/>
    <mergeCell ref="Y125:AH125"/>
    <mergeCell ref="AK125:AT125"/>
    <mergeCell ref="AW125:BF125"/>
    <mergeCell ref="BM125:BU125"/>
    <mergeCell ref="BY125:CG125"/>
    <mergeCell ref="CN125:CV125"/>
    <mergeCell ref="CZ125:DH125"/>
    <mergeCell ref="GT124:HC124"/>
    <mergeCell ref="HG124:HP124"/>
    <mergeCell ref="HT124:IC124"/>
    <mergeCell ref="IG124:IP124"/>
    <mergeCell ref="IS124:JB124"/>
    <mergeCell ref="MX124:NF124"/>
    <mergeCell ref="CY124:DH124"/>
    <mergeCell ref="DK124:DT124"/>
    <mergeCell ref="EG124:EO124"/>
    <mergeCell ref="FC124:FL124"/>
    <mergeCell ref="FS124:GB124"/>
    <mergeCell ref="GH124:GQ124"/>
    <mergeCell ref="Z124:AH124"/>
    <mergeCell ref="AL124:AT124"/>
    <mergeCell ref="AX124:BF124"/>
    <mergeCell ref="BL124:BU124"/>
    <mergeCell ref="BX124:CG124"/>
    <mergeCell ref="CM124:CV124"/>
    <mergeCell ref="RI125:RR125"/>
    <mergeCell ref="PJ125:PS125"/>
    <mergeCell ref="OA125:OJ125"/>
    <mergeCell ref="EG126:EO126"/>
    <mergeCell ref="FC126:FL126"/>
    <mergeCell ref="LR123:MA123"/>
    <mergeCell ref="LS122:MA122"/>
    <mergeCell ref="BM123:BU123"/>
    <mergeCell ref="BY123:CG123"/>
    <mergeCell ref="CN123:CV123"/>
    <mergeCell ref="CZ123:DH123"/>
    <mergeCell ref="DL123:DT123"/>
    <mergeCell ref="EF123:EO123"/>
    <mergeCell ref="FD123:FL123"/>
    <mergeCell ref="FT123:GB123"/>
    <mergeCell ref="GI123:GQ123"/>
    <mergeCell ref="GH122:GQ122"/>
    <mergeCell ref="GT122:HC122"/>
    <mergeCell ref="HG122:HP122"/>
    <mergeCell ref="HT122:IC122"/>
    <mergeCell ref="IG122:IP122"/>
    <mergeCell ref="IS122:JB122"/>
    <mergeCell ref="FS126:GB126"/>
    <mergeCell ref="GH126:GQ126"/>
    <mergeCell ref="GT126:HC126"/>
    <mergeCell ref="HG126:HP126"/>
    <mergeCell ref="Y122:AH122"/>
    <mergeCell ref="AK122:AT122"/>
    <mergeCell ref="AW122:BF122"/>
    <mergeCell ref="EG122:EO122"/>
    <mergeCell ref="FC122:FL122"/>
    <mergeCell ref="FS122:GB122"/>
    <mergeCell ref="DK121:DT121"/>
    <mergeCell ref="EF121:EO121"/>
    <mergeCell ref="FD121:FL121"/>
    <mergeCell ref="FT121:GB121"/>
    <mergeCell ref="GI121:GQ121"/>
    <mergeCell ref="GU121:HC121"/>
    <mergeCell ref="IG120:IP120"/>
    <mergeCell ref="IS120:JB120"/>
    <mergeCell ref="GU123:HC123"/>
    <mergeCell ref="HH123:HP123"/>
    <mergeCell ref="HU123:IC123"/>
    <mergeCell ref="IH123:IP123"/>
    <mergeCell ref="IT123:JB123"/>
    <mergeCell ref="NL120:NU120"/>
    <mergeCell ref="QL120:QU120"/>
    <mergeCell ref="Z121:AH121"/>
    <mergeCell ref="AL121:AT121"/>
    <mergeCell ref="AX121:BF121"/>
    <mergeCell ref="BL121:BU121"/>
    <mergeCell ref="BX121:CG121"/>
    <mergeCell ref="CM121:CV121"/>
    <mergeCell ref="FC120:FL120"/>
    <mergeCell ref="FS120:GB120"/>
    <mergeCell ref="GH120:GQ120"/>
    <mergeCell ref="GT120:HC120"/>
    <mergeCell ref="HG120:HP120"/>
    <mergeCell ref="HT120:IC120"/>
    <mergeCell ref="NM119:NU119"/>
    <mergeCell ref="QM119:QU119"/>
    <mergeCell ref="Y120:AH120"/>
    <mergeCell ref="AK120:AT120"/>
    <mergeCell ref="AW120:BF120"/>
    <mergeCell ref="BM120:BU120"/>
    <mergeCell ref="BY120:CG120"/>
    <mergeCell ref="CN120:CV120"/>
    <mergeCell ref="DL120:DT120"/>
    <mergeCell ref="EG120:EO120"/>
    <mergeCell ref="HH121:HP121"/>
    <mergeCell ref="HU121:IC121"/>
    <mergeCell ref="IH121:IP121"/>
    <mergeCell ref="IT121:JB121"/>
    <mergeCell ref="LM118:LV118"/>
    <mergeCell ref="FD119:FL119"/>
    <mergeCell ref="FT119:GB119"/>
    <mergeCell ref="GI119:GQ119"/>
    <mergeCell ref="GU119:HC119"/>
    <mergeCell ref="HH119:HP119"/>
    <mergeCell ref="HU119:IC119"/>
    <mergeCell ref="IH119:IP119"/>
    <mergeCell ref="IT119:JB119"/>
    <mergeCell ref="GT118:HC118"/>
    <mergeCell ref="HG118:HP118"/>
    <mergeCell ref="HT118:IC118"/>
    <mergeCell ref="IG118:IP118"/>
    <mergeCell ref="IS118:JB118"/>
    <mergeCell ref="JU118:KD118"/>
    <mergeCell ref="BR118:CA118"/>
    <mergeCell ref="CY118:DH118"/>
    <mergeCell ref="EF118:EO118"/>
    <mergeCell ref="FC118:FL118"/>
    <mergeCell ref="FS118:GB118"/>
    <mergeCell ref="GH118:GQ118"/>
    <mergeCell ref="IY115:JC115"/>
    <mergeCell ref="MD115:MH115"/>
    <mergeCell ref="RV115:RZ115"/>
    <mergeCell ref="AF116:AN116"/>
    <mergeCell ref="AE117:AN117"/>
    <mergeCell ref="BS117:CA117"/>
    <mergeCell ref="CZ117:DH117"/>
    <mergeCell ref="EG117:EO117"/>
    <mergeCell ref="JV117:KD117"/>
    <mergeCell ref="LN117:LV117"/>
    <mergeCell ref="GR111:HA111"/>
    <mergeCell ref="GQ112:HA112"/>
    <mergeCell ref="BC115:BG115"/>
    <mergeCell ref="CA115:CH115"/>
    <mergeCell ref="DO115:DU115"/>
    <mergeCell ref="EP115:EV115"/>
    <mergeCell ref="FV115:GC115"/>
    <mergeCell ref="KV107:LD107"/>
    <mergeCell ref="PC107:PK107"/>
    <mergeCell ref="AE108:AN108"/>
    <mergeCell ref="BR108:CA108"/>
    <mergeCell ref="CX108:DG108"/>
    <mergeCell ref="EF108:EO108"/>
    <mergeCell ref="GQ108:HA108"/>
    <mergeCell ref="KU108:LD108"/>
    <mergeCell ref="PB108:PK108"/>
    <mergeCell ref="GQ102:HA102"/>
    <mergeCell ref="HI103:HR103"/>
    <mergeCell ref="HH104:HR104"/>
    <mergeCell ref="AF107:AN107"/>
    <mergeCell ref="BS107:CA107"/>
    <mergeCell ref="CY107:DG107"/>
    <mergeCell ref="EG107:EO107"/>
    <mergeCell ref="GR107:HA107"/>
    <mergeCell ref="CR91:CZ91"/>
    <mergeCell ref="DD91:DL91"/>
    <mergeCell ref="CQ92:CZ92"/>
    <mergeCell ref="DC92:DL92"/>
    <mergeCell ref="CX94:DH94"/>
    <mergeCell ref="GR101:HA101"/>
    <mergeCell ref="CQ85:CZ85"/>
    <mergeCell ref="DC85:DL85"/>
    <mergeCell ref="CR86:CZ86"/>
    <mergeCell ref="DD86:DL86"/>
    <mergeCell ref="CQ87:CZ87"/>
    <mergeCell ref="DC87:DL87"/>
    <mergeCell ref="CR82:CZ82"/>
    <mergeCell ref="DD82:DL82"/>
    <mergeCell ref="CQ83:CZ83"/>
    <mergeCell ref="DC83:DL83"/>
    <mergeCell ref="CR84:CZ84"/>
    <mergeCell ref="DD84:DL84"/>
    <mergeCell ref="CQ79:CZ79"/>
    <mergeCell ref="DC79:DL79"/>
    <mergeCell ref="CR80:CZ80"/>
    <mergeCell ref="DD80:DL80"/>
    <mergeCell ref="CQ81:CZ81"/>
    <mergeCell ref="DC81:DL81"/>
    <mergeCell ref="CQ74:CZ74"/>
    <mergeCell ref="DC74:DL74"/>
    <mergeCell ref="MJ74:MT74"/>
    <mergeCell ref="CQ77:CZ77"/>
    <mergeCell ref="DC77:DL77"/>
    <mergeCell ref="CR78:CZ78"/>
    <mergeCell ref="DD78:DL78"/>
    <mergeCell ref="CR73:CZ73"/>
    <mergeCell ref="DD73:DL73"/>
    <mergeCell ref="EP73:EY73"/>
    <mergeCell ref="FA73:FJ73"/>
    <mergeCell ref="FL73:FU73"/>
    <mergeCell ref="FW73:GF73"/>
    <mergeCell ref="GH71:GQ71"/>
    <mergeCell ref="CQ72:CZ72"/>
    <mergeCell ref="DC72:DL72"/>
    <mergeCell ref="EQ72:EY72"/>
    <mergeCell ref="FB72:FJ72"/>
    <mergeCell ref="FM72:FU72"/>
    <mergeCell ref="FX72:GF72"/>
    <mergeCell ref="GJ72:GQ72"/>
    <mergeCell ref="CR71:CZ71"/>
    <mergeCell ref="DD71:DL71"/>
    <mergeCell ref="EP71:EY71"/>
    <mergeCell ref="FA71:FJ71"/>
    <mergeCell ref="FL71:FU71"/>
    <mergeCell ref="FW71:GF71"/>
    <mergeCell ref="MJ69:MS69"/>
    <mergeCell ref="CQ70:CZ70"/>
    <mergeCell ref="DC70:DL70"/>
    <mergeCell ref="EQ70:EY70"/>
    <mergeCell ref="FB70:FJ70"/>
    <mergeCell ref="FM70:FU70"/>
    <mergeCell ref="FX70:GF70"/>
    <mergeCell ref="GI70:GQ70"/>
    <mergeCell ref="KT70:LA70"/>
    <mergeCell ref="GI68:GQ68"/>
    <mergeCell ref="KQ68:KZ68"/>
    <mergeCell ref="MK68:MS68"/>
    <mergeCell ref="CR69:CZ69"/>
    <mergeCell ref="DD69:DL69"/>
    <mergeCell ref="EP69:EY69"/>
    <mergeCell ref="FA69:FJ69"/>
    <mergeCell ref="FL69:FU69"/>
    <mergeCell ref="FW69:GF69"/>
    <mergeCell ref="GH69:GQ69"/>
    <mergeCell ref="CQ68:CZ68"/>
    <mergeCell ref="DC68:DL68"/>
    <mergeCell ref="EQ68:EY68"/>
    <mergeCell ref="FB68:FJ68"/>
    <mergeCell ref="FM68:FU68"/>
    <mergeCell ref="FX68:GF68"/>
    <mergeCell ref="FL67:FU67"/>
    <mergeCell ref="FW67:GF67"/>
    <mergeCell ref="GH67:GQ67"/>
    <mergeCell ref="KR67:KZ67"/>
    <mergeCell ref="MJ67:MS67"/>
    <mergeCell ref="NX67:OL67"/>
    <mergeCell ref="FX66:GF66"/>
    <mergeCell ref="GI66:GQ66"/>
    <mergeCell ref="ID66:IN66"/>
    <mergeCell ref="KQ66:KZ66"/>
    <mergeCell ref="MK66:MS66"/>
    <mergeCell ref="BZ67:CH67"/>
    <mergeCell ref="CR67:CZ67"/>
    <mergeCell ref="DD67:DL67"/>
    <mergeCell ref="EP67:EY67"/>
    <mergeCell ref="FA67:FJ67"/>
    <mergeCell ref="FW65:GF65"/>
    <mergeCell ref="GH65:GQ65"/>
    <mergeCell ref="IW65:JF65"/>
    <mergeCell ref="KR65:KZ65"/>
    <mergeCell ref="MJ65:MS65"/>
    <mergeCell ref="CQ66:CZ66"/>
    <mergeCell ref="DC66:DL66"/>
    <mergeCell ref="EQ66:EY66"/>
    <mergeCell ref="FB66:FJ66"/>
    <mergeCell ref="FM66:FU66"/>
    <mergeCell ref="BX65:CG65"/>
    <mergeCell ref="CR65:CZ65"/>
    <mergeCell ref="DD65:DL65"/>
    <mergeCell ref="EP65:EY65"/>
    <mergeCell ref="FA65:FJ65"/>
    <mergeCell ref="FL65:FU65"/>
    <mergeCell ref="OG63:OO63"/>
    <mergeCell ref="BY64:CG64"/>
    <mergeCell ref="CQ64:CZ64"/>
    <mergeCell ref="DC64:DL64"/>
    <mergeCell ref="IH64:IQ64"/>
    <mergeCell ref="IX64:JF64"/>
    <mergeCell ref="KQ64:KZ64"/>
    <mergeCell ref="MK64:MS64"/>
    <mergeCell ref="NT64:OC64"/>
    <mergeCell ref="OF64:OO64"/>
    <mergeCell ref="BX63:CG63"/>
    <mergeCell ref="II63:IQ63"/>
    <mergeCell ref="IW63:JF63"/>
    <mergeCell ref="KR63:KZ63"/>
    <mergeCell ref="MJ63:MS63"/>
    <mergeCell ref="NU63:OC63"/>
    <mergeCell ref="OG61:OO61"/>
    <mergeCell ref="BY62:CG62"/>
    <mergeCell ref="IH62:IQ62"/>
    <mergeCell ref="IX62:JF62"/>
    <mergeCell ref="KQ62:KZ62"/>
    <mergeCell ref="LY62:MH62"/>
    <mergeCell ref="MK62:MS62"/>
    <mergeCell ref="OF62:OO62"/>
    <mergeCell ref="MK60:MS60"/>
    <mergeCell ref="OF60:OO60"/>
    <mergeCell ref="BX61:CG61"/>
    <mergeCell ref="CQ61:CZ61"/>
    <mergeCell ref="DX61:EF61"/>
    <mergeCell ref="II61:IQ61"/>
    <mergeCell ref="IW61:JF61"/>
    <mergeCell ref="KR61:KZ61"/>
    <mergeCell ref="LZ61:MH61"/>
    <mergeCell ref="MJ61:MS61"/>
    <mergeCell ref="KG59:KM59"/>
    <mergeCell ref="KR59:KZ59"/>
    <mergeCell ref="LZ59:MH59"/>
    <mergeCell ref="MJ59:MS59"/>
    <mergeCell ref="OG59:OO59"/>
    <mergeCell ref="BY60:CG60"/>
    <mergeCell ref="CR60:CZ60"/>
    <mergeCell ref="IH60:IQ60"/>
    <mergeCell ref="KQ60:KZ60"/>
    <mergeCell ref="LY60:MH60"/>
    <mergeCell ref="LY58:MH58"/>
    <mergeCell ref="MK58:MS58"/>
    <mergeCell ref="MU58:ND58"/>
    <mergeCell ref="OF58:OO58"/>
    <mergeCell ref="BX59:CG59"/>
    <mergeCell ref="CQ59:CZ59"/>
    <mergeCell ref="DC59:DL59"/>
    <mergeCell ref="DV59:EE59"/>
    <mergeCell ref="II59:IQ59"/>
    <mergeCell ref="IW59:JF59"/>
    <mergeCell ref="BY58:CG58"/>
    <mergeCell ref="CR58:CZ58"/>
    <mergeCell ref="DD58:DL58"/>
    <mergeCell ref="DW58:EE58"/>
    <mergeCell ref="IH58:IQ58"/>
    <mergeCell ref="IX58:JF58"/>
    <mergeCell ref="KC57:KL57"/>
    <mergeCell ref="KQ57:KZ57"/>
    <mergeCell ref="LZ57:MH57"/>
    <mergeCell ref="MJ57:MS57"/>
    <mergeCell ref="MV57:ND57"/>
    <mergeCell ref="OG57:OO57"/>
    <mergeCell ref="BX57:CG57"/>
    <mergeCell ref="CQ57:CZ57"/>
    <mergeCell ref="DC57:DL57"/>
    <mergeCell ref="DV57:EE57"/>
    <mergeCell ref="II57:IQ57"/>
    <mergeCell ref="IW57:JF57"/>
    <mergeCell ref="IX56:JF56"/>
    <mergeCell ref="KD56:KL56"/>
    <mergeCell ref="KR56:KZ56"/>
    <mergeCell ref="LY56:MH56"/>
    <mergeCell ref="MK56:MS56"/>
    <mergeCell ref="MU56:ND56"/>
    <mergeCell ref="NN55:NW55"/>
    <mergeCell ref="OF55:OO55"/>
    <mergeCell ref="BY56:CG56"/>
    <mergeCell ref="CR56:CZ56"/>
    <mergeCell ref="DD56:DL56"/>
    <mergeCell ref="DW56:EE56"/>
    <mergeCell ref="EU56:FD56"/>
    <mergeCell ref="FF56:FO56"/>
    <mergeCell ref="HW56:IF56"/>
    <mergeCell ref="IH56:IQ56"/>
    <mergeCell ref="OG54:OO54"/>
    <mergeCell ref="DV55:EE55"/>
    <mergeCell ref="EV55:FD55"/>
    <mergeCell ref="FG55:FO55"/>
    <mergeCell ref="HX55:IF55"/>
    <mergeCell ref="II55:IQ55"/>
    <mergeCell ref="IW55:JF55"/>
    <mergeCell ref="LZ55:MH55"/>
    <mergeCell ref="MJ55:MS55"/>
    <mergeCell ref="MV55:ND55"/>
    <mergeCell ref="KG54:KM54"/>
    <mergeCell ref="KU54:LA54"/>
    <mergeCell ref="LY54:MH54"/>
    <mergeCell ref="MK54:MS54"/>
    <mergeCell ref="MU54:ND54"/>
    <mergeCell ref="NO54:NW54"/>
    <mergeCell ref="BX54:CG54"/>
    <mergeCell ref="CW54:DF54"/>
    <mergeCell ref="DW54:EE54"/>
    <mergeCell ref="EU54:FD54"/>
    <mergeCell ref="FF54:FO54"/>
    <mergeCell ref="IX54:JF54"/>
    <mergeCell ref="MK52:MS52"/>
    <mergeCell ref="NR52:NX52"/>
    <mergeCell ref="OJ52:OP52"/>
    <mergeCell ref="SP52:SR52"/>
    <mergeCell ref="BY53:CG53"/>
    <mergeCell ref="CX53:DF53"/>
    <mergeCell ref="IW53:JF53"/>
    <mergeCell ref="LZ53:MH53"/>
    <mergeCell ref="MJ53:MS53"/>
    <mergeCell ref="MV53:ND53"/>
    <mergeCell ref="MK50:MS50"/>
    <mergeCell ref="SP50:SR50"/>
    <mergeCell ref="CA51:CI51"/>
    <mergeCell ref="DF51:DM51"/>
    <mergeCell ref="DX51:EF51"/>
    <mergeCell ref="GL51:GR51"/>
    <mergeCell ref="IM51:IS51"/>
    <mergeCell ref="JB51:JH51"/>
    <mergeCell ref="MJ51:MS51"/>
    <mergeCell ref="EW3:FA3"/>
    <mergeCell ref="QT8:SG20"/>
    <mergeCell ref="EN10:JI14"/>
    <mergeCell ref="GS23:HA23"/>
    <mergeCell ref="GR24:HA24"/>
    <mergeCell ref="GS28:HA28"/>
    <mergeCell ref="MK28:MS28"/>
    <mergeCell ref="NW28:OE28"/>
    <mergeCell ref="IC47:IK47"/>
    <mergeCell ref="JP47:JX47"/>
    <mergeCell ref="MK47:MS47"/>
    <mergeCell ref="IB48:IK48"/>
    <mergeCell ref="JO48:JX48"/>
    <mergeCell ref="MJ48:MS48"/>
    <mergeCell ref="MY42:NE42"/>
    <mergeCell ref="OK42:OQ42"/>
    <mergeCell ref="EK43:ES43"/>
    <mergeCell ref="FG43:FO43"/>
    <mergeCell ref="KK43:KS43"/>
    <mergeCell ref="EJ44:ES44"/>
    <mergeCell ref="FF44:FO44"/>
    <mergeCell ref="KJ44:KS44"/>
    <mergeCell ref="GR29:HA29"/>
    <mergeCell ref="MJ29:MS29"/>
    <mergeCell ref="NV29:OE29"/>
    <mergeCell ref="MZ33:NF33"/>
    <mergeCell ref="MW35:NE35"/>
    <mergeCell ref="MV36:NE36"/>
  </mergeCells>
  <pageMargins left="0.25" right="0.25" top="0.75" bottom="0.75" header="0.3" footer="0.3"/>
  <pageSetup paperSize="9" scale="16" orientation="landscape" r:id="rId1"/>
  <headerFooter>
    <oddFooter>&amp;L_x000D_&amp;1#&amp;"Trebuchet MS"&amp;9&amp;K737373 PÚBLICA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Sumário</vt:lpstr>
      <vt:lpstr>ORG. RESUMIDO-741</vt:lpstr>
      <vt:lpstr>ORG-RESUMIDO-743</vt:lpstr>
      <vt:lpstr>Análises 743 1</vt:lpstr>
      <vt:lpstr>02 - ORGANOGRAMA RESUMIDO -737 </vt:lpstr>
      <vt:lpstr>05 - ORGANOGRAMA RESUMIDO -736</vt:lpstr>
      <vt:lpstr>'05 - ORGANOGRAMA RESUMIDO -736'!Area_de_impressao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Stefanny Farias de Oliveira Serafim</dc:creator>
  <cp:keywords/>
  <dc:description/>
  <cp:lastModifiedBy>Gabriel Serafim</cp:lastModifiedBy>
  <cp:revision/>
  <dcterms:created xsi:type="dcterms:W3CDTF">2025-10-21T14:01:28Z</dcterms:created>
  <dcterms:modified xsi:type="dcterms:W3CDTF">2026-05-25T15:00:42Z</dcterms:modified>
  <cp:category/>
  <cp:contentStatus/>
</cp:coreProperties>
</file>